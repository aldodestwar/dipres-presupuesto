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do Manuel Herrera\Downloads\Ejecucion presupuestaria inversion\"/>
    </mc:Choice>
  </mc:AlternateContent>
  <xr:revisionPtr revIDLastSave="0" documentId="13_ncr:1_{B28BD9E0-FD5D-4519-8C9F-00F8264BE06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INVU_Mes_Corriente" sheetId="1" r:id="rId1"/>
    <sheet name="MINVU_Mes_Constante" sheetId="2" r:id="rId2"/>
    <sheet name="Dashboar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N208" i="2" l="1"/>
  <c r="FM208" i="2"/>
  <c r="FL208" i="2"/>
  <c r="FK208" i="2"/>
  <c r="FJ208" i="2"/>
  <c r="FI207" i="2"/>
  <c r="FO207" i="2" s="1"/>
  <c r="FH207" i="2"/>
  <c r="FG207" i="2"/>
  <c r="FF207" i="2"/>
  <c r="FE207" i="2"/>
  <c r="FD207" i="2"/>
  <c r="FC207" i="2"/>
  <c r="FA207" i="2"/>
  <c r="FB207" i="2" s="1"/>
  <c r="EZ207" i="2"/>
  <c r="EY207" i="2"/>
  <c r="EX207" i="2"/>
  <c r="EW207" i="2"/>
  <c r="EV207" i="2"/>
  <c r="EU207" i="2"/>
  <c r="ET207" i="2"/>
  <c r="ES207" i="2"/>
  <c r="ER207" i="2"/>
  <c r="EQ207" i="2"/>
  <c r="EP207" i="2"/>
  <c r="EN207" i="2"/>
  <c r="EO207" i="2" s="1"/>
  <c r="EM207" i="2"/>
  <c r="EL207" i="2"/>
  <c r="EK207" i="2"/>
  <c r="EJ207" i="2"/>
  <c r="EI207" i="2"/>
  <c r="EH207" i="2"/>
  <c r="EG207" i="2"/>
  <c r="EF207" i="2"/>
  <c r="EE207" i="2"/>
  <c r="ED207" i="2"/>
  <c r="EC207" i="2"/>
  <c r="EB207" i="2"/>
  <c r="EA207" i="2"/>
  <c r="DZ207" i="2"/>
  <c r="DY207" i="2"/>
  <c r="DX207" i="2"/>
  <c r="DW207" i="2"/>
  <c r="DV207" i="2"/>
  <c r="DU207" i="2"/>
  <c r="DT207" i="2"/>
  <c r="DS207" i="2"/>
  <c r="DR207" i="2"/>
  <c r="DQ207" i="2"/>
  <c r="DP207" i="2"/>
  <c r="DN207" i="2"/>
  <c r="DO207" i="2" s="1"/>
  <c r="DM207" i="2"/>
  <c r="DL207" i="2"/>
  <c r="DK207" i="2"/>
  <c r="DJ207" i="2"/>
  <c r="DI207" i="2"/>
  <c r="DH207" i="2"/>
  <c r="DG207" i="2"/>
  <c r="DF207" i="2"/>
  <c r="DE207" i="2"/>
  <c r="DD207" i="2"/>
  <c r="DC207" i="2"/>
  <c r="DA207" i="2"/>
  <c r="DB207" i="2" s="1"/>
  <c r="CZ207" i="2"/>
  <c r="CY207" i="2"/>
  <c r="CX207" i="2"/>
  <c r="CW207" i="2"/>
  <c r="CV207" i="2"/>
  <c r="CU207" i="2"/>
  <c r="CT207" i="2"/>
  <c r="CS207" i="2"/>
  <c r="CR207" i="2"/>
  <c r="CQ207" i="2"/>
  <c r="CP207" i="2"/>
  <c r="CN207" i="2"/>
  <c r="CO207" i="2" s="1"/>
  <c r="CM207" i="2"/>
  <c r="CL207" i="2"/>
  <c r="CK207" i="2"/>
  <c r="CJ207" i="2"/>
  <c r="CI207" i="2"/>
  <c r="CH207" i="2"/>
  <c r="CG207" i="2"/>
  <c r="CF207" i="2"/>
  <c r="CE207" i="2"/>
  <c r="CD207" i="2"/>
  <c r="CC207" i="2"/>
  <c r="CA207" i="2"/>
  <c r="CB207" i="2" s="1"/>
  <c r="BZ207" i="2"/>
  <c r="BY207" i="2"/>
  <c r="BX207" i="2"/>
  <c r="BW207" i="2"/>
  <c r="BV207" i="2"/>
  <c r="BU207" i="2"/>
  <c r="BT207" i="2"/>
  <c r="BS207" i="2"/>
  <c r="BR207" i="2"/>
  <c r="BQ207" i="2"/>
  <c r="BP207" i="2"/>
  <c r="BN207" i="2"/>
  <c r="BO207" i="2" s="1"/>
  <c r="BM207" i="2"/>
  <c r="BL207" i="2"/>
  <c r="BK207" i="2"/>
  <c r="BJ207" i="2"/>
  <c r="BI207" i="2"/>
  <c r="BH207" i="2"/>
  <c r="BG207" i="2"/>
  <c r="BF207" i="2"/>
  <c r="BE207" i="2"/>
  <c r="BD207" i="2"/>
  <c r="BC207" i="2"/>
  <c r="BA207" i="2"/>
  <c r="BB207" i="2" s="1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A207" i="2"/>
  <c r="AB207" i="2" s="1"/>
  <c r="Z207" i="2"/>
  <c r="Y207" i="2"/>
  <c r="X207" i="2"/>
  <c r="W207" i="2"/>
  <c r="V207" i="2"/>
  <c r="U207" i="2"/>
  <c r="T207" i="2"/>
  <c r="S207" i="2"/>
  <c r="R207" i="2"/>
  <c r="Q207" i="2"/>
  <c r="P207" i="2"/>
  <c r="N207" i="2"/>
  <c r="O207" i="2" s="1"/>
  <c r="M207" i="2"/>
  <c r="L207" i="2"/>
  <c r="K207" i="2"/>
  <c r="J207" i="2"/>
  <c r="I207" i="2"/>
  <c r="H207" i="2"/>
  <c r="G207" i="2"/>
  <c r="F207" i="2"/>
  <c r="E207" i="2"/>
  <c r="D207" i="2"/>
  <c r="C207" i="2"/>
  <c r="FI206" i="2"/>
  <c r="FO206" i="2" s="1"/>
  <c r="FH206" i="2"/>
  <c r="FG206" i="2"/>
  <c r="FF206" i="2"/>
  <c r="FE206" i="2"/>
  <c r="FD206" i="2"/>
  <c r="FC206" i="2"/>
  <c r="FA206" i="2"/>
  <c r="FB206" i="2" s="1"/>
  <c r="EZ206" i="2"/>
  <c r="EY206" i="2"/>
  <c r="EX206" i="2"/>
  <c r="EW206" i="2"/>
  <c r="EV206" i="2"/>
  <c r="EU206" i="2"/>
  <c r="ET206" i="2"/>
  <c r="ES206" i="2"/>
  <c r="ER206" i="2"/>
  <c r="EQ206" i="2"/>
  <c r="EP206" i="2"/>
  <c r="EN206" i="2"/>
  <c r="EO206" i="2" s="1"/>
  <c r="EM206" i="2"/>
  <c r="EL206" i="2"/>
  <c r="EK206" i="2"/>
  <c r="EJ206" i="2"/>
  <c r="EI206" i="2"/>
  <c r="EH206" i="2"/>
  <c r="EG206" i="2"/>
  <c r="EF206" i="2"/>
  <c r="EE206" i="2"/>
  <c r="ED206" i="2"/>
  <c r="EC206" i="2"/>
  <c r="EA206" i="2"/>
  <c r="EB206" i="2" s="1"/>
  <c r="DZ206" i="2"/>
  <c r="DY206" i="2"/>
  <c r="DX206" i="2"/>
  <c r="DW206" i="2"/>
  <c r="DV206" i="2"/>
  <c r="DU206" i="2"/>
  <c r="DT206" i="2"/>
  <c r="DS206" i="2"/>
  <c r="DR206" i="2"/>
  <c r="DQ206" i="2"/>
  <c r="DP206" i="2"/>
  <c r="DN206" i="2"/>
  <c r="DO206" i="2" s="1"/>
  <c r="DM206" i="2"/>
  <c r="DL206" i="2"/>
  <c r="DK206" i="2"/>
  <c r="DJ206" i="2"/>
  <c r="DI206" i="2"/>
  <c r="DH206" i="2"/>
  <c r="DG206" i="2"/>
  <c r="DF206" i="2"/>
  <c r="DE206" i="2"/>
  <c r="DD206" i="2"/>
  <c r="DC206" i="2"/>
  <c r="DA206" i="2"/>
  <c r="DB206" i="2" s="1"/>
  <c r="CZ206" i="2"/>
  <c r="CY206" i="2"/>
  <c r="CX206" i="2"/>
  <c r="CW206" i="2"/>
  <c r="CV206" i="2"/>
  <c r="CU206" i="2"/>
  <c r="CT206" i="2"/>
  <c r="CS206" i="2"/>
  <c r="CR206" i="2"/>
  <c r="CQ206" i="2"/>
  <c r="CP206" i="2"/>
  <c r="CN206" i="2"/>
  <c r="CO206" i="2" s="1"/>
  <c r="CM206" i="2"/>
  <c r="CL206" i="2"/>
  <c r="CK206" i="2"/>
  <c r="CJ206" i="2"/>
  <c r="CI206" i="2"/>
  <c r="CH206" i="2"/>
  <c r="CG206" i="2"/>
  <c r="CF206" i="2"/>
  <c r="CE206" i="2"/>
  <c r="CD206" i="2"/>
  <c r="CC206" i="2"/>
  <c r="CA206" i="2"/>
  <c r="CB206" i="2" s="1"/>
  <c r="BZ206" i="2"/>
  <c r="BY206" i="2"/>
  <c r="BX206" i="2"/>
  <c r="BW206" i="2"/>
  <c r="BV206" i="2"/>
  <c r="BU206" i="2"/>
  <c r="BT206" i="2"/>
  <c r="BS206" i="2"/>
  <c r="BR206" i="2"/>
  <c r="BQ206" i="2"/>
  <c r="BP206" i="2"/>
  <c r="BN206" i="2"/>
  <c r="BO206" i="2" s="1"/>
  <c r="BM206" i="2"/>
  <c r="BL206" i="2"/>
  <c r="BK206" i="2"/>
  <c r="BJ206" i="2"/>
  <c r="BI206" i="2"/>
  <c r="BH206" i="2"/>
  <c r="BG206" i="2"/>
  <c r="BF206" i="2"/>
  <c r="BE206" i="2"/>
  <c r="BD206" i="2"/>
  <c r="BC206" i="2"/>
  <c r="BA206" i="2"/>
  <c r="BB206" i="2" s="1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A206" i="2"/>
  <c r="AB206" i="2" s="1"/>
  <c r="Z206" i="2"/>
  <c r="Y206" i="2"/>
  <c r="X206" i="2"/>
  <c r="W206" i="2"/>
  <c r="V206" i="2"/>
  <c r="U206" i="2"/>
  <c r="T206" i="2"/>
  <c r="S206" i="2"/>
  <c r="R206" i="2"/>
  <c r="Q206" i="2"/>
  <c r="P206" i="2"/>
  <c r="N206" i="2"/>
  <c r="O206" i="2" s="1"/>
  <c r="M206" i="2"/>
  <c r="L206" i="2"/>
  <c r="K206" i="2"/>
  <c r="J206" i="2"/>
  <c r="I206" i="2"/>
  <c r="H206" i="2"/>
  <c r="G206" i="2"/>
  <c r="F206" i="2"/>
  <c r="E206" i="2"/>
  <c r="D206" i="2"/>
  <c r="C206" i="2"/>
  <c r="FI205" i="2"/>
  <c r="FO205" i="2" s="1"/>
  <c r="FH205" i="2"/>
  <c r="FG205" i="2"/>
  <c r="FF205" i="2"/>
  <c r="FE205" i="2"/>
  <c r="FD205" i="2"/>
  <c r="FC205" i="2"/>
  <c r="FA205" i="2"/>
  <c r="FB205" i="2" s="1"/>
  <c r="EZ205" i="2"/>
  <c r="EY205" i="2"/>
  <c r="EX205" i="2"/>
  <c r="EW205" i="2"/>
  <c r="EV205" i="2"/>
  <c r="EU205" i="2"/>
  <c r="ET205" i="2"/>
  <c r="ES205" i="2"/>
  <c r="ER205" i="2"/>
  <c r="EQ205" i="2"/>
  <c r="EP205" i="2"/>
  <c r="EN205" i="2"/>
  <c r="EO205" i="2" s="1"/>
  <c r="EM205" i="2"/>
  <c r="EL205" i="2"/>
  <c r="EK205" i="2"/>
  <c r="EJ205" i="2"/>
  <c r="EI205" i="2"/>
  <c r="EH205" i="2"/>
  <c r="EG205" i="2"/>
  <c r="EF205" i="2"/>
  <c r="EE205" i="2"/>
  <c r="ED205" i="2"/>
  <c r="EC205" i="2"/>
  <c r="EA205" i="2"/>
  <c r="EB205" i="2" s="1"/>
  <c r="DZ205" i="2"/>
  <c r="DY205" i="2"/>
  <c r="DX205" i="2"/>
  <c r="DW205" i="2"/>
  <c r="DV205" i="2"/>
  <c r="DU205" i="2"/>
  <c r="DT205" i="2"/>
  <c r="DS205" i="2"/>
  <c r="DR205" i="2"/>
  <c r="DQ205" i="2"/>
  <c r="DP205" i="2"/>
  <c r="DO205" i="2"/>
  <c r="DN205" i="2"/>
  <c r="DM205" i="2"/>
  <c r="DL205" i="2"/>
  <c r="DK205" i="2"/>
  <c r="DJ205" i="2"/>
  <c r="DI205" i="2"/>
  <c r="DH205" i="2"/>
  <c r="DG205" i="2"/>
  <c r="DF205" i="2"/>
  <c r="DE205" i="2"/>
  <c r="DD205" i="2"/>
  <c r="DC205" i="2"/>
  <c r="DA205" i="2"/>
  <c r="DB205" i="2" s="1"/>
  <c r="CZ205" i="2"/>
  <c r="CY205" i="2"/>
  <c r="CX205" i="2"/>
  <c r="CW205" i="2"/>
  <c r="CV205" i="2"/>
  <c r="CU205" i="2"/>
  <c r="CT205" i="2"/>
  <c r="CS205" i="2"/>
  <c r="CR205" i="2"/>
  <c r="CQ205" i="2"/>
  <c r="CP205" i="2"/>
  <c r="CN205" i="2"/>
  <c r="CO205" i="2" s="1"/>
  <c r="CM205" i="2"/>
  <c r="CL205" i="2"/>
  <c r="CK205" i="2"/>
  <c r="CJ205" i="2"/>
  <c r="CI205" i="2"/>
  <c r="CH205" i="2"/>
  <c r="CG205" i="2"/>
  <c r="CF205" i="2"/>
  <c r="CE205" i="2"/>
  <c r="CD205" i="2"/>
  <c r="CC205" i="2"/>
  <c r="CA205" i="2"/>
  <c r="CB205" i="2" s="1"/>
  <c r="BZ205" i="2"/>
  <c r="BY205" i="2"/>
  <c r="BX205" i="2"/>
  <c r="BW205" i="2"/>
  <c r="BV205" i="2"/>
  <c r="BU205" i="2"/>
  <c r="BT205" i="2"/>
  <c r="BS205" i="2"/>
  <c r="BR205" i="2"/>
  <c r="BQ205" i="2"/>
  <c r="BP205" i="2"/>
  <c r="BN205" i="2"/>
  <c r="BO205" i="2" s="1"/>
  <c r="BM205" i="2"/>
  <c r="BL205" i="2"/>
  <c r="BK205" i="2"/>
  <c r="BJ205" i="2"/>
  <c r="BI205" i="2"/>
  <c r="BH205" i="2"/>
  <c r="BG205" i="2"/>
  <c r="BF205" i="2"/>
  <c r="BE205" i="2"/>
  <c r="BD205" i="2"/>
  <c r="BC205" i="2"/>
  <c r="BA205" i="2"/>
  <c r="BB205" i="2" s="1"/>
  <c r="AZ205" i="2"/>
  <c r="AY205" i="2"/>
  <c r="AX205" i="2"/>
  <c r="AW205" i="2"/>
  <c r="AV205" i="2"/>
  <c r="AU205" i="2"/>
  <c r="AT205" i="2"/>
  <c r="AS205" i="2"/>
  <c r="AR205" i="2"/>
  <c r="AQ205" i="2"/>
  <c r="AP205" i="2"/>
  <c r="AN205" i="2"/>
  <c r="AO205" i="2" s="1"/>
  <c r="AM205" i="2"/>
  <c r="AL205" i="2"/>
  <c r="AK205" i="2"/>
  <c r="AJ205" i="2"/>
  <c r="AI205" i="2"/>
  <c r="AH205" i="2"/>
  <c r="AG205" i="2"/>
  <c r="AF205" i="2"/>
  <c r="AE205" i="2"/>
  <c r="AD205" i="2"/>
  <c r="AC205" i="2"/>
  <c r="AA205" i="2"/>
  <c r="AB205" i="2" s="1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FI204" i="2"/>
  <c r="FO204" i="2" s="1"/>
  <c r="FH204" i="2"/>
  <c r="FG204" i="2"/>
  <c r="FF204" i="2"/>
  <c r="FE204" i="2"/>
  <c r="FD204" i="2"/>
  <c r="FC204" i="2"/>
  <c r="FA204" i="2"/>
  <c r="FB204" i="2" s="1"/>
  <c r="EZ204" i="2"/>
  <c r="EY204" i="2"/>
  <c r="EX204" i="2"/>
  <c r="EW204" i="2"/>
  <c r="EV204" i="2"/>
  <c r="EU204" i="2"/>
  <c r="ET204" i="2"/>
  <c r="ES204" i="2"/>
  <c r="ER204" i="2"/>
  <c r="EQ204" i="2"/>
  <c r="EP204" i="2"/>
  <c r="EN204" i="2"/>
  <c r="EO204" i="2" s="1"/>
  <c r="EM204" i="2"/>
  <c r="EL204" i="2"/>
  <c r="EK204" i="2"/>
  <c r="EJ204" i="2"/>
  <c r="EI204" i="2"/>
  <c r="EH204" i="2"/>
  <c r="EG204" i="2"/>
  <c r="EF204" i="2"/>
  <c r="EE204" i="2"/>
  <c r="ED204" i="2"/>
  <c r="EC204" i="2"/>
  <c r="EB204" i="2"/>
  <c r="EA204" i="2"/>
  <c r="DZ204" i="2"/>
  <c r="DY204" i="2"/>
  <c r="DX204" i="2"/>
  <c r="DW204" i="2"/>
  <c r="DV204" i="2"/>
  <c r="DU204" i="2"/>
  <c r="DT204" i="2"/>
  <c r="DS204" i="2"/>
  <c r="DR204" i="2"/>
  <c r="DQ204" i="2"/>
  <c r="DP204" i="2"/>
  <c r="DN204" i="2"/>
  <c r="DO204" i="2" s="1"/>
  <c r="DM204" i="2"/>
  <c r="DL204" i="2"/>
  <c r="DK204" i="2"/>
  <c r="DJ204" i="2"/>
  <c r="DI204" i="2"/>
  <c r="DH204" i="2"/>
  <c r="DG204" i="2"/>
  <c r="DF204" i="2"/>
  <c r="DE204" i="2"/>
  <c r="DD204" i="2"/>
  <c r="DC204" i="2"/>
  <c r="DA204" i="2"/>
  <c r="DB204" i="2" s="1"/>
  <c r="CZ204" i="2"/>
  <c r="CY204" i="2"/>
  <c r="CX204" i="2"/>
  <c r="CW204" i="2"/>
  <c r="CV204" i="2"/>
  <c r="CU204" i="2"/>
  <c r="CT204" i="2"/>
  <c r="CS204" i="2"/>
  <c r="CR204" i="2"/>
  <c r="CQ204" i="2"/>
  <c r="CP204" i="2"/>
  <c r="CN204" i="2"/>
  <c r="CO204" i="2" s="1"/>
  <c r="CM204" i="2"/>
  <c r="CL204" i="2"/>
  <c r="CK204" i="2"/>
  <c r="CJ204" i="2"/>
  <c r="CI204" i="2"/>
  <c r="CH204" i="2"/>
  <c r="CG204" i="2"/>
  <c r="CF204" i="2"/>
  <c r="CE204" i="2"/>
  <c r="CD204" i="2"/>
  <c r="CC204" i="2"/>
  <c r="CA204" i="2"/>
  <c r="CB204" i="2" s="1"/>
  <c r="BZ204" i="2"/>
  <c r="BY204" i="2"/>
  <c r="BX204" i="2"/>
  <c r="BW204" i="2"/>
  <c r="BV204" i="2"/>
  <c r="BU204" i="2"/>
  <c r="BT204" i="2"/>
  <c r="BS204" i="2"/>
  <c r="BR204" i="2"/>
  <c r="BQ204" i="2"/>
  <c r="BP204" i="2"/>
  <c r="BO204" i="2"/>
  <c r="BN204" i="2"/>
  <c r="BM204" i="2"/>
  <c r="BL204" i="2"/>
  <c r="BK204" i="2"/>
  <c r="BJ204" i="2"/>
  <c r="BI204" i="2"/>
  <c r="BH204" i="2"/>
  <c r="BG204" i="2"/>
  <c r="BF204" i="2"/>
  <c r="BE204" i="2"/>
  <c r="BD204" i="2"/>
  <c r="BC204" i="2"/>
  <c r="BA204" i="2"/>
  <c r="BB204" i="2" s="1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A204" i="2"/>
  <c r="AB204" i="2" s="1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FI203" i="2"/>
  <c r="FO203" i="2" s="1"/>
  <c r="FH203" i="2"/>
  <c r="FG203" i="2"/>
  <c r="FF203" i="2"/>
  <c r="FE203" i="2"/>
  <c r="FD203" i="2"/>
  <c r="FC203" i="2"/>
  <c r="FA203" i="2"/>
  <c r="FB203" i="2" s="1"/>
  <c r="EZ203" i="2"/>
  <c r="EY203" i="2"/>
  <c r="EX203" i="2"/>
  <c r="EW203" i="2"/>
  <c r="EV203" i="2"/>
  <c r="EU203" i="2"/>
  <c r="ET203" i="2"/>
  <c r="ES203" i="2"/>
  <c r="ER203" i="2"/>
  <c r="EQ203" i="2"/>
  <c r="EP203" i="2"/>
  <c r="EO203" i="2"/>
  <c r="EN203" i="2"/>
  <c r="EM203" i="2"/>
  <c r="EL203" i="2"/>
  <c r="EK203" i="2"/>
  <c r="EJ203" i="2"/>
  <c r="EI203" i="2"/>
  <c r="EH203" i="2"/>
  <c r="EG203" i="2"/>
  <c r="EF203" i="2"/>
  <c r="EE203" i="2"/>
  <c r="ED203" i="2"/>
  <c r="EC203" i="2"/>
  <c r="EA203" i="2"/>
  <c r="EB203" i="2" s="1"/>
  <c r="DZ203" i="2"/>
  <c r="DY203" i="2"/>
  <c r="DX203" i="2"/>
  <c r="DW203" i="2"/>
  <c r="DV203" i="2"/>
  <c r="DU203" i="2"/>
  <c r="DT203" i="2"/>
  <c r="DS203" i="2"/>
  <c r="DR203" i="2"/>
  <c r="DQ203" i="2"/>
  <c r="DP203" i="2"/>
  <c r="DN203" i="2"/>
  <c r="DO203" i="2" s="1"/>
  <c r="DM203" i="2"/>
  <c r="DL203" i="2"/>
  <c r="DK203" i="2"/>
  <c r="DJ203" i="2"/>
  <c r="DI203" i="2"/>
  <c r="DH203" i="2"/>
  <c r="DG203" i="2"/>
  <c r="DF203" i="2"/>
  <c r="DE203" i="2"/>
  <c r="DD203" i="2"/>
  <c r="DC203" i="2"/>
  <c r="DA203" i="2"/>
  <c r="DB203" i="2" s="1"/>
  <c r="CZ203" i="2"/>
  <c r="CY203" i="2"/>
  <c r="CX203" i="2"/>
  <c r="CW203" i="2"/>
  <c r="CV203" i="2"/>
  <c r="CU203" i="2"/>
  <c r="CT203" i="2"/>
  <c r="CS203" i="2"/>
  <c r="CR203" i="2"/>
  <c r="CQ203" i="2"/>
  <c r="CP203" i="2"/>
  <c r="CN203" i="2"/>
  <c r="CO203" i="2" s="1"/>
  <c r="CM203" i="2"/>
  <c r="CL203" i="2"/>
  <c r="CK203" i="2"/>
  <c r="CJ203" i="2"/>
  <c r="CI203" i="2"/>
  <c r="CH203" i="2"/>
  <c r="CG203" i="2"/>
  <c r="CF203" i="2"/>
  <c r="CE203" i="2"/>
  <c r="CD203" i="2"/>
  <c r="CC203" i="2"/>
  <c r="CB203" i="2"/>
  <c r="CA203" i="2"/>
  <c r="BZ203" i="2"/>
  <c r="BY203" i="2"/>
  <c r="BX203" i="2"/>
  <c r="BW203" i="2"/>
  <c r="BV203" i="2"/>
  <c r="BU203" i="2"/>
  <c r="BT203" i="2"/>
  <c r="BS203" i="2"/>
  <c r="BR203" i="2"/>
  <c r="BQ203" i="2"/>
  <c r="BP203" i="2"/>
  <c r="BO203" i="2"/>
  <c r="BN203" i="2"/>
  <c r="BM203" i="2"/>
  <c r="BL203" i="2"/>
  <c r="BK203" i="2"/>
  <c r="BJ203" i="2"/>
  <c r="BI203" i="2"/>
  <c r="BH203" i="2"/>
  <c r="BG203" i="2"/>
  <c r="BF203" i="2"/>
  <c r="BE203" i="2"/>
  <c r="BD203" i="2"/>
  <c r="BC203" i="2"/>
  <c r="BA203" i="2"/>
  <c r="BB203" i="2" s="1"/>
  <c r="AZ203" i="2"/>
  <c r="AY203" i="2"/>
  <c r="AX203" i="2"/>
  <c r="AW203" i="2"/>
  <c r="AV203" i="2"/>
  <c r="AU203" i="2"/>
  <c r="AT203" i="2"/>
  <c r="AS203" i="2"/>
  <c r="AR203" i="2"/>
  <c r="AQ203" i="2"/>
  <c r="AP203" i="2"/>
  <c r="AO203" i="2"/>
  <c r="AN203" i="2"/>
  <c r="AM203" i="2"/>
  <c r="AL203" i="2"/>
  <c r="AK203" i="2"/>
  <c r="AJ203" i="2"/>
  <c r="AI203" i="2"/>
  <c r="AH203" i="2"/>
  <c r="AG203" i="2"/>
  <c r="AF203" i="2"/>
  <c r="AE203" i="2"/>
  <c r="AD203" i="2"/>
  <c r="AC203" i="2"/>
  <c r="AA203" i="2"/>
  <c r="AB203" i="2" s="1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FI202" i="2"/>
  <c r="FO202" i="2" s="1"/>
  <c r="FH202" i="2"/>
  <c r="FG202" i="2"/>
  <c r="FF202" i="2"/>
  <c r="FE202" i="2"/>
  <c r="FD202" i="2"/>
  <c r="FC202" i="2"/>
  <c r="FA202" i="2"/>
  <c r="FB202" i="2" s="1"/>
  <c r="EZ202" i="2"/>
  <c r="EY202" i="2"/>
  <c r="EX202" i="2"/>
  <c r="EW202" i="2"/>
  <c r="EV202" i="2"/>
  <c r="EU202" i="2"/>
  <c r="ET202" i="2"/>
  <c r="ES202" i="2"/>
  <c r="ER202" i="2"/>
  <c r="EQ202" i="2"/>
  <c r="EP202" i="2"/>
  <c r="EO202" i="2"/>
  <c r="EN202" i="2"/>
  <c r="EM202" i="2"/>
  <c r="EL202" i="2"/>
  <c r="EK202" i="2"/>
  <c r="EJ202" i="2"/>
  <c r="EI202" i="2"/>
  <c r="EH202" i="2"/>
  <c r="EG202" i="2"/>
  <c r="EF202" i="2"/>
  <c r="EE202" i="2"/>
  <c r="ED202" i="2"/>
  <c r="EC202" i="2"/>
  <c r="EB202" i="2"/>
  <c r="EA202" i="2"/>
  <c r="DZ202" i="2"/>
  <c r="DY202" i="2"/>
  <c r="DX202" i="2"/>
  <c r="DW202" i="2"/>
  <c r="DV202" i="2"/>
  <c r="DU202" i="2"/>
  <c r="DT202" i="2"/>
  <c r="DS202" i="2"/>
  <c r="DR202" i="2"/>
  <c r="DQ202" i="2"/>
  <c r="DP202" i="2"/>
  <c r="DN202" i="2"/>
  <c r="DO202" i="2" s="1"/>
  <c r="DM202" i="2"/>
  <c r="DL202" i="2"/>
  <c r="DK202" i="2"/>
  <c r="DJ202" i="2"/>
  <c r="DI202" i="2"/>
  <c r="DH202" i="2"/>
  <c r="DG202" i="2"/>
  <c r="DF202" i="2"/>
  <c r="DE202" i="2"/>
  <c r="DD202" i="2"/>
  <c r="DC202" i="2"/>
  <c r="DA202" i="2"/>
  <c r="DB202" i="2" s="1"/>
  <c r="CZ202" i="2"/>
  <c r="CY202" i="2"/>
  <c r="CX202" i="2"/>
  <c r="CW202" i="2"/>
  <c r="CV202" i="2"/>
  <c r="CU202" i="2"/>
  <c r="CT202" i="2"/>
  <c r="CS202" i="2"/>
  <c r="CR202" i="2"/>
  <c r="CQ202" i="2"/>
  <c r="CP202" i="2"/>
  <c r="CN202" i="2"/>
  <c r="CO202" i="2" s="1"/>
  <c r="CM202" i="2"/>
  <c r="CL202" i="2"/>
  <c r="CK202" i="2"/>
  <c r="CJ202" i="2"/>
  <c r="CI202" i="2"/>
  <c r="CH202" i="2"/>
  <c r="CG202" i="2"/>
  <c r="CF202" i="2"/>
  <c r="CE202" i="2"/>
  <c r="CD202" i="2"/>
  <c r="CC202" i="2"/>
  <c r="CA202" i="2"/>
  <c r="CB202" i="2" s="1"/>
  <c r="BZ202" i="2"/>
  <c r="BY202" i="2"/>
  <c r="BX202" i="2"/>
  <c r="BW202" i="2"/>
  <c r="BV202" i="2"/>
  <c r="BU202" i="2"/>
  <c r="BT202" i="2"/>
  <c r="BS202" i="2"/>
  <c r="BR202" i="2"/>
  <c r="BQ202" i="2"/>
  <c r="BP202" i="2"/>
  <c r="BO202" i="2"/>
  <c r="BN202" i="2"/>
  <c r="BM202" i="2"/>
  <c r="BL202" i="2"/>
  <c r="BK202" i="2"/>
  <c r="BJ202" i="2"/>
  <c r="BI202" i="2"/>
  <c r="BH202" i="2"/>
  <c r="BG202" i="2"/>
  <c r="BF202" i="2"/>
  <c r="BE202" i="2"/>
  <c r="BD202" i="2"/>
  <c r="BC202" i="2"/>
  <c r="BA202" i="2"/>
  <c r="BB202" i="2" s="1"/>
  <c r="AZ202" i="2"/>
  <c r="AY202" i="2"/>
  <c r="AX202" i="2"/>
  <c r="AW202" i="2"/>
  <c r="AV202" i="2"/>
  <c r="AU202" i="2"/>
  <c r="AT202" i="2"/>
  <c r="AS202" i="2"/>
  <c r="AR202" i="2"/>
  <c r="AQ202" i="2"/>
  <c r="AP202" i="2"/>
  <c r="AN202" i="2"/>
  <c r="AO202" i="2" s="1"/>
  <c r="AM202" i="2"/>
  <c r="AL202" i="2"/>
  <c r="AK202" i="2"/>
  <c r="AJ202" i="2"/>
  <c r="AI202" i="2"/>
  <c r="AH202" i="2"/>
  <c r="AG202" i="2"/>
  <c r="AF202" i="2"/>
  <c r="AE202" i="2"/>
  <c r="AD202" i="2"/>
  <c r="AC202" i="2"/>
  <c r="AA202" i="2"/>
  <c r="AB202" i="2" s="1"/>
  <c r="Z202" i="2"/>
  <c r="Y202" i="2"/>
  <c r="X202" i="2"/>
  <c r="W202" i="2"/>
  <c r="V202" i="2"/>
  <c r="U202" i="2"/>
  <c r="T202" i="2"/>
  <c r="S202" i="2"/>
  <c r="R202" i="2"/>
  <c r="Q202" i="2"/>
  <c r="P202" i="2"/>
  <c r="N202" i="2"/>
  <c r="O202" i="2" s="1"/>
  <c r="M202" i="2"/>
  <c r="L202" i="2"/>
  <c r="K202" i="2"/>
  <c r="J202" i="2"/>
  <c r="I202" i="2"/>
  <c r="H202" i="2"/>
  <c r="G202" i="2"/>
  <c r="F202" i="2"/>
  <c r="E202" i="2"/>
  <c r="D202" i="2"/>
  <c r="C202" i="2"/>
  <c r="FI201" i="2"/>
  <c r="FO201" i="2" s="1"/>
  <c r="FH201" i="2"/>
  <c r="FG201" i="2"/>
  <c r="FF201" i="2"/>
  <c r="FE201" i="2"/>
  <c r="FD201" i="2"/>
  <c r="FC201" i="2"/>
  <c r="FA201" i="2"/>
  <c r="FB201" i="2" s="1"/>
  <c r="EZ201" i="2"/>
  <c r="EY201" i="2"/>
  <c r="EX201" i="2"/>
  <c r="EW201" i="2"/>
  <c r="EV201" i="2"/>
  <c r="EU201" i="2"/>
  <c r="ET201" i="2"/>
  <c r="ES201" i="2"/>
  <c r="ER201" i="2"/>
  <c r="EQ201" i="2"/>
  <c r="EP201" i="2"/>
  <c r="EN201" i="2"/>
  <c r="EO201" i="2" s="1"/>
  <c r="EM201" i="2"/>
  <c r="EL201" i="2"/>
  <c r="EK201" i="2"/>
  <c r="EJ201" i="2"/>
  <c r="EI201" i="2"/>
  <c r="EH201" i="2"/>
  <c r="EG201" i="2"/>
  <c r="EF201" i="2"/>
  <c r="EE201" i="2"/>
  <c r="ED201" i="2"/>
  <c r="EC201" i="2"/>
  <c r="EB201" i="2"/>
  <c r="EA201" i="2"/>
  <c r="DZ201" i="2"/>
  <c r="DY201" i="2"/>
  <c r="DX201" i="2"/>
  <c r="DW201" i="2"/>
  <c r="DV201" i="2"/>
  <c r="DU201" i="2"/>
  <c r="DT201" i="2"/>
  <c r="DS201" i="2"/>
  <c r="DR201" i="2"/>
  <c r="DQ201" i="2"/>
  <c r="DP201" i="2"/>
  <c r="DN201" i="2"/>
  <c r="DO201" i="2" s="1"/>
  <c r="DM201" i="2"/>
  <c r="DL201" i="2"/>
  <c r="DK201" i="2"/>
  <c r="DJ201" i="2"/>
  <c r="DI201" i="2"/>
  <c r="DH201" i="2"/>
  <c r="DG201" i="2"/>
  <c r="DF201" i="2"/>
  <c r="DE201" i="2"/>
  <c r="DD201" i="2"/>
  <c r="DC201" i="2"/>
  <c r="DA201" i="2"/>
  <c r="DB201" i="2" s="1"/>
  <c r="CZ201" i="2"/>
  <c r="CY201" i="2"/>
  <c r="CX201" i="2"/>
  <c r="CW201" i="2"/>
  <c r="CV201" i="2"/>
  <c r="CU201" i="2"/>
  <c r="CT201" i="2"/>
  <c r="CS201" i="2"/>
  <c r="CR201" i="2"/>
  <c r="CQ201" i="2"/>
  <c r="CP201" i="2"/>
  <c r="CO201" i="2"/>
  <c r="CN201" i="2"/>
  <c r="CM201" i="2"/>
  <c r="CL201" i="2"/>
  <c r="CK201" i="2"/>
  <c r="CJ201" i="2"/>
  <c r="CI201" i="2"/>
  <c r="CH201" i="2"/>
  <c r="CG201" i="2"/>
  <c r="CF201" i="2"/>
  <c r="CE201" i="2"/>
  <c r="CD201" i="2"/>
  <c r="CC201" i="2"/>
  <c r="CA201" i="2"/>
  <c r="CB201" i="2" s="1"/>
  <c r="BZ201" i="2"/>
  <c r="BY201" i="2"/>
  <c r="BX201" i="2"/>
  <c r="BW201" i="2"/>
  <c r="BV201" i="2"/>
  <c r="BU201" i="2"/>
  <c r="BT201" i="2"/>
  <c r="BS201" i="2"/>
  <c r="BR201" i="2"/>
  <c r="BQ201" i="2"/>
  <c r="BP201" i="2"/>
  <c r="BN201" i="2"/>
  <c r="BO201" i="2" s="1"/>
  <c r="BM201" i="2"/>
  <c r="BL201" i="2"/>
  <c r="BK201" i="2"/>
  <c r="BJ201" i="2"/>
  <c r="BI201" i="2"/>
  <c r="BH201" i="2"/>
  <c r="BG201" i="2"/>
  <c r="BF201" i="2"/>
  <c r="BE201" i="2"/>
  <c r="BD201" i="2"/>
  <c r="BC201" i="2"/>
  <c r="BA201" i="2"/>
  <c r="BB201" i="2" s="1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A201" i="2"/>
  <c r="AB201" i="2" s="1"/>
  <c r="Z201" i="2"/>
  <c r="Y201" i="2"/>
  <c r="X201" i="2"/>
  <c r="W201" i="2"/>
  <c r="V201" i="2"/>
  <c r="U201" i="2"/>
  <c r="T201" i="2"/>
  <c r="S201" i="2"/>
  <c r="R201" i="2"/>
  <c r="Q201" i="2"/>
  <c r="P201" i="2"/>
  <c r="N201" i="2"/>
  <c r="O201" i="2" s="1"/>
  <c r="M201" i="2"/>
  <c r="L201" i="2"/>
  <c r="K201" i="2"/>
  <c r="J201" i="2"/>
  <c r="I201" i="2"/>
  <c r="H201" i="2"/>
  <c r="G201" i="2"/>
  <c r="F201" i="2"/>
  <c r="E201" i="2"/>
  <c r="D201" i="2"/>
  <c r="C201" i="2"/>
  <c r="FI200" i="2"/>
  <c r="FO200" i="2" s="1"/>
  <c r="FH200" i="2"/>
  <c r="FG200" i="2"/>
  <c r="FF200" i="2"/>
  <c r="FE200" i="2"/>
  <c r="FD200" i="2"/>
  <c r="FC200" i="2"/>
  <c r="FA200" i="2"/>
  <c r="FB200" i="2" s="1"/>
  <c r="EZ200" i="2"/>
  <c r="EY200" i="2"/>
  <c r="EX200" i="2"/>
  <c r="EW200" i="2"/>
  <c r="EV200" i="2"/>
  <c r="EU200" i="2"/>
  <c r="ET200" i="2"/>
  <c r="ES200" i="2"/>
  <c r="ER200" i="2"/>
  <c r="EQ200" i="2"/>
  <c r="EP200" i="2"/>
  <c r="EN200" i="2"/>
  <c r="EO200" i="2" s="1"/>
  <c r="EM200" i="2"/>
  <c r="EL200" i="2"/>
  <c r="EK200" i="2"/>
  <c r="EJ200" i="2"/>
  <c r="EI200" i="2"/>
  <c r="EH200" i="2"/>
  <c r="EG200" i="2"/>
  <c r="EF200" i="2"/>
  <c r="EE200" i="2"/>
  <c r="ED200" i="2"/>
  <c r="EC200" i="2"/>
  <c r="EA200" i="2"/>
  <c r="EB200" i="2" s="1"/>
  <c r="DZ200" i="2"/>
  <c r="DY200" i="2"/>
  <c r="DX200" i="2"/>
  <c r="DW200" i="2"/>
  <c r="DV200" i="2"/>
  <c r="DU200" i="2"/>
  <c r="DT200" i="2"/>
  <c r="DS200" i="2"/>
  <c r="DR200" i="2"/>
  <c r="DQ200" i="2"/>
  <c r="DP200" i="2"/>
  <c r="DO200" i="2"/>
  <c r="DN200" i="2"/>
  <c r="DM200" i="2"/>
  <c r="DL200" i="2"/>
  <c r="DK200" i="2"/>
  <c r="DJ200" i="2"/>
  <c r="DI200" i="2"/>
  <c r="DH200" i="2"/>
  <c r="DG200" i="2"/>
  <c r="DF200" i="2"/>
  <c r="DE200" i="2"/>
  <c r="DD200" i="2"/>
  <c r="DC200" i="2"/>
  <c r="DA200" i="2"/>
  <c r="DB200" i="2" s="1"/>
  <c r="CZ200" i="2"/>
  <c r="CY200" i="2"/>
  <c r="CX200" i="2"/>
  <c r="CW200" i="2"/>
  <c r="CV200" i="2"/>
  <c r="CU200" i="2"/>
  <c r="CT200" i="2"/>
  <c r="CS200" i="2"/>
  <c r="CR200" i="2"/>
  <c r="CQ200" i="2"/>
  <c r="CP200" i="2"/>
  <c r="CN200" i="2"/>
  <c r="CO200" i="2" s="1"/>
  <c r="CM200" i="2"/>
  <c r="CL200" i="2"/>
  <c r="CK200" i="2"/>
  <c r="CJ200" i="2"/>
  <c r="CI200" i="2"/>
  <c r="CH200" i="2"/>
  <c r="CG200" i="2"/>
  <c r="CF200" i="2"/>
  <c r="CE200" i="2"/>
  <c r="CD200" i="2"/>
  <c r="CC200" i="2"/>
  <c r="CA200" i="2"/>
  <c r="CB200" i="2" s="1"/>
  <c r="BZ200" i="2"/>
  <c r="BY200" i="2"/>
  <c r="BX200" i="2"/>
  <c r="BW200" i="2"/>
  <c r="BV200" i="2"/>
  <c r="BU200" i="2"/>
  <c r="BT200" i="2"/>
  <c r="BS200" i="2"/>
  <c r="BR200" i="2"/>
  <c r="BQ200" i="2"/>
  <c r="BP200" i="2"/>
  <c r="BO200" i="2"/>
  <c r="BN200" i="2"/>
  <c r="BM200" i="2"/>
  <c r="BL200" i="2"/>
  <c r="BK200" i="2"/>
  <c r="BJ200" i="2"/>
  <c r="BI200" i="2"/>
  <c r="BH200" i="2"/>
  <c r="BG200" i="2"/>
  <c r="BF200" i="2"/>
  <c r="BE200" i="2"/>
  <c r="BD200" i="2"/>
  <c r="BC200" i="2"/>
  <c r="BA200" i="2"/>
  <c r="BB200" i="2" s="1"/>
  <c r="AZ200" i="2"/>
  <c r="AY200" i="2"/>
  <c r="AX200" i="2"/>
  <c r="AW200" i="2"/>
  <c r="AV200" i="2"/>
  <c r="AU200" i="2"/>
  <c r="AT200" i="2"/>
  <c r="AS200" i="2"/>
  <c r="AR200" i="2"/>
  <c r="AQ200" i="2"/>
  <c r="AP200" i="2"/>
  <c r="AN200" i="2"/>
  <c r="AO200" i="2" s="1"/>
  <c r="AM200" i="2"/>
  <c r="AL200" i="2"/>
  <c r="AK200" i="2"/>
  <c r="AJ200" i="2"/>
  <c r="AI200" i="2"/>
  <c r="AH200" i="2"/>
  <c r="AG200" i="2"/>
  <c r="AF200" i="2"/>
  <c r="AE200" i="2"/>
  <c r="AD200" i="2"/>
  <c r="AC200" i="2"/>
  <c r="AA200" i="2"/>
  <c r="AB200" i="2" s="1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FI199" i="2"/>
  <c r="FO199" i="2" s="1"/>
  <c r="FH199" i="2"/>
  <c r="FG199" i="2"/>
  <c r="FF199" i="2"/>
  <c r="FE199" i="2"/>
  <c r="FD199" i="2"/>
  <c r="FC199" i="2"/>
  <c r="FA199" i="2"/>
  <c r="FB199" i="2" s="1"/>
  <c r="EZ199" i="2"/>
  <c r="EY199" i="2"/>
  <c r="EX199" i="2"/>
  <c r="EW199" i="2"/>
  <c r="EV199" i="2"/>
  <c r="EU199" i="2"/>
  <c r="ET199" i="2"/>
  <c r="ES199" i="2"/>
  <c r="ER199" i="2"/>
  <c r="EQ199" i="2"/>
  <c r="EP199" i="2"/>
  <c r="EO199" i="2"/>
  <c r="EN199" i="2"/>
  <c r="EM199" i="2"/>
  <c r="EL199" i="2"/>
  <c r="EK199" i="2"/>
  <c r="EJ199" i="2"/>
  <c r="EI199" i="2"/>
  <c r="EH199" i="2"/>
  <c r="EG199" i="2"/>
  <c r="EF199" i="2"/>
  <c r="EE199" i="2"/>
  <c r="ED199" i="2"/>
  <c r="EC199" i="2"/>
  <c r="EA199" i="2"/>
  <c r="EB199" i="2" s="1"/>
  <c r="DZ199" i="2"/>
  <c r="DY199" i="2"/>
  <c r="DX199" i="2"/>
  <c r="DW199" i="2"/>
  <c r="DV199" i="2"/>
  <c r="DU199" i="2"/>
  <c r="DT199" i="2"/>
  <c r="DS199" i="2"/>
  <c r="DR199" i="2"/>
  <c r="DQ199" i="2"/>
  <c r="DP199" i="2"/>
  <c r="DN199" i="2"/>
  <c r="DO199" i="2" s="1"/>
  <c r="DM199" i="2"/>
  <c r="DL199" i="2"/>
  <c r="DK199" i="2"/>
  <c r="DJ199" i="2"/>
  <c r="DI199" i="2"/>
  <c r="DH199" i="2"/>
  <c r="DG199" i="2"/>
  <c r="DF199" i="2"/>
  <c r="DE199" i="2"/>
  <c r="DD199" i="2"/>
  <c r="DC199" i="2"/>
  <c r="DA199" i="2"/>
  <c r="DB199" i="2" s="1"/>
  <c r="CZ199" i="2"/>
  <c r="CY199" i="2"/>
  <c r="CX199" i="2"/>
  <c r="CW199" i="2"/>
  <c r="CV199" i="2"/>
  <c r="CU199" i="2"/>
  <c r="CT199" i="2"/>
  <c r="CS199" i="2"/>
  <c r="CR199" i="2"/>
  <c r="CQ199" i="2"/>
  <c r="CP199" i="2"/>
  <c r="CN199" i="2"/>
  <c r="CO199" i="2" s="1"/>
  <c r="CM199" i="2"/>
  <c r="CL199" i="2"/>
  <c r="CK199" i="2"/>
  <c r="CJ199" i="2"/>
  <c r="CI199" i="2"/>
  <c r="CH199" i="2"/>
  <c r="CG199" i="2"/>
  <c r="CF199" i="2"/>
  <c r="CE199" i="2"/>
  <c r="CD199" i="2"/>
  <c r="CC199" i="2"/>
  <c r="CA199" i="2"/>
  <c r="CB199" i="2" s="1"/>
  <c r="BZ199" i="2"/>
  <c r="BY199" i="2"/>
  <c r="BX199" i="2"/>
  <c r="BW199" i="2"/>
  <c r="BV199" i="2"/>
  <c r="BU199" i="2"/>
  <c r="BT199" i="2"/>
  <c r="BS199" i="2"/>
  <c r="BR199" i="2"/>
  <c r="BQ199" i="2"/>
  <c r="BP199" i="2"/>
  <c r="BO199" i="2"/>
  <c r="BN199" i="2"/>
  <c r="BM199" i="2"/>
  <c r="BL199" i="2"/>
  <c r="BK199" i="2"/>
  <c r="BJ199" i="2"/>
  <c r="BI199" i="2"/>
  <c r="BH199" i="2"/>
  <c r="BG199" i="2"/>
  <c r="BF199" i="2"/>
  <c r="BE199" i="2"/>
  <c r="BD199" i="2"/>
  <c r="BC199" i="2"/>
  <c r="BA199" i="2"/>
  <c r="BB199" i="2" s="1"/>
  <c r="AZ199" i="2"/>
  <c r="AY199" i="2"/>
  <c r="AX199" i="2"/>
  <c r="AW199" i="2"/>
  <c r="AV199" i="2"/>
  <c r="AU199" i="2"/>
  <c r="AT199" i="2"/>
  <c r="AS199" i="2"/>
  <c r="AR199" i="2"/>
  <c r="AQ199" i="2"/>
  <c r="AP199" i="2"/>
  <c r="AN199" i="2"/>
  <c r="AO199" i="2" s="1"/>
  <c r="AM199" i="2"/>
  <c r="AL199" i="2"/>
  <c r="AK199" i="2"/>
  <c r="AJ199" i="2"/>
  <c r="AI199" i="2"/>
  <c r="AH199" i="2"/>
  <c r="AG199" i="2"/>
  <c r="AF199" i="2"/>
  <c r="AE199" i="2"/>
  <c r="AD199" i="2"/>
  <c r="AC199" i="2"/>
  <c r="AA199" i="2"/>
  <c r="AB199" i="2" s="1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FI198" i="2"/>
  <c r="FO198" i="2" s="1"/>
  <c r="FH198" i="2"/>
  <c r="FG198" i="2"/>
  <c r="FF198" i="2"/>
  <c r="FE198" i="2"/>
  <c r="FD198" i="2"/>
  <c r="FC198" i="2"/>
  <c r="FA198" i="2"/>
  <c r="FB198" i="2" s="1"/>
  <c r="EZ198" i="2"/>
  <c r="EY198" i="2"/>
  <c r="EX198" i="2"/>
  <c r="EW198" i="2"/>
  <c r="EV198" i="2"/>
  <c r="EU198" i="2"/>
  <c r="ET198" i="2"/>
  <c r="ES198" i="2"/>
  <c r="ER198" i="2"/>
  <c r="EQ198" i="2"/>
  <c r="EP198" i="2"/>
  <c r="EO198" i="2"/>
  <c r="EN198" i="2"/>
  <c r="EM198" i="2"/>
  <c r="EL198" i="2"/>
  <c r="EK198" i="2"/>
  <c r="EJ198" i="2"/>
  <c r="EI198" i="2"/>
  <c r="EH198" i="2"/>
  <c r="EG198" i="2"/>
  <c r="EF198" i="2"/>
  <c r="EE198" i="2"/>
  <c r="ED198" i="2"/>
  <c r="EC198" i="2"/>
  <c r="EA198" i="2"/>
  <c r="EB198" i="2" s="1"/>
  <c r="DZ198" i="2"/>
  <c r="DY198" i="2"/>
  <c r="DX198" i="2"/>
  <c r="DW198" i="2"/>
  <c r="DV198" i="2"/>
  <c r="DU198" i="2"/>
  <c r="DT198" i="2"/>
  <c r="DS198" i="2"/>
  <c r="DR198" i="2"/>
  <c r="DQ198" i="2"/>
  <c r="DP198" i="2"/>
  <c r="DN198" i="2"/>
  <c r="DO198" i="2" s="1"/>
  <c r="DM198" i="2"/>
  <c r="DL198" i="2"/>
  <c r="DK198" i="2"/>
  <c r="DJ198" i="2"/>
  <c r="DI198" i="2"/>
  <c r="DH198" i="2"/>
  <c r="DG198" i="2"/>
  <c r="DF198" i="2"/>
  <c r="DE198" i="2"/>
  <c r="DD198" i="2"/>
  <c r="DC198" i="2"/>
  <c r="DA198" i="2"/>
  <c r="DB198" i="2" s="1"/>
  <c r="CZ198" i="2"/>
  <c r="CY198" i="2"/>
  <c r="CX198" i="2"/>
  <c r="CW198" i="2"/>
  <c r="CV198" i="2"/>
  <c r="CU198" i="2"/>
  <c r="CT198" i="2"/>
  <c r="CS198" i="2"/>
  <c r="CR198" i="2"/>
  <c r="CQ198" i="2"/>
  <c r="CP198" i="2"/>
  <c r="CN198" i="2"/>
  <c r="CO198" i="2" s="1"/>
  <c r="CM198" i="2"/>
  <c r="CL198" i="2"/>
  <c r="CK198" i="2"/>
  <c r="CJ198" i="2"/>
  <c r="CI198" i="2"/>
  <c r="CH198" i="2"/>
  <c r="CG198" i="2"/>
  <c r="CF198" i="2"/>
  <c r="CE198" i="2"/>
  <c r="CD198" i="2"/>
  <c r="CC198" i="2"/>
  <c r="CA198" i="2"/>
  <c r="CB198" i="2" s="1"/>
  <c r="BZ198" i="2"/>
  <c r="BY198" i="2"/>
  <c r="BX198" i="2"/>
  <c r="BW198" i="2"/>
  <c r="BV198" i="2"/>
  <c r="BU198" i="2"/>
  <c r="BT198" i="2"/>
  <c r="BS198" i="2"/>
  <c r="BR198" i="2"/>
  <c r="BQ198" i="2"/>
  <c r="BP198" i="2"/>
  <c r="BN198" i="2"/>
  <c r="BO198" i="2" s="1"/>
  <c r="BM198" i="2"/>
  <c r="BL198" i="2"/>
  <c r="BK198" i="2"/>
  <c r="BJ198" i="2"/>
  <c r="BI198" i="2"/>
  <c r="BH198" i="2"/>
  <c r="BG198" i="2"/>
  <c r="BF198" i="2"/>
  <c r="BE198" i="2"/>
  <c r="BD198" i="2"/>
  <c r="BC198" i="2"/>
  <c r="BA198" i="2"/>
  <c r="BB198" i="2" s="1"/>
  <c r="AZ198" i="2"/>
  <c r="AY198" i="2"/>
  <c r="AX198" i="2"/>
  <c r="AW198" i="2"/>
  <c r="AV198" i="2"/>
  <c r="AU198" i="2"/>
  <c r="AT198" i="2"/>
  <c r="AS198" i="2"/>
  <c r="AR198" i="2"/>
  <c r="AQ198" i="2"/>
  <c r="AP198" i="2"/>
  <c r="AN198" i="2"/>
  <c r="AO198" i="2" s="1"/>
  <c r="AM198" i="2"/>
  <c r="AL198" i="2"/>
  <c r="AK198" i="2"/>
  <c r="AJ198" i="2"/>
  <c r="AI198" i="2"/>
  <c r="AH198" i="2"/>
  <c r="AG198" i="2"/>
  <c r="AF198" i="2"/>
  <c r="AE198" i="2"/>
  <c r="AD198" i="2"/>
  <c r="AC198" i="2"/>
  <c r="AA198" i="2"/>
  <c r="AB198" i="2" s="1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FI197" i="2"/>
  <c r="FO197" i="2" s="1"/>
  <c r="FH197" i="2"/>
  <c r="FG197" i="2"/>
  <c r="FF197" i="2"/>
  <c r="FE197" i="2"/>
  <c r="FD197" i="2"/>
  <c r="FC197" i="2"/>
  <c r="FA197" i="2"/>
  <c r="FB197" i="2" s="1"/>
  <c r="EZ197" i="2"/>
  <c r="EY197" i="2"/>
  <c r="EX197" i="2"/>
  <c r="EW197" i="2"/>
  <c r="EV197" i="2"/>
  <c r="EU197" i="2"/>
  <c r="ET197" i="2"/>
  <c r="ES197" i="2"/>
  <c r="ER197" i="2"/>
  <c r="EQ197" i="2"/>
  <c r="EP197" i="2"/>
  <c r="EO197" i="2"/>
  <c r="EN197" i="2"/>
  <c r="EM197" i="2"/>
  <c r="EL197" i="2"/>
  <c r="EK197" i="2"/>
  <c r="EJ197" i="2"/>
  <c r="EI197" i="2"/>
  <c r="EH197" i="2"/>
  <c r="EG197" i="2"/>
  <c r="EF197" i="2"/>
  <c r="EE197" i="2"/>
  <c r="ED197" i="2"/>
  <c r="EC197" i="2"/>
  <c r="EA197" i="2"/>
  <c r="EB197" i="2" s="1"/>
  <c r="DZ197" i="2"/>
  <c r="DY197" i="2"/>
  <c r="DX197" i="2"/>
  <c r="DW197" i="2"/>
  <c r="DV197" i="2"/>
  <c r="DU197" i="2"/>
  <c r="DT197" i="2"/>
  <c r="DS197" i="2"/>
  <c r="DR197" i="2"/>
  <c r="DQ197" i="2"/>
  <c r="DP197" i="2"/>
  <c r="DN197" i="2"/>
  <c r="DO197" i="2" s="1"/>
  <c r="DM197" i="2"/>
  <c r="DL197" i="2"/>
  <c r="DK197" i="2"/>
  <c r="DJ197" i="2"/>
  <c r="DI197" i="2"/>
  <c r="DH197" i="2"/>
  <c r="DG197" i="2"/>
  <c r="DF197" i="2"/>
  <c r="DE197" i="2"/>
  <c r="DD197" i="2"/>
  <c r="DC197" i="2"/>
  <c r="DA197" i="2"/>
  <c r="DB197" i="2" s="1"/>
  <c r="CZ197" i="2"/>
  <c r="CY197" i="2"/>
  <c r="CX197" i="2"/>
  <c r="CW197" i="2"/>
  <c r="CV197" i="2"/>
  <c r="CU197" i="2"/>
  <c r="CT197" i="2"/>
  <c r="CS197" i="2"/>
  <c r="CR197" i="2"/>
  <c r="CQ197" i="2"/>
  <c r="CP197" i="2"/>
  <c r="CN197" i="2"/>
  <c r="CO197" i="2" s="1"/>
  <c r="CM197" i="2"/>
  <c r="CL197" i="2"/>
  <c r="CK197" i="2"/>
  <c r="CJ197" i="2"/>
  <c r="CI197" i="2"/>
  <c r="CH197" i="2"/>
  <c r="CG197" i="2"/>
  <c r="CF197" i="2"/>
  <c r="CE197" i="2"/>
  <c r="CD197" i="2"/>
  <c r="CC197" i="2"/>
  <c r="CA197" i="2"/>
  <c r="CB197" i="2" s="1"/>
  <c r="BZ197" i="2"/>
  <c r="BY197" i="2"/>
  <c r="BX197" i="2"/>
  <c r="BW197" i="2"/>
  <c r="BV197" i="2"/>
  <c r="BU197" i="2"/>
  <c r="BT197" i="2"/>
  <c r="BS197" i="2"/>
  <c r="BR197" i="2"/>
  <c r="BQ197" i="2"/>
  <c r="BP197" i="2"/>
  <c r="BN197" i="2"/>
  <c r="BO197" i="2" s="1"/>
  <c r="BM197" i="2"/>
  <c r="BL197" i="2"/>
  <c r="BK197" i="2"/>
  <c r="BJ197" i="2"/>
  <c r="BI197" i="2"/>
  <c r="BH197" i="2"/>
  <c r="BG197" i="2"/>
  <c r="BF197" i="2"/>
  <c r="BE197" i="2"/>
  <c r="BD197" i="2"/>
  <c r="BC197" i="2"/>
  <c r="BA197" i="2"/>
  <c r="BB197" i="2" s="1"/>
  <c r="AZ197" i="2"/>
  <c r="AY197" i="2"/>
  <c r="AX197" i="2"/>
  <c r="AW197" i="2"/>
  <c r="AV197" i="2"/>
  <c r="AU197" i="2"/>
  <c r="AT197" i="2"/>
  <c r="AS197" i="2"/>
  <c r="AR197" i="2"/>
  <c r="AQ197" i="2"/>
  <c r="AP197" i="2"/>
  <c r="AN197" i="2"/>
  <c r="AO197" i="2" s="1"/>
  <c r="AM197" i="2"/>
  <c r="AL197" i="2"/>
  <c r="AK197" i="2"/>
  <c r="AJ197" i="2"/>
  <c r="AI197" i="2"/>
  <c r="AH197" i="2"/>
  <c r="AG197" i="2"/>
  <c r="AF197" i="2"/>
  <c r="AE197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N197" i="2"/>
  <c r="O197" i="2" s="1"/>
  <c r="M197" i="2"/>
  <c r="L197" i="2"/>
  <c r="K197" i="2"/>
  <c r="J197" i="2"/>
  <c r="I197" i="2"/>
  <c r="H197" i="2"/>
  <c r="G197" i="2"/>
  <c r="F197" i="2"/>
  <c r="E197" i="2"/>
  <c r="D197" i="2"/>
  <c r="C197" i="2"/>
  <c r="FI196" i="2"/>
  <c r="FO196" i="2" s="1"/>
  <c r="FH196" i="2"/>
  <c r="FG196" i="2"/>
  <c r="FF196" i="2"/>
  <c r="FE196" i="2"/>
  <c r="FD196" i="2"/>
  <c r="FC196" i="2"/>
  <c r="FA196" i="2"/>
  <c r="FB196" i="2" s="1"/>
  <c r="EZ196" i="2"/>
  <c r="EY196" i="2"/>
  <c r="EX196" i="2"/>
  <c r="EW196" i="2"/>
  <c r="EV196" i="2"/>
  <c r="EU196" i="2"/>
  <c r="ET196" i="2"/>
  <c r="ES196" i="2"/>
  <c r="ER196" i="2"/>
  <c r="EQ196" i="2"/>
  <c r="EP196" i="2"/>
  <c r="EN196" i="2"/>
  <c r="EO196" i="2" s="1"/>
  <c r="EM196" i="2"/>
  <c r="EL196" i="2"/>
  <c r="EK196" i="2"/>
  <c r="EJ196" i="2"/>
  <c r="EI196" i="2"/>
  <c r="EH196" i="2"/>
  <c r="EG196" i="2"/>
  <c r="EF196" i="2"/>
  <c r="EE196" i="2"/>
  <c r="ED196" i="2"/>
  <c r="EC196" i="2"/>
  <c r="EA196" i="2"/>
  <c r="EB196" i="2" s="1"/>
  <c r="DZ196" i="2"/>
  <c r="DY196" i="2"/>
  <c r="DX196" i="2"/>
  <c r="DW196" i="2"/>
  <c r="DV196" i="2"/>
  <c r="DU196" i="2"/>
  <c r="DT196" i="2"/>
  <c r="DS196" i="2"/>
  <c r="DR196" i="2"/>
  <c r="DQ196" i="2"/>
  <c r="DP196" i="2"/>
  <c r="DN196" i="2"/>
  <c r="DO196" i="2" s="1"/>
  <c r="DM196" i="2"/>
  <c r="DL196" i="2"/>
  <c r="DK196" i="2"/>
  <c r="DJ196" i="2"/>
  <c r="DI196" i="2"/>
  <c r="DH196" i="2"/>
  <c r="DG196" i="2"/>
  <c r="DF196" i="2"/>
  <c r="DE196" i="2"/>
  <c r="DD196" i="2"/>
  <c r="DC196" i="2"/>
  <c r="DA196" i="2"/>
  <c r="DB196" i="2" s="1"/>
  <c r="CZ196" i="2"/>
  <c r="CY196" i="2"/>
  <c r="CX196" i="2"/>
  <c r="CW196" i="2"/>
  <c r="CV196" i="2"/>
  <c r="CU196" i="2"/>
  <c r="CT196" i="2"/>
  <c r="CS196" i="2"/>
  <c r="CR196" i="2"/>
  <c r="CQ196" i="2"/>
  <c r="CP196" i="2"/>
  <c r="CN196" i="2"/>
  <c r="CO196" i="2" s="1"/>
  <c r="CM196" i="2"/>
  <c r="CL196" i="2"/>
  <c r="CK196" i="2"/>
  <c r="CJ196" i="2"/>
  <c r="CI196" i="2"/>
  <c r="CH196" i="2"/>
  <c r="CG196" i="2"/>
  <c r="CF196" i="2"/>
  <c r="CE196" i="2"/>
  <c r="CD196" i="2"/>
  <c r="CC196" i="2"/>
  <c r="CA196" i="2"/>
  <c r="CB196" i="2" s="1"/>
  <c r="BZ196" i="2"/>
  <c r="BY196" i="2"/>
  <c r="BX196" i="2"/>
  <c r="BW196" i="2"/>
  <c r="BV196" i="2"/>
  <c r="BU196" i="2"/>
  <c r="BT196" i="2"/>
  <c r="BS196" i="2"/>
  <c r="BR196" i="2"/>
  <c r="BQ196" i="2"/>
  <c r="BP196" i="2"/>
  <c r="BN196" i="2"/>
  <c r="BO196" i="2" s="1"/>
  <c r="BM196" i="2"/>
  <c r="BL196" i="2"/>
  <c r="BK196" i="2"/>
  <c r="BJ196" i="2"/>
  <c r="BI196" i="2"/>
  <c r="BH196" i="2"/>
  <c r="BG196" i="2"/>
  <c r="BF196" i="2"/>
  <c r="BE196" i="2"/>
  <c r="BD196" i="2"/>
  <c r="BC196" i="2"/>
  <c r="BA196" i="2"/>
  <c r="BB196" i="2" s="1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A196" i="2"/>
  <c r="AB196" i="2" s="1"/>
  <c r="Z196" i="2"/>
  <c r="Y196" i="2"/>
  <c r="X196" i="2"/>
  <c r="W196" i="2"/>
  <c r="V196" i="2"/>
  <c r="U196" i="2"/>
  <c r="T196" i="2"/>
  <c r="S196" i="2"/>
  <c r="R196" i="2"/>
  <c r="Q196" i="2"/>
  <c r="P196" i="2"/>
  <c r="N196" i="2"/>
  <c r="O196" i="2" s="1"/>
  <c r="M196" i="2"/>
  <c r="L196" i="2"/>
  <c r="K196" i="2"/>
  <c r="J196" i="2"/>
  <c r="I196" i="2"/>
  <c r="H196" i="2"/>
  <c r="G196" i="2"/>
  <c r="F196" i="2"/>
  <c r="E196" i="2"/>
  <c r="D196" i="2"/>
  <c r="C196" i="2"/>
  <c r="FI195" i="2"/>
  <c r="FO195" i="2" s="1"/>
  <c r="FH195" i="2"/>
  <c r="FG195" i="2"/>
  <c r="FF195" i="2"/>
  <c r="FE195" i="2"/>
  <c r="FD195" i="2"/>
  <c r="FC195" i="2"/>
  <c r="FA195" i="2"/>
  <c r="FB195" i="2" s="1"/>
  <c r="EZ195" i="2"/>
  <c r="EY195" i="2"/>
  <c r="EX195" i="2"/>
  <c r="EW195" i="2"/>
  <c r="EV195" i="2"/>
  <c r="EU195" i="2"/>
  <c r="ET195" i="2"/>
  <c r="ES195" i="2"/>
  <c r="ER195" i="2"/>
  <c r="EQ195" i="2"/>
  <c r="EP195" i="2"/>
  <c r="EN195" i="2"/>
  <c r="EO195" i="2" s="1"/>
  <c r="EM195" i="2"/>
  <c r="EL195" i="2"/>
  <c r="EK195" i="2"/>
  <c r="EJ195" i="2"/>
  <c r="EI195" i="2"/>
  <c r="EH195" i="2"/>
  <c r="EG195" i="2"/>
  <c r="EF195" i="2"/>
  <c r="EE195" i="2"/>
  <c r="ED195" i="2"/>
  <c r="EC195" i="2"/>
  <c r="EA195" i="2"/>
  <c r="EB195" i="2" s="1"/>
  <c r="DZ195" i="2"/>
  <c r="DY195" i="2"/>
  <c r="DX195" i="2"/>
  <c r="DW195" i="2"/>
  <c r="DV195" i="2"/>
  <c r="DU195" i="2"/>
  <c r="DT195" i="2"/>
  <c r="DS195" i="2"/>
  <c r="DR195" i="2"/>
  <c r="DQ195" i="2"/>
  <c r="DP195" i="2"/>
  <c r="DN195" i="2"/>
  <c r="DO195" i="2" s="1"/>
  <c r="DM195" i="2"/>
  <c r="DL195" i="2"/>
  <c r="DK195" i="2"/>
  <c r="DJ195" i="2"/>
  <c r="DI195" i="2"/>
  <c r="DH195" i="2"/>
  <c r="DG195" i="2"/>
  <c r="DF195" i="2"/>
  <c r="DE195" i="2"/>
  <c r="DD195" i="2"/>
  <c r="DC195" i="2"/>
  <c r="DA195" i="2"/>
  <c r="DB195" i="2" s="1"/>
  <c r="CZ195" i="2"/>
  <c r="CY195" i="2"/>
  <c r="CX195" i="2"/>
  <c r="CW195" i="2"/>
  <c r="CV195" i="2"/>
  <c r="CU195" i="2"/>
  <c r="CT195" i="2"/>
  <c r="CS195" i="2"/>
  <c r="CR195" i="2"/>
  <c r="CQ195" i="2"/>
  <c r="CP195" i="2"/>
  <c r="CN195" i="2"/>
  <c r="CO195" i="2" s="1"/>
  <c r="CM195" i="2"/>
  <c r="CL195" i="2"/>
  <c r="CK195" i="2"/>
  <c r="CJ195" i="2"/>
  <c r="CI195" i="2"/>
  <c r="CH195" i="2"/>
  <c r="CG195" i="2"/>
  <c r="CF195" i="2"/>
  <c r="CE195" i="2"/>
  <c r="CD195" i="2"/>
  <c r="CC195" i="2"/>
  <c r="CA195" i="2"/>
  <c r="CB195" i="2" s="1"/>
  <c r="BZ195" i="2"/>
  <c r="BY195" i="2"/>
  <c r="BX195" i="2"/>
  <c r="BW195" i="2"/>
  <c r="BV195" i="2"/>
  <c r="BU195" i="2"/>
  <c r="BT195" i="2"/>
  <c r="BS195" i="2"/>
  <c r="BR195" i="2"/>
  <c r="BQ195" i="2"/>
  <c r="BP195" i="2"/>
  <c r="BO195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A195" i="2"/>
  <c r="BB195" i="2" s="1"/>
  <c r="AZ195" i="2"/>
  <c r="AY195" i="2"/>
  <c r="AX195" i="2"/>
  <c r="AW195" i="2"/>
  <c r="AV195" i="2"/>
  <c r="AU195" i="2"/>
  <c r="AT195" i="2"/>
  <c r="AS195" i="2"/>
  <c r="AR195" i="2"/>
  <c r="AQ195" i="2"/>
  <c r="AP195" i="2"/>
  <c r="AN195" i="2"/>
  <c r="AO195" i="2" s="1"/>
  <c r="AM195" i="2"/>
  <c r="AL195" i="2"/>
  <c r="AK195" i="2"/>
  <c r="AJ195" i="2"/>
  <c r="AI195" i="2"/>
  <c r="AH195" i="2"/>
  <c r="AG195" i="2"/>
  <c r="AF195" i="2"/>
  <c r="AE195" i="2"/>
  <c r="AD195" i="2"/>
  <c r="AC195" i="2"/>
  <c r="AA195" i="2"/>
  <c r="AB195" i="2" s="1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FI194" i="2"/>
  <c r="FO194" i="2" s="1"/>
  <c r="FH194" i="2"/>
  <c r="FG194" i="2"/>
  <c r="FF194" i="2"/>
  <c r="FE194" i="2"/>
  <c r="FD194" i="2"/>
  <c r="FC194" i="2"/>
  <c r="FA194" i="2"/>
  <c r="FB194" i="2" s="1"/>
  <c r="EZ194" i="2"/>
  <c r="EY194" i="2"/>
  <c r="EX194" i="2"/>
  <c r="EW194" i="2"/>
  <c r="EV194" i="2"/>
  <c r="EU194" i="2"/>
  <c r="ET194" i="2"/>
  <c r="ES194" i="2"/>
  <c r="ER194" i="2"/>
  <c r="EQ194" i="2"/>
  <c r="EP194" i="2"/>
  <c r="EO194" i="2"/>
  <c r="EN194" i="2"/>
  <c r="EM194" i="2"/>
  <c r="EL194" i="2"/>
  <c r="EK194" i="2"/>
  <c r="EJ194" i="2"/>
  <c r="EI194" i="2"/>
  <c r="EH194" i="2"/>
  <c r="EG194" i="2"/>
  <c r="EF194" i="2"/>
  <c r="EE194" i="2"/>
  <c r="ED194" i="2"/>
  <c r="EC194" i="2"/>
  <c r="EA194" i="2"/>
  <c r="EB194" i="2" s="1"/>
  <c r="DZ194" i="2"/>
  <c r="DY194" i="2"/>
  <c r="DX194" i="2"/>
  <c r="DW194" i="2"/>
  <c r="DV194" i="2"/>
  <c r="DU194" i="2"/>
  <c r="DT194" i="2"/>
  <c r="DS194" i="2"/>
  <c r="DR194" i="2"/>
  <c r="DQ194" i="2"/>
  <c r="DP194" i="2"/>
  <c r="DN194" i="2"/>
  <c r="DO194" i="2" s="1"/>
  <c r="DM194" i="2"/>
  <c r="DL194" i="2"/>
  <c r="DK194" i="2"/>
  <c r="DJ194" i="2"/>
  <c r="DI194" i="2"/>
  <c r="DH194" i="2"/>
  <c r="DG194" i="2"/>
  <c r="DF194" i="2"/>
  <c r="DE194" i="2"/>
  <c r="DD194" i="2"/>
  <c r="DC194" i="2"/>
  <c r="DA194" i="2"/>
  <c r="DB194" i="2" s="1"/>
  <c r="CZ194" i="2"/>
  <c r="CY194" i="2"/>
  <c r="CX194" i="2"/>
  <c r="CW194" i="2"/>
  <c r="CV194" i="2"/>
  <c r="CU194" i="2"/>
  <c r="CT194" i="2"/>
  <c r="CS194" i="2"/>
  <c r="CR194" i="2"/>
  <c r="CQ194" i="2"/>
  <c r="CP194" i="2"/>
  <c r="CO194" i="2"/>
  <c r="CN194" i="2"/>
  <c r="CM194" i="2"/>
  <c r="CL194" i="2"/>
  <c r="CK194" i="2"/>
  <c r="CJ194" i="2"/>
  <c r="CI194" i="2"/>
  <c r="CH194" i="2"/>
  <c r="CG194" i="2"/>
  <c r="CF194" i="2"/>
  <c r="CE194" i="2"/>
  <c r="CD194" i="2"/>
  <c r="CC194" i="2"/>
  <c r="CA194" i="2"/>
  <c r="CB194" i="2" s="1"/>
  <c r="BZ194" i="2"/>
  <c r="BY194" i="2"/>
  <c r="BX194" i="2"/>
  <c r="BW194" i="2"/>
  <c r="BV194" i="2"/>
  <c r="BU194" i="2"/>
  <c r="BT194" i="2"/>
  <c r="BS194" i="2"/>
  <c r="BR194" i="2"/>
  <c r="BQ194" i="2"/>
  <c r="BP194" i="2"/>
  <c r="BN194" i="2"/>
  <c r="BO194" i="2" s="1"/>
  <c r="BM194" i="2"/>
  <c r="BL194" i="2"/>
  <c r="BK194" i="2"/>
  <c r="BJ194" i="2"/>
  <c r="BI194" i="2"/>
  <c r="BH194" i="2"/>
  <c r="BG194" i="2"/>
  <c r="BF194" i="2"/>
  <c r="BE194" i="2"/>
  <c r="BD194" i="2"/>
  <c r="BC194" i="2"/>
  <c r="BA194" i="2"/>
  <c r="BB194" i="2" s="1"/>
  <c r="AZ194" i="2"/>
  <c r="AY194" i="2"/>
  <c r="AX194" i="2"/>
  <c r="AW194" i="2"/>
  <c r="AV194" i="2"/>
  <c r="AU194" i="2"/>
  <c r="AT194" i="2"/>
  <c r="AS194" i="2"/>
  <c r="AR194" i="2"/>
  <c r="AQ194" i="2"/>
  <c r="AP194" i="2"/>
  <c r="AN194" i="2"/>
  <c r="AO194" i="2" s="1"/>
  <c r="AM194" i="2"/>
  <c r="AL194" i="2"/>
  <c r="AK194" i="2"/>
  <c r="AJ194" i="2"/>
  <c r="AI194" i="2"/>
  <c r="AH194" i="2"/>
  <c r="AG194" i="2"/>
  <c r="AF194" i="2"/>
  <c r="AE194" i="2"/>
  <c r="AD194" i="2"/>
  <c r="AC194" i="2"/>
  <c r="AA194" i="2"/>
  <c r="AB194" i="2" s="1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FI193" i="2"/>
  <c r="FO193" i="2" s="1"/>
  <c r="FH193" i="2"/>
  <c r="FG193" i="2"/>
  <c r="FF193" i="2"/>
  <c r="FE193" i="2"/>
  <c r="FD193" i="2"/>
  <c r="FC193" i="2"/>
  <c r="FA193" i="2"/>
  <c r="FB193" i="2" s="1"/>
  <c r="EZ193" i="2"/>
  <c r="EY193" i="2"/>
  <c r="EX193" i="2"/>
  <c r="EW193" i="2"/>
  <c r="EV193" i="2"/>
  <c r="EU193" i="2"/>
  <c r="ET193" i="2"/>
  <c r="ES193" i="2"/>
  <c r="ER193" i="2"/>
  <c r="EQ193" i="2"/>
  <c r="EP193" i="2"/>
  <c r="EN193" i="2"/>
  <c r="EO193" i="2" s="1"/>
  <c r="EM193" i="2"/>
  <c r="EL193" i="2"/>
  <c r="EK193" i="2"/>
  <c r="EJ193" i="2"/>
  <c r="EI193" i="2"/>
  <c r="EH193" i="2"/>
  <c r="EG193" i="2"/>
  <c r="EF193" i="2"/>
  <c r="EE193" i="2"/>
  <c r="ED193" i="2"/>
  <c r="EC193" i="2"/>
  <c r="EA193" i="2"/>
  <c r="EB193" i="2" s="1"/>
  <c r="DZ193" i="2"/>
  <c r="DY193" i="2"/>
  <c r="DX193" i="2"/>
  <c r="DW193" i="2"/>
  <c r="DV193" i="2"/>
  <c r="DU193" i="2"/>
  <c r="DT193" i="2"/>
  <c r="DS193" i="2"/>
  <c r="DR193" i="2"/>
  <c r="DQ193" i="2"/>
  <c r="DP193" i="2"/>
  <c r="DO193" i="2"/>
  <c r="DN193" i="2"/>
  <c r="DM193" i="2"/>
  <c r="DL193" i="2"/>
  <c r="DK193" i="2"/>
  <c r="DJ193" i="2"/>
  <c r="DI193" i="2"/>
  <c r="DH193" i="2"/>
  <c r="DG193" i="2"/>
  <c r="DF193" i="2"/>
  <c r="DE193" i="2"/>
  <c r="DD193" i="2"/>
  <c r="DC193" i="2"/>
  <c r="DA193" i="2"/>
  <c r="DB193" i="2" s="1"/>
  <c r="CZ193" i="2"/>
  <c r="CY193" i="2"/>
  <c r="CX193" i="2"/>
  <c r="CW193" i="2"/>
  <c r="CV193" i="2"/>
  <c r="CU193" i="2"/>
  <c r="CT193" i="2"/>
  <c r="CS193" i="2"/>
  <c r="CR193" i="2"/>
  <c r="CQ193" i="2"/>
  <c r="CP193" i="2"/>
  <c r="CN193" i="2"/>
  <c r="CO193" i="2" s="1"/>
  <c r="CM193" i="2"/>
  <c r="CL193" i="2"/>
  <c r="CK193" i="2"/>
  <c r="CJ193" i="2"/>
  <c r="CI193" i="2"/>
  <c r="CH193" i="2"/>
  <c r="CG193" i="2"/>
  <c r="CF193" i="2"/>
  <c r="CE193" i="2"/>
  <c r="CD193" i="2"/>
  <c r="CC193" i="2"/>
  <c r="CA193" i="2"/>
  <c r="CB193" i="2" s="1"/>
  <c r="BZ193" i="2"/>
  <c r="BY193" i="2"/>
  <c r="BX193" i="2"/>
  <c r="BW193" i="2"/>
  <c r="BV193" i="2"/>
  <c r="BU193" i="2"/>
  <c r="BT193" i="2"/>
  <c r="BS193" i="2"/>
  <c r="BR193" i="2"/>
  <c r="BQ193" i="2"/>
  <c r="BP193" i="2"/>
  <c r="BO193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A193" i="2"/>
  <c r="BB193" i="2" s="1"/>
  <c r="AZ193" i="2"/>
  <c r="AY193" i="2"/>
  <c r="AX193" i="2"/>
  <c r="AW193" i="2"/>
  <c r="AV193" i="2"/>
  <c r="AU193" i="2"/>
  <c r="AT193" i="2"/>
  <c r="AS193" i="2"/>
  <c r="AR193" i="2"/>
  <c r="AQ193" i="2"/>
  <c r="AP193" i="2"/>
  <c r="AN193" i="2"/>
  <c r="AO193" i="2" s="1"/>
  <c r="AM193" i="2"/>
  <c r="AL193" i="2"/>
  <c r="AK193" i="2"/>
  <c r="AJ193" i="2"/>
  <c r="AI193" i="2"/>
  <c r="AH193" i="2"/>
  <c r="AG193" i="2"/>
  <c r="AF193" i="2"/>
  <c r="AE193" i="2"/>
  <c r="AD193" i="2"/>
  <c r="AC193" i="2"/>
  <c r="AA193" i="2"/>
  <c r="AB193" i="2" s="1"/>
  <c r="Z193" i="2"/>
  <c r="Y193" i="2"/>
  <c r="X193" i="2"/>
  <c r="W193" i="2"/>
  <c r="V193" i="2"/>
  <c r="U193" i="2"/>
  <c r="T193" i="2"/>
  <c r="S193" i="2"/>
  <c r="R193" i="2"/>
  <c r="Q193" i="2"/>
  <c r="P193" i="2"/>
  <c r="N193" i="2"/>
  <c r="O193" i="2" s="1"/>
  <c r="M193" i="2"/>
  <c r="L193" i="2"/>
  <c r="K193" i="2"/>
  <c r="J193" i="2"/>
  <c r="I193" i="2"/>
  <c r="H193" i="2"/>
  <c r="G193" i="2"/>
  <c r="F193" i="2"/>
  <c r="E193" i="2"/>
  <c r="D193" i="2"/>
  <c r="C193" i="2"/>
  <c r="FI192" i="2"/>
  <c r="FO192" i="2" s="1"/>
  <c r="FH192" i="2"/>
  <c r="FG192" i="2"/>
  <c r="FF192" i="2"/>
  <c r="FE192" i="2"/>
  <c r="FD192" i="2"/>
  <c r="FC192" i="2"/>
  <c r="FA192" i="2"/>
  <c r="FB192" i="2" s="1"/>
  <c r="EZ192" i="2"/>
  <c r="EY192" i="2"/>
  <c r="EX192" i="2"/>
  <c r="EW192" i="2"/>
  <c r="EV192" i="2"/>
  <c r="EU192" i="2"/>
  <c r="ET192" i="2"/>
  <c r="ES192" i="2"/>
  <c r="ER192" i="2"/>
  <c r="EQ192" i="2"/>
  <c r="EP192" i="2"/>
  <c r="EN192" i="2"/>
  <c r="EO192" i="2" s="1"/>
  <c r="EM192" i="2"/>
  <c r="EL192" i="2"/>
  <c r="EK192" i="2"/>
  <c r="EJ192" i="2"/>
  <c r="EI192" i="2"/>
  <c r="EH192" i="2"/>
  <c r="EG192" i="2"/>
  <c r="EF192" i="2"/>
  <c r="EE192" i="2"/>
  <c r="ED192" i="2"/>
  <c r="EC192" i="2"/>
  <c r="EA192" i="2"/>
  <c r="EB192" i="2" s="1"/>
  <c r="DZ192" i="2"/>
  <c r="DY192" i="2"/>
  <c r="DX192" i="2"/>
  <c r="DW192" i="2"/>
  <c r="DV192" i="2"/>
  <c r="DU192" i="2"/>
  <c r="DT192" i="2"/>
  <c r="DS192" i="2"/>
  <c r="DR192" i="2"/>
  <c r="DQ192" i="2"/>
  <c r="DP192" i="2"/>
  <c r="DN192" i="2"/>
  <c r="DO192" i="2" s="1"/>
  <c r="DM192" i="2"/>
  <c r="DL192" i="2"/>
  <c r="DK192" i="2"/>
  <c r="DJ192" i="2"/>
  <c r="DI192" i="2"/>
  <c r="DH192" i="2"/>
  <c r="DG192" i="2"/>
  <c r="DF192" i="2"/>
  <c r="DE192" i="2"/>
  <c r="DD192" i="2"/>
  <c r="DC192" i="2"/>
  <c r="DA192" i="2"/>
  <c r="DB192" i="2" s="1"/>
  <c r="CZ192" i="2"/>
  <c r="CY192" i="2"/>
  <c r="CX192" i="2"/>
  <c r="CW192" i="2"/>
  <c r="CV192" i="2"/>
  <c r="CU192" i="2"/>
  <c r="CT192" i="2"/>
  <c r="CS192" i="2"/>
  <c r="CR192" i="2"/>
  <c r="CQ192" i="2"/>
  <c r="CP192" i="2"/>
  <c r="CN192" i="2"/>
  <c r="CO192" i="2" s="1"/>
  <c r="CM192" i="2"/>
  <c r="CL192" i="2"/>
  <c r="CK192" i="2"/>
  <c r="CJ192" i="2"/>
  <c r="CI192" i="2"/>
  <c r="CH192" i="2"/>
  <c r="CG192" i="2"/>
  <c r="CF192" i="2"/>
  <c r="CE192" i="2"/>
  <c r="CD192" i="2"/>
  <c r="CC192" i="2"/>
  <c r="CA192" i="2"/>
  <c r="CB192" i="2" s="1"/>
  <c r="BZ192" i="2"/>
  <c r="BY192" i="2"/>
  <c r="BX192" i="2"/>
  <c r="BW192" i="2"/>
  <c r="BV192" i="2"/>
  <c r="BU192" i="2"/>
  <c r="BT192" i="2"/>
  <c r="BS192" i="2"/>
  <c r="BR192" i="2"/>
  <c r="BQ192" i="2"/>
  <c r="BP192" i="2"/>
  <c r="BO192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A192" i="2"/>
  <c r="BB192" i="2" s="1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A192" i="2"/>
  <c r="AB192" i="2" s="1"/>
  <c r="Z192" i="2"/>
  <c r="Y192" i="2"/>
  <c r="X192" i="2"/>
  <c r="W192" i="2"/>
  <c r="V192" i="2"/>
  <c r="U192" i="2"/>
  <c r="T192" i="2"/>
  <c r="S192" i="2"/>
  <c r="R192" i="2"/>
  <c r="Q192" i="2"/>
  <c r="P192" i="2"/>
  <c r="N192" i="2"/>
  <c r="O192" i="2" s="1"/>
  <c r="M192" i="2"/>
  <c r="L192" i="2"/>
  <c r="K192" i="2"/>
  <c r="J192" i="2"/>
  <c r="I192" i="2"/>
  <c r="H192" i="2"/>
  <c r="G192" i="2"/>
  <c r="F192" i="2"/>
  <c r="E192" i="2"/>
  <c r="D192" i="2"/>
  <c r="C192" i="2"/>
  <c r="FI191" i="2"/>
  <c r="FO191" i="2" s="1"/>
  <c r="FH191" i="2"/>
  <c r="FG191" i="2"/>
  <c r="FF191" i="2"/>
  <c r="FE191" i="2"/>
  <c r="FD191" i="2"/>
  <c r="FC191" i="2"/>
  <c r="FA191" i="2"/>
  <c r="FB191" i="2" s="1"/>
  <c r="EZ191" i="2"/>
  <c r="EY191" i="2"/>
  <c r="EX191" i="2"/>
  <c r="EW191" i="2"/>
  <c r="EV191" i="2"/>
  <c r="EU191" i="2"/>
  <c r="ET191" i="2"/>
  <c r="ES191" i="2"/>
  <c r="ER191" i="2"/>
  <c r="EQ191" i="2"/>
  <c r="EP191" i="2"/>
  <c r="EN191" i="2"/>
  <c r="EO191" i="2" s="1"/>
  <c r="EM191" i="2"/>
  <c r="EL191" i="2"/>
  <c r="EK191" i="2"/>
  <c r="EJ191" i="2"/>
  <c r="EI191" i="2"/>
  <c r="EH191" i="2"/>
  <c r="EG191" i="2"/>
  <c r="EF191" i="2"/>
  <c r="EE191" i="2"/>
  <c r="ED191" i="2"/>
  <c r="EC191" i="2"/>
  <c r="EA191" i="2"/>
  <c r="EB191" i="2" s="1"/>
  <c r="DZ191" i="2"/>
  <c r="DY191" i="2"/>
  <c r="DX191" i="2"/>
  <c r="DW191" i="2"/>
  <c r="DV191" i="2"/>
  <c r="DU191" i="2"/>
  <c r="DT191" i="2"/>
  <c r="DS191" i="2"/>
  <c r="DR191" i="2"/>
  <c r="DQ191" i="2"/>
  <c r="DP191" i="2"/>
  <c r="DO191" i="2"/>
  <c r="DN191" i="2"/>
  <c r="DM191" i="2"/>
  <c r="DL191" i="2"/>
  <c r="DK191" i="2"/>
  <c r="DJ191" i="2"/>
  <c r="DI191" i="2"/>
  <c r="DH191" i="2"/>
  <c r="DG191" i="2"/>
  <c r="DF191" i="2"/>
  <c r="DE191" i="2"/>
  <c r="DD191" i="2"/>
  <c r="DC191" i="2"/>
  <c r="DA191" i="2"/>
  <c r="DB191" i="2" s="1"/>
  <c r="CZ191" i="2"/>
  <c r="CY191" i="2"/>
  <c r="CX191" i="2"/>
  <c r="CW191" i="2"/>
  <c r="CV191" i="2"/>
  <c r="CU191" i="2"/>
  <c r="CT191" i="2"/>
  <c r="CS191" i="2"/>
  <c r="CR191" i="2"/>
  <c r="CQ191" i="2"/>
  <c r="CP191" i="2"/>
  <c r="CO191" i="2"/>
  <c r="CN191" i="2"/>
  <c r="CM191" i="2"/>
  <c r="CL191" i="2"/>
  <c r="CK191" i="2"/>
  <c r="CJ191" i="2"/>
  <c r="CI191" i="2"/>
  <c r="CH191" i="2"/>
  <c r="CG191" i="2"/>
  <c r="CF191" i="2"/>
  <c r="CE191" i="2"/>
  <c r="CD191" i="2"/>
  <c r="CC191" i="2"/>
  <c r="CA191" i="2"/>
  <c r="CB191" i="2" s="1"/>
  <c r="BZ191" i="2"/>
  <c r="BY191" i="2"/>
  <c r="BX191" i="2"/>
  <c r="BW191" i="2"/>
  <c r="BV191" i="2"/>
  <c r="BU191" i="2"/>
  <c r="BT191" i="2"/>
  <c r="BS191" i="2"/>
  <c r="BR191" i="2"/>
  <c r="BQ191" i="2"/>
  <c r="BP191" i="2"/>
  <c r="BO191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A191" i="2"/>
  <c r="BB191" i="2" s="1"/>
  <c r="AZ191" i="2"/>
  <c r="AY191" i="2"/>
  <c r="AX191" i="2"/>
  <c r="AW191" i="2"/>
  <c r="AV191" i="2"/>
  <c r="AU191" i="2"/>
  <c r="AT191" i="2"/>
  <c r="AS191" i="2"/>
  <c r="AR191" i="2"/>
  <c r="AQ191" i="2"/>
  <c r="AP191" i="2"/>
  <c r="AN191" i="2"/>
  <c r="AO191" i="2" s="1"/>
  <c r="AM191" i="2"/>
  <c r="AL191" i="2"/>
  <c r="AK191" i="2"/>
  <c r="AJ191" i="2"/>
  <c r="AI191" i="2"/>
  <c r="AH191" i="2"/>
  <c r="AG191" i="2"/>
  <c r="AF191" i="2"/>
  <c r="AE191" i="2"/>
  <c r="AD191" i="2"/>
  <c r="AC191" i="2"/>
  <c r="AA191" i="2"/>
  <c r="AB191" i="2" s="1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FI190" i="2"/>
  <c r="FH190" i="2"/>
  <c r="FH208" i="2" s="1"/>
  <c r="FG190" i="2"/>
  <c r="FF190" i="2"/>
  <c r="FF208" i="2" s="1"/>
  <c r="FE190" i="2"/>
  <c r="FD190" i="2"/>
  <c r="FC190" i="2"/>
  <c r="FC208" i="2" s="1"/>
  <c r="FA190" i="2"/>
  <c r="FB190" i="2" s="1"/>
  <c r="EZ190" i="2"/>
  <c r="EZ208" i="2" s="1"/>
  <c r="EY190" i="2"/>
  <c r="EX190" i="2"/>
  <c r="EX208" i="2" s="1"/>
  <c r="EW190" i="2"/>
  <c r="EW208" i="2" s="1"/>
  <c r="EV190" i="2"/>
  <c r="EV208" i="2" s="1"/>
  <c r="EU190" i="2"/>
  <c r="EU208" i="2" s="1"/>
  <c r="ET190" i="2"/>
  <c r="ET208" i="2" s="1"/>
  <c r="ES190" i="2"/>
  <c r="ER190" i="2"/>
  <c r="EQ190" i="2"/>
  <c r="EP190" i="2"/>
  <c r="EP208" i="2" s="1"/>
  <c r="EN190" i="2"/>
  <c r="EM190" i="2"/>
  <c r="EL190" i="2"/>
  <c r="EL208" i="2" s="1"/>
  <c r="EK190" i="2"/>
  <c r="EJ190" i="2"/>
  <c r="EJ208" i="2" s="1"/>
  <c r="EI190" i="2"/>
  <c r="EI208" i="2" s="1"/>
  <c r="EH190" i="2"/>
  <c r="EH208" i="2" s="1"/>
  <c r="EG190" i="2"/>
  <c r="EF190" i="2"/>
  <c r="EE190" i="2"/>
  <c r="ED190" i="2"/>
  <c r="ED208" i="2" s="1"/>
  <c r="EC190" i="2"/>
  <c r="EC208" i="2" s="1"/>
  <c r="EA190" i="2"/>
  <c r="EB190" i="2" s="1"/>
  <c r="DZ190" i="2"/>
  <c r="DZ208" i="2" s="1"/>
  <c r="DY190" i="2"/>
  <c r="DX190" i="2"/>
  <c r="DX208" i="2" s="1"/>
  <c r="DW190" i="2"/>
  <c r="DV190" i="2"/>
  <c r="DV208" i="2" s="1"/>
  <c r="DU190" i="2"/>
  <c r="DT190" i="2"/>
  <c r="DS190" i="2"/>
  <c r="DR190" i="2"/>
  <c r="DR208" i="2" s="1"/>
  <c r="DQ190" i="2"/>
  <c r="DQ208" i="2" s="1"/>
  <c r="DP190" i="2"/>
  <c r="DP208" i="2" s="1"/>
  <c r="DO190" i="2"/>
  <c r="DN190" i="2"/>
  <c r="DN208" i="2" s="1"/>
  <c r="DM190" i="2"/>
  <c r="DL190" i="2"/>
  <c r="DL208" i="2" s="1"/>
  <c r="DK190" i="2"/>
  <c r="DJ190" i="2"/>
  <c r="DJ208" i="2" s="1"/>
  <c r="DI190" i="2"/>
  <c r="DH190" i="2"/>
  <c r="DG190" i="2"/>
  <c r="DF190" i="2"/>
  <c r="DF208" i="2" s="1"/>
  <c r="DE190" i="2"/>
  <c r="DE208" i="2" s="1"/>
  <c r="DD190" i="2"/>
  <c r="DD208" i="2" s="1"/>
  <c r="DC190" i="2"/>
  <c r="DA190" i="2"/>
  <c r="DB190" i="2" s="1"/>
  <c r="CZ190" i="2"/>
  <c r="CY190" i="2"/>
  <c r="CY208" i="2" s="1"/>
  <c r="CX190" i="2"/>
  <c r="CX208" i="2" s="1"/>
  <c r="CW190" i="2"/>
  <c r="CV190" i="2"/>
  <c r="CU190" i="2"/>
  <c r="CT190" i="2"/>
  <c r="CT208" i="2" s="1"/>
  <c r="CS190" i="2"/>
  <c r="CR190" i="2"/>
  <c r="CR208" i="2" s="1"/>
  <c r="CQ190" i="2"/>
  <c r="CQ208" i="2" s="1"/>
  <c r="CP190" i="2"/>
  <c r="CP208" i="2" s="1"/>
  <c r="CO190" i="2"/>
  <c r="CN190" i="2"/>
  <c r="CM190" i="2"/>
  <c r="CM208" i="2" s="1"/>
  <c r="CL190" i="2"/>
  <c r="CL208" i="2" s="1"/>
  <c r="CK190" i="2"/>
  <c r="CJ190" i="2"/>
  <c r="CI190" i="2"/>
  <c r="CH190" i="2"/>
  <c r="CH208" i="2" s="1"/>
  <c r="CG190" i="2"/>
  <c r="CF190" i="2"/>
  <c r="CF208" i="2" s="1"/>
  <c r="CE190" i="2"/>
  <c r="CD190" i="2"/>
  <c r="CD208" i="2" s="1"/>
  <c r="CC190" i="2"/>
  <c r="CA190" i="2"/>
  <c r="CB190" i="2" s="1"/>
  <c r="BZ190" i="2"/>
  <c r="BZ208" i="2" s="1"/>
  <c r="BY190" i="2"/>
  <c r="BX190" i="2"/>
  <c r="BW190" i="2"/>
  <c r="BV190" i="2"/>
  <c r="BV208" i="2" s="1"/>
  <c r="BU190" i="2"/>
  <c r="BT190" i="2"/>
  <c r="BT208" i="2" s="1"/>
  <c r="BS190" i="2"/>
  <c r="BR190" i="2"/>
  <c r="BR208" i="2" s="1"/>
  <c r="BQ190" i="2"/>
  <c r="BQ208" i="2" s="1"/>
  <c r="BP190" i="2"/>
  <c r="BN190" i="2"/>
  <c r="BN208" i="2" s="1"/>
  <c r="BM190" i="2"/>
  <c r="BL190" i="2"/>
  <c r="BK190" i="2"/>
  <c r="BJ190" i="2"/>
  <c r="BJ208" i="2" s="1"/>
  <c r="BI190" i="2"/>
  <c r="BH190" i="2"/>
  <c r="BH208" i="2" s="1"/>
  <c r="BG190" i="2"/>
  <c r="BF190" i="2"/>
  <c r="BF208" i="2" s="1"/>
  <c r="BE190" i="2"/>
  <c r="BD190" i="2"/>
  <c r="BC190" i="2"/>
  <c r="BC208" i="2" s="1"/>
  <c r="BA190" i="2"/>
  <c r="AZ190" i="2"/>
  <c r="AY190" i="2"/>
  <c r="AX190" i="2"/>
  <c r="AX208" i="2" s="1"/>
  <c r="AW190" i="2"/>
  <c r="AV190" i="2"/>
  <c r="AU190" i="2"/>
  <c r="AT190" i="2"/>
  <c r="AT208" i="2" s="1"/>
  <c r="AS190" i="2"/>
  <c r="AR190" i="2"/>
  <c r="AQ190" i="2"/>
  <c r="AP190" i="2"/>
  <c r="AP208" i="2" s="1"/>
  <c r="AO190" i="2"/>
  <c r="AN190" i="2"/>
  <c r="AM190" i="2"/>
  <c r="AL190" i="2"/>
  <c r="AL208" i="2" s="1"/>
  <c r="AK190" i="2"/>
  <c r="AJ190" i="2"/>
  <c r="AI190" i="2"/>
  <c r="AH190" i="2"/>
  <c r="AH208" i="2" s="1"/>
  <c r="AG190" i="2"/>
  <c r="AF190" i="2"/>
  <c r="AE190" i="2"/>
  <c r="AD190" i="2"/>
  <c r="AD208" i="2" s="1"/>
  <c r="AC190" i="2"/>
  <c r="AC208" i="2" s="1"/>
  <c r="AA190" i="2"/>
  <c r="AB190" i="2" s="1"/>
  <c r="Z190" i="2"/>
  <c r="Z208" i="2" s="1"/>
  <c r="Y190" i="2"/>
  <c r="X190" i="2"/>
  <c r="W190" i="2"/>
  <c r="V190" i="2"/>
  <c r="V208" i="2" s="1"/>
  <c r="U190" i="2"/>
  <c r="T190" i="2"/>
  <c r="S190" i="2"/>
  <c r="R190" i="2"/>
  <c r="R208" i="2" s="1"/>
  <c r="Q190" i="2"/>
  <c r="P190" i="2"/>
  <c r="N190" i="2"/>
  <c r="O190" i="2" s="1"/>
  <c r="M190" i="2"/>
  <c r="M208" i="2" s="1"/>
  <c r="L190" i="2"/>
  <c r="K190" i="2"/>
  <c r="J190" i="2"/>
  <c r="J208" i="2" s="1"/>
  <c r="I190" i="2"/>
  <c r="H190" i="2"/>
  <c r="G190" i="2"/>
  <c r="F190" i="2"/>
  <c r="F208" i="2" s="1"/>
  <c r="E190" i="2"/>
  <c r="D190" i="2"/>
  <c r="C190" i="2"/>
  <c r="C208" i="2" s="1"/>
  <c r="FN186" i="2"/>
  <c r="FM186" i="2"/>
  <c r="FL186" i="2"/>
  <c r="FK186" i="2"/>
  <c r="FJ186" i="2"/>
  <c r="FO185" i="2"/>
  <c r="FI185" i="2"/>
  <c r="FH185" i="2"/>
  <c r="FG185" i="2"/>
  <c r="FF185" i="2"/>
  <c r="FE185" i="2"/>
  <c r="FD185" i="2"/>
  <c r="FC185" i="2"/>
  <c r="FB185" i="2"/>
  <c r="FA185" i="2"/>
  <c r="EZ185" i="2"/>
  <c r="EY185" i="2"/>
  <c r="EX185" i="2"/>
  <c r="EW185" i="2"/>
  <c r="EV185" i="2"/>
  <c r="EU185" i="2"/>
  <c r="ET185" i="2"/>
  <c r="ES185" i="2"/>
  <c r="ER185" i="2"/>
  <c r="EQ185" i="2"/>
  <c r="EP185" i="2"/>
  <c r="EO185" i="2"/>
  <c r="EN185" i="2"/>
  <c r="EM185" i="2"/>
  <c r="EL185" i="2"/>
  <c r="EK185" i="2"/>
  <c r="EJ185" i="2"/>
  <c r="EI185" i="2"/>
  <c r="EH185" i="2"/>
  <c r="EG185" i="2"/>
  <c r="EF185" i="2"/>
  <c r="EE185" i="2"/>
  <c r="ED185" i="2"/>
  <c r="EC185" i="2"/>
  <c r="EA185" i="2"/>
  <c r="EB185" i="2" s="1"/>
  <c r="DZ185" i="2"/>
  <c r="DY185" i="2"/>
  <c r="DX185" i="2"/>
  <c r="DW185" i="2"/>
  <c r="DV185" i="2"/>
  <c r="DU185" i="2"/>
  <c r="DT185" i="2"/>
  <c r="DS185" i="2"/>
  <c r="DR185" i="2"/>
  <c r="DQ185" i="2"/>
  <c r="DP185" i="2"/>
  <c r="DN185" i="2"/>
  <c r="DO185" i="2" s="1"/>
  <c r="DM185" i="2"/>
  <c r="DL185" i="2"/>
  <c r="DK185" i="2"/>
  <c r="DJ185" i="2"/>
  <c r="DI185" i="2"/>
  <c r="DH185" i="2"/>
  <c r="DG185" i="2"/>
  <c r="DF185" i="2"/>
  <c r="DE185" i="2"/>
  <c r="DD185" i="2"/>
  <c r="DC185" i="2"/>
  <c r="DA185" i="2"/>
  <c r="DB185" i="2" s="1"/>
  <c r="CZ185" i="2"/>
  <c r="CY185" i="2"/>
  <c r="CX185" i="2"/>
  <c r="CW185" i="2"/>
  <c r="CV185" i="2"/>
  <c r="CU185" i="2"/>
  <c r="CT185" i="2"/>
  <c r="CS185" i="2"/>
  <c r="CR185" i="2"/>
  <c r="CQ185" i="2"/>
  <c r="CP185" i="2"/>
  <c r="CN185" i="2"/>
  <c r="CO185" i="2" s="1"/>
  <c r="CM185" i="2"/>
  <c r="CL185" i="2"/>
  <c r="CK185" i="2"/>
  <c r="CJ185" i="2"/>
  <c r="CI185" i="2"/>
  <c r="CH185" i="2"/>
  <c r="CG185" i="2"/>
  <c r="CF185" i="2"/>
  <c r="CE185" i="2"/>
  <c r="CD185" i="2"/>
  <c r="CC185" i="2"/>
  <c r="CA185" i="2"/>
  <c r="CB185" i="2" s="1"/>
  <c r="BZ185" i="2"/>
  <c r="BY185" i="2"/>
  <c r="BX185" i="2"/>
  <c r="BW185" i="2"/>
  <c r="BV185" i="2"/>
  <c r="BU185" i="2"/>
  <c r="BT185" i="2"/>
  <c r="BS185" i="2"/>
  <c r="BR185" i="2"/>
  <c r="BQ185" i="2"/>
  <c r="BP185" i="2"/>
  <c r="BN185" i="2"/>
  <c r="BO185" i="2" s="1"/>
  <c r="BM185" i="2"/>
  <c r="BL185" i="2"/>
  <c r="BK185" i="2"/>
  <c r="BJ185" i="2"/>
  <c r="BI185" i="2"/>
  <c r="BH185" i="2"/>
  <c r="BG185" i="2"/>
  <c r="BF185" i="2"/>
  <c r="BE185" i="2"/>
  <c r="BD185" i="2"/>
  <c r="BC185" i="2"/>
  <c r="BA185" i="2"/>
  <c r="BB185" i="2" s="1"/>
  <c r="AZ185" i="2"/>
  <c r="AY185" i="2"/>
  <c r="AX185" i="2"/>
  <c r="AW185" i="2"/>
  <c r="AV185" i="2"/>
  <c r="AU185" i="2"/>
  <c r="AT185" i="2"/>
  <c r="AS185" i="2"/>
  <c r="AR185" i="2"/>
  <c r="AQ185" i="2"/>
  <c r="AP185" i="2"/>
  <c r="AN185" i="2"/>
  <c r="AO185" i="2" s="1"/>
  <c r="AM185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N185" i="2"/>
  <c r="O185" i="2" s="1"/>
  <c r="M185" i="2"/>
  <c r="L185" i="2"/>
  <c r="K185" i="2"/>
  <c r="J185" i="2"/>
  <c r="I185" i="2"/>
  <c r="H185" i="2"/>
  <c r="G185" i="2"/>
  <c r="F185" i="2"/>
  <c r="E185" i="2"/>
  <c r="D185" i="2"/>
  <c r="C185" i="2"/>
  <c r="FI184" i="2"/>
  <c r="FO184" i="2" s="1"/>
  <c r="FH184" i="2"/>
  <c r="FG184" i="2"/>
  <c r="FF184" i="2"/>
  <c r="FE184" i="2"/>
  <c r="FD184" i="2"/>
  <c r="FC184" i="2"/>
  <c r="FA184" i="2"/>
  <c r="FB184" i="2" s="1"/>
  <c r="EZ184" i="2"/>
  <c r="EY184" i="2"/>
  <c r="EX184" i="2"/>
  <c r="EW184" i="2"/>
  <c r="EV184" i="2"/>
  <c r="EU184" i="2"/>
  <c r="ET184" i="2"/>
  <c r="ES184" i="2"/>
  <c r="ER184" i="2"/>
  <c r="EQ184" i="2"/>
  <c r="EP184" i="2"/>
  <c r="EN184" i="2"/>
  <c r="EO184" i="2" s="1"/>
  <c r="EM184" i="2"/>
  <c r="EL184" i="2"/>
  <c r="EK184" i="2"/>
  <c r="EJ184" i="2"/>
  <c r="EI184" i="2"/>
  <c r="EH184" i="2"/>
  <c r="EG184" i="2"/>
  <c r="EF184" i="2"/>
  <c r="EE184" i="2"/>
  <c r="ED184" i="2"/>
  <c r="EC184" i="2"/>
  <c r="EB184" i="2"/>
  <c r="EA184" i="2"/>
  <c r="DZ184" i="2"/>
  <c r="DY184" i="2"/>
  <c r="DX184" i="2"/>
  <c r="DW184" i="2"/>
  <c r="DV184" i="2"/>
  <c r="DU184" i="2"/>
  <c r="DT184" i="2"/>
  <c r="DS184" i="2"/>
  <c r="DR184" i="2"/>
  <c r="DQ184" i="2"/>
  <c r="DP184" i="2"/>
  <c r="DN184" i="2"/>
  <c r="DO184" i="2" s="1"/>
  <c r="DM184" i="2"/>
  <c r="DL184" i="2"/>
  <c r="DK184" i="2"/>
  <c r="DJ184" i="2"/>
  <c r="DI184" i="2"/>
  <c r="DH184" i="2"/>
  <c r="DG184" i="2"/>
  <c r="DF184" i="2"/>
  <c r="DE184" i="2"/>
  <c r="DD184" i="2"/>
  <c r="DC184" i="2"/>
  <c r="DA184" i="2"/>
  <c r="DB184" i="2" s="1"/>
  <c r="CZ184" i="2"/>
  <c r="CY184" i="2"/>
  <c r="CX184" i="2"/>
  <c r="CW184" i="2"/>
  <c r="CV184" i="2"/>
  <c r="CU184" i="2"/>
  <c r="CT184" i="2"/>
  <c r="CS184" i="2"/>
  <c r="CR184" i="2"/>
  <c r="CQ184" i="2"/>
  <c r="CP184" i="2"/>
  <c r="CN184" i="2"/>
  <c r="CO184" i="2" s="1"/>
  <c r="CM184" i="2"/>
  <c r="CL184" i="2"/>
  <c r="CK184" i="2"/>
  <c r="CJ184" i="2"/>
  <c r="CI184" i="2"/>
  <c r="CH184" i="2"/>
  <c r="CG184" i="2"/>
  <c r="CF184" i="2"/>
  <c r="CE184" i="2"/>
  <c r="CD184" i="2"/>
  <c r="CC184" i="2"/>
  <c r="CA184" i="2"/>
  <c r="CB184" i="2" s="1"/>
  <c r="BZ184" i="2"/>
  <c r="BY184" i="2"/>
  <c r="BX184" i="2"/>
  <c r="BW184" i="2"/>
  <c r="BV184" i="2"/>
  <c r="BU184" i="2"/>
  <c r="BT184" i="2"/>
  <c r="BS184" i="2"/>
  <c r="BR184" i="2"/>
  <c r="BQ184" i="2"/>
  <c r="BP184" i="2"/>
  <c r="BO184" i="2"/>
  <c r="BN184" i="2"/>
  <c r="BM184" i="2"/>
  <c r="BL184" i="2"/>
  <c r="BK184" i="2"/>
  <c r="BJ184" i="2"/>
  <c r="BI184" i="2"/>
  <c r="BH184" i="2"/>
  <c r="BG184" i="2"/>
  <c r="BF184" i="2"/>
  <c r="BE184" i="2"/>
  <c r="BD184" i="2"/>
  <c r="BC184" i="2"/>
  <c r="BA184" i="2"/>
  <c r="BB184" i="2" s="1"/>
  <c r="AZ184" i="2"/>
  <c r="AY184" i="2"/>
  <c r="AX184" i="2"/>
  <c r="AW184" i="2"/>
  <c r="AV184" i="2"/>
  <c r="AU184" i="2"/>
  <c r="AT184" i="2"/>
  <c r="AS184" i="2"/>
  <c r="AR184" i="2"/>
  <c r="AQ184" i="2"/>
  <c r="AP184" i="2"/>
  <c r="AN184" i="2"/>
  <c r="AO184" i="2" s="1"/>
  <c r="AM184" i="2"/>
  <c r="AL184" i="2"/>
  <c r="AK184" i="2"/>
  <c r="AJ184" i="2"/>
  <c r="AI184" i="2"/>
  <c r="AH184" i="2"/>
  <c r="AG184" i="2"/>
  <c r="AF184" i="2"/>
  <c r="AE184" i="2"/>
  <c r="AD184" i="2"/>
  <c r="AC184" i="2"/>
  <c r="AA184" i="2"/>
  <c r="AB184" i="2" s="1"/>
  <c r="Z184" i="2"/>
  <c r="Y184" i="2"/>
  <c r="X184" i="2"/>
  <c r="W184" i="2"/>
  <c r="V184" i="2"/>
  <c r="U184" i="2"/>
  <c r="T184" i="2"/>
  <c r="S184" i="2"/>
  <c r="R184" i="2"/>
  <c r="Q184" i="2"/>
  <c r="P184" i="2"/>
  <c r="N184" i="2"/>
  <c r="O184" i="2" s="1"/>
  <c r="M184" i="2"/>
  <c r="L184" i="2"/>
  <c r="K184" i="2"/>
  <c r="J184" i="2"/>
  <c r="I184" i="2"/>
  <c r="H184" i="2"/>
  <c r="G184" i="2"/>
  <c r="F184" i="2"/>
  <c r="E184" i="2"/>
  <c r="D184" i="2"/>
  <c r="C184" i="2"/>
  <c r="FI183" i="2"/>
  <c r="FO183" i="2" s="1"/>
  <c r="FH183" i="2"/>
  <c r="FG183" i="2"/>
  <c r="FF183" i="2"/>
  <c r="FE183" i="2"/>
  <c r="FD183" i="2"/>
  <c r="FC183" i="2"/>
  <c r="FB183" i="2"/>
  <c r="FA183" i="2"/>
  <c r="EZ183" i="2"/>
  <c r="EY183" i="2"/>
  <c r="EX183" i="2"/>
  <c r="EW183" i="2"/>
  <c r="EV183" i="2"/>
  <c r="EU183" i="2"/>
  <c r="ET183" i="2"/>
  <c r="ES183" i="2"/>
  <c r="ER183" i="2"/>
  <c r="EQ183" i="2"/>
  <c r="EP183" i="2"/>
  <c r="EO183" i="2"/>
  <c r="EN183" i="2"/>
  <c r="EM183" i="2"/>
  <c r="EL183" i="2"/>
  <c r="EK183" i="2"/>
  <c r="EJ183" i="2"/>
  <c r="EI183" i="2"/>
  <c r="EH183" i="2"/>
  <c r="EG183" i="2"/>
  <c r="EF183" i="2"/>
  <c r="EE183" i="2"/>
  <c r="ED183" i="2"/>
  <c r="EC183" i="2"/>
  <c r="EA183" i="2"/>
  <c r="EB183" i="2" s="1"/>
  <c r="DZ183" i="2"/>
  <c r="DY183" i="2"/>
  <c r="DX183" i="2"/>
  <c r="DW183" i="2"/>
  <c r="DV183" i="2"/>
  <c r="DU183" i="2"/>
  <c r="DT183" i="2"/>
  <c r="DS183" i="2"/>
  <c r="DR183" i="2"/>
  <c r="DQ183" i="2"/>
  <c r="DP183" i="2"/>
  <c r="DN183" i="2"/>
  <c r="DO183" i="2" s="1"/>
  <c r="DM183" i="2"/>
  <c r="DL183" i="2"/>
  <c r="DK183" i="2"/>
  <c r="DJ183" i="2"/>
  <c r="DI183" i="2"/>
  <c r="DH183" i="2"/>
  <c r="DG183" i="2"/>
  <c r="DF183" i="2"/>
  <c r="DE183" i="2"/>
  <c r="DD183" i="2"/>
  <c r="DC183" i="2"/>
  <c r="DA183" i="2"/>
  <c r="DB183" i="2" s="1"/>
  <c r="CZ183" i="2"/>
  <c r="CY183" i="2"/>
  <c r="CX183" i="2"/>
  <c r="CW183" i="2"/>
  <c r="CV183" i="2"/>
  <c r="CU183" i="2"/>
  <c r="CT183" i="2"/>
  <c r="CS183" i="2"/>
  <c r="CR183" i="2"/>
  <c r="CQ183" i="2"/>
  <c r="CP183" i="2"/>
  <c r="CN183" i="2"/>
  <c r="CO183" i="2" s="1"/>
  <c r="CM183" i="2"/>
  <c r="CL183" i="2"/>
  <c r="CK183" i="2"/>
  <c r="CJ183" i="2"/>
  <c r="CI183" i="2"/>
  <c r="CH183" i="2"/>
  <c r="CG183" i="2"/>
  <c r="CF183" i="2"/>
  <c r="CE183" i="2"/>
  <c r="CD183" i="2"/>
  <c r="CC183" i="2"/>
  <c r="CB183" i="2"/>
  <c r="CA183" i="2"/>
  <c r="BZ183" i="2"/>
  <c r="BY183" i="2"/>
  <c r="BX183" i="2"/>
  <c r="BW183" i="2"/>
  <c r="BV183" i="2"/>
  <c r="BU183" i="2"/>
  <c r="BT183" i="2"/>
  <c r="BS183" i="2"/>
  <c r="BR183" i="2"/>
  <c r="BQ183" i="2"/>
  <c r="BP183" i="2"/>
  <c r="BN183" i="2"/>
  <c r="BO183" i="2" s="1"/>
  <c r="BM183" i="2"/>
  <c r="BL183" i="2"/>
  <c r="BK183" i="2"/>
  <c r="BJ183" i="2"/>
  <c r="BI183" i="2"/>
  <c r="BH183" i="2"/>
  <c r="BG183" i="2"/>
  <c r="BF183" i="2"/>
  <c r="BE183" i="2"/>
  <c r="BD183" i="2"/>
  <c r="BC183" i="2"/>
  <c r="BA183" i="2"/>
  <c r="BB183" i="2" s="1"/>
  <c r="AZ183" i="2"/>
  <c r="AY183" i="2"/>
  <c r="AX183" i="2"/>
  <c r="AW183" i="2"/>
  <c r="AV183" i="2"/>
  <c r="AU183" i="2"/>
  <c r="AT183" i="2"/>
  <c r="AS183" i="2"/>
  <c r="AR183" i="2"/>
  <c r="AQ183" i="2"/>
  <c r="AP183" i="2"/>
  <c r="AO183" i="2"/>
  <c r="AN183" i="2"/>
  <c r="AM183" i="2"/>
  <c r="AL183" i="2"/>
  <c r="AK183" i="2"/>
  <c r="AJ183" i="2"/>
  <c r="AI183" i="2"/>
  <c r="AH183" i="2"/>
  <c r="AG183" i="2"/>
  <c r="AF183" i="2"/>
  <c r="AE183" i="2"/>
  <c r="AD183" i="2"/>
  <c r="AC183" i="2"/>
  <c r="AA183" i="2"/>
  <c r="AB183" i="2" s="1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FI182" i="2"/>
  <c r="FO182" i="2" s="1"/>
  <c r="FH182" i="2"/>
  <c r="FG182" i="2"/>
  <c r="FF182" i="2"/>
  <c r="FE182" i="2"/>
  <c r="FD182" i="2"/>
  <c r="FC182" i="2"/>
  <c r="FA182" i="2"/>
  <c r="FB182" i="2" s="1"/>
  <c r="EZ182" i="2"/>
  <c r="EY182" i="2"/>
  <c r="EX182" i="2"/>
  <c r="EW182" i="2"/>
  <c r="EV182" i="2"/>
  <c r="EU182" i="2"/>
  <c r="ET182" i="2"/>
  <c r="ES182" i="2"/>
  <c r="ER182" i="2"/>
  <c r="EQ182" i="2"/>
  <c r="EP182" i="2"/>
  <c r="EO182" i="2"/>
  <c r="EN182" i="2"/>
  <c r="EM182" i="2"/>
  <c r="EL182" i="2"/>
  <c r="EK182" i="2"/>
  <c r="EJ182" i="2"/>
  <c r="EI182" i="2"/>
  <c r="EH182" i="2"/>
  <c r="EG182" i="2"/>
  <c r="EF182" i="2"/>
  <c r="EE182" i="2"/>
  <c r="ED182" i="2"/>
  <c r="EC182" i="2"/>
  <c r="EA182" i="2"/>
  <c r="EB182" i="2" s="1"/>
  <c r="DZ182" i="2"/>
  <c r="DY182" i="2"/>
  <c r="DX182" i="2"/>
  <c r="DW182" i="2"/>
  <c r="DV182" i="2"/>
  <c r="DU182" i="2"/>
  <c r="DT182" i="2"/>
  <c r="DS182" i="2"/>
  <c r="DR182" i="2"/>
  <c r="DQ182" i="2"/>
  <c r="DP182" i="2"/>
  <c r="DN182" i="2"/>
  <c r="DO182" i="2" s="1"/>
  <c r="DM182" i="2"/>
  <c r="DL182" i="2"/>
  <c r="DK182" i="2"/>
  <c r="DJ182" i="2"/>
  <c r="DI182" i="2"/>
  <c r="DH182" i="2"/>
  <c r="DG182" i="2"/>
  <c r="DF182" i="2"/>
  <c r="DE182" i="2"/>
  <c r="DD182" i="2"/>
  <c r="DC182" i="2"/>
  <c r="DB182" i="2"/>
  <c r="DA182" i="2"/>
  <c r="CZ182" i="2"/>
  <c r="CY182" i="2"/>
  <c r="CX182" i="2"/>
  <c r="CW182" i="2"/>
  <c r="CV182" i="2"/>
  <c r="CU182" i="2"/>
  <c r="CT182" i="2"/>
  <c r="CS182" i="2"/>
  <c r="CR182" i="2"/>
  <c r="CQ182" i="2"/>
  <c r="CP182" i="2"/>
  <c r="CN182" i="2"/>
  <c r="CO182" i="2" s="1"/>
  <c r="CM182" i="2"/>
  <c r="CL182" i="2"/>
  <c r="CK182" i="2"/>
  <c r="CJ182" i="2"/>
  <c r="CI182" i="2"/>
  <c r="CH182" i="2"/>
  <c r="CG182" i="2"/>
  <c r="CF182" i="2"/>
  <c r="CE182" i="2"/>
  <c r="CD182" i="2"/>
  <c r="CC182" i="2"/>
  <c r="CA182" i="2"/>
  <c r="CB182" i="2" s="1"/>
  <c r="BZ182" i="2"/>
  <c r="BY182" i="2"/>
  <c r="BX182" i="2"/>
  <c r="BW182" i="2"/>
  <c r="BV182" i="2"/>
  <c r="BU182" i="2"/>
  <c r="BT182" i="2"/>
  <c r="BS182" i="2"/>
  <c r="BR182" i="2"/>
  <c r="BQ182" i="2"/>
  <c r="BP182" i="2"/>
  <c r="BN182" i="2"/>
  <c r="BO182" i="2" s="1"/>
  <c r="BM182" i="2"/>
  <c r="BL182" i="2"/>
  <c r="BK182" i="2"/>
  <c r="BJ182" i="2"/>
  <c r="BI182" i="2"/>
  <c r="BH182" i="2"/>
  <c r="BG182" i="2"/>
  <c r="BF182" i="2"/>
  <c r="BE182" i="2"/>
  <c r="BD182" i="2"/>
  <c r="BC182" i="2"/>
  <c r="BA182" i="2"/>
  <c r="BB182" i="2" s="1"/>
  <c r="AZ182" i="2"/>
  <c r="AY182" i="2"/>
  <c r="AX182" i="2"/>
  <c r="AW182" i="2"/>
  <c r="AV182" i="2"/>
  <c r="AU182" i="2"/>
  <c r="AT182" i="2"/>
  <c r="AS182" i="2"/>
  <c r="AR182" i="2"/>
  <c r="AQ182" i="2"/>
  <c r="AP182" i="2"/>
  <c r="AN182" i="2"/>
  <c r="AO182" i="2" s="1"/>
  <c r="AM182" i="2"/>
  <c r="AL182" i="2"/>
  <c r="AK182" i="2"/>
  <c r="AJ182" i="2"/>
  <c r="AI182" i="2"/>
  <c r="AH182" i="2"/>
  <c r="AG182" i="2"/>
  <c r="AF182" i="2"/>
  <c r="AE182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N182" i="2"/>
  <c r="O182" i="2" s="1"/>
  <c r="M182" i="2"/>
  <c r="L182" i="2"/>
  <c r="K182" i="2"/>
  <c r="J182" i="2"/>
  <c r="I182" i="2"/>
  <c r="H182" i="2"/>
  <c r="G182" i="2"/>
  <c r="F182" i="2"/>
  <c r="E182" i="2"/>
  <c r="D182" i="2"/>
  <c r="C182" i="2"/>
  <c r="FI181" i="2"/>
  <c r="FO181" i="2" s="1"/>
  <c r="FH181" i="2"/>
  <c r="FG181" i="2"/>
  <c r="FF181" i="2"/>
  <c r="FE181" i="2"/>
  <c r="FD181" i="2"/>
  <c r="FC181" i="2"/>
  <c r="FA181" i="2"/>
  <c r="FB181" i="2" s="1"/>
  <c r="EZ181" i="2"/>
  <c r="EY181" i="2"/>
  <c r="EX181" i="2"/>
  <c r="EW181" i="2"/>
  <c r="EV181" i="2"/>
  <c r="EU181" i="2"/>
  <c r="ET181" i="2"/>
  <c r="ES181" i="2"/>
  <c r="ER181" i="2"/>
  <c r="EQ181" i="2"/>
  <c r="EP181" i="2"/>
  <c r="EN181" i="2"/>
  <c r="EO181" i="2" s="1"/>
  <c r="EM181" i="2"/>
  <c r="EL181" i="2"/>
  <c r="EK181" i="2"/>
  <c r="EJ181" i="2"/>
  <c r="EI181" i="2"/>
  <c r="EH181" i="2"/>
  <c r="EG181" i="2"/>
  <c r="EF181" i="2"/>
  <c r="EE181" i="2"/>
  <c r="ED181" i="2"/>
  <c r="EC181" i="2"/>
  <c r="EB181" i="2"/>
  <c r="EA181" i="2"/>
  <c r="DZ181" i="2"/>
  <c r="DY181" i="2"/>
  <c r="DX181" i="2"/>
  <c r="DW181" i="2"/>
  <c r="DV181" i="2"/>
  <c r="DU181" i="2"/>
  <c r="DT181" i="2"/>
  <c r="DS181" i="2"/>
  <c r="DR181" i="2"/>
  <c r="DQ181" i="2"/>
  <c r="DP181" i="2"/>
  <c r="DN181" i="2"/>
  <c r="DO181" i="2" s="1"/>
  <c r="DM181" i="2"/>
  <c r="DL181" i="2"/>
  <c r="DK181" i="2"/>
  <c r="DJ181" i="2"/>
  <c r="DI181" i="2"/>
  <c r="DH181" i="2"/>
  <c r="DG181" i="2"/>
  <c r="DF181" i="2"/>
  <c r="DE181" i="2"/>
  <c r="DD181" i="2"/>
  <c r="DC181" i="2"/>
  <c r="DB181" i="2"/>
  <c r="DA181" i="2"/>
  <c r="CZ181" i="2"/>
  <c r="CY181" i="2"/>
  <c r="CX181" i="2"/>
  <c r="CW181" i="2"/>
  <c r="CV181" i="2"/>
  <c r="CU181" i="2"/>
  <c r="CT181" i="2"/>
  <c r="CS181" i="2"/>
  <c r="CR181" i="2"/>
  <c r="CQ181" i="2"/>
  <c r="CP181" i="2"/>
  <c r="CN181" i="2"/>
  <c r="CO181" i="2" s="1"/>
  <c r="CM181" i="2"/>
  <c r="CL181" i="2"/>
  <c r="CK181" i="2"/>
  <c r="CJ181" i="2"/>
  <c r="CI181" i="2"/>
  <c r="CH181" i="2"/>
  <c r="CG181" i="2"/>
  <c r="CF181" i="2"/>
  <c r="CE181" i="2"/>
  <c r="CD181" i="2"/>
  <c r="CC181" i="2"/>
  <c r="CA181" i="2"/>
  <c r="CB181" i="2" s="1"/>
  <c r="BZ181" i="2"/>
  <c r="BY181" i="2"/>
  <c r="BX181" i="2"/>
  <c r="BW181" i="2"/>
  <c r="BV181" i="2"/>
  <c r="BU181" i="2"/>
  <c r="BT181" i="2"/>
  <c r="BS181" i="2"/>
  <c r="BR181" i="2"/>
  <c r="BQ181" i="2"/>
  <c r="BP181" i="2"/>
  <c r="BN181" i="2"/>
  <c r="BO181" i="2" s="1"/>
  <c r="BM181" i="2"/>
  <c r="BL181" i="2"/>
  <c r="BK181" i="2"/>
  <c r="BJ181" i="2"/>
  <c r="BI181" i="2"/>
  <c r="BH181" i="2"/>
  <c r="BG181" i="2"/>
  <c r="BF181" i="2"/>
  <c r="BE181" i="2"/>
  <c r="BD181" i="2"/>
  <c r="BC181" i="2"/>
  <c r="BA181" i="2"/>
  <c r="BB181" i="2" s="1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A181" i="2"/>
  <c r="AB181" i="2" s="1"/>
  <c r="Z181" i="2"/>
  <c r="Y181" i="2"/>
  <c r="X181" i="2"/>
  <c r="W181" i="2"/>
  <c r="V181" i="2"/>
  <c r="U181" i="2"/>
  <c r="T181" i="2"/>
  <c r="S181" i="2"/>
  <c r="R181" i="2"/>
  <c r="Q181" i="2"/>
  <c r="P181" i="2"/>
  <c r="N181" i="2"/>
  <c r="O181" i="2" s="1"/>
  <c r="M181" i="2"/>
  <c r="L181" i="2"/>
  <c r="K181" i="2"/>
  <c r="J181" i="2"/>
  <c r="I181" i="2"/>
  <c r="H181" i="2"/>
  <c r="G181" i="2"/>
  <c r="F181" i="2"/>
  <c r="E181" i="2"/>
  <c r="D181" i="2"/>
  <c r="C181" i="2"/>
  <c r="FI180" i="2"/>
  <c r="FO180" i="2" s="1"/>
  <c r="FH180" i="2"/>
  <c r="FG180" i="2"/>
  <c r="FF180" i="2"/>
  <c r="FE180" i="2"/>
  <c r="FD180" i="2"/>
  <c r="FC180" i="2"/>
  <c r="FB180" i="2"/>
  <c r="FA180" i="2"/>
  <c r="EZ180" i="2"/>
  <c r="EY180" i="2"/>
  <c r="EX180" i="2"/>
  <c r="EW180" i="2"/>
  <c r="EV180" i="2"/>
  <c r="EU180" i="2"/>
  <c r="ET180" i="2"/>
  <c r="ES180" i="2"/>
  <c r="ER180" i="2"/>
  <c r="EQ180" i="2"/>
  <c r="EP180" i="2"/>
  <c r="EN180" i="2"/>
  <c r="EO180" i="2" s="1"/>
  <c r="EM180" i="2"/>
  <c r="EL180" i="2"/>
  <c r="EK180" i="2"/>
  <c r="EJ180" i="2"/>
  <c r="EI180" i="2"/>
  <c r="EH180" i="2"/>
  <c r="EG180" i="2"/>
  <c r="EF180" i="2"/>
  <c r="EE180" i="2"/>
  <c r="ED180" i="2"/>
  <c r="EC180" i="2"/>
  <c r="EA180" i="2"/>
  <c r="EB180" i="2" s="1"/>
  <c r="DZ180" i="2"/>
  <c r="DY180" i="2"/>
  <c r="DX180" i="2"/>
  <c r="DW180" i="2"/>
  <c r="DV180" i="2"/>
  <c r="DU180" i="2"/>
  <c r="DT180" i="2"/>
  <c r="DS180" i="2"/>
  <c r="DR180" i="2"/>
  <c r="DQ180" i="2"/>
  <c r="DP180" i="2"/>
  <c r="DN180" i="2"/>
  <c r="DO180" i="2" s="1"/>
  <c r="DM180" i="2"/>
  <c r="DL180" i="2"/>
  <c r="DK180" i="2"/>
  <c r="DJ180" i="2"/>
  <c r="DI180" i="2"/>
  <c r="DH180" i="2"/>
  <c r="DG180" i="2"/>
  <c r="DF180" i="2"/>
  <c r="DE180" i="2"/>
  <c r="DD180" i="2"/>
  <c r="DC180" i="2"/>
  <c r="DA180" i="2"/>
  <c r="DB180" i="2" s="1"/>
  <c r="CZ180" i="2"/>
  <c r="CY180" i="2"/>
  <c r="CX180" i="2"/>
  <c r="CW180" i="2"/>
  <c r="CV180" i="2"/>
  <c r="CU180" i="2"/>
  <c r="CT180" i="2"/>
  <c r="CS180" i="2"/>
  <c r="CR180" i="2"/>
  <c r="CQ180" i="2"/>
  <c r="CP180" i="2"/>
  <c r="CN180" i="2"/>
  <c r="CO180" i="2" s="1"/>
  <c r="CM180" i="2"/>
  <c r="CL180" i="2"/>
  <c r="CK180" i="2"/>
  <c r="CJ180" i="2"/>
  <c r="CI180" i="2"/>
  <c r="CH180" i="2"/>
  <c r="CG180" i="2"/>
  <c r="CF180" i="2"/>
  <c r="CE180" i="2"/>
  <c r="CD180" i="2"/>
  <c r="CC180" i="2"/>
  <c r="CB180" i="2"/>
  <c r="CA180" i="2"/>
  <c r="BZ180" i="2"/>
  <c r="BY180" i="2"/>
  <c r="BX180" i="2"/>
  <c r="BW180" i="2"/>
  <c r="BV180" i="2"/>
  <c r="BU180" i="2"/>
  <c r="BT180" i="2"/>
  <c r="BS180" i="2"/>
  <c r="BR180" i="2"/>
  <c r="BQ180" i="2"/>
  <c r="BP180" i="2"/>
  <c r="BN180" i="2"/>
  <c r="BO180" i="2" s="1"/>
  <c r="BM180" i="2"/>
  <c r="BL180" i="2"/>
  <c r="BK180" i="2"/>
  <c r="BJ180" i="2"/>
  <c r="BI180" i="2"/>
  <c r="BH180" i="2"/>
  <c r="BG180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N180" i="2"/>
  <c r="AO180" i="2" s="1"/>
  <c r="AM180" i="2"/>
  <c r="AL180" i="2"/>
  <c r="AK180" i="2"/>
  <c r="AJ180" i="2"/>
  <c r="AI180" i="2"/>
  <c r="AH180" i="2"/>
  <c r="AG180" i="2"/>
  <c r="AF180" i="2"/>
  <c r="AE180" i="2"/>
  <c r="AD180" i="2"/>
  <c r="AC180" i="2"/>
  <c r="AA180" i="2"/>
  <c r="AB180" i="2" s="1"/>
  <c r="Z180" i="2"/>
  <c r="Y180" i="2"/>
  <c r="X180" i="2"/>
  <c r="W180" i="2"/>
  <c r="V180" i="2"/>
  <c r="U180" i="2"/>
  <c r="T180" i="2"/>
  <c r="S180" i="2"/>
  <c r="R180" i="2"/>
  <c r="Q180" i="2"/>
  <c r="P180" i="2"/>
  <c r="N180" i="2"/>
  <c r="O180" i="2" s="1"/>
  <c r="M180" i="2"/>
  <c r="L180" i="2"/>
  <c r="K180" i="2"/>
  <c r="J180" i="2"/>
  <c r="I180" i="2"/>
  <c r="H180" i="2"/>
  <c r="G180" i="2"/>
  <c r="F180" i="2"/>
  <c r="E180" i="2"/>
  <c r="D180" i="2"/>
  <c r="C180" i="2"/>
  <c r="FI179" i="2"/>
  <c r="FO179" i="2" s="1"/>
  <c r="FH179" i="2"/>
  <c r="FG179" i="2"/>
  <c r="FF179" i="2"/>
  <c r="FE179" i="2"/>
  <c r="FD179" i="2"/>
  <c r="FC179" i="2"/>
  <c r="FB179" i="2"/>
  <c r="FA179" i="2"/>
  <c r="EZ179" i="2"/>
  <c r="EY179" i="2"/>
  <c r="EX179" i="2"/>
  <c r="EW179" i="2"/>
  <c r="EV179" i="2"/>
  <c r="EU179" i="2"/>
  <c r="ET179" i="2"/>
  <c r="ES179" i="2"/>
  <c r="ER179" i="2"/>
  <c r="EQ179" i="2"/>
  <c r="EP179" i="2"/>
  <c r="EN179" i="2"/>
  <c r="EO179" i="2" s="1"/>
  <c r="EM179" i="2"/>
  <c r="EL179" i="2"/>
  <c r="EK179" i="2"/>
  <c r="EJ179" i="2"/>
  <c r="EI179" i="2"/>
  <c r="EH179" i="2"/>
  <c r="EG179" i="2"/>
  <c r="EF179" i="2"/>
  <c r="EE179" i="2"/>
  <c r="ED179" i="2"/>
  <c r="EC179" i="2"/>
  <c r="EA179" i="2"/>
  <c r="EB179" i="2" s="1"/>
  <c r="DZ179" i="2"/>
  <c r="DY179" i="2"/>
  <c r="DX179" i="2"/>
  <c r="DW179" i="2"/>
  <c r="DV179" i="2"/>
  <c r="DU179" i="2"/>
  <c r="DT179" i="2"/>
  <c r="DS179" i="2"/>
  <c r="DR179" i="2"/>
  <c r="DQ179" i="2"/>
  <c r="DP179" i="2"/>
  <c r="DN179" i="2"/>
  <c r="DO179" i="2" s="1"/>
  <c r="DM179" i="2"/>
  <c r="DL179" i="2"/>
  <c r="DK179" i="2"/>
  <c r="DJ179" i="2"/>
  <c r="DI179" i="2"/>
  <c r="DH179" i="2"/>
  <c r="DG179" i="2"/>
  <c r="DF179" i="2"/>
  <c r="DE179" i="2"/>
  <c r="DD179" i="2"/>
  <c r="DC179" i="2"/>
  <c r="DA179" i="2"/>
  <c r="DB179" i="2" s="1"/>
  <c r="CZ179" i="2"/>
  <c r="CY179" i="2"/>
  <c r="CX179" i="2"/>
  <c r="CW179" i="2"/>
  <c r="CV179" i="2"/>
  <c r="CU179" i="2"/>
  <c r="CT179" i="2"/>
  <c r="CS179" i="2"/>
  <c r="CR179" i="2"/>
  <c r="CQ179" i="2"/>
  <c r="CP179" i="2"/>
  <c r="CN179" i="2"/>
  <c r="CO179" i="2" s="1"/>
  <c r="CM179" i="2"/>
  <c r="CL179" i="2"/>
  <c r="CK179" i="2"/>
  <c r="CJ179" i="2"/>
  <c r="CI179" i="2"/>
  <c r="CH179" i="2"/>
  <c r="CG179" i="2"/>
  <c r="CF179" i="2"/>
  <c r="CE179" i="2"/>
  <c r="CD179" i="2"/>
  <c r="CC179" i="2"/>
  <c r="CA179" i="2"/>
  <c r="CB179" i="2" s="1"/>
  <c r="BZ179" i="2"/>
  <c r="BY179" i="2"/>
  <c r="BX179" i="2"/>
  <c r="BW179" i="2"/>
  <c r="BV179" i="2"/>
  <c r="BU179" i="2"/>
  <c r="BT179" i="2"/>
  <c r="BS179" i="2"/>
  <c r="BR179" i="2"/>
  <c r="BQ179" i="2"/>
  <c r="BP179" i="2"/>
  <c r="BN179" i="2"/>
  <c r="BO179" i="2" s="1"/>
  <c r="BM179" i="2"/>
  <c r="BL179" i="2"/>
  <c r="BK179" i="2"/>
  <c r="BJ179" i="2"/>
  <c r="BI179" i="2"/>
  <c r="BH179" i="2"/>
  <c r="BG179" i="2"/>
  <c r="BF179" i="2"/>
  <c r="BE179" i="2"/>
  <c r="BD179" i="2"/>
  <c r="BC179" i="2"/>
  <c r="BA179" i="2"/>
  <c r="BB179" i="2" s="1"/>
  <c r="AZ179" i="2"/>
  <c r="AY179" i="2"/>
  <c r="AX179" i="2"/>
  <c r="AW179" i="2"/>
  <c r="AV179" i="2"/>
  <c r="AU179" i="2"/>
  <c r="AT179" i="2"/>
  <c r="AS179" i="2"/>
  <c r="AR179" i="2"/>
  <c r="AQ179" i="2"/>
  <c r="AP179" i="2"/>
  <c r="AN179" i="2"/>
  <c r="AO179" i="2" s="1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N179" i="2"/>
  <c r="O179" i="2" s="1"/>
  <c r="M179" i="2"/>
  <c r="L179" i="2"/>
  <c r="K179" i="2"/>
  <c r="J179" i="2"/>
  <c r="I179" i="2"/>
  <c r="H179" i="2"/>
  <c r="G179" i="2"/>
  <c r="F179" i="2"/>
  <c r="E179" i="2"/>
  <c r="D179" i="2"/>
  <c r="C179" i="2"/>
  <c r="FO178" i="2"/>
  <c r="FI178" i="2"/>
  <c r="FH178" i="2"/>
  <c r="FG178" i="2"/>
  <c r="FF178" i="2"/>
  <c r="FE178" i="2"/>
  <c r="FD178" i="2"/>
  <c r="FC178" i="2"/>
  <c r="FA178" i="2"/>
  <c r="FB178" i="2" s="1"/>
  <c r="EZ178" i="2"/>
  <c r="EY178" i="2"/>
  <c r="EX178" i="2"/>
  <c r="EW178" i="2"/>
  <c r="EV178" i="2"/>
  <c r="EU178" i="2"/>
  <c r="ET178" i="2"/>
  <c r="ES178" i="2"/>
  <c r="ER178" i="2"/>
  <c r="EQ178" i="2"/>
  <c r="EP178" i="2"/>
  <c r="EN178" i="2"/>
  <c r="EO178" i="2" s="1"/>
  <c r="EM178" i="2"/>
  <c r="EL178" i="2"/>
  <c r="EK178" i="2"/>
  <c r="EJ178" i="2"/>
  <c r="EI178" i="2"/>
  <c r="EH178" i="2"/>
  <c r="EG178" i="2"/>
  <c r="EF178" i="2"/>
  <c r="EE178" i="2"/>
  <c r="ED178" i="2"/>
  <c r="EC178" i="2"/>
  <c r="EA178" i="2"/>
  <c r="EB178" i="2" s="1"/>
  <c r="DZ178" i="2"/>
  <c r="DY178" i="2"/>
  <c r="DX178" i="2"/>
  <c r="DW178" i="2"/>
  <c r="DV178" i="2"/>
  <c r="DU178" i="2"/>
  <c r="DT178" i="2"/>
  <c r="DS178" i="2"/>
  <c r="DR178" i="2"/>
  <c r="DQ178" i="2"/>
  <c r="DP178" i="2"/>
  <c r="DN178" i="2"/>
  <c r="DO178" i="2" s="1"/>
  <c r="DM178" i="2"/>
  <c r="DL178" i="2"/>
  <c r="DK178" i="2"/>
  <c r="DJ178" i="2"/>
  <c r="DI178" i="2"/>
  <c r="DH178" i="2"/>
  <c r="DG178" i="2"/>
  <c r="DF178" i="2"/>
  <c r="DE178" i="2"/>
  <c r="DD178" i="2"/>
  <c r="DC178" i="2"/>
  <c r="DB178" i="2"/>
  <c r="DA178" i="2"/>
  <c r="CZ178" i="2"/>
  <c r="CY178" i="2"/>
  <c r="CX178" i="2"/>
  <c r="CW178" i="2"/>
  <c r="CV178" i="2"/>
  <c r="CU178" i="2"/>
  <c r="CT178" i="2"/>
  <c r="CS178" i="2"/>
  <c r="CR178" i="2"/>
  <c r="CQ178" i="2"/>
  <c r="CP178" i="2"/>
  <c r="CN178" i="2"/>
  <c r="CO178" i="2" s="1"/>
  <c r="CM178" i="2"/>
  <c r="CL178" i="2"/>
  <c r="CK178" i="2"/>
  <c r="CJ178" i="2"/>
  <c r="CI178" i="2"/>
  <c r="CH178" i="2"/>
  <c r="CG178" i="2"/>
  <c r="CF178" i="2"/>
  <c r="CE178" i="2"/>
  <c r="CD178" i="2"/>
  <c r="CC178" i="2"/>
  <c r="CA178" i="2"/>
  <c r="CB178" i="2" s="1"/>
  <c r="BZ178" i="2"/>
  <c r="BY178" i="2"/>
  <c r="BX178" i="2"/>
  <c r="BW178" i="2"/>
  <c r="BV178" i="2"/>
  <c r="BU178" i="2"/>
  <c r="BT178" i="2"/>
  <c r="BS178" i="2"/>
  <c r="BR178" i="2"/>
  <c r="BQ178" i="2"/>
  <c r="BP178" i="2"/>
  <c r="BN178" i="2"/>
  <c r="BO178" i="2" s="1"/>
  <c r="BM178" i="2"/>
  <c r="BL178" i="2"/>
  <c r="BK178" i="2"/>
  <c r="BJ178" i="2"/>
  <c r="BI178" i="2"/>
  <c r="BH178" i="2"/>
  <c r="BG178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A178" i="2"/>
  <c r="AB178" i="2" s="1"/>
  <c r="Z178" i="2"/>
  <c r="Y178" i="2"/>
  <c r="X178" i="2"/>
  <c r="W178" i="2"/>
  <c r="V178" i="2"/>
  <c r="U178" i="2"/>
  <c r="T178" i="2"/>
  <c r="S178" i="2"/>
  <c r="R178" i="2"/>
  <c r="Q178" i="2"/>
  <c r="P178" i="2"/>
  <c r="N178" i="2"/>
  <c r="O178" i="2" s="1"/>
  <c r="M178" i="2"/>
  <c r="L178" i="2"/>
  <c r="K178" i="2"/>
  <c r="J178" i="2"/>
  <c r="I178" i="2"/>
  <c r="H178" i="2"/>
  <c r="G178" i="2"/>
  <c r="F178" i="2"/>
  <c r="E178" i="2"/>
  <c r="D178" i="2"/>
  <c r="C178" i="2"/>
  <c r="FI177" i="2"/>
  <c r="FO177" i="2" s="1"/>
  <c r="FH177" i="2"/>
  <c r="FG177" i="2"/>
  <c r="FF177" i="2"/>
  <c r="FE177" i="2"/>
  <c r="FD177" i="2"/>
  <c r="FC177" i="2"/>
  <c r="FA177" i="2"/>
  <c r="FB177" i="2" s="1"/>
  <c r="EZ177" i="2"/>
  <c r="EY177" i="2"/>
  <c r="EX177" i="2"/>
  <c r="EW177" i="2"/>
  <c r="EV177" i="2"/>
  <c r="EU177" i="2"/>
  <c r="ET177" i="2"/>
  <c r="ES177" i="2"/>
  <c r="ER177" i="2"/>
  <c r="EQ177" i="2"/>
  <c r="EP177" i="2"/>
  <c r="EO177" i="2"/>
  <c r="EN177" i="2"/>
  <c r="EM177" i="2"/>
  <c r="EL177" i="2"/>
  <c r="EK177" i="2"/>
  <c r="EJ177" i="2"/>
  <c r="EI177" i="2"/>
  <c r="EH177" i="2"/>
  <c r="EG177" i="2"/>
  <c r="EF177" i="2"/>
  <c r="EE177" i="2"/>
  <c r="ED177" i="2"/>
  <c r="EC177" i="2"/>
  <c r="EB177" i="2"/>
  <c r="EA177" i="2"/>
  <c r="DZ177" i="2"/>
  <c r="DY177" i="2"/>
  <c r="DX177" i="2"/>
  <c r="DW177" i="2"/>
  <c r="DV177" i="2"/>
  <c r="DU177" i="2"/>
  <c r="DT177" i="2"/>
  <c r="DS177" i="2"/>
  <c r="DR177" i="2"/>
  <c r="DQ177" i="2"/>
  <c r="DP177" i="2"/>
  <c r="DN177" i="2"/>
  <c r="DO177" i="2" s="1"/>
  <c r="DM177" i="2"/>
  <c r="DL177" i="2"/>
  <c r="DK177" i="2"/>
  <c r="DJ177" i="2"/>
  <c r="DI177" i="2"/>
  <c r="DH177" i="2"/>
  <c r="DG177" i="2"/>
  <c r="DF177" i="2"/>
  <c r="DE177" i="2"/>
  <c r="DD177" i="2"/>
  <c r="DC177" i="2"/>
  <c r="DA177" i="2"/>
  <c r="DB177" i="2" s="1"/>
  <c r="CZ177" i="2"/>
  <c r="CY177" i="2"/>
  <c r="CX177" i="2"/>
  <c r="CW177" i="2"/>
  <c r="CV177" i="2"/>
  <c r="CU177" i="2"/>
  <c r="CT177" i="2"/>
  <c r="CS177" i="2"/>
  <c r="CR177" i="2"/>
  <c r="CQ177" i="2"/>
  <c r="CP177" i="2"/>
  <c r="CN177" i="2"/>
  <c r="CO177" i="2" s="1"/>
  <c r="CM177" i="2"/>
  <c r="CL177" i="2"/>
  <c r="CK177" i="2"/>
  <c r="CJ177" i="2"/>
  <c r="CI177" i="2"/>
  <c r="CH177" i="2"/>
  <c r="CG177" i="2"/>
  <c r="CF177" i="2"/>
  <c r="CE177" i="2"/>
  <c r="CD177" i="2"/>
  <c r="CC177" i="2"/>
  <c r="CB177" i="2"/>
  <c r="CA177" i="2"/>
  <c r="BZ177" i="2"/>
  <c r="BY177" i="2"/>
  <c r="BX177" i="2"/>
  <c r="BW177" i="2"/>
  <c r="BV177" i="2"/>
  <c r="BU177" i="2"/>
  <c r="BT177" i="2"/>
  <c r="BS177" i="2"/>
  <c r="BR177" i="2"/>
  <c r="BQ177" i="2"/>
  <c r="BP177" i="2"/>
  <c r="BN177" i="2"/>
  <c r="BO177" i="2" s="1"/>
  <c r="BM177" i="2"/>
  <c r="BL177" i="2"/>
  <c r="BK177" i="2"/>
  <c r="BJ177" i="2"/>
  <c r="BI177" i="2"/>
  <c r="BH177" i="2"/>
  <c r="BG177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N177" i="2"/>
  <c r="AO177" i="2" s="1"/>
  <c r="AM177" i="2"/>
  <c r="AL177" i="2"/>
  <c r="AK177" i="2"/>
  <c r="AJ177" i="2"/>
  <c r="AI177" i="2"/>
  <c r="AH177" i="2"/>
  <c r="AG177" i="2"/>
  <c r="AF177" i="2"/>
  <c r="AE177" i="2"/>
  <c r="AD177" i="2"/>
  <c r="AC177" i="2"/>
  <c r="AA177" i="2"/>
  <c r="AB177" i="2" s="1"/>
  <c r="Z177" i="2"/>
  <c r="Y177" i="2"/>
  <c r="X177" i="2"/>
  <c r="W177" i="2"/>
  <c r="V177" i="2"/>
  <c r="U177" i="2"/>
  <c r="T177" i="2"/>
  <c r="S177" i="2"/>
  <c r="R177" i="2"/>
  <c r="Q177" i="2"/>
  <c r="P177" i="2"/>
  <c r="N177" i="2"/>
  <c r="O177" i="2" s="1"/>
  <c r="M177" i="2"/>
  <c r="L177" i="2"/>
  <c r="K177" i="2"/>
  <c r="J177" i="2"/>
  <c r="I177" i="2"/>
  <c r="H177" i="2"/>
  <c r="G177" i="2"/>
  <c r="F177" i="2"/>
  <c r="E177" i="2"/>
  <c r="D177" i="2"/>
  <c r="C177" i="2"/>
  <c r="FI176" i="2"/>
  <c r="FO176" i="2" s="1"/>
  <c r="FH176" i="2"/>
  <c r="FG176" i="2"/>
  <c r="FF176" i="2"/>
  <c r="FE176" i="2"/>
  <c r="FD176" i="2"/>
  <c r="FC176" i="2"/>
  <c r="FA176" i="2"/>
  <c r="FB176" i="2" s="1"/>
  <c r="EZ176" i="2"/>
  <c r="EY176" i="2"/>
  <c r="EX176" i="2"/>
  <c r="EW176" i="2"/>
  <c r="EV176" i="2"/>
  <c r="EU176" i="2"/>
  <c r="ET176" i="2"/>
  <c r="ES176" i="2"/>
  <c r="ER176" i="2"/>
  <c r="EQ176" i="2"/>
  <c r="EP176" i="2"/>
  <c r="EN176" i="2"/>
  <c r="EO176" i="2" s="1"/>
  <c r="EM176" i="2"/>
  <c r="EL176" i="2"/>
  <c r="EK176" i="2"/>
  <c r="EJ176" i="2"/>
  <c r="EI176" i="2"/>
  <c r="EH176" i="2"/>
  <c r="EG176" i="2"/>
  <c r="EF176" i="2"/>
  <c r="EE176" i="2"/>
  <c r="ED176" i="2"/>
  <c r="EC176" i="2"/>
  <c r="EA176" i="2"/>
  <c r="EB176" i="2" s="1"/>
  <c r="DZ176" i="2"/>
  <c r="DY176" i="2"/>
  <c r="DX176" i="2"/>
  <c r="DW176" i="2"/>
  <c r="DV176" i="2"/>
  <c r="DU176" i="2"/>
  <c r="DT176" i="2"/>
  <c r="DS176" i="2"/>
  <c r="DR176" i="2"/>
  <c r="DQ176" i="2"/>
  <c r="DP176" i="2"/>
  <c r="DO176" i="2"/>
  <c r="DN176" i="2"/>
  <c r="DM176" i="2"/>
  <c r="DL176" i="2"/>
  <c r="DK176" i="2"/>
  <c r="DJ176" i="2"/>
  <c r="DI176" i="2"/>
  <c r="DH176" i="2"/>
  <c r="DG176" i="2"/>
  <c r="DF176" i="2"/>
  <c r="DE176" i="2"/>
  <c r="DD176" i="2"/>
  <c r="DC176" i="2"/>
  <c r="DB176" i="2"/>
  <c r="DA176" i="2"/>
  <c r="CZ176" i="2"/>
  <c r="CY176" i="2"/>
  <c r="CX176" i="2"/>
  <c r="CW176" i="2"/>
  <c r="CV176" i="2"/>
  <c r="CU176" i="2"/>
  <c r="CT176" i="2"/>
  <c r="CS176" i="2"/>
  <c r="CR176" i="2"/>
  <c r="CQ176" i="2"/>
  <c r="CP176" i="2"/>
  <c r="CO176" i="2"/>
  <c r="CN176" i="2"/>
  <c r="CM176" i="2"/>
  <c r="CL176" i="2"/>
  <c r="CK176" i="2"/>
  <c r="CJ176" i="2"/>
  <c r="CI176" i="2"/>
  <c r="CH176" i="2"/>
  <c r="CG176" i="2"/>
  <c r="CF176" i="2"/>
  <c r="CE176" i="2"/>
  <c r="CD176" i="2"/>
  <c r="CC176" i="2"/>
  <c r="CB176" i="2"/>
  <c r="CA176" i="2"/>
  <c r="BZ176" i="2"/>
  <c r="BY176" i="2"/>
  <c r="BX176" i="2"/>
  <c r="BW176" i="2"/>
  <c r="BV176" i="2"/>
  <c r="BU176" i="2"/>
  <c r="BT176" i="2"/>
  <c r="BS176" i="2"/>
  <c r="BR176" i="2"/>
  <c r="BQ176" i="2"/>
  <c r="BP176" i="2"/>
  <c r="BN176" i="2"/>
  <c r="BO176" i="2" s="1"/>
  <c r="BM176" i="2"/>
  <c r="BL176" i="2"/>
  <c r="BK176" i="2"/>
  <c r="BJ176" i="2"/>
  <c r="BI176" i="2"/>
  <c r="BH176" i="2"/>
  <c r="BG176" i="2"/>
  <c r="BF176" i="2"/>
  <c r="BE176" i="2"/>
  <c r="BD176" i="2"/>
  <c r="BC176" i="2"/>
  <c r="BA176" i="2"/>
  <c r="BB176" i="2" s="1"/>
  <c r="AZ176" i="2"/>
  <c r="AY176" i="2"/>
  <c r="AX176" i="2"/>
  <c r="AW176" i="2"/>
  <c r="AV176" i="2"/>
  <c r="AU176" i="2"/>
  <c r="AT176" i="2"/>
  <c r="AS176" i="2"/>
  <c r="AR176" i="2"/>
  <c r="AQ176" i="2"/>
  <c r="AP176" i="2"/>
  <c r="AN176" i="2"/>
  <c r="AO176" i="2" s="1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N176" i="2"/>
  <c r="O176" i="2" s="1"/>
  <c r="M176" i="2"/>
  <c r="L176" i="2"/>
  <c r="K176" i="2"/>
  <c r="J176" i="2"/>
  <c r="I176" i="2"/>
  <c r="H176" i="2"/>
  <c r="G176" i="2"/>
  <c r="F176" i="2"/>
  <c r="E176" i="2"/>
  <c r="D176" i="2"/>
  <c r="C176" i="2"/>
  <c r="FI175" i="2"/>
  <c r="FO175" i="2" s="1"/>
  <c r="FH175" i="2"/>
  <c r="FG175" i="2"/>
  <c r="FF175" i="2"/>
  <c r="FE175" i="2"/>
  <c r="FD175" i="2"/>
  <c r="FC175" i="2"/>
  <c r="FA175" i="2"/>
  <c r="FB175" i="2" s="1"/>
  <c r="EZ175" i="2"/>
  <c r="EY175" i="2"/>
  <c r="EX175" i="2"/>
  <c r="EW175" i="2"/>
  <c r="EV175" i="2"/>
  <c r="EU175" i="2"/>
  <c r="ET175" i="2"/>
  <c r="ES175" i="2"/>
  <c r="ER175" i="2"/>
  <c r="EQ175" i="2"/>
  <c r="EP175" i="2"/>
  <c r="EN175" i="2"/>
  <c r="EO175" i="2" s="1"/>
  <c r="EM175" i="2"/>
  <c r="EL175" i="2"/>
  <c r="EK175" i="2"/>
  <c r="EJ175" i="2"/>
  <c r="EI175" i="2"/>
  <c r="EH175" i="2"/>
  <c r="EG175" i="2"/>
  <c r="EF175" i="2"/>
  <c r="EE175" i="2"/>
  <c r="ED175" i="2"/>
  <c r="EC175" i="2"/>
  <c r="EB175" i="2"/>
  <c r="EA175" i="2"/>
  <c r="DZ175" i="2"/>
  <c r="DY175" i="2"/>
  <c r="DX175" i="2"/>
  <c r="DW175" i="2"/>
  <c r="DV175" i="2"/>
  <c r="DU175" i="2"/>
  <c r="DT175" i="2"/>
  <c r="DS175" i="2"/>
  <c r="DR175" i="2"/>
  <c r="DQ175" i="2"/>
  <c r="DP175" i="2"/>
  <c r="DN175" i="2"/>
  <c r="DO175" i="2" s="1"/>
  <c r="DM175" i="2"/>
  <c r="DL175" i="2"/>
  <c r="DK175" i="2"/>
  <c r="DJ175" i="2"/>
  <c r="DI175" i="2"/>
  <c r="DH175" i="2"/>
  <c r="DG175" i="2"/>
  <c r="DF175" i="2"/>
  <c r="DE175" i="2"/>
  <c r="DD175" i="2"/>
  <c r="DC175" i="2"/>
  <c r="DB175" i="2"/>
  <c r="DA175" i="2"/>
  <c r="CZ175" i="2"/>
  <c r="CY175" i="2"/>
  <c r="CX175" i="2"/>
  <c r="CW175" i="2"/>
  <c r="CV175" i="2"/>
  <c r="CU175" i="2"/>
  <c r="CT175" i="2"/>
  <c r="CS175" i="2"/>
  <c r="CR175" i="2"/>
  <c r="CQ175" i="2"/>
  <c r="CP175" i="2"/>
  <c r="CO175" i="2"/>
  <c r="CN175" i="2"/>
  <c r="CM175" i="2"/>
  <c r="CL175" i="2"/>
  <c r="CK175" i="2"/>
  <c r="CJ175" i="2"/>
  <c r="CI175" i="2"/>
  <c r="CH175" i="2"/>
  <c r="CG175" i="2"/>
  <c r="CF175" i="2"/>
  <c r="CE175" i="2"/>
  <c r="CD175" i="2"/>
  <c r="CC175" i="2"/>
  <c r="CA175" i="2"/>
  <c r="CB175" i="2" s="1"/>
  <c r="BZ175" i="2"/>
  <c r="BY175" i="2"/>
  <c r="BX175" i="2"/>
  <c r="BW175" i="2"/>
  <c r="BV175" i="2"/>
  <c r="BU175" i="2"/>
  <c r="BT175" i="2"/>
  <c r="BS175" i="2"/>
  <c r="BR175" i="2"/>
  <c r="BQ175" i="2"/>
  <c r="BP175" i="2"/>
  <c r="BN175" i="2"/>
  <c r="BO175" i="2" s="1"/>
  <c r="BM175" i="2"/>
  <c r="BL175" i="2"/>
  <c r="BK175" i="2"/>
  <c r="BJ175" i="2"/>
  <c r="BI175" i="2"/>
  <c r="BH175" i="2"/>
  <c r="BG175" i="2"/>
  <c r="BF175" i="2"/>
  <c r="BE175" i="2"/>
  <c r="BD175" i="2"/>
  <c r="BC175" i="2"/>
  <c r="BA175" i="2"/>
  <c r="BB175" i="2" s="1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A175" i="2"/>
  <c r="AB175" i="2" s="1"/>
  <c r="Z175" i="2"/>
  <c r="Y175" i="2"/>
  <c r="X175" i="2"/>
  <c r="W175" i="2"/>
  <c r="V175" i="2"/>
  <c r="U175" i="2"/>
  <c r="T175" i="2"/>
  <c r="S175" i="2"/>
  <c r="R175" i="2"/>
  <c r="Q175" i="2"/>
  <c r="P175" i="2"/>
  <c r="N175" i="2"/>
  <c r="O175" i="2" s="1"/>
  <c r="M175" i="2"/>
  <c r="L175" i="2"/>
  <c r="K175" i="2"/>
  <c r="J175" i="2"/>
  <c r="I175" i="2"/>
  <c r="H175" i="2"/>
  <c r="G175" i="2"/>
  <c r="F175" i="2"/>
  <c r="E175" i="2"/>
  <c r="D175" i="2"/>
  <c r="C175" i="2"/>
  <c r="FI174" i="2"/>
  <c r="FO174" i="2" s="1"/>
  <c r="FH174" i="2"/>
  <c r="FG174" i="2"/>
  <c r="FF174" i="2"/>
  <c r="FE174" i="2"/>
  <c r="FD174" i="2"/>
  <c r="FC174" i="2"/>
  <c r="FA174" i="2"/>
  <c r="FB174" i="2" s="1"/>
  <c r="EZ174" i="2"/>
  <c r="EY174" i="2"/>
  <c r="EX174" i="2"/>
  <c r="EW174" i="2"/>
  <c r="EV174" i="2"/>
  <c r="EU174" i="2"/>
  <c r="ET174" i="2"/>
  <c r="ES174" i="2"/>
  <c r="ER174" i="2"/>
  <c r="EQ174" i="2"/>
  <c r="EP174" i="2"/>
  <c r="EO174" i="2"/>
  <c r="EN174" i="2"/>
  <c r="EM174" i="2"/>
  <c r="EL174" i="2"/>
  <c r="EK174" i="2"/>
  <c r="EJ174" i="2"/>
  <c r="EI174" i="2"/>
  <c r="EH174" i="2"/>
  <c r="EG174" i="2"/>
  <c r="EF174" i="2"/>
  <c r="EE174" i="2"/>
  <c r="ED174" i="2"/>
  <c r="EC174" i="2"/>
  <c r="EA174" i="2"/>
  <c r="EB174" i="2" s="1"/>
  <c r="DZ174" i="2"/>
  <c r="DY174" i="2"/>
  <c r="DX174" i="2"/>
  <c r="DW174" i="2"/>
  <c r="DV174" i="2"/>
  <c r="DU174" i="2"/>
  <c r="DT174" i="2"/>
  <c r="DS174" i="2"/>
  <c r="DR174" i="2"/>
  <c r="DQ174" i="2"/>
  <c r="DP174" i="2"/>
  <c r="DN174" i="2"/>
  <c r="DO174" i="2" s="1"/>
  <c r="DM174" i="2"/>
  <c r="DL174" i="2"/>
  <c r="DK174" i="2"/>
  <c r="DJ174" i="2"/>
  <c r="DI174" i="2"/>
  <c r="DH174" i="2"/>
  <c r="DG174" i="2"/>
  <c r="DF174" i="2"/>
  <c r="DE174" i="2"/>
  <c r="DD174" i="2"/>
  <c r="DC174" i="2"/>
  <c r="DA174" i="2"/>
  <c r="DB174" i="2" s="1"/>
  <c r="CZ174" i="2"/>
  <c r="CY174" i="2"/>
  <c r="CX174" i="2"/>
  <c r="CW174" i="2"/>
  <c r="CV174" i="2"/>
  <c r="CU174" i="2"/>
  <c r="CT174" i="2"/>
  <c r="CS174" i="2"/>
  <c r="CR174" i="2"/>
  <c r="CQ174" i="2"/>
  <c r="CP174" i="2"/>
  <c r="CN174" i="2"/>
  <c r="CO174" i="2" s="1"/>
  <c r="CM174" i="2"/>
  <c r="CL174" i="2"/>
  <c r="CK174" i="2"/>
  <c r="CJ174" i="2"/>
  <c r="CI174" i="2"/>
  <c r="CH174" i="2"/>
  <c r="CG174" i="2"/>
  <c r="CF174" i="2"/>
  <c r="CE174" i="2"/>
  <c r="CD174" i="2"/>
  <c r="CC174" i="2"/>
  <c r="CB174" i="2"/>
  <c r="CA174" i="2"/>
  <c r="BZ174" i="2"/>
  <c r="BY174" i="2"/>
  <c r="BX174" i="2"/>
  <c r="BW174" i="2"/>
  <c r="BV174" i="2"/>
  <c r="BU174" i="2"/>
  <c r="BT174" i="2"/>
  <c r="BS174" i="2"/>
  <c r="BR174" i="2"/>
  <c r="BQ174" i="2"/>
  <c r="BP174" i="2"/>
  <c r="BN174" i="2"/>
  <c r="BO174" i="2" s="1"/>
  <c r="BM174" i="2"/>
  <c r="BL174" i="2"/>
  <c r="BK174" i="2"/>
  <c r="BJ174" i="2"/>
  <c r="BI174" i="2"/>
  <c r="BH174" i="2"/>
  <c r="BG174" i="2"/>
  <c r="BF174" i="2"/>
  <c r="BE174" i="2"/>
  <c r="BD174" i="2"/>
  <c r="BC174" i="2"/>
  <c r="BA174" i="2"/>
  <c r="BB174" i="2" s="1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A174" i="2"/>
  <c r="AB174" i="2" s="1"/>
  <c r="Z174" i="2"/>
  <c r="Y174" i="2"/>
  <c r="X174" i="2"/>
  <c r="W174" i="2"/>
  <c r="V174" i="2"/>
  <c r="U174" i="2"/>
  <c r="T174" i="2"/>
  <c r="S174" i="2"/>
  <c r="R174" i="2"/>
  <c r="Q174" i="2"/>
  <c r="P174" i="2"/>
  <c r="N174" i="2"/>
  <c r="O174" i="2" s="1"/>
  <c r="M174" i="2"/>
  <c r="L174" i="2"/>
  <c r="K174" i="2"/>
  <c r="J174" i="2"/>
  <c r="I174" i="2"/>
  <c r="H174" i="2"/>
  <c r="G174" i="2"/>
  <c r="F174" i="2"/>
  <c r="E174" i="2"/>
  <c r="D174" i="2"/>
  <c r="C174" i="2"/>
  <c r="FI173" i="2"/>
  <c r="FO173" i="2" s="1"/>
  <c r="FH173" i="2"/>
  <c r="FG173" i="2"/>
  <c r="FF173" i="2"/>
  <c r="FE173" i="2"/>
  <c r="FD173" i="2"/>
  <c r="FC173" i="2"/>
  <c r="FA173" i="2"/>
  <c r="FB173" i="2" s="1"/>
  <c r="EZ173" i="2"/>
  <c r="EY173" i="2"/>
  <c r="EX173" i="2"/>
  <c r="EW173" i="2"/>
  <c r="EV173" i="2"/>
  <c r="EU173" i="2"/>
  <c r="ET173" i="2"/>
  <c r="ES173" i="2"/>
  <c r="ER173" i="2"/>
  <c r="EQ173" i="2"/>
  <c r="EP173" i="2"/>
  <c r="EN173" i="2"/>
  <c r="EO173" i="2" s="1"/>
  <c r="EM173" i="2"/>
  <c r="EL173" i="2"/>
  <c r="EK173" i="2"/>
  <c r="EJ173" i="2"/>
  <c r="EI173" i="2"/>
  <c r="EH173" i="2"/>
  <c r="EG173" i="2"/>
  <c r="EF173" i="2"/>
  <c r="EE173" i="2"/>
  <c r="ED173" i="2"/>
  <c r="EC173" i="2"/>
  <c r="EA173" i="2"/>
  <c r="EB173" i="2" s="1"/>
  <c r="DZ173" i="2"/>
  <c r="DY173" i="2"/>
  <c r="DX173" i="2"/>
  <c r="DW173" i="2"/>
  <c r="DV173" i="2"/>
  <c r="DU173" i="2"/>
  <c r="DT173" i="2"/>
  <c r="DS173" i="2"/>
  <c r="DR173" i="2"/>
  <c r="DQ173" i="2"/>
  <c r="DP173" i="2"/>
  <c r="DN173" i="2"/>
  <c r="DO173" i="2" s="1"/>
  <c r="DM173" i="2"/>
  <c r="DL173" i="2"/>
  <c r="DK173" i="2"/>
  <c r="DJ173" i="2"/>
  <c r="DI173" i="2"/>
  <c r="DH173" i="2"/>
  <c r="DG173" i="2"/>
  <c r="DF173" i="2"/>
  <c r="DE173" i="2"/>
  <c r="DD173" i="2"/>
  <c r="DC173" i="2"/>
  <c r="DB173" i="2"/>
  <c r="DA173" i="2"/>
  <c r="CZ173" i="2"/>
  <c r="CY173" i="2"/>
  <c r="CX173" i="2"/>
  <c r="CW173" i="2"/>
  <c r="CV173" i="2"/>
  <c r="CU173" i="2"/>
  <c r="CT173" i="2"/>
  <c r="CS173" i="2"/>
  <c r="CR173" i="2"/>
  <c r="CQ173" i="2"/>
  <c r="CP173" i="2"/>
  <c r="CO173" i="2"/>
  <c r="CN173" i="2"/>
  <c r="CM173" i="2"/>
  <c r="CL173" i="2"/>
  <c r="CK173" i="2"/>
  <c r="CJ173" i="2"/>
  <c r="CI173" i="2"/>
  <c r="CH173" i="2"/>
  <c r="CG173" i="2"/>
  <c r="CF173" i="2"/>
  <c r="CE173" i="2"/>
  <c r="CD173" i="2"/>
  <c r="CC173" i="2"/>
  <c r="CA173" i="2"/>
  <c r="CB173" i="2" s="1"/>
  <c r="BZ173" i="2"/>
  <c r="BY173" i="2"/>
  <c r="BX173" i="2"/>
  <c r="BW173" i="2"/>
  <c r="BV173" i="2"/>
  <c r="BU173" i="2"/>
  <c r="BT173" i="2"/>
  <c r="BS173" i="2"/>
  <c r="BR173" i="2"/>
  <c r="BQ173" i="2"/>
  <c r="BP173" i="2"/>
  <c r="BN173" i="2"/>
  <c r="BO173" i="2" s="1"/>
  <c r="BM173" i="2"/>
  <c r="BL173" i="2"/>
  <c r="BK173" i="2"/>
  <c r="BJ173" i="2"/>
  <c r="BI173" i="2"/>
  <c r="BH173" i="2"/>
  <c r="BG173" i="2"/>
  <c r="BF173" i="2"/>
  <c r="BE173" i="2"/>
  <c r="BD173" i="2"/>
  <c r="BC173" i="2"/>
  <c r="BA173" i="2"/>
  <c r="BB173" i="2" s="1"/>
  <c r="AZ173" i="2"/>
  <c r="AY173" i="2"/>
  <c r="AX173" i="2"/>
  <c r="AW173" i="2"/>
  <c r="AV173" i="2"/>
  <c r="AU173" i="2"/>
  <c r="AT173" i="2"/>
  <c r="AS173" i="2"/>
  <c r="AR173" i="2"/>
  <c r="AQ173" i="2"/>
  <c r="AP173" i="2"/>
  <c r="AN173" i="2"/>
  <c r="AO173" i="2" s="1"/>
  <c r="AM173" i="2"/>
  <c r="AL173" i="2"/>
  <c r="AK173" i="2"/>
  <c r="AJ173" i="2"/>
  <c r="AI173" i="2"/>
  <c r="AH173" i="2"/>
  <c r="AG173" i="2"/>
  <c r="AF173" i="2"/>
  <c r="AE173" i="2"/>
  <c r="AD173" i="2"/>
  <c r="AC173" i="2"/>
  <c r="AA173" i="2"/>
  <c r="AB173" i="2" s="1"/>
  <c r="Z173" i="2"/>
  <c r="Y173" i="2"/>
  <c r="X173" i="2"/>
  <c r="W173" i="2"/>
  <c r="V173" i="2"/>
  <c r="U173" i="2"/>
  <c r="T173" i="2"/>
  <c r="S173" i="2"/>
  <c r="R173" i="2"/>
  <c r="Q173" i="2"/>
  <c r="P173" i="2"/>
  <c r="N173" i="2"/>
  <c r="O173" i="2" s="1"/>
  <c r="M173" i="2"/>
  <c r="L173" i="2"/>
  <c r="K173" i="2"/>
  <c r="J173" i="2"/>
  <c r="I173" i="2"/>
  <c r="H173" i="2"/>
  <c r="G173" i="2"/>
  <c r="F173" i="2"/>
  <c r="E173" i="2"/>
  <c r="D173" i="2"/>
  <c r="C173" i="2"/>
  <c r="FO172" i="2"/>
  <c r="FI172" i="2"/>
  <c r="FH172" i="2"/>
  <c r="FG172" i="2"/>
  <c r="FF172" i="2"/>
  <c r="FE172" i="2"/>
  <c r="FD172" i="2"/>
  <c r="FC172" i="2"/>
  <c r="FA172" i="2"/>
  <c r="FB172" i="2" s="1"/>
  <c r="EZ172" i="2"/>
  <c r="EY172" i="2"/>
  <c r="EX172" i="2"/>
  <c r="EW172" i="2"/>
  <c r="EV172" i="2"/>
  <c r="EU172" i="2"/>
  <c r="ET172" i="2"/>
  <c r="ES172" i="2"/>
  <c r="ER172" i="2"/>
  <c r="EQ172" i="2"/>
  <c r="EP172" i="2"/>
  <c r="EN172" i="2"/>
  <c r="EO172" i="2" s="1"/>
  <c r="EM172" i="2"/>
  <c r="EL172" i="2"/>
  <c r="EK172" i="2"/>
  <c r="EJ172" i="2"/>
  <c r="EI172" i="2"/>
  <c r="EH172" i="2"/>
  <c r="EG172" i="2"/>
  <c r="EF172" i="2"/>
  <c r="EE172" i="2"/>
  <c r="ED172" i="2"/>
  <c r="EC172" i="2"/>
  <c r="EA172" i="2"/>
  <c r="EB172" i="2" s="1"/>
  <c r="DZ172" i="2"/>
  <c r="DY172" i="2"/>
  <c r="DX172" i="2"/>
  <c r="DW172" i="2"/>
  <c r="DV172" i="2"/>
  <c r="DU172" i="2"/>
  <c r="DT172" i="2"/>
  <c r="DS172" i="2"/>
  <c r="DR172" i="2"/>
  <c r="DQ172" i="2"/>
  <c r="DP172" i="2"/>
  <c r="DN172" i="2"/>
  <c r="DO172" i="2" s="1"/>
  <c r="DM172" i="2"/>
  <c r="DL172" i="2"/>
  <c r="DK172" i="2"/>
  <c r="DJ172" i="2"/>
  <c r="DI172" i="2"/>
  <c r="DH172" i="2"/>
  <c r="DG172" i="2"/>
  <c r="DF172" i="2"/>
  <c r="DE172" i="2"/>
  <c r="DD172" i="2"/>
  <c r="DC172" i="2"/>
  <c r="DB172" i="2"/>
  <c r="DA172" i="2"/>
  <c r="CZ172" i="2"/>
  <c r="CY172" i="2"/>
  <c r="CX172" i="2"/>
  <c r="CW172" i="2"/>
  <c r="CV172" i="2"/>
  <c r="CU172" i="2"/>
  <c r="CT172" i="2"/>
  <c r="CS172" i="2"/>
  <c r="CR172" i="2"/>
  <c r="CQ172" i="2"/>
  <c r="CP172" i="2"/>
  <c r="CN172" i="2"/>
  <c r="CO172" i="2" s="1"/>
  <c r="CM172" i="2"/>
  <c r="CL172" i="2"/>
  <c r="CK172" i="2"/>
  <c r="CJ172" i="2"/>
  <c r="CI172" i="2"/>
  <c r="CH172" i="2"/>
  <c r="CG172" i="2"/>
  <c r="CF172" i="2"/>
  <c r="CE172" i="2"/>
  <c r="CD172" i="2"/>
  <c r="CC172" i="2"/>
  <c r="CA172" i="2"/>
  <c r="CB172" i="2" s="1"/>
  <c r="BZ172" i="2"/>
  <c r="BY172" i="2"/>
  <c r="BX172" i="2"/>
  <c r="BW172" i="2"/>
  <c r="BV172" i="2"/>
  <c r="BU172" i="2"/>
  <c r="BT172" i="2"/>
  <c r="BS172" i="2"/>
  <c r="BR172" i="2"/>
  <c r="BQ172" i="2"/>
  <c r="BP172" i="2"/>
  <c r="BN172" i="2"/>
  <c r="BO172" i="2" s="1"/>
  <c r="BM172" i="2"/>
  <c r="BL172" i="2"/>
  <c r="BK172" i="2"/>
  <c r="BJ172" i="2"/>
  <c r="BI172" i="2"/>
  <c r="BH172" i="2"/>
  <c r="BG172" i="2"/>
  <c r="BF172" i="2"/>
  <c r="BE172" i="2"/>
  <c r="BD172" i="2"/>
  <c r="BC172" i="2"/>
  <c r="BA172" i="2"/>
  <c r="BB172" i="2" s="1"/>
  <c r="AZ172" i="2"/>
  <c r="AY172" i="2"/>
  <c r="AX172" i="2"/>
  <c r="AW172" i="2"/>
  <c r="AV172" i="2"/>
  <c r="AU172" i="2"/>
  <c r="AT172" i="2"/>
  <c r="AS172" i="2"/>
  <c r="AR172" i="2"/>
  <c r="AQ172" i="2"/>
  <c r="AP172" i="2"/>
  <c r="AN172" i="2"/>
  <c r="AO172" i="2" s="1"/>
  <c r="AM172" i="2"/>
  <c r="AL172" i="2"/>
  <c r="AK172" i="2"/>
  <c r="AJ172" i="2"/>
  <c r="AI172" i="2"/>
  <c r="AH172" i="2"/>
  <c r="AG172" i="2"/>
  <c r="AF172" i="2"/>
  <c r="AE172" i="2"/>
  <c r="AD172" i="2"/>
  <c r="AC172" i="2"/>
  <c r="AA172" i="2"/>
  <c r="AB172" i="2" s="1"/>
  <c r="Z172" i="2"/>
  <c r="Y172" i="2"/>
  <c r="X172" i="2"/>
  <c r="W172" i="2"/>
  <c r="V172" i="2"/>
  <c r="U172" i="2"/>
  <c r="T172" i="2"/>
  <c r="S172" i="2"/>
  <c r="R172" i="2"/>
  <c r="Q172" i="2"/>
  <c r="P172" i="2"/>
  <c r="N172" i="2"/>
  <c r="O172" i="2" s="1"/>
  <c r="M172" i="2"/>
  <c r="L172" i="2"/>
  <c r="K172" i="2"/>
  <c r="J172" i="2"/>
  <c r="I172" i="2"/>
  <c r="H172" i="2"/>
  <c r="G172" i="2"/>
  <c r="F172" i="2"/>
  <c r="E172" i="2"/>
  <c r="D172" i="2"/>
  <c r="C172" i="2"/>
  <c r="FI171" i="2"/>
  <c r="FO171" i="2" s="1"/>
  <c r="FH171" i="2"/>
  <c r="FG171" i="2"/>
  <c r="FF171" i="2"/>
  <c r="FE171" i="2"/>
  <c r="FD171" i="2"/>
  <c r="FC171" i="2"/>
  <c r="FA171" i="2"/>
  <c r="FB171" i="2" s="1"/>
  <c r="EZ171" i="2"/>
  <c r="EY171" i="2"/>
  <c r="EX171" i="2"/>
  <c r="EW171" i="2"/>
  <c r="EV171" i="2"/>
  <c r="EU171" i="2"/>
  <c r="ET171" i="2"/>
  <c r="ES171" i="2"/>
  <c r="ER171" i="2"/>
  <c r="EQ171" i="2"/>
  <c r="EP171" i="2"/>
  <c r="EN171" i="2"/>
  <c r="EO171" i="2" s="1"/>
  <c r="EM171" i="2"/>
  <c r="EL171" i="2"/>
  <c r="EK171" i="2"/>
  <c r="EJ171" i="2"/>
  <c r="EI171" i="2"/>
  <c r="EH171" i="2"/>
  <c r="EG171" i="2"/>
  <c r="EF171" i="2"/>
  <c r="EE171" i="2"/>
  <c r="ED171" i="2"/>
  <c r="EC171" i="2"/>
  <c r="EA171" i="2"/>
  <c r="EB171" i="2" s="1"/>
  <c r="DZ171" i="2"/>
  <c r="DY171" i="2"/>
  <c r="DX171" i="2"/>
  <c r="DW171" i="2"/>
  <c r="DV171" i="2"/>
  <c r="DU171" i="2"/>
  <c r="DT171" i="2"/>
  <c r="DS171" i="2"/>
  <c r="DR171" i="2"/>
  <c r="DQ171" i="2"/>
  <c r="DP171" i="2"/>
  <c r="DN171" i="2"/>
  <c r="DO171" i="2" s="1"/>
  <c r="DM171" i="2"/>
  <c r="DL171" i="2"/>
  <c r="DK171" i="2"/>
  <c r="DJ171" i="2"/>
  <c r="DI171" i="2"/>
  <c r="DH171" i="2"/>
  <c r="DG171" i="2"/>
  <c r="DF171" i="2"/>
  <c r="DE171" i="2"/>
  <c r="DD171" i="2"/>
  <c r="DC171" i="2"/>
  <c r="DA171" i="2"/>
  <c r="DB171" i="2" s="1"/>
  <c r="CZ171" i="2"/>
  <c r="CY171" i="2"/>
  <c r="CX171" i="2"/>
  <c r="CW171" i="2"/>
  <c r="CV171" i="2"/>
  <c r="CU171" i="2"/>
  <c r="CT171" i="2"/>
  <c r="CS171" i="2"/>
  <c r="CR171" i="2"/>
  <c r="CQ171" i="2"/>
  <c r="CP171" i="2"/>
  <c r="CN171" i="2"/>
  <c r="CO171" i="2" s="1"/>
  <c r="CM171" i="2"/>
  <c r="CL171" i="2"/>
  <c r="CK171" i="2"/>
  <c r="CJ171" i="2"/>
  <c r="CI171" i="2"/>
  <c r="CH171" i="2"/>
  <c r="CG171" i="2"/>
  <c r="CF171" i="2"/>
  <c r="CE171" i="2"/>
  <c r="CD171" i="2"/>
  <c r="CC171" i="2"/>
  <c r="CB171" i="2"/>
  <c r="CA171" i="2"/>
  <c r="BZ171" i="2"/>
  <c r="BY171" i="2"/>
  <c r="BX171" i="2"/>
  <c r="BW171" i="2"/>
  <c r="BV171" i="2"/>
  <c r="BU171" i="2"/>
  <c r="BT171" i="2"/>
  <c r="BS171" i="2"/>
  <c r="BR171" i="2"/>
  <c r="BQ171" i="2"/>
  <c r="BP171" i="2"/>
  <c r="BN171" i="2"/>
  <c r="BO171" i="2" s="1"/>
  <c r="BM171" i="2"/>
  <c r="BL171" i="2"/>
  <c r="BK171" i="2"/>
  <c r="BJ171" i="2"/>
  <c r="BI171" i="2"/>
  <c r="BH171" i="2"/>
  <c r="BG171" i="2"/>
  <c r="BF171" i="2"/>
  <c r="BE171" i="2"/>
  <c r="BD171" i="2"/>
  <c r="BC171" i="2"/>
  <c r="BA171" i="2"/>
  <c r="BB171" i="2" s="1"/>
  <c r="AZ171" i="2"/>
  <c r="AY171" i="2"/>
  <c r="AX171" i="2"/>
  <c r="AW171" i="2"/>
  <c r="AV171" i="2"/>
  <c r="AU171" i="2"/>
  <c r="AT171" i="2"/>
  <c r="AS171" i="2"/>
  <c r="AR171" i="2"/>
  <c r="AQ171" i="2"/>
  <c r="AP171" i="2"/>
  <c r="AN171" i="2"/>
  <c r="AO171" i="2" s="1"/>
  <c r="AM171" i="2"/>
  <c r="AL171" i="2"/>
  <c r="AK171" i="2"/>
  <c r="AJ171" i="2"/>
  <c r="AI171" i="2"/>
  <c r="AH171" i="2"/>
  <c r="AG171" i="2"/>
  <c r="AF171" i="2"/>
  <c r="AE171" i="2"/>
  <c r="AD171" i="2"/>
  <c r="AC171" i="2"/>
  <c r="AA171" i="2"/>
  <c r="AB171" i="2" s="1"/>
  <c r="Z171" i="2"/>
  <c r="Y171" i="2"/>
  <c r="X171" i="2"/>
  <c r="W171" i="2"/>
  <c r="V171" i="2"/>
  <c r="U171" i="2"/>
  <c r="T171" i="2"/>
  <c r="S171" i="2"/>
  <c r="R171" i="2"/>
  <c r="Q171" i="2"/>
  <c r="P171" i="2"/>
  <c r="N171" i="2"/>
  <c r="O171" i="2" s="1"/>
  <c r="M171" i="2"/>
  <c r="L171" i="2"/>
  <c r="K171" i="2"/>
  <c r="J171" i="2"/>
  <c r="I171" i="2"/>
  <c r="H171" i="2"/>
  <c r="G171" i="2"/>
  <c r="F171" i="2"/>
  <c r="E171" i="2"/>
  <c r="D171" i="2"/>
  <c r="C171" i="2"/>
  <c r="FI170" i="2"/>
  <c r="FO170" i="2" s="1"/>
  <c r="FH170" i="2"/>
  <c r="FG170" i="2"/>
  <c r="FF170" i="2"/>
  <c r="FE170" i="2"/>
  <c r="FD170" i="2"/>
  <c r="FC170" i="2"/>
  <c r="FA170" i="2"/>
  <c r="FB170" i="2" s="1"/>
  <c r="EZ170" i="2"/>
  <c r="EY170" i="2"/>
  <c r="EX170" i="2"/>
  <c r="EW170" i="2"/>
  <c r="EV170" i="2"/>
  <c r="EU170" i="2"/>
  <c r="ET170" i="2"/>
  <c r="ES170" i="2"/>
  <c r="ER170" i="2"/>
  <c r="EQ170" i="2"/>
  <c r="EP170" i="2"/>
  <c r="EN170" i="2"/>
  <c r="EO170" i="2" s="1"/>
  <c r="EM170" i="2"/>
  <c r="EL170" i="2"/>
  <c r="EK170" i="2"/>
  <c r="EJ170" i="2"/>
  <c r="EI170" i="2"/>
  <c r="EH170" i="2"/>
  <c r="EG170" i="2"/>
  <c r="EF170" i="2"/>
  <c r="EE170" i="2"/>
  <c r="ED170" i="2"/>
  <c r="EC170" i="2"/>
  <c r="EA170" i="2"/>
  <c r="EB170" i="2" s="1"/>
  <c r="DZ170" i="2"/>
  <c r="DY170" i="2"/>
  <c r="DX170" i="2"/>
  <c r="DW170" i="2"/>
  <c r="DV170" i="2"/>
  <c r="DU170" i="2"/>
  <c r="DT170" i="2"/>
  <c r="DS170" i="2"/>
  <c r="DR170" i="2"/>
  <c r="DQ170" i="2"/>
  <c r="DP170" i="2"/>
  <c r="DN170" i="2"/>
  <c r="DO170" i="2" s="1"/>
  <c r="DM170" i="2"/>
  <c r="DL170" i="2"/>
  <c r="DK170" i="2"/>
  <c r="DJ170" i="2"/>
  <c r="DI170" i="2"/>
  <c r="DH170" i="2"/>
  <c r="DG170" i="2"/>
  <c r="DF170" i="2"/>
  <c r="DE170" i="2"/>
  <c r="DD170" i="2"/>
  <c r="DC170" i="2"/>
  <c r="DA170" i="2"/>
  <c r="DB170" i="2" s="1"/>
  <c r="CZ170" i="2"/>
  <c r="CY170" i="2"/>
  <c r="CX170" i="2"/>
  <c r="CW170" i="2"/>
  <c r="CV170" i="2"/>
  <c r="CU170" i="2"/>
  <c r="CT170" i="2"/>
  <c r="CS170" i="2"/>
  <c r="CR170" i="2"/>
  <c r="CQ170" i="2"/>
  <c r="CP170" i="2"/>
  <c r="CO170" i="2"/>
  <c r="CN170" i="2"/>
  <c r="CM170" i="2"/>
  <c r="CL170" i="2"/>
  <c r="CK170" i="2"/>
  <c r="CJ170" i="2"/>
  <c r="CI170" i="2"/>
  <c r="CH170" i="2"/>
  <c r="CG170" i="2"/>
  <c r="CF170" i="2"/>
  <c r="CE170" i="2"/>
  <c r="CD170" i="2"/>
  <c r="CC170" i="2"/>
  <c r="CA170" i="2"/>
  <c r="CB170" i="2" s="1"/>
  <c r="BZ170" i="2"/>
  <c r="BY170" i="2"/>
  <c r="BX170" i="2"/>
  <c r="BW170" i="2"/>
  <c r="BV170" i="2"/>
  <c r="BU170" i="2"/>
  <c r="BT170" i="2"/>
  <c r="BS170" i="2"/>
  <c r="BR170" i="2"/>
  <c r="BQ170" i="2"/>
  <c r="BP170" i="2"/>
  <c r="BN170" i="2"/>
  <c r="BO170" i="2" s="1"/>
  <c r="BM170" i="2"/>
  <c r="BL170" i="2"/>
  <c r="BK170" i="2"/>
  <c r="BJ170" i="2"/>
  <c r="BI170" i="2"/>
  <c r="BH170" i="2"/>
  <c r="BG170" i="2"/>
  <c r="BF170" i="2"/>
  <c r="BE170" i="2"/>
  <c r="BD170" i="2"/>
  <c r="BC170" i="2"/>
  <c r="BA170" i="2"/>
  <c r="BB170" i="2" s="1"/>
  <c r="AZ170" i="2"/>
  <c r="AY170" i="2"/>
  <c r="AX170" i="2"/>
  <c r="AW170" i="2"/>
  <c r="AV170" i="2"/>
  <c r="AU170" i="2"/>
  <c r="AT170" i="2"/>
  <c r="AS170" i="2"/>
  <c r="AR170" i="2"/>
  <c r="AQ170" i="2"/>
  <c r="AP170" i="2"/>
  <c r="AN170" i="2"/>
  <c r="AO170" i="2" s="1"/>
  <c r="AM170" i="2"/>
  <c r="AL170" i="2"/>
  <c r="AK170" i="2"/>
  <c r="AJ170" i="2"/>
  <c r="AI170" i="2"/>
  <c r="AH170" i="2"/>
  <c r="AG170" i="2"/>
  <c r="AF170" i="2"/>
  <c r="AE170" i="2"/>
  <c r="AD170" i="2"/>
  <c r="AC170" i="2"/>
  <c r="AA170" i="2"/>
  <c r="AB170" i="2" s="1"/>
  <c r="Z170" i="2"/>
  <c r="Y170" i="2"/>
  <c r="X170" i="2"/>
  <c r="W170" i="2"/>
  <c r="V170" i="2"/>
  <c r="U170" i="2"/>
  <c r="T170" i="2"/>
  <c r="S170" i="2"/>
  <c r="R170" i="2"/>
  <c r="Q170" i="2"/>
  <c r="P170" i="2"/>
  <c r="N170" i="2"/>
  <c r="O170" i="2" s="1"/>
  <c r="M170" i="2"/>
  <c r="L170" i="2"/>
  <c r="K170" i="2"/>
  <c r="J170" i="2"/>
  <c r="I170" i="2"/>
  <c r="H170" i="2"/>
  <c r="G170" i="2"/>
  <c r="F170" i="2"/>
  <c r="E170" i="2"/>
  <c r="D170" i="2"/>
  <c r="C170" i="2"/>
  <c r="FO169" i="2"/>
  <c r="FI169" i="2"/>
  <c r="FH169" i="2"/>
  <c r="FG169" i="2"/>
  <c r="FF169" i="2"/>
  <c r="FE169" i="2"/>
  <c r="FD169" i="2"/>
  <c r="FC169" i="2"/>
  <c r="FA169" i="2"/>
  <c r="FB169" i="2" s="1"/>
  <c r="EZ169" i="2"/>
  <c r="EY169" i="2"/>
  <c r="EX169" i="2"/>
  <c r="EW169" i="2"/>
  <c r="EV169" i="2"/>
  <c r="EU169" i="2"/>
  <c r="ET169" i="2"/>
  <c r="ES169" i="2"/>
  <c r="ER169" i="2"/>
  <c r="EQ169" i="2"/>
  <c r="EP169" i="2"/>
  <c r="EN169" i="2"/>
  <c r="EO169" i="2" s="1"/>
  <c r="EM169" i="2"/>
  <c r="EL169" i="2"/>
  <c r="EK169" i="2"/>
  <c r="EJ169" i="2"/>
  <c r="EI169" i="2"/>
  <c r="EH169" i="2"/>
  <c r="EG169" i="2"/>
  <c r="EF169" i="2"/>
  <c r="EE169" i="2"/>
  <c r="ED169" i="2"/>
  <c r="EC169" i="2"/>
  <c r="EB169" i="2"/>
  <c r="EA169" i="2"/>
  <c r="DZ169" i="2"/>
  <c r="DY169" i="2"/>
  <c r="DX169" i="2"/>
  <c r="DW169" i="2"/>
  <c r="DV169" i="2"/>
  <c r="DU169" i="2"/>
  <c r="DT169" i="2"/>
  <c r="DS169" i="2"/>
  <c r="DR169" i="2"/>
  <c r="DQ169" i="2"/>
  <c r="DP169" i="2"/>
  <c r="DN169" i="2"/>
  <c r="DO169" i="2" s="1"/>
  <c r="DM169" i="2"/>
  <c r="DL169" i="2"/>
  <c r="DK169" i="2"/>
  <c r="DJ169" i="2"/>
  <c r="DI169" i="2"/>
  <c r="DH169" i="2"/>
  <c r="DG169" i="2"/>
  <c r="DF169" i="2"/>
  <c r="DE169" i="2"/>
  <c r="DD169" i="2"/>
  <c r="DC169" i="2"/>
  <c r="DA169" i="2"/>
  <c r="DB169" i="2" s="1"/>
  <c r="CZ169" i="2"/>
  <c r="CY169" i="2"/>
  <c r="CX169" i="2"/>
  <c r="CW169" i="2"/>
  <c r="CV169" i="2"/>
  <c r="CU169" i="2"/>
  <c r="CT169" i="2"/>
  <c r="CS169" i="2"/>
  <c r="CR169" i="2"/>
  <c r="CQ169" i="2"/>
  <c r="CP169" i="2"/>
  <c r="CN169" i="2"/>
  <c r="CO169" i="2" s="1"/>
  <c r="CM169" i="2"/>
  <c r="CL169" i="2"/>
  <c r="CK169" i="2"/>
  <c r="CJ169" i="2"/>
  <c r="CI169" i="2"/>
  <c r="CH169" i="2"/>
  <c r="CG169" i="2"/>
  <c r="CF169" i="2"/>
  <c r="CE169" i="2"/>
  <c r="CD169" i="2"/>
  <c r="CC169" i="2"/>
  <c r="CA169" i="2"/>
  <c r="CB169" i="2" s="1"/>
  <c r="BZ169" i="2"/>
  <c r="BY169" i="2"/>
  <c r="BX169" i="2"/>
  <c r="BW169" i="2"/>
  <c r="BV169" i="2"/>
  <c r="BU169" i="2"/>
  <c r="BT169" i="2"/>
  <c r="BS169" i="2"/>
  <c r="BR169" i="2"/>
  <c r="BQ169" i="2"/>
  <c r="BP169" i="2"/>
  <c r="BN169" i="2"/>
  <c r="BO169" i="2" s="1"/>
  <c r="BM169" i="2"/>
  <c r="BL169" i="2"/>
  <c r="BK169" i="2"/>
  <c r="BJ169" i="2"/>
  <c r="BI169" i="2"/>
  <c r="BH169" i="2"/>
  <c r="BG169" i="2"/>
  <c r="BF169" i="2"/>
  <c r="BE169" i="2"/>
  <c r="BD169" i="2"/>
  <c r="BC169" i="2"/>
  <c r="BA169" i="2"/>
  <c r="BB169" i="2" s="1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A169" i="2"/>
  <c r="AB169" i="2" s="1"/>
  <c r="Z169" i="2"/>
  <c r="Y169" i="2"/>
  <c r="X169" i="2"/>
  <c r="W169" i="2"/>
  <c r="V169" i="2"/>
  <c r="U169" i="2"/>
  <c r="T169" i="2"/>
  <c r="S169" i="2"/>
  <c r="R169" i="2"/>
  <c r="Q169" i="2"/>
  <c r="P169" i="2"/>
  <c r="N169" i="2"/>
  <c r="O169" i="2" s="1"/>
  <c r="M169" i="2"/>
  <c r="L169" i="2"/>
  <c r="K169" i="2"/>
  <c r="J169" i="2"/>
  <c r="I169" i="2"/>
  <c r="H169" i="2"/>
  <c r="G169" i="2"/>
  <c r="F169" i="2"/>
  <c r="E169" i="2"/>
  <c r="D169" i="2"/>
  <c r="C169" i="2"/>
  <c r="FI168" i="2"/>
  <c r="FH168" i="2"/>
  <c r="FG168" i="2"/>
  <c r="FF168" i="2"/>
  <c r="FE168" i="2"/>
  <c r="FD168" i="2"/>
  <c r="FC168" i="2"/>
  <c r="FC186" i="2" s="1"/>
  <c r="FA168" i="2"/>
  <c r="FB168" i="2" s="1"/>
  <c r="EZ168" i="2"/>
  <c r="EY168" i="2"/>
  <c r="EY186" i="2" s="1"/>
  <c r="EX168" i="2"/>
  <c r="EW168" i="2"/>
  <c r="EV168" i="2"/>
  <c r="EU168" i="2"/>
  <c r="ET168" i="2"/>
  <c r="ES168" i="2"/>
  <c r="ER168" i="2"/>
  <c r="EQ168" i="2"/>
  <c r="EQ186" i="2" s="1"/>
  <c r="EP168" i="2"/>
  <c r="EP186" i="2" s="1"/>
  <c r="EN168" i="2"/>
  <c r="EO168" i="2" s="1"/>
  <c r="EM168" i="2"/>
  <c r="EL168" i="2"/>
  <c r="EK168" i="2"/>
  <c r="EJ168" i="2"/>
  <c r="EI168" i="2"/>
  <c r="EH168" i="2"/>
  <c r="EG168" i="2"/>
  <c r="EF168" i="2"/>
  <c r="EE168" i="2"/>
  <c r="EE186" i="2" s="1"/>
  <c r="ED168" i="2"/>
  <c r="ED186" i="2" s="1"/>
  <c r="EC168" i="2"/>
  <c r="EA168" i="2"/>
  <c r="EB168" i="2" s="1"/>
  <c r="DZ168" i="2"/>
  <c r="DY168" i="2"/>
  <c r="DX168" i="2"/>
  <c r="DW168" i="2"/>
  <c r="DV168" i="2"/>
  <c r="DV186" i="2" s="1"/>
  <c r="DU168" i="2"/>
  <c r="DT168" i="2"/>
  <c r="DS168" i="2"/>
  <c r="DS186" i="2" s="1"/>
  <c r="DR168" i="2"/>
  <c r="DR186" i="2" s="1"/>
  <c r="DQ168" i="2"/>
  <c r="DQ186" i="2" s="1"/>
  <c r="DP168" i="2"/>
  <c r="DN168" i="2"/>
  <c r="DO168" i="2" s="1"/>
  <c r="DM168" i="2"/>
  <c r="DL168" i="2"/>
  <c r="DL186" i="2" s="1"/>
  <c r="DK168" i="2"/>
  <c r="DJ168" i="2"/>
  <c r="DJ186" i="2" s="1"/>
  <c r="DI168" i="2"/>
  <c r="DH168" i="2"/>
  <c r="DG168" i="2"/>
  <c r="DF168" i="2"/>
  <c r="DE168" i="2"/>
  <c r="DE186" i="2" s="1"/>
  <c r="DD168" i="2"/>
  <c r="DC168" i="2"/>
  <c r="DA168" i="2"/>
  <c r="CZ168" i="2"/>
  <c r="CZ186" i="2" s="1"/>
  <c r="CY168" i="2"/>
  <c r="CX168" i="2"/>
  <c r="CW168" i="2"/>
  <c r="CV168" i="2"/>
  <c r="CU168" i="2"/>
  <c r="CT168" i="2"/>
  <c r="CS168" i="2"/>
  <c r="CS186" i="2" s="1"/>
  <c r="CR168" i="2"/>
  <c r="CQ168" i="2"/>
  <c r="CP168" i="2"/>
  <c r="CN168" i="2"/>
  <c r="CO168" i="2" s="1"/>
  <c r="CM168" i="2"/>
  <c r="CL168" i="2"/>
  <c r="CL186" i="2" s="1"/>
  <c r="CK168" i="2"/>
  <c r="CJ168" i="2"/>
  <c r="CI168" i="2"/>
  <c r="CH168" i="2"/>
  <c r="CG168" i="2"/>
  <c r="CF168" i="2"/>
  <c r="CE168" i="2"/>
  <c r="CD168" i="2"/>
  <c r="CC168" i="2"/>
  <c r="CA168" i="2"/>
  <c r="CB168" i="2" s="1"/>
  <c r="BZ168" i="2"/>
  <c r="BY168" i="2"/>
  <c r="BX168" i="2"/>
  <c r="BW168" i="2"/>
  <c r="BV168" i="2"/>
  <c r="BU168" i="2"/>
  <c r="BT168" i="2"/>
  <c r="BT186" i="2" s="1"/>
  <c r="BS168" i="2"/>
  <c r="BR168" i="2"/>
  <c r="BQ168" i="2"/>
  <c r="BP168" i="2"/>
  <c r="BN168" i="2"/>
  <c r="BM168" i="2"/>
  <c r="BM186" i="2" s="1"/>
  <c r="BL168" i="2"/>
  <c r="BK168" i="2"/>
  <c r="BJ168" i="2"/>
  <c r="BI168" i="2"/>
  <c r="BH168" i="2"/>
  <c r="BG168" i="2"/>
  <c r="BG186" i="2" s="1"/>
  <c r="BF168" i="2"/>
  <c r="BE168" i="2"/>
  <c r="BD168" i="2"/>
  <c r="BC168" i="2"/>
  <c r="BB168" i="2"/>
  <c r="BA168" i="2"/>
  <c r="BA186" i="2" s="1"/>
  <c r="AZ168" i="2"/>
  <c r="AY168" i="2"/>
  <c r="AX168" i="2"/>
  <c r="AW168" i="2"/>
  <c r="AW186" i="2" s="1"/>
  <c r="AV168" i="2"/>
  <c r="AU168" i="2"/>
  <c r="AT168" i="2"/>
  <c r="AS168" i="2"/>
  <c r="AR168" i="2"/>
  <c r="AQ168" i="2"/>
  <c r="AP168" i="2"/>
  <c r="AN168" i="2"/>
  <c r="AO168" i="2" s="1"/>
  <c r="AM168" i="2"/>
  <c r="AL168" i="2"/>
  <c r="AL186" i="2" s="1"/>
  <c r="AK168" i="2"/>
  <c r="AJ168" i="2"/>
  <c r="AI168" i="2"/>
  <c r="AI186" i="2" s="1"/>
  <c r="AH168" i="2"/>
  <c r="AG168" i="2"/>
  <c r="AG186" i="2" s="1"/>
  <c r="AF168" i="2"/>
  <c r="AE168" i="2"/>
  <c r="AD168" i="2"/>
  <c r="AD186" i="2" s="1"/>
  <c r="AC168" i="2"/>
  <c r="AA168" i="2"/>
  <c r="Z168" i="2"/>
  <c r="Y168" i="2"/>
  <c r="X168" i="2"/>
  <c r="W168" i="2"/>
  <c r="V168" i="2"/>
  <c r="U168" i="2"/>
  <c r="U186" i="2" s="1"/>
  <c r="T168" i="2"/>
  <c r="T186" i="2" s="1"/>
  <c r="S168" i="2"/>
  <c r="R168" i="2"/>
  <c r="Q168" i="2"/>
  <c r="P168" i="2"/>
  <c r="N168" i="2"/>
  <c r="O168" i="2" s="1"/>
  <c r="M168" i="2"/>
  <c r="M186" i="2" s="1"/>
  <c r="L168" i="2"/>
  <c r="K168" i="2"/>
  <c r="J168" i="2"/>
  <c r="I168" i="2"/>
  <c r="H168" i="2"/>
  <c r="H186" i="2" s="1"/>
  <c r="G168" i="2"/>
  <c r="F168" i="2"/>
  <c r="E168" i="2"/>
  <c r="D168" i="2"/>
  <c r="C168" i="2"/>
  <c r="C186" i="2" s="1"/>
  <c r="FN164" i="2"/>
  <c r="FM164" i="2"/>
  <c r="FL164" i="2"/>
  <c r="FK164" i="2"/>
  <c r="FJ164" i="2"/>
  <c r="FI163" i="2"/>
  <c r="FO163" i="2" s="1"/>
  <c r="FH163" i="2"/>
  <c r="FG163" i="2"/>
  <c r="FF163" i="2"/>
  <c r="FE163" i="2"/>
  <c r="FD163" i="2"/>
  <c r="FC163" i="2"/>
  <c r="FA163" i="2"/>
  <c r="FB163" i="2" s="1"/>
  <c r="EZ163" i="2"/>
  <c r="EY163" i="2"/>
  <c r="EX163" i="2"/>
  <c r="EW163" i="2"/>
  <c r="EV163" i="2"/>
  <c r="EU163" i="2"/>
  <c r="ET163" i="2"/>
  <c r="ES163" i="2"/>
  <c r="ER163" i="2"/>
  <c r="EQ163" i="2"/>
  <c r="EP163" i="2"/>
  <c r="EN163" i="2"/>
  <c r="EO163" i="2" s="1"/>
  <c r="EM163" i="2"/>
  <c r="EL163" i="2"/>
  <c r="EK163" i="2"/>
  <c r="EJ163" i="2"/>
  <c r="EI163" i="2"/>
  <c r="EH163" i="2"/>
  <c r="EG163" i="2"/>
  <c r="EF163" i="2"/>
  <c r="EE163" i="2"/>
  <c r="ED163" i="2"/>
  <c r="EC163" i="2"/>
  <c r="EA163" i="2"/>
  <c r="EB163" i="2" s="1"/>
  <c r="DZ163" i="2"/>
  <c r="DY163" i="2"/>
  <c r="DX163" i="2"/>
  <c r="DW163" i="2"/>
  <c r="DV163" i="2"/>
  <c r="DU163" i="2"/>
  <c r="DT163" i="2"/>
  <c r="DS163" i="2"/>
  <c r="DR163" i="2"/>
  <c r="DQ163" i="2"/>
  <c r="DP163" i="2"/>
  <c r="DO163" i="2"/>
  <c r="DN163" i="2"/>
  <c r="DM163" i="2"/>
  <c r="DL163" i="2"/>
  <c r="DK163" i="2"/>
  <c r="DJ163" i="2"/>
  <c r="DI163" i="2"/>
  <c r="DH163" i="2"/>
  <c r="DG163" i="2"/>
  <c r="DF163" i="2"/>
  <c r="DE163" i="2"/>
  <c r="DD163" i="2"/>
  <c r="DC163" i="2"/>
  <c r="DB163" i="2"/>
  <c r="DA163" i="2"/>
  <c r="CZ163" i="2"/>
  <c r="CY163" i="2"/>
  <c r="CX163" i="2"/>
  <c r="CW163" i="2"/>
  <c r="CV163" i="2"/>
  <c r="CU163" i="2"/>
  <c r="CT163" i="2"/>
  <c r="CS163" i="2"/>
  <c r="CR163" i="2"/>
  <c r="CQ163" i="2"/>
  <c r="CP163" i="2"/>
  <c r="CN163" i="2"/>
  <c r="CO163" i="2" s="1"/>
  <c r="CM163" i="2"/>
  <c r="CL163" i="2"/>
  <c r="CK163" i="2"/>
  <c r="CJ163" i="2"/>
  <c r="CI163" i="2"/>
  <c r="CH163" i="2"/>
  <c r="CG163" i="2"/>
  <c r="CF163" i="2"/>
  <c r="CE163" i="2"/>
  <c r="CD163" i="2"/>
  <c r="CC163" i="2"/>
  <c r="CA163" i="2"/>
  <c r="CB163" i="2" s="1"/>
  <c r="BZ163" i="2"/>
  <c r="BY163" i="2"/>
  <c r="BX163" i="2"/>
  <c r="BW163" i="2"/>
  <c r="BV163" i="2"/>
  <c r="BU163" i="2"/>
  <c r="BT163" i="2"/>
  <c r="BS163" i="2"/>
  <c r="BR163" i="2"/>
  <c r="BQ163" i="2"/>
  <c r="BP163" i="2"/>
  <c r="BN163" i="2"/>
  <c r="BO163" i="2" s="1"/>
  <c r="BM163" i="2"/>
  <c r="BL163" i="2"/>
  <c r="BK163" i="2"/>
  <c r="BJ163" i="2"/>
  <c r="BI163" i="2"/>
  <c r="BH163" i="2"/>
  <c r="BG163" i="2"/>
  <c r="BF163" i="2"/>
  <c r="BE163" i="2"/>
  <c r="BD163" i="2"/>
  <c r="BC163" i="2"/>
  <c r="BA163" i="2"/>
  <c r="BB163" i="2" s="1"/>
  <c r="AZ163" i="2"/>
  <c r="AY163" i="2"/>
  <c r="AX163" i="2"/>
  <c r="AW163" i="2"/>
  <c r="AV163" i="2"/>
  <c r="AU163" i="2"/>
  <c r="AT163" i="2"/>
  <c r="AS163" i="2"/>
  <c r="AR163" i="2"/>
  <c r="AQ163" i="2"/>
  <c r="AP163" i="2"/>
  <c r="AO163" i="2"/>
  <c r="AN163" i="2"/>
  <c r="AM163" i="2"/>
  <c r="AL163" i="2"/>
  <c r="AK163" i="2"/>
  <c r="AJ163" i="2"/>
  <c r="AI163" i="2"/>
  <c r="AH163" i="2"/>
  <c r="AG163" i="2"/>
  <c r="AF163" i="2"/>
  <c r="AE163" i="2"/>
  <c r="AD163" i="2"/>
  <c r="AC163" i="2"/>
  <c r="AA163" i="2"/>
  <c r="AB163" i="2" s="1"/>
  <c r="Z163" i="2"/>
  <c r="Y163" i="2"/>
  <c r="X163" i="2"/>
  <c r="W163" i="2"/>
  <c r="V163" i="2"/>
  <c r="U163" i="2"/>
  <c r="T163" i="2"/>
  <c r="S163" i="2"/>
  <c r="R163" i="2"/>
  <c r="Q163" i="2"/>
  <c r="P163" i="2"/>
  <c r="O163" i="2"/>
  <c r="N163" i="2"/>
  <c r="M163" i="2"/>
  <c r="L163" i="2"/>
  <c r="K163" i="2"/>
  <c r="J163" i="2"/>
  <c r="I163" i="2"/>
  <c r="H163" i="2"/>
  <c r="G163" i="2"/>
  <c r="F163" i="2"/>
  <c r="E163" i="2"/>
  <c r="D163" i="2"/>
  <c r="C163" i="2"/>
  <c r="FI162" i="2"/>
  <c r="FO162" i="2" s="1"/>
  <c r="FH162" i="2"/>
  <c r="FG162" i="2"/>
  <c r="FF162" i="2"/>
  <c r="FE162" i="2"/>
  <c r="FD162" i="2"/>
  <c r="FC162" i="2"/>
  <c r="FA162" i="2"/>
  <c r="FB162" i="2" s="1"/>
  <c r="EZ162" i="2"/>
  <c r="EY162" i="2"/>
  <c r="EX162" i="2"/>
  <c r="EW162" i="2"/>
  <c r="EV162" i="2"/>
  <c r="EU162" i="2"/>
  <c r="ET162" i="2"/>
  <c r="ES162" i="2"/>
  <c r="ER162" i="2"/>
  <c r="EQ162" i="2"/>
  <c r="EP162" i="2"/>
  <c r="EO162" i="2"/>
  <c r="EN162" i="2"/>
  <c r="EM162" i="2"/>
  <c r="EL162" i="2"/>
  <c r="EK162" i="2"/>
  <c r="EJ162" i="2"/>
  <c r="EI162" i="2"/>
  <c r="EH162" i="2"/>
  <c r="EG162" i="2"/>
  <c r="EF162" i="2"/>
  <c r="EE162" i="2"/>
  <c r="ED162" i="2"/>
  <c r="EC162" i="2"/>
  <c r="EA162" i="2"/>
  <c r="EB162" i="2" s="1"/>
  <c r="DZ162" i="2"/>
  <c r="DY162" i="2"/>
  <c r="DX162" i="2"/>
  <c r="DW162" i="2"/>
  <c r="DV162" i="2"/>
  <c r="DU162" i="2"/>
  <c r="DT162" i="2"/>
  <c r="DS162" i="2"/>
  <c r="DR162" i="2"/>
  <c r="DQ162" i="2"/>
  <c r="DP162" i="2"/>
  <c r="DO162" i="2"/>
  <c r="DN162" i="2"/>
  <c r="DM162" i="2"/>
  <c r="DL162" i="2"/>
  <c r="DK162" i="2"/>
  <c r="DJ162" i="2"/>
  <c r="DI162" i="2"/>
  <c r="DH162" i="2"/>
  <c r="DG162" i="2"/>
  <c r="DF162" i="2"/>
  <c r="DE162" i="2"/>
  <c r="DD162" i="2"/>
  <c r="DC162" i="2"/>
  <c r="DA162" i="2"/>
  <c r="DB162" i="2" s="1"/>
  <c r="CZ162" i="2"/>
  <c r="CY162" i="2"/>
  <c r="CX162" i="2"/>
  <c r="CW162" i="2"/>
  <c r="CV162" i="2"/>
  <c r="CU162" i="2"/>
  <c r="CT162" i="2"/>
  <c r="CS162" i="2"/>
  <c r="CR162" i="2"/>
  <c r="CQ162" i="2"/>
  <c r="CP162" i="2"/>
  <c r="CN162" i="2"/>
  <c r="CO162" i="2" s="1"/>
  <c r="CM162" i="2"/>
  <c r="CL162" i="2"/>
  <c r="CK162" i="2"/>
  <c r="CJ162" i="2"/>
  <c r="CI162" i="2"/>
  <c r="CH162" i="2"/>
  <c r="CG162" i="2"/>
  <c r="CF162" i="2"/>
  <c r="CE162" i="2"/>
  <c r="CD162" i="2"/>
  <c r="CC162" i="2"/>
  <c r="CA162" i="2"/>
  <c r="CB162" i="2" s="1"/>
  <c r="BZ162" i="2"/>
  <c r="BY162" i="2"/>
  <c r="BX162" i="2"/>
  <c r="BW162" i="2"/>
  <c r="BV162" i="2"/>
  <c r="BU162" i="2"/>
  <c r="BT162" i="2"/>
  <c r="BS162" i="2"/>
  <c r="BR162" i="2"/>
  <c r="BQ162" i="2"/>
  <c r="BP162" i="2"/>
  <c r="BO162" i="2"/>
  <c r="BN162" i="2"/>
  <c r="BM162" i="2"/>
  <c r="BL162" i="2"/>
  <c r="BK162" i="2"/>
  <c r="BJ162" i="2"/>
  <c r="BI162" i="2"/>
  <c r="BH162" i="2"/>
  <c r="BG162" i="2"/>
  <c r="BF162" i="2"/>
  <c r="BE162" i="2"/>
  <c r="BD162" i="2"/>
  <c r="BC162" i="2"/>
  <c r="BB162" i="2"/>
  <c r="BA162" i="2"/>
  <c r="AZ162" i="2"/>
  <c r="AY162" i="2"/>
  <c r="AX162" i="2"/>
  <c r="AW162" i="2"/>
  <c r="AV162" i="2"/>
  <c r="AU162" i="2"/>
  <c r="AT162" i="2"/>
  <c r="AS162" i="2"/>
  <c r="AR162" i="2"/>
  <c r="AQ162" i="2"/>
  <c r="AP162" i="2"/>
  <c r="AN162" i="2"/>
  <c r="AO162" i="2" s="1"/>
  <c r="AM162" i="2"/>
  <c r="AL162" i="2"/>
  <c r="AK162" i="2"/>
  <c r="AJ162" i="2"/>
  <c r="AI162" i="2"/>
  <c r="AH162" i="2"/>
  <c r="AG162" i="2"/>
  <c r="AF162" i="2"/>
  <c r="AE162" i="2"/>
  <c r="AD162" i="2"/>
  <c r="AC162" i="2"/>
  <c r="AA162" i="2"/>
  <c r="AB162" i="2" s="1"/>
  <c r="Z162" i="2"/>
  <c r="Y162" i="2"/>
  <c r="X162" i="2"/>
  <c r="W162" i="2"/>
  <c r="V162" i="2"/>
  <c r="U162" i="2"/>
  <c r="T162" i="2"/>
  <c r="S162" i="2"/>
  <c r="R162" i="2"/>
  <c r="Q162" i="2"/>
  <c r="P162" i="2"/>
  <c r="N162" i="2"/>
  <c r="O162" i="2" s="1"/>
  <c r="M162" i="2"/>
  <c r="L162" i="2"/>
  <c r="K162" i="2"/>
  <c r="J162" i="2"/>
  <c r="I162" i="2"/>
  <c r="H162" i="2"/>
  <c r="G162" i="2"/>
  <c r="F162" i="2"/>
  <c r="E162" i="2"/>
  <c r="D162" i="2"/>
  <c r="C162" i="2"/>
  <c r="FI161" i="2"/>
  <c r="FO161" i="2" s="1"/>
  <c r="FH161" i="2"/>
  <c r="FG161" i="2"/>
  <c r="FF161" i="2"/>
  <c r="FE161" i="2"/>
  <c r="FD161" i="2"/>
  <c r="FC161" i="2"/>
  <c r="FA161" i="2"/>
  <c r="FB161" i="2" s="1"/>
  <c r="EZ161" i="2"/>
  <c r="EY161" i="2"/>
  <c r="EX161" i="2"/>
  <c r="EW161" i="2"/>
  <c r="EV161" i="2"/>
  <c r="EU161" i="2"/>
  <c r="ET161" i="2"/>
  <c r="ES161" i="2"/>
  <c r="ER161" i="2"/>
  <c r="EQ161" i="2"/>
  <c r="EP161" i="2"/>
  <c r="EN161" i="2"/>
  <c r="EO161" i="2" s="1"/>
  <c r="EM161" i="2"/>
  <c r="EL161" i="2"/>
  <c r="EK161" i="2"/>
  <c r="EJ161" i="2"/>
  <c r="EI161" i="2"/>
  <c r="EH161" i="2"/>
  <c r="EG161" i="2"/>
  <c r="EF161" i="2"/>
  <c r="EE161" i="2"/>
  <c r="ED161" i="2"/>
  <c r="EC161" i="2"/>
  <c r="EA161" i="2"/>
  <c r="EB161" i="2" s="1"/>
  <c r="DZ161" i="2"/>
  <c r="DY161" i="2"/>
  <c r="DX161" i="2"/>
  <c r="DW161" i="2"/>
  <c r="DV161" i="2"/>
  <c r="DU161" i="2"/>
  <c r="DT161" i="2"/>
  <c r="DS161" i="2"/>
  <c r="DR161" i="2"/>
  <c r="DQ161" i="2"/>
  <c r="DP161" i="2"/>
  <c r="DO161" i="2"/>
  <c r="DN161" i="2"/>
  <c r="DM161" i="2"/>
  <c r="DL161" i="2"/>
  <c r="DK161" i="2"/>
  <c r="DJ161" i="2"/>
  <c r="DI161" i="2"/>
  <c r="DH161" i="2"/>
  <c r="DG161" i="2"/>
  <c r="DF161" i="2"/>
  <c r="DE161" i="2"/>
  <c r="DD161" i="2"/>
  <c r="DC161" i="2"/>
  <c r="DB161" i="2"/>
  <c r="DA161" i="2"/>
  <c r="CZ161" i="2"/>
  <c r="CY161" i="2"/>
  <c r="CX161" i="2"/>
  <c r="CW161" i="2"/>
  <c r="CV161" i="2"/>
  <c r="CU161" i="2"/>
  <c r="CT161" i="2"/>
  <c r="CS161" i="2"/>
  <c r="CR161" i="2"/>
  <c r="CQ161" i="2"/>
  <c r="CP161" i="2"/>
  <c r="CO161" i="2"/>
  <c r="CN161" i="2"/>
  <c r="CM161" i="2"/>
  <c r="CL161" i="2"/>
  <c r="CK161" i="2"/>
  <c r="CJ161" i="2"/>
  <c r="CI161" i="2"/>
  <c r="CH161" i="2"/>
  <c r="CG161" i="2"/>
  <c r="CF161" i="2"/>
  <c r="CE161" i="2"/>
  <c r="CD161" i="2"/>
  <c r="CC161" i="2"/>
  <c r="CA161" i="2"/>
  <c r="CB161" i="2" s="1"/>
  <c r="BZ161" i="2"/>
  <c r="BY161" i="2"/>
  <c r="BX161" i="2"/>
  <c r="BW161" i="2"/>
  <c r="BV161" i="2"/>
  <c r="BU161" i="2"/>
  <c r="BT161" i="2"/>
  <c r="BS161" i="2"/>
  <c r="BR161" i="2"/>
  <c r="BQ161" i="2"/>
  <c r="BP161" i="2"/>
  <c r="BN161" i="2"/>
  <c r="BO161" i="2" s="1"/>
  <c r="BM161" i="2"/>
  <c r="BL161" i="2"/>
  <c r="BK161" i="2"/>
  <c r="BJ161" i="2"/>
  <c r="BI161" i="2"/>
  <c r="BH161" i="2"/>
  <c r="BG161" i="2"/>
  <c r="BF161" i="2"/>
  <c r="BE161" i="2"/>
  <c r="BD161" i="2"/>
  <c r="BC161" i="2"/>
  <c r="BB161" i="2"/>
  <c r="BA161" i="2"/>
  <c r="AZ161" i="2"/>
  <c r="AY161" i="2"/>
  <c r="AX161" i="2"/>
  <c r="AW161" i="2"/>
  <c r="AV161" i="2"/>
  <c r="AU161" i="2"/>
  <c r="AT161" i="2"/>
  <c r="AS161" i="2"/>
  <c r="AR161" i="2"/>
  <c r="AQ161" i="2"/>
  <c r="AP161" i="2"/>
  <c r="AN161" i="2"/>
  <c r="AO161" i="2" s="1"/>
  <c r="AM161" i="2"/>
  <c r="AL161" i="2"/>
  <c r="AK161" i="2"/>
  <c r="AJ161" i="2"/>
  <c r="AI161" i="2"/>
  <c r="AH161" i="2"/>
  <c r="AG161" i="2"/>
  <c r="AF161" i="2"/>
  <c r="AE161" i="2"/>
  <c r="AD161" i="2"/>
  <c r="AC161" i="2"/>
  <c r="AA161" i="2"/>
  <c r="AB161" i="2" s="1"/>
  <c r="Z161" i="2"/>
  <c r="Y161" i="2"/>
  <c r="X161" i="2"/>
  <c r="W161" i="2"/>
  <c r="V161" i="2"/>
  <c r="U161" i="2"/>
  <c r="T161" i="2"/>
  <c r="S161" i="2"/>
  <c r="R161" i="2"/>
  <c r="Q161" i="2"/>
  <c r="P161" i="2"/>
  <c r="N161" i="2"/>
  <c r="O161" i="2" s="1"/>
  <c r="M161" i="2"/>
  <c r="L161" i="2"/>
  <c r="K161" i="2"/>
  <c r="J161" i="2"/>
  <c r="I161" i="2"/>
  <c r="H161" i="2"/>
  <c r="G161" i="2"/>
  <c r="F161" i="2"/>
  <c r="E161" i="2"/>
  <c r="D161" i="2"/>
  <c r="C161" i="2"/>
  <c r="FO160" i="2"/>
  <c r="FI160" i="2"/>
  <c r="FH160" i="2"/>
  <c r="FG160" i="2"/>
  <c r="FF160" i="2"/>
  <c r="FE160" i="2"/>
  <c r="FD160" i="2"/>
  <c r="FC160" i="2"/>
  <c r="FA160" i="2"/>
  <c r="FB160" i="2" s="1"/>
  <c r="EZ160" i="2"/>
  <c r="EY160" i="2"/>
  <c r="EX160" i="2"/>
  <c r="EW160" i="2"/>
  <c r="EV160" i="2"/>
  <c r="EU160" i="2"/>
  <c r="ET160" i="2"/>
  <c r="ES160" i="2"/>
  <c r="ER160" i="2"/>
  <c r="EQ160" i="2"/>
  <c r="EP160" i="2"/>
  <c r="EN160" i="2"/>
  <c r="EO160" i="2" s="1"/>
  <c r="EM160" i="2"/>
  <c r="EL160" i="2"/>
  <c r="EK160" i="2"/>
  <c r="EJ160" i="2"/>
  <c r="EI160" i="2"/>
  <c r="EH160" i="2"/>
  <c r="EG160" i="2"/>
  <c r="EF160" i="2"/>
  <c r="EE160" i="2"/>
  <c r="ED160" i="2"/>
  <c r="EC160" i="2"/>
  <c r="EB160" i="2"/>
  <c r="EA160" i="2"/>
  <c r="DZ160" i="2"/>
  <c r="DY160" i="2"/>
  <c r="DX160" i="2"/>
  <c r="DW160" i="2"/>
  <c r="DV160" i="2"/>
  <c r="DU160" i="2"/>
  <c r="DT160" i="2"/>
  <c r="DS160" i="2"/>
  <c r="DR160" i="2"/>
  <c r="DQ160" i="2"/>
  <c r="DP160" i="2"/>
  <c r="DN160" i="2"/>
  <c r="DO160" i="2" s="1"/>
  <c r="DM160" i="2"/>
  <c r="DL160" i="2"/>
  <c r="DK160" i="2"/>
  <c r="DJ160" i="2"/>
  <c r="DI160" i="2"/>
  <c r="DH160" i="2"/>
  <c r="DG160" i="2"/>
  <c r="DF160" i="2"/>
  <c r="DE160" i="2"/>
  <c r="DD160" i="2"/>
  <c r="DC160" i="2"/>
  <c r="DA160" i="2"/>
  <c r="DB160" i="2" s="1"/>
  <c r="CZ160" i="2"/>
  <c r="CY160" i="2"/>
  <c r="CX160" i="2"/>
  <c r="CW160" i="2"/>
  <c r="CV160" i="2"/>
  <c r="CU160" i="2"/>
  <c r="CT160" i="2"/>
  <c r="CS160" i="2"/>
  <c r="CR160" i="2"/>
  <c r="CQ160" i="2"/>
  <c r="CP160" i="2"/>
  <c r="CN160" i="2"/>
  <c r="CO160" i="2" s="1"/>
  <c r="CM160" i="2"/>
  <c r="CL160" i="2"/>
  <c r="CK160" i="2"/>
  <c r="CJ160" i="2"/>
  <c r="CI160" i="2"/>
  <c r="CH160" i="2"/>
  <c r="CG160" i="2"/>
  <c r="CF160" i="2"/>
  <c r="CE160" i="2"/>
  <c r="CD160" i="2"/>
  <c r="CC160" i="2"/>
  <c r="CA160" i="2"/>
  <c r="CB160" i="2" s="1"/>
  <c r="BZ160" i="2"/>
  <c r="BY160" i="2"/>
  <c r="BX160" i="2"/>
  <c r="BW160" i="2"/>
  <c r="BV160" i="2"/>
  <c r="BU160" i="2"/>
  <c r="BT160" i="2"/>
  <c r="BS160" i="2"/>
  <c r="BR160" i="2"/>
  <c r="BQ160" i="2"/>
  <c r="BP160" i="2"/>
  <c r="BN160" i="2"/>
  <c r="BO160" i="2" s="1"/>
  <c r="BM160" i="2"/>
  <c r="BL160" i="2"/>
  <c r="BK160" i="2"/>
  <c r="BJ160" i="2"/>
  <c r="BI160" i="2"/>
  <c r="BH160" i="2"/>
  <c r="BG160" i="2"/>
  <c r="BF160" i="2"/>
  <c r="BE160" i="2"/>
  <c r="BD160" i="2"/>
  <c r="BC160" i="2"/>
  <c r="BB160" i="2"/>
  <c r="BA160" i="2"/>
  <c r="AZ160" i="2"/>
  <c r="AY160" i="2"/>
  <c r="AX160" i="2"/>
  <c r="AW160" i="2"/>
  <c r="AV160" i="2"/>
  <c r="AU160" i="2"/>
  <c r="AT160" i="2"/>
  <c r="AS160" i="2"/>
  <c r="AR160" i="2"/>
  <c r="AQ160" i="2"/>
  <c r="AP160" i="2"/>
  <c r="AN160" i="2"/>
  <c r="AO160" i="2" s="1"/>
  <c r="AM160" i="2"/>
  <c r="AL160" i="2"/>
  <c r="AK160" i="2"/>
  <c r="AJ160" i="2"/>
  <c r="AI160" i="2"/>
  <c r="AH160" i="2"/>
  <c r="AG160" i="2"/>
  <c r="AF160" i="2"/>
  <c r="AE160" i="2"/>
  <c r="AD160" i="2"/>
  <c r="AC160" i="2"/>
  <c r="AA160" i="2"/>
  <c r="AB160" i="2" s="1"/>
  <c r="Z160" i="2"/>
  <c r="Y160" i="2"/>
  <c r="X160" i="2"/>
  <c r="W160" i="2"/>
  <c r="V160" i="2"/>
  <c r="U160" i="2"/>
  <c r="T160" i="2"/>
  <c r="S160" i="2"/>
  <c r="R160" i="2"/>
  <c r="Q160" i="2"/>
  <c r="P160" i="2"/>
  <c r="O160" i="2"/>
  <c r="N160" i="2"/>
  <c r="M160" i="2"/>
  <c r="L160" i="2"/>
  <c r="K160" i="2"/>
  <c r="J160" i="2"/>
  <c r="I160" i="2"/>
  <c r="H160" i="2"/>
  <c r="G160" i="2"/>
  <c r="F160" i="2"/>
  <c r="E160" i="2"/>
  <c r="D160" i="2"/>
  <c r="C160" i="2"/>
  <c r="FI159" i="2"/>
  <c r="FO159" i="2" s="1"/>
  <c r="FH159" i="2"/>
  <c r="FG159" i="2"/>
  <c r="FF159" i="2"/>
  <c r="FE159" i="2"/>
  <c r="FD159" i="2"/>
  <c r="FC159" i="2"/>
  <c r="FB159" i="2"/>
  <c r="FA159" i="2"/>
  <c r="EZ159" i="2"/>
  <c r="EY159" i="2"/>
  <c r="EX159" i="2"/>
  <c r="EW159" i="2"/>
  <c r="EV159" i="2"/>
  <c r="EU159" i="2"/>
  <c r="ET159" i="2"/>
  <c r="ES159" i="2"/>
  <c r="ER159" i="2"/>
  <c r="EQ159" i="2"/>
  <c r="EP159" i="2"/>
  <c r="EN159" i="2"/>
  <c r="EO159" i="2" s="1"/>
  <c r="EM159" i="2"/>
  <c r="EL159" i="2"/>
  <c r="EK159" i="2"/>
  <c r="EJ159" i="2"/>
  <c r="EI159" i="2"/>
  <c r="EH159" i="2"/>
  <c r="EG159" i="2"/>
  <c r="EF159" i="2"/>
  <c r="EE159" i="2"/>
  <c r="ED159" i="2"/>
  <c r="EC159" i="2"/>
  <c r="EA159" i="2"/>
  <c r="EB159" i="2" s="1"/>
  <c r="DZ159" i="2"/>
  <c r="DY159" i="2"/>
  <c r="DX159" i="2"/>
  <c r="DW159" i="2"/>
  <c r="DV159" i="2"/>
  <c r="DU159" i="2"/>
  <c r="DT159" i="2"/>
  <c r="DS159" i="2"/>
  <c r="DR159" i="2"/>
  <c r="DQ159" i="2"/>
  <c r="DP159" i="2"/>
  <c r="DO159" i="2"/>
  <c r="DN159" i="2"/>
  <c r="DM159" i="2"/>
  <c r="DL159" i="2"/>
  <c r="DK159" i="2"/>
  <c r="DJ159" i="2"/>
  <c r="DI159" i="2"/>
  <c r="DH159" i="2"/>
  <c r="DG159" i="2"/>
  <c r="DF159" i="2"/>
  <c r="DE159" i="2"/>
  <c r="DD159" i="2"/>
  <c r="DC159" i="2"/>
  <c r="DA159" i="2"/>
  <c r="DB159" i="2" s="1"/>
  <c r="CZ159" i="2"/>
  <c r="CY159" i="2"/>
  <c r="CX159" i="2"/>
  <c r="CW159" i="2"/>
  <c r="CV159" i="2"/>
  <c r="CU159" i="2"/>
  <c r="CT159" i="2"/>
  <c r="CS159" i="2"/>
  <c r="CR159" i="2"/>
  <c r="CQ159" i="2"/>
  <c r="CP159" i="2"/>
  <c r="CN159" i="2"/>
  <c r="CO159" i="2" s="1"/>
  <c r="CM159" i="2"/>
  <c r="CL159" i="2"/>
  <c r="CK159" i="2"/>
  <c r="CJ159" i="2"/>
  <c r="CI159" i="2"/>
  <c r="CH159" i="2"/>
  <c r="CG159" i="2"/>
  <c r="CF159" i="2"/>
  <c r="CE159" i="2"/>
  <c r="CD159" i="2"/>
  <c r="CC159" i="2"/>
  <c r="CA159" i="2"/>
  <c r="CB159" i="2" s="1"/>
  <c r="BZ159" i="2"/>
  <c r="BY159" i="2"/>
  <c r="BX159" i="2"/>
  <c r="BW159" i="2"/>
  <c r="BV159" i="2"/>
  <c r="BU159" i="2"/>
  <c r="BT159" i="2"/>
  <c r="BS159" i="2"/>
  <c r="BR159" i="2"/>
  <c r="BQ159" i="2"/>
  <c r="BP159" i="2"/>
  <c r="BN159" i="2"/>
  <c r="BO159" i="2" s="1"/>
  <c r="BM159" i="2"/>
  <c r="BL159" i="2"/>
  <c r="BK159" i="2"/>
  <c r="BJ159" i="2"/>
  <c r="BI159" i="2"/>
  <c r="BH159" i="2"/>
  <c r="BG159" i="2"/>
  <c r="BF159" i="2"/>
  <c r="BE159" i="2"/>
  <c r="BD159" i="2"/>
  <c r="BC159" i="2"/>
  <c r="BA159" i="2"/>
  <c r="BB159" i="2" s="1"/>
  <c r="AZ159" i="2"/>
  <c r="AY159" i="2"/>
  <c r="AX159" i="2"/>
  <c r="AW159" i="2"/>
  <c r="AV159" i="2"/>
  <c r="AU159" i="2"/>
  <c r="AT159" i="2"/>
  <c r="AS159" i="2"/>
  <c r="AR159" i="2"/>
  <c r="AQ159" i="2"/>
  <c r="AP159" i="2"/>
  <c r="AN159" i="2"/>
  <c r="AO159" i="2" s="1"/>
  <c r="AM159" i="2"/>
  <c r="AL159" i="2"/>
  <c r="AK159" i="2"/>
  <c r="AJ159" i="2"/>
  <c r="AI159" i="2"/>
  <c r="AH159" i="2"/>
  <c r="AG159" i="2"/>
  <c r="AF159" i="2"/>
  <c r="AE159" i="2"/>
  <c r="AD159" i="2"/>
  <c r="AC159" i="2"/>
  <c r="AA159" i="2"/>
  <c r="AB159" i="2" s="1"/>
  <c r="Z159" i="2"/>
  <c r="Y159" i="2"/>
  <c r="X159" i="2"/>
  <c r="W159" i="2"/>
  <c r="V159" i="2"/>
  <c r="U159" i="2"/>
  <c r="T159" i="2"/>
  <c r="S159" i="2"/>
  <c r="R159" i="2"/>
  <c r="Q159" i="2"/>
  <c r="P159" i="2"/>
  <c r="O159" i="2"/>
  <c r="N159" i="2"/>
  <c r="M159" i="2"/>
  <c r="L159" i="2"/>
  <c r="K159" i="2"/>
  <c r="J159" i="2"/>
  <c r="I159" i="2"/>
  <c r="H159" i="2"/>
  <c r="G159" i="2"/>
  <c r="F159" i="2"/>
  <c r="E159" i="2"/>
  <c r="D159" i="2"/>
  <c r="C159" i="2"/>
  <c r="FI158" i="2"/>
  <c r="FO158" i="2" s="1"/>
  <c r="FH158" i="2"/>
  <c r="FG158" i="2"/>
  <c r="FF158" i="2"/>
  <c r="FE158" i="2"/>
  <c r="FD158" i="2"/>
  <c r="FC158" i="2"/>
  <c r="FA158" i="2"/>
  <c r="FB158" i="2" s="1"/>
  <c r="EZ158" i="2"/>
  <c r="EY158" i="2"/>
  <c r="EX158" i="2"/>
  <c r="EW158" i="2"/>
  <c r="EV158" i="2"/>
  <c r="EU158" i="2"/>
  <c r="ET158" i="2"/>
  <c r="ES158" i="2"/>
  <c r="ER158" i="2"/>
  <c r="EQ158" i="2"/>
  <c r="EP158" i="2"/>
  <c r="EN158" i="2"/>
  <c r="EO158" i="2" s="1"/>
  <c r="EM158" i="2"/>
  <c r="EL158" i="2"/>
  <c r="EK158" i="2"/>
  <c r="EJ158" i="2"/>
  <c r="EI158" i="2"/>
  <c r="EH158" i="2"/>
  <c r="EG158" i="2"/>
  <c r="EF158" i="2"/>
  <c r="EE158" i="2"/>
  <c r="ED158" i="2"/>
  <c r="EC158" i="2"/>
  <c r="EA158" i="2"/>
  <c r="EB158" i="2" s="1"/>
  <c r="DZ158" i="2"/>
  <c r="DY158" i="2"/>
  <c r="DX158" i="2"/>
  <c r="DW158" i="2"/>
  <c r="DV158" i="2"/>
  <c r="DU158" i="2"/>
  <c r="DT158" i="2"/>
  <c r="DS158" i="2"/>
  <c r="DR158" i="2"/>
  <c r="DQ158" i="2"/>
  <c r="DP158" i="2"/>
  <c r="DN158" i="2"/>
  <c r="DO158" i="2" s="1"/>
  <c r="DM158" i="2"/>
  <c r="DL158" i="2"/>
  <c r="DK158" i="2"/>
  <c r="DJ158" i="2"/>
  <c r="DI158" i="2"/>
  <c r="DH158" i="2"/>
  <c r="DG158" i="2"/>
  <c r="DF158" i="2"/>
  <c r="DE158" i="2"/>
  <c r="DD158" i="2"/>
  <c r="DC158" i="2"/>
  <c r="DA158" i="2"/>
  <c r="DB158" i="2" s="1"/>
  <c r="CZ158" i="2"/>
  <c r="CY158" i="2"/>
  <c r="CX158" i="2"/>
  <c r="CW158" i="2"/>
  <c r="CV158" i="2"/>
  <c r="CU158" i="2"/>
  <c r="CT158" i="2"/>
  <c r="CS158" i="2"/>
  <c r="CR158" i="2"/>
  <c r="CQ158" i="2"/>
  <c r="CP158" i="2"/>
  <c r="CO158" i="2"/>
  <c r="CN158" i="2"/>
  <c r="CM158" i="2"/>
  <c r="CL158" i="2"/>
  <c r="CK158" i="2"/>
  <c r="CJ158" i="2"/>
  <c r="CI158" i="2"/>
  <c r="CH158" i="2"/>
  <c r="CG158" i="2"/>
  <c r="CF158" i="2"/>
  <c r="CE158" i="2"/>
  <c r="CD158" i="2"/>
  <c r="CC158" i="2"/>
  <c r="CA158" i="2"/>
  <c r="CB158" i="2" s="1"/>
  <c r="BZ158" i="2"/>
  <c r="BY158" i="2"/>
  <c r="BX158" i="2"/>
  <c r="BW158" i="2"/>
  <c r="BV158" i="2"/>
  <c r="BU158" i="2"/>
  <c r="BT158" i="2"/>
  <c r="BS158" i="2"/>
  <c r="BR158" i="2"/>
  <c r="BQ158" i="2"/>
  <c r="BP158" i="2"/>
  <c r="BN158" i="2"/>
  <c r="BO158" i="2" s="1"/>
  <c r="BM158" i="2"/>
  <c r="BL158" i="2"/>
  <c r="BK158" i="2"/>
  <c r="BJ158" i="2"/>
  <c r="BI158" i="2"/>
  <c r="BH158" i="2"/>
  <c r="BG158" i="2"/>
  <c r="BF158" i="2"/>
  <c r="BE158" i="2"/>
  <c r="BD158" i="2"/>
  <c r="BC158" i="2"/>
  <c r="BA158" i="2"/>
  <c r="BB158" i="2" s="1"/>
  <c r="AZ158" i="2"/>
  <c r="AY158" i="2"/>
  <c r="AX158" i="2"/>
  <c r="AW158" i="2"/>
  <c r="AV158" i="2"/>
  <c r="AU158" i="2"/>
  <c r="AT158" i="2"/>
  <c r="AS158" i="2"/>
  <c r="AR158" i="2"/>
  <c r="AQ158" i="2"/>
  <c r="AP158" i="2"/>
  <c r="AN158" i="2"/>
  <c r="AO158" i="2" s="1"/>
  <c r="AM158" i="2"/>
  <c r="AL158" i="2"/>
  <c r="AK158" i="2"/>
  <c r="AJ158" i="2"/>
  <c r="AI158" i="2"/>
  <c r="AH158" i="2"/>
  <c r="AG158" i="2"/>
  <c r="AF158" i="2"/>
  <c r="AE158" i="2"/>
  <c r="AD158" i="2"/>
  <c r="AC158" i="2"/>
  <c r="AB158" i="2"/>
  <c r="AA158" i="2"/>
  <c r="Z158" i="2"/>
  <c r="Y158" i="2"/>
  <c r="X158" i="2"/>
  <c r="W158" i="2"/>
  <c r="V158" i="2"/>
  <c r="U158" i="2"/>
  <c r="T158" i="2"/>
  <c r="S158" i="2"/>
  <c r="R158" i="2"/>
  <c r="Q158" i="2"/>
  <c r="P158" i="2"/>
  <c r="N158" i="2"/>
  <c r="O158" i="2" s="1"/>
  <c r="M158" i="2"/>
  <c r="L158" i="2"/>
  <c r="K158" i="2"/>
  <c r="J158" i="2"/>
  <c r="I158" i="2"/>
  <c r="H158" i="2"/>
  <c r="G158" i="2"/>
  <c r="F158" i="2"/>
  <c r="E158" i="2"/>
  <c r="D158" i="2"/>
  <c r="C158" i="2"/>
  <c r="FI157" i="2"/>
  <c r="FO157" i="2" s="1"/>
  <c r="FH157" i="2"/>
  <c r="FG157" i="2"/>
  <c r="FF157" i="2"/>
  <c r="FE157" i="2"/>
  <c r="FD157" i="2"/>
  <c r="FC157" i="2"/>
  <c r="FA157" i="2"/>
  <c r="FB157" i="2" s="1"/>
  <c r="EZ157" i="2"/>
  <c r="EY157" i="2"/>
  <c r="EX157" i="2"/>
  <c r="EW157" i="2"/>
  <c r="EV157" i="2"/>
  <c r="EU157" i="2"/>
  <c r="ET157" i="2"/>
  <c r="ES157" i="2"/>
  <c r="ER157" i="2"/>
  <c r="EQ157" i="2"/>
  <c r="EP157" i="2"/>
  <c r="EN157" i="2"/>
  <c r="EO157" i="2" s="1"/>
  <c r="EM157" i="2"/>
  <c r="EL157" i="2"/>
  <c r="EK157" i="2"/>
  <c r="EJ157" i="2"/>
  <c r="EI157" i="2"/>
  <c r="EH157" i="2"/>
  <c r="EG157" i="2"/>
  <c r="EF157" i="2"/>
  <c r="EE157" i="2"/>
  <c r="ED157" i="2"/>
  <c r="EC157" i="2"/>
  <c r="EA157" i="2"/>
  <c r="EB157" i="2" s="1"/>
  <c r="DZ157" i="2"/>
  <c r="DY157" i="2"/>
  <c r="DX157" i="2"/>
  <c r="DW157" i="2"/>
  <c r="DV157" i="2"/>
  <c r="DU157" i="2"/>
  <c r="DT157" i="2"/>
  <c r="DS157" i="2"/>
  <c r="DR157" i="2"/>
  <c r="DQ157" i="2"/>
  <c r="DP157" i="2"/>
  <c r="DN157" i="2"/>
  <c r="DO157" i="2" s="1"/>
  <c r="DM157" i="2"/>
  <c r="DL157" i="2"/>
  <c r="DK157" i="2"/>
  <c r="DJ157" i="2"/>
  <c r="DI157" i="2"/>
  <c r="DH157" i="2"/>
  <c r="DG157" i="2"/>
  <c r="DF157" i="2"/>
  <c r="DE157" i="2"/>
  <c r="DD157" i="2"/>
  <c r="DC157" i="2"/>
  <c r="DB157" i="2"/>
  <c r="DA157" i="2"/>
  <c r="CZ157" i="2"/>
  <c r="CY157" i="2"/>
  <c r="CX157" i="2"/>
  <c r="CW157" i="2"/>
  <c r="CV157" i="2"/>
  <c r="CU157" i="2"/>
  <c r="CT157" i="2"/>
  <c r="CS157" i="2"/>
  <c r="CR157" i="2"/>
  <c r="CQ157" i="2"/>
  <c r="CP157" i="2"/>
  <c r="CN157" i="2"/>
  <c r="CO157" i="2" s="1"/>
  <c r="CM157" i="2"/>
  <c r="CL157" i="2"/>
  <c r="CK157" i="2"/>
  <c r="CJ157" i="2"/>
  <c r="CI157" i="2"/>
  <c r="CH157" i="2"/>
  <c r="CG157" i="2"/>
  <c r="CF157" i="2"/>
  <c r="CE157" i="2"/>
  <c r="CD157" i="2"/>
  <c r="CC157" i="2"/>
  <c r="CA157" i="2"/>
  <c r="CB157" i="2" s="1"/>
  <c r="BZ157" i="2"/>
  <c r="BY157" i="2"/>
  <c r="BX157" i="2"/>
  <c r="BW157" i="2"/>
  <c r="BV157" i="2"/>
  <c r="BU157" i="2"/>
  <c r="BT157" i="2"/>
  <c r="BS157" i="2"/>
  <c r="BR157" i="2"/>
  <c r="BQ157" i="2"/>
  <c r="BP157" i="2"/>
  <c r="BN157" i="2"/>
  <c r="BO157" i="2" s="1"/>
  <c r="BM157" i="2"/>
  <c r="BL157" i="2"/>
  <c r="BK157" i="2"/>
  <c r="BJ157" i="2"/>
  <c r="BI157" i="2"/>
  <c r="BH157" i="2"/>
  <c r="BG157" i="2"/>
  <c r="BF157" i="2"/>
  <c r="BE157" i="2"/>
  <c r="BD157" i="2"/>
  <c r="BC157" i="2"/>
  <c r="BA157" i="2"/>
  <c r="BB157" i="2" s="1"/>
  <c r="AZ157" i="2"/>
  <c r="AY157" i="2"/>
  <c r="AX157" i="2"/>
  <c r="AW157" i="2"/>
  <c r="AV157" i="2"/>
  <c r="AU157" i="2"/>
  <c r="AT157" i="2"/>
  <c r="AS157" i="2"/>
  <c r="AR157" i="2"/>
  <c r="AQ157" i="2"/>
  <c r="AP157" i="2"/>
  <c r="AN157" i="2"/>
  <c r="AO157" i="2" s="1"/>
  <c r="AM157" i="2"/>
  <c r="AL157" i="2"/>
  <c r="AK157" i="2"/>
  <c r="AJ157" i="2"/>
  <c r="AI157" i="2"/>
  <c r="AH157" i="2"/>
  <c r="AG157" i="2"/>
  <c r="AF157" i="2"/>
  <c r="AE157" i="2"/>
  <c r="AD157" i="2"/>
  <c r="AC157" i="2"/>
  <c r="AA157" i="2"/>
  <c r="AB157" i="2" s="1"/>
  <c r="Z157" i="2"/>
  <c r="Y157" i="2"/>
  <c r="X157" i="2"/>
  <c r="W157" i="2"/>
  <c r="V157" i="2"/>
  <c r="U157" i="2"/>
  <c r="T157" i="2"/>
  <c r="S157" i="2"/>
  <c r="R157" i="2"/>
  <c r="Q157" i="2"/>
  <c r="P157" i="2"/>
  <c r="O157" i="2"/>
  <c r="N157" i="2"/>
  <c r="M157" i="2"/>
  <c r="L157" i="2"/>
  <c r="K157" i="2"/>
  <c r="J157" i="2"/>
  <c r="I157" i="2"/>
  <c r="H157" i="2"/>
  <c r="G157" i="2"/>
  <c r="F157" i="2"/>
  <c r="E157" i="2"/>
  <c r="D157" i="2"/>
  <c r="C157" i="2"/>
  <c r="FI156" i="2"/>
  <c r="FO156" i="2" s="1"/>
  <c r="FH156" i="2"/>
  <c r="FG156" i="2"/>
  <c r="FF156" i="2"/>
  <c r="FE156" i="2"/>
  <c r="FD156" i="2"/>
  <c r="FC156" i="2"/>
  <c r="FA156" i="2"/>
  <c r="FB156" i="2" s="1"/>
  <c r="EZ156" i="2"/>
  <c r="EY156" i="2"/>
  <c r="EX156" i="2"/>
  <c r="EW156" i="2"/>
  <c r="EV156" i="2"/>
  <c r="EU156" i="2"/>
  <c r="ET156" i="2"/>
  <c r="ES156" i="2"/>
  <c r="ER156" i="2"/>
  <c r="EQ156" i="2"/>
  <c r="EP156" i="2"/>
  <c r="EN156" i="2"/>
  <c r="EO156" i="2" s="1"/>
  <c r="EM156" i="2"/>
  <c r="EL156" i="2"/>
  <c r="EK156" i="2"/>
  <c r="EJ156" i="2"/>
  <c r="EI156" i="2"/>
  <c r="EH156" i="2"/>
  <c r="EG156" i="2"/>
  <c r="EF156" i="2"/>
  <c r="EE156" i="2"/>
  <c r="ED156" i="2"/>
  <c r="EC156" i="2"/>
  <c r="EA156" i="2"/>
  <c r="EB156" i="2" s="1"/>
  <c r="DZ156" i="2"/>
  <c r="DY156" i="2"/>
  <c r="DX156" i="2"/>
  <c r="DW156" i="2"/>
  <c r="DV156" i="2"/>
  <c r="DU156" i="2"/>
  <c r="DT156" i="2"/>
  <c r="DS156" i="2"/>
  <c r="DR156" i="2"/>
  <c r="DQ156" i="2"/>
  <c r="DP156" i="2"/>
  <c r="DO156" i="2"/>
  <c r="DN156" i="2"/>
  <c r="DM156" i="2"/>
  <c r="DL156" i="2"/>
  <c r="DK156" i="2"/>
  <c r="DJ156" i="2"/>
  <c r="DI156" i="2"/>
  <c r="DH156" i="2"/>
  <c r="DG156" i="2"/>
  <c r="DF156" i="2"/>
  <c r="DE156" i="2"/>
  <c r="DD156" i="2"/>
  <c r="DC156" i="2"/>
  <c r="DA156" i="2"/>
  <c r="DB156" i="2" s="1"/>
  <c r="CZ156" i="2"/>
  <c r="CY156" i="2"/>
  <c r="CX156" i="2"/>
  <c r="CW156" i="2"/>
  <c r="CV156" i="2"/>
  <c r="CU156" i="2"/>
  <c r="CT156" i="2"/>
  <c r="CS156" i="2"/>
  <c r="CR156" i="2"/>
  <c r="CQ156" i="2"/>
  <c r="CP156" i="2"/>
  <c r="CN156" i="2"/>
  <c r="CO156" i="2" s="1"/>
  <c r="CM156" i="2"/>
  <c r="CL156" i="2"/>
  <c r="CK156" i="2"/>
  <c r="CJ156" i="2"/>
  <c r="CI156" i="2"/>
  <c r="CH156" i="2"/>
  <c r="CG156" i="2"/>
  <c r="CF156" i="2"/>
  <c r="CE156" i="2"/>
  <c r="CD156" i="2"/>
  <c r="CC156" i="2"/>
  <c r="CA156" i="2"/>
  <c r="CB156" i="2" s="1"/>
  <c r="BZ156" i="2"/>
  <c r="BY156" i="2"/>
  <c r="BX156" i="2"/>
  <c r="BW156" i="2"/>
  <c r="BV156" i="2"/>
  <c r="BU156" i="2"/>
  <c r="BT156" i="2"/>
  <c r="BS156" i="2"/>
  <c r="BR156" i="2"/>
  <c r="BQ156" i="2"/>
  <c r="BP156" i="2"/>
  <c r="BN156" i="2"/>
  <c r="BO156" i="2" s="1"/>
  <c r="BM156" i="2"/>
  <c r="BL156" i="2"/>
  <c r="BK156" i="2"/>
  <c r="BJ156" i="2"/>
  <c r="BI156" i="2"/>
  <c r="BH156" i="2"/>
  <c r="BG156" i="2"/>
  <c r="BF156" i="2"/>
  <c r="BE156" i="2"/>
  <c r="BD156" i="2"/>
  <c r="BC156" i="2"/>
  <c r="BB156" i="2"/>
  <c r="BA156" i="2"/>
  <c r="AZ156" i="2"/>
  <c r="AY156" i="2"/>
  <c r="AX156" i="2"/>
  <c r="AW156" i="2"/>
  <c r="AV156" i="2"/>
  <c r="AU156" i="2"/>
  <c r="AT156" i="2"/>
  <c r="AS156" i="2"/>
  <c r="AR156" i="2"/>
  <c r="AQ156" i="2"/>
  <c r="AP156" i="2"/>
  <c r="AN156" i="2"/>
  <c r="AO156" i="2" s="1"/>
  <c r="AM156" i="2"/>
  <c r="AL156" i="2"/>
  <c r="AK156" i="2"/>
  <c r="AJ156" i="2"/>
  <c r="AI156" i="2"/>
  <c r="AH156" i="2"/>
  <c r="AG156" i="2"/>
  <c r="AF156" i="2"/>
  <c r="AE156" i="2"/>
  <c r="AD156" i="2"/>
  <c r="AC156" i="2"/>
  <c r="AA156" i="2"/>
  <c r="AB156" i="2" s="1"/>
  <c r="Z156" i="2"/>
  <c r="Y156" i="2"/>
  <c r="X156" i="2"/>
  <c r="W156" i="2"/>
  <c r="V156" i="2"/>
  <c r="U156" i="2"/>
  <c r="T156" i="2"/>
  <c r="S156" i="2"/>
  <c r="R156" i="2"/>
  <c r="Q156" i="2"/>
  <c r="P156" i="2"/>
  <c r="N156" i="2"/>
  <c r="O156" i="2" s="1"/>
  <c r="M156" i="2"/>
  <c r="L156" i="2"/>
  <c r="K156" i="2"/>
  <c r="J156" i="2"/>
  <c r="I156" i="2"/>
  <c r="H156" i="2"/>
  <c r="G156" i="2"/>
  <c r="F156" i="2"/>
  <c r="E156" i="2"/>
  <c r="D156" i="2"/>
  <c r="C156" i="2"/>
  <c r="FI155" i="2"/>
  <c r="FO155" i="2" s="1"/>
  <c r="FH155" i="2"/>
  <c r="FG155" i="2"/>
  <c r="FF155" i="2"/>
  <c r="FE155" i="2"/>
  <c r="FD155" i="2"/>
  <c r="FC155" i="2"/>
  <c r="FB155" i="2"/>
  <c r="FA155" i="2"/>
  <c r="EZ155" i="2"/>
  <c r="EY155" i="2"/>
  <c r="EX155" i="2"/>
  <c r="EW155" i="2"/>
  <c r="EV155" i="2"/>
  <c r="EU155" i="2"/>
  <c r="ET155" i="2"/>
  <c r="ES155" i="2"/>
  <c r="ER155" i="2"/>
  <c r="EQ155" i="2"/>
  <c r="EP155" i="2"/>
  <c r="EN155" i="2"/>
  <c r="EO155" i="2" s="1"/>
  <c r="EM155" i="2"/>
  <c r="EL155" i="2"/>
  <c r="EK155" i="2"/>
  <c r="EJ155" i="2"/>
  <c r="EI155" i="2"/>
  <c r="EH155" i="2"/>
  <c r="EG155" i="2"/>
  <c r="EF155" i="2"/>
  <c r="EE155" i="2"/>
  <c r="ED155" i="2"/>
  <c r="EC155" i="2"/>
  <c r="EA155" i="2"/>
  <c r="EB155" i="2" s="1"/>
  <c r="DZ155" i="2"/>
  <c r="DY155" i="2"/>
  <c r="DX155" i="2"/>
  <c r="DW155" i="2"/>
  <c r="DV155" i="2"/>
  <c r="DU155" i="2"/>
  <c r="DT155" i="2"/>
  <c r="DS155" i="2"/>
  <c r="DR155" i="2"/>
  <c r="DQ155" i="2"/>
  <c r="DP155" i="2"/>
  <c r="DN155" i="2"/>
  <c r="DO155" i="2" s="1"/>
  <c r="DM155" i="2"/>
  <c r="DL155" i="2"/>
  <c r="DK155" i="2"/>
  <c r="DJ155" i="2"/>
  <c r="DI155" i="2"/>
  <c r="DH155" i="2"/>
  <c r="DG155" i="2"/>
  <c r="DF155" i="2"/>
  <c r="DE155" i="2"/>
  <c r="DD155" i="2"/>
  <c r="DC155" i="2"/>
  <c r="DA155" i="2"/>
  <c r="DB155" i="2" s="1"/>
  <c r="CZ155" i="2"/>
  <c r="CY155" i="2"/>
  <c r="CX155" i="2"/>
  <c r="CW155" i="2"/>
  <c r="CV155" i="2"/>
  <c r="CU155" i="2"/>
  <c r="CT155" i="2"/>
  <c r="CS155" i="2"/>
  <c r="CR155" i="2"/>
  <c r="CQ155" i="2"/>
  <c r="CP155" i="2"/>
  <c r="CN155" i="2"/>
  <c r="CO155" i="2" s="1"/>
  <c r="CM155" i="2"/>
  <c r="CL155" i="2"/>
  <c r="CK155" i="2"/>
  <c r="CJ155" i="2"/>
  <c r="CI155" i="2"/>
  <c r="CH155" i="2"/>
  <c r="CG155" i="2"/>
  <c r="CF155" i="2"/>
  <c r="CE155" i="2"/>
  <c r="CD155" i="2"/>
  <c r="CC155" i="2"/>
  <c r="CA155" i="2"/>
  <c r="CB155" i="2" s="1"/>
  <c r="BZ155" i="2"/>
  <c r="BY155" i="2"/>
  <c r="BX155" i="2"/>
  <c r="BW155" i="2"/>
  <c r="BV155" i="2"/>
  <c r="BU155" i="2"/>
  <c r="BT155" i="2"/>
  <c r="BS155" i="2"/>
  <c r="BR155" i="2"/>
  <c r="BQ155" i="2"/>
  <c r="BP155" i="2"/>
  <c r="BO155" i="2"/>
  <c r="BN155" i="2"/>
  <c r="BM155" i="2"/>
  <c r="BL155" i="2"/>
  <c r="BK155" i="2"/>
  <c r="BJ155" i="2"/>
  <c r="BI155" i="2"/>
  <c r="BH155" i="2"/>
  <c r="BG155" i="2"/>
  <c r="BF155" i="2"/>
  <c r="BE155" i="2"/>
  <c r="BD155" i="2"/>
  <c r="BC155" i="2"/>
  <c r="BA155" i="2"/>
  <c r="BB155" i="2" s="1"/>
  <c r="AZ155" i="2"/>
  <c r="AY155" i="2"/>
  <c r="AX155" i="2"/>
  <c r="AW155" i="2"/>
  <c r="AV155" i="2"/>
  <c r="AU155" i="2"/>
  <c r="AT155" i="2"/>
  <c r="AS155" i="2"/>
  <c r="AR155" i="2"/>
  <c r="AQ155" i="2"/>
  <c r="AP155" i="2"/>
  <c r="AN155" i="2"/>
  <c r="AO155" i="2" s="1"/>
  <c r="AM155" i="2"/>
  <c r="AL155" i="2"/>
  <c r="AK155" i="2"/>
  <c r="AJ155" i="2"/>
  <c r="AI155" i="2"/>
  <c r="AH155" i="2"/>
  <c r="AG155" i="2"/>
  <c r="AF155" i="2"/>
  <c r="AE155" i="2"/>
  <c r="AD155" i="2"/>
  <c r="AC155" i="2"/>
  <c r="AA155" i="2"/>
  <c r="AB155" i="2" s="1"/>
  <c r="Z155" i="2"/>
  <c r="Y155" i="2"/>
  <c r="X155" i="2"/>
  <c r="W155" i="2"/>
  <c r="V155" i="2"/>
  <c r="U155" i="2"/>
  <c r="T155" i="2"/>
  <c r="S155" i="2"/>
  <c r="R155" i="2"/>
  <c r="Q155" i="2"/>
  <c r="P155" i="2"/>
  <c r="N155" i="2"/>
  <c r="O155" i="2" s="1"/>
  <c r="M155" i="2"/>
  <c r="L155" i="2"/>
  <c r="K155" i="2"/>
  <c r="J155" i="2"/>
  <c r="I155" i="2"/>
  <c r="H155" i="2"/>
  <c r="G155" i="2"/>
  <c r="F155" i="2"/>
  <c r="E155" i="2"/>
  <c r="D155" i="2"/>
  <c r="C155" i="2"/>
  <c r="FI154" i="2"/>
  <c r="FO154" i="2" s="1"/>
  <c r="FH154" i="2"/>
  <c r="FG154" i="2"/>
  <c r="FF154" i="2"/>
  <c r="FE154" i="2"/>
  <c r="FD154" i="2"/>
  <c r="FC154" i="2"/>
  <c r="FA154" i="2"/>
  <c r="FB154" i="2" s="1"/>
  <c r="EZ154" i="2"/>
  <c r="EY154" i="2"/>
  <c r="EX154" i="2"/>
  <c r="EW154" i="2"/>
  <c r="EV154" i="2"/>
  <c r="EU154" i="2"/>
  <c r="ET154" i="2"/>
  <c r="ES154" i="2"/>
  <c r="ER154" i="2"/>
  <c r="EQ154" i="2"/>
  <c r="EP154" i="2"/>
  <c r="EN154" i="2"/>
  <c r="EO154" i="2" s="1"/>
  <c r="EM154" i="2"/>
  <c r="EL154" i="2"/>
  <c r="EK154" i="2"/>
  <c r="EJ154" i="2"/>
  <c r="EI154" i="2"/>
  <c r="EH154" i="2"/>
  <c r="EG154" i="2"/>
  <c r="EF154" i="2"/>
  <c r="EE154" i="2"/>
  <c r="ED154" i="2"/>
  <c r="EC154" i="2"/>
  <c r="EB154" i="2"/>
  <c r="EA154" i="2"/>
  <c r="DZ154" i="2"/>
  <c r="DY154" i="2"/>
  <c r="DX154" i="2"/>
  <c r="DW154" i="2"/>
  <c r="DV154" i="2"/>
  <c r="DU154" i="2"/>
  <c r="DT154" i="2"/>
  <c r="DS154" i="2"/>
  <c r="DR154" i="2"/>
  <c r="DQ154" i="2"/>
  <c r="DP154" i="2"/>
  <c r="DN154" i="2"/>
  <c r="DO154" i="2" s="1"/>
  <c r="DM154" i="2"/>
  <c r="DL154" i="2"/>
  <c r="DK154" i="2"/>
  <c r="DJ154" i="2"/>
  <c r="DI154" i="2"/>
  <c r="DH154" i="2"/>
  <c r="DG154" i="2"/>
  <c r="DF154" i="2"/>
  <c r="DE154" i="2"/>
  <c r="DD154" i="2"/>
  <c r="DC154" i="2"/>
  <c r="DA154" i="2"/>
  <c r="DB154" i="2" s="1"/>
  <c r="CZ154" i="2"/>
  <c r="CY154" i="2"/>
  <c r="CX154" i="2"/>
  <c r="CW154" i="2"/>
  <c r="CV154" i="2"/>
  <c r="CU154" i="2"/>
  <c r="CT154" i="2"/>
  <c r="CS154" i="2"/>
  <c r="CR154" i="2"/>
  <c r="CQ154" i="2"/>
  <c r="CP154" i="2"/>
  <c r="CN154" i="2"/>
  <c r="CO154" i="2" s="1"/>
  <c r="CM154" i="2"/>
  <c r="CL154" i="2"/>
  <c r="CK154" i="2"/>
  <c r="CJ154" i="2"/>
  <c r="CI154" i="2"/>
  <c r="CH154" i="2"/>
  <c r="CG154" i="2"/>
  <c r="CF154" i="2"/>
  <c r="CE154" i="2"/>
  <c r="CD154" i="2"/>
  <c r="CC154" i="2"/>
  <c r="CA154" i="2"/>
  <c r="CB154" i="2" s="1"/>
  <c r="BZ154" i="2"/>
  <c r="BY154" i="2"/>
  <c r="BX154" i="2"/>
  <c r="BW154" i="2"/>
  <c r="BV154" i="2"/>
  <c r="BU154" i="2"/>
  <c r="BT154" i="2"/>
  <c r="BS154" i="2"/>
  <c r="BR154" i="2"/>
  <c r="BQ154" i="2"/>
  <c r="BP154" i="2"/>
  <c r="BN154" i="2"/>
  <c r="BO154" i="2" s="1"/>
  <c r="BM154" i="2"/>
  <c r="BL154" i="2"/>
  <c r="BK154" i="2"/>
  <c r="BJ154" i="2"/>
  <c r="BI154" i="2"/>
  <c r="BH154" i="2"/>
  <c r="BG154" i="2"/>
  <c r="BF154" i="2"/>
  <c r="BE154" i="2"/>
  <c r="BD154" i="2"/>
  <c r="BC154" i="2"/>
  <c r="BA154" i="2"/>
  <c r="BB154" i="2" s="1"/>
  <c r="AZ154" i="2"/>
  <c r="AY154" i="2"/>
  <c r="AX154" i="2"/>
  <c r="AW154" i="2"/>
  <c r="AV154" i="2"/>
  <c r="AU154" i="2"/>
  <c r="AT154" i="2"/>
  <c r="AS154" i="2"/>
  <c r="AR154" i="2"/>
  <c r="AQ154" i="2"/>
  <c r="AP154" i="2"/>
  <c r="AO154" i="2"/>
  <c r="AN154" i="2"/>
  <c r="AM154" i="2"/>
  <c r="AL154" i="2"/>
  <c r="AK154" i="2"/>
  <c r="AJ154" i="2"/>
  <c r="AI154" i="2"/>
  <c r="AH154" i="2"/>
  <c r="AG154" i="2"/>
  <c r="AF154" i="2"/>
  <c r="AE154" i="2"/>
  <c r="AD154" i="2"/>
  <c r="AC154" i="2"/>
  <c r="AA154" i="2"/>
  <c r="AB154" i="2" s="1"/>
  <c r="Z154" i="2"/>
  <c r="Y154" i="2"/>
  <c r="X154" i="2"/>
  <c r="W154" i="2"/>
  <c r="V154" i="2"/>
  <c r="U154" i="2"/>
  <c r="T154" i="2"/>
  <c r="S154" i="2"/>
  <c r="R154" i="2"/>
  <c r="Q154" i="2"/>
  <c r="P154" i="2"/>
  <c r="N154" i="2"/>
  <c r="O154" i="2" s="1"/>
  <c r="M154" i="2"/>
  <c r="L154" i="2"/>
  <c r="K154" i="2"/>
  <c r="J154" i="2"/>
  <c r="I154" i="2"/>
  <c r="H154" i="2"/>
  <c r="G154" i="2"/>
  <c r="F154" i="2"/>
  <c r="E154" i="2"/>
  <c r="D154" i="2"/>
  <c r="C154" i="2"/>
  <c r="FI153" i="2"/>
  <c r="FO153" i="2" s="1"/>
  <c r="FH153" i="2"/>
  <c r="FG153" i="2"/>
  <c r="FF153" i="2"/>
  <c r="FE153" i="2"/>
  <c r="FD153" i="2"/>
  <c r="FC153" i="2"/>
  <c r="FA153" i="2"/>
  <c r="FB153" i="2" s="1"/>
  <c r="EZ153" i="2"/>
  <c r="EY153" i="2"/>
  <c r="EX153" i="2"/>
  <c r="EW153" i="2"/>
  <c r="EV153" i="2"/>
  <c r="EU153" i="2"/>
  <c r="ET153" i="2"/>
  <c r="ES153" i="2"/>
  <c r="ER153" i="2"/>
  <c r="EQ153" i="2"/>
  <c r="EP153" i="2"/>
  <c r="EO153" i="2"/>
  <c r="EN153" i="2"/>
  <c r="EM153" i="2"/>
  <c r="EL153" i="2"/>
  <c r="EK153" i="2"/>
  <c r="EJ153" i="2"/>
  <c r="EI153" i="2"/>
  <c r="EH153" i="2"/>
  <c r="EG153" i="2"/>
  <c r="EF153" i="2"/>
  <c r="EE153" i="2"/>
  <c r="ED153" i="2"/>
  <c r="EC153" i="2"/>
  <c r="EA153" i="2"/>
  <c r="EB153" i="2" s="1"/>
  <c r="DZ153" i="2"/>
  <c r="DY153" i="2"/>
  <c r="DX153" i="2"/>
  <c r="DW153" i="2"/>
  <c r="DV153" i="2"/>
  <c r="DU153" i="2"/>
  <c r="DT153" i="2"/>
  <c r="DS153" i="2"/>
  <c r="DR153" i="2"/>
  <c r="DQ153" i="2"/>
  <c r="DP153" i="2"/>
  <c r="DN153" i="2"/>
  <c r="DO153" i="2" s="1"/>
  <c r="DM153" i="2"/>
  <c r="DL153" i="2"/>
  <c r="DK153" i="2"/>
  <c r="DJ153" i="2"/>
  <c r="DI153" i="2"/>
  <c r="DH153" i="2"/>
  <c r="DG153" i="2"/>
  <c r="DF153" i="2"/>
  <c r="DE153" i="2"/>
  <c r="DD153" i="2"/>
  <c r="DC153" i="2"/>
  <c r="DA153" i="2"/>
  <c r="DB153" i="2" s="1"/>
  <c r="CZ153" i="2"/>
  <c r="CY153" i="2"/>
  <c r="CX153" i="2"/>
  <c r="CW153" i="2"/>
  <c r="CV153" i="2"/>
  <c r="CU153" i="2"/>
  <c r="CT153" i="2"/>
  <c r="CS153" i="2"/>
  <c r="CR153" i="2"/>
  <c r="CQ153" i="2"/>
  <c r="CP153" i="2"/>
  <c r="CN153" i="2"/>
  <c r="CO153" i="2" s="1"/>
  <c r="CM153" i="2"/>
  <c r="CL153" i="2"/>
  <c r="CK153" i="2"/>
  <c r="CJ153" i="2"/>
  <c r="CI153" i="2"/>
  <c r="CH153" i="2"/>
  <c r="CG153" i="2"/>
  <c r="CF153" i="2"/>
  <c r="CE153" i="2"/>
  <c r="CD153" i="2"/>
  <c r="CC153" i="2"/>
  <c r="CA153" i="2"/>
  <c r="CB153" i="2" s="1"/>
  <c r="BZ153" i="2"/>
  <c r="BY153" i="2"/>
  <c r="BX153" i="2"/>
  <c r="BW153" i="2"/>
  <c r="BV153" i="2"/>
  <c r="BU153" i="2"/>
  <c r="BT153" i="2"/>
  <c r="BS153" i="2"/>
  <c r="BR153" i="2"/>
  <c r="BQ153" i="2"/>
  <c r="BP153" i="2"/>
  <c r="BN153" i="2"/>
  <c r="BO153" i="2" s="1"/>
  <c r="BM153" i="2"/>
  <c r="BL153" i="2"/>
  <c r="BK153" i="2"/>
  <c r="BJ153" i="2"/>
  <c r="BI153" i="2"/>
  <c r="BH153" i="2"/>
  <c r="BG153" i="2"/>
  <c r="BF153" i="2"/>
  <c r="BE153" i="2"/>
  <c r="BD153" i="2"/>
  <c r="BC153" i="2"/>
  <c r="BB153" i="2"/>
  <c r="BA153" i="2"/>
  <c r="AZ153" i="2"/>
  <c r="AY153" i="2"/>
  <c r="AX153" i="2"/>
  <c r="AW153" i="2"/>
  <c r="AV153" i="2"/>
  <c r="AU153" i="2"/>
  <c r="AT153" i="2"/>
  <c r="AS153" i="2"/>
  <c r="AR153" i="2"/>
  <c r="AQ153" i="2"/>
  <c r="AP153" i="2"/>
  <c r="AN153" i="2"/>
  <c r="AO153" i="2" s="1"/>
  <c r="AM153" i="2"/>
  <c r="AL153" i="2"/>
  <c r="AK153" i="2"/>
  <c r="AJ153" i="2"/>
  <c r="AI153" i="2"/>
  <c r="AH153" i="2"/>
  <c r="AG153" i="2"/>
  <c r="AF153" i="2"/>
  <c r="AE153" i="2"/>
  <c r="AD153" i="2"/>
  <c r="AC153" i="2"/>
  <c r="AA153" i="2"/>
  <c r="AB153" i="2" s="1"/>
  <c r="Z153" i="2"/>
  <c r="Y153" i="2"/>
  <c r="X153" i="2"/>
  <c r="W153" i="2"/>
  <c r="V153" i="2"/>
  <c r="U153" i="2"/>
  <c r="T153" i="2"/>
  <c r="S153" i="2"/>
  <c r="R153" i="2"/>
  <c r="Q153" i="2"/>
  <c r="P153" i="2"/>
  <c r="N153" i="2"/>
  <c r="O153" i="2" s="1"/>
  <c r="M153" i="2"/>
  <c r="L153" i="2"/>
  <c r="K153" i="2"/>
  <c r="J153" i="2"/>
  <c r="I153" i="2"/>
  <c r="H153" i="2"/>
  <c r="G153" i="2"/>
  <c r="F153" i="2"/>
  <c r="E153" i="2"/>
  <c r="D153" i="2"/>
  <c r="C153" i="2"/>
  <c r="FI152" i="2"/>
  <c r="FO152" i="2" s="1"/>
  <c r="FH152" i="2"/>
  <c r="FG152" i="2"/>
  <c r="FF152" i="2"/>
  <c r="FE152" i="2"/>
  <c r="FD152" i="2"/>
  <c r="FC152" i="2"/>
  <c r="FA152" i="2"/>
  <c r="FB152" i="2" s="1"/>
  <c r="EZ152" i="2"/>
  <c r="EY152" i="2"/>
  <c r="EX152" i="2"/>
  <c r="EW152" i="2"/>
  <c r="EV152" i="2"/>
  <c r="EU152" i="2"/>
  <c r="ET152" i="2"/>
  <c r="ES152" i="2"/>
  <c r="ER152" i="2"/>
  <c r="EQ152" i="2"/>
  <c r="EP152" i="2"/>
  <c r="EN152" i="2"/>
  <c r="EO152" i="2" s="1"/>
  <c r="EM152" i="2"/>
  <c r="EL152" i="2"/>
  <c r="EK152" i="2"/>
  <c r="EJ152" i="2"/>
  <c r="EI152" i="2"/>
  <c r="EH152" i="2"/>
  <c r="EG152" i="2"/>
  <c r="EF152" i="2"/>
  <c r="EE152" i="2"/>
  <c r="ED152" i="2"/>
  <c r="EC152" i="2"/>
  <c r="EA152" i="2"/>
  <c r="EB152" i="2" s="1"/>
  <c r="DZ152" i="2"/>
  <c r="DY152" i="2"/>
  <c r="DX152" i="2"/>
  <c r="DW152" i="2"/>
  <c r="DV152" i="2"/>
  <c r="DU152" i="2"/>
  <c r="DT152" i="2"/>
  <c r="DS152" i="2"/>
  <c r="DR152" i="2"/>
  <c r="DQ152" i="2"/>
  <c r="DP152" i="2"/>
  <c r="DN152" i="2"/>
  <c r="DO152" i="2" s="1"/>
  <c r="DM152" i="2"/>
  <c r="DL152" i="2"/>
  <c r="DK152" i="2"/>
  <c r="DJ152" i="2"/>
  <c r="DI152" i="2"/>
  <c r="DH152" i="2"/>
  <c r="DG152" i="2"/>
  <c r="DF152" i="2"/>
  <c r="DE152" i="2"/>
  <c r="DD152" i="2"/>
  <c r="DC152" i="2"/>
  <c r="DA152" i="2"/>
  <c r="DB152" i="2" s="1"/>
  <c r="CZ152" i="2"/>
  <c r="CY152" i="2"/>
  <c r="CX152" i="2"/>
  <c r="CW152" i="2"/>
  <c r="CV152" i="2"/>
  <c r="CU152" i="2"/>
  <c r="CT152" i="2"/>
  <c r="CS152" i="2"/>
  <c r="CR152" i="2"/>
  <c r="CQ152" i="2"/>
  <c r="CP152" i="2"/>
  <c r="CO152" i="2"/>
  <c r="CN152" i="2"/>
  <c r="CM152" i="2"/>
  <c r="CL152" i="2"/>
  <c r="CK152" i="2"/>
  <c r="CJ152" i="2"/>
  <c r="CI152" i="2"/>
  <c r="CH152" i="2"/>
  <c r="CG152" i="2"/>
  <c r="CF152" i="2"/>
  <c r="CE152" i="2"/>
  <c r="CD152" i="2"/>
  <c r="CC152" i="2"/>
  <c r="CA152" i="2"/>
  <c r="CB152" i="2" s="1"/>
  <c r="BZ152" i="2"/>
  <c r="BY152" i="2"/>
  <c r="BX152" i="2"/>
  <c r="BW152" i="2"/>
  <c r="BV152" i="2"/>
  <c r="BU152" i="2"/>
  <c r="BT152" i="2"/>
  <c r="BS152" i="2"/>
  <c r="BR152" i="2"/>
  <c r="BQ152" i="2"/>
  <c r="BP152" i="2"/>
  <c r="BN152" i="2"/>
  <c r="BO152" i="2" s="1"/>
  <c r="BM152" i="2"/>
  <c r="BL152" i="2"/>
  <c r="BK152" i="2"/>
  <c r="BJ152" i="2"/>
  <c r="BI152" i="2"/>
  <c r="BH152" i="2"/>
  <c r="BG152" i="2"/>
  <c r="BF152" i="2"/>
  <c r="BE152" i="2"/>
  <c r="BD152" i="2"/>
  <c r="BC152" i="2"/>
  <c r="BA152" i="2"/>
  <c r="BB152" i="2" s="1"/>
  <c r="AZ152" i="2"/>
  <c r="AY152" i="2"/>
  <c r="AX152" i="2"/>
  <c r="AW152" i="2"/>
  <c r="AV152" i="2"/>
  <c r="AU152" i="2"/>
  <c r="AT152" i="2"/>
  <c r="AS152" i="2"/>
  <c r="AR152" i="2"/>
  <c r="AQ152" i="2"/>
  <c r="AP152" i="2"/>
  <c r="AN152" i="2"/>
  <c r="AO152" i="2" s="1"/>
  <c r="AM152" i="2"/>
  <c r="AL152" i="2"/>
  <c r="AK152" i="2"/>
  <c r="AJ152" i="2"/>
  <c r="AI152" i="2"/>
  <c r="AH152" i="2"/>
  <c r="AG152" i="2"/>
  <c r="AF152" i="2"/>
  <c r="AE152" i="2"/>
  <c r="AD152" i="2"/>
  <c r="AC152" i="2"/>
  <c r="AB152" i="2"/>
  <c r="AA152" i="2"/>
  <c r="Z152" i="2"/>
  <c r="Y152" i="2"/>
  <c r="X152" i="2"/>
  <c r="W152" i="2"/>
  <c r="V152" i="2"/>
  <c r="U152" i="2"/>
  <c r="T152" i="2"/>
  <c r="S152" i="2"/>
  <c r="R152" i="2"/>
  <c r="Q152" i="2"/>
  <c r="P152" i="2"/>
  <c r="N152" i="2"/>
  <c r="O152" i="2" s="1"/>
  <c r="M152" i="2"/>
  <c r="L152" i="2"/>
  <c r="K152" i="2"/>
  <c r="J152" i="2"/>
  <c r="I152" i="2"/>
  <c r="H152" i="2"/>
  <c r="G152" i="2"/>
  <c r="F152" i="2"/>
  <c r="E152" i="2"/>
  <c r="D152" i="2"/>
  <c r="C152" i="2"/>
  <c r="FI151" i="2"/>
  <c r="FO151" i="2" s="1"/>
  <c r="FH151" i="2"/>
  <c r="FG151" i="2"/>
  <c r="FF151" i="2"/>
  <c r="FE151" i="2"/>
  <c r="FD151" i="2"/>
  <c r="FC151" i="2"/>
  <c r="FA151" i="2"/>
  <c r="FB151" i="2" s="1"/>
  <c r="EZ151" i="2"/>
  <c r="EY151" i="2"/>
  <c r="EX151" i="2"/>
  <c r="EW151" i="2"/>
  <c r="EV151" i="2"/>
  <c r="EU151" i="2"/>
  <c r="ET151" i="2"/>
  <c r="ES151" i="2"/>
  <c r="ER151" i="2"/>
  <c r="EQ151" i="2"/>
  <c r="EP151" i="2"/>
  <c r="EN151" i="2"/>
  <c r="EO151" i="2" s="1"/>
  <c r="EM151" i="2"/>
  <c r="EL151" i="2"/>
  <c r="EK151" i="2"/>
  <c r="EJ151" i="2"/>
  <c r="EI151" i="2"/>
  <c r="EH151" i="2"/>
  <c r="EG151" i="2"/>
  <c r="EF151" i="2"/>
  <c r="EE151" i="2"/>
  <c r="ED151" i="2"/>
  <c r="EC151" i="2"/>
  <c r="EB151" i="2"/>
  <c r="EA151" i="2"/>
  <c r="DZ151" i="2"/>
  <c r="DY151" i="2"/>
  <c r="DX151" i="2"/>
  <c r="DW151" i="2"/>
  <c r="DV151" i="2"/>
  <c r="DU151" i="2"/>
  <c r="DT151" i="2"/>
  <c r="DS151" i="2"/>
  <c r="DR151" i="2"/>
  <c r="DQ151" i="2"/>
  <c r="DP151" i="2"/>
  <c r="DN151" i="2"/>
  <c r="DO151" i="2" s="1"/>
  <c r="DM151" i="2"/>
  <c r="DL151" i="2"/>
  <c r="DK151" i="2"/>
  <c r="DJ151" i="2"/>
  <c r="DI151" i="2"/>
  <c r="DH151" i="2"/>
  <c r="DG151" i="2"/>
  <c r="DF151" i="2"/>
  <c r="DE151" i="2"/>
  <c r="DD151" i="2"/>
  <c r="DC151" i="2"/>
  <c r="DA151" i="2"/>
  <c r="DB151" i="2" s="1"/>
  <c r="CZ151" i="2"/>
  <c r="CY151" i="2"/>
  <c r="CX151" i="2"/>
  <c r="CW151" i="2"/>
  <c r="CV151" i="2"/>
  <c r="CU151" i="2"/>
  <c r="CT151" i="2"/>
  <c r="CS151" i="2"/>
  <c r="CR151" i="2"/>
  <c r="CQ151" i="2"/>
  <c r="CP151" i="2"/>
  <c r="CN151" i="2"/>
  <c r="CO151" i="2" s="1"/>
  <c r="CM151" i="2"/>
  <c r="CL151" i="2"/>
  <c r="CK151" i="2"/>
  <c r="CJ151" i="2"/>
  <c r="CI151" i="2"/>
  <c r="CH151" i="2"/>
  <c r="CG151" i="2"/>
  <c r="CF151" i="2"/>
  <c r="CE151" i="2"/>
  <c r="CD151" i="2"/>
  <c r="CC151" i="2"/>
  <c r="CA151" i="2"/>
  <c r="CB151" i="2" s="1"/>
  <c r="BZ151" i="2"/>
  <c r="BY151" i="2"/>
  <c r="BX151" i="2"/>
  <c r="BW151" i="2"/>
  <c r="BV151" i="2"/>
  <c r="BU151" i="2"/>
  <c r="BT151" i="2"/>
  <c r="BS151" i="2"/>
  <c r="BR151" i="2"/>
  <c r="BQ151" i="2"/>
  <c r="BP151" i="2"/>
  <c r="BN151" i="2"/>
  <c r="BO151" i="2" s="1"/>
  <c r="BM151" i="2"/>
  <c r="BL151" i="2"/>
  <c r="BK151" i="2"/>
  <c r="BJ151" i="2"/>
  <c r="BI151" i="2"/>
  <c r="BH151" i="2"/>
  <c r="BG151" i="2"/>
  <c r="BF151" i="2"/>
  <c r="BE151" i="2"/>
  <c r="BD151" i="2"/>
  <c r="BC151" i="2"/>
  <c r="BB151" i="2"/>
  <c r="BA151" i="2"/>
  <c r="AZ151" i="2"/>
  <c r="AY151" i="2"/>
  <c r="AX151" i="2"/>
  <c r="AW151" i="2"/>
  <c r="AV151" i="2"/>
  <c r="AU151" i="2"/>
  <c r="AT151" i="2"/>
  <c r="AS151" i="2"/>
  <c r="AR151" i="2"/>
  <c r="AQ151" i="2"/>
  <c r="AP151" i="2"/>
  <c r="AN151" i="2"/>
  <c r="AO151" i="2" s="1"/>
  <c r="AM151" i="2"/>
  <c r="AL151" i="2"/>
  <c r="AK151" i="2"/>
  <c r="AJ151" i="2"/>
  <c r="AI151" i="2"/>
  <c r="AH151" i="2"/>
  <c r="AG151" i="2"/>
  <c r="AF151" i="2"/>
  <c r="AE151" i="2"/>
  <c r="AD151" i="2"/>
  <c r="AC151" i="2"/>
  <c r="AA151" i="2"/>
  <c r="AB151" i="2" s="1"/>
  <c r="Z151" i="2"/>
  <c r="Y151" i="2"/>
  <c r="X151" i="2"/>
  <c r="W151" i="2"/>
  <c r="V151" i="2"/>
  <c r="U151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FI150" i="2"/>
  <c r="FO150" i="2" s="1"/>
  <c r="FH150" i="2"/>
  <c r="FG150" i="2"/>
  <c r="FF150" i="2"/>
  <c r="FE150" i="2"/>
  <c r="FD150" i="2"/>
  <c r="FC150" i="2"/>
  <c r="FA150" i="2"/>
  <c r="FB150" i="2" s="1"/>
  <c r="EZ150" i="2"/>
  <c r="EY150" i="2"/>
  <c r="EX150" i="2"/>
  <c r="EW150" i="2"/>
  <c r="EV150" i="2"/>
  <c r="EU150" i="2"/>
  <c r="ET150" i="2"/>
  <c r="ES150" i="2"/>
  <c r="ER150" i="2"/>
  <c r="EQ150" i="2"/>
  <c r="EP150" i="2"/>
  <c r="EN150" i="2"/>
  <c r="EO150" i="2" s="1"/>
  <c r="EM150" i="2"/>
  <c r="EL150" i="2"/>
  <c r="EK150" i="2"/>
  <c r="EJ150" i="2"/>
  <c r="EI150" i="2"/>
  <c r="EH150" i="2"/>
  <c r="EG150" i="2"/>
  <c r="EF150" i="2"/>
  <c r="EE150" i="2"/>
  <c r="ED150" i="2"/>
  <c r="EC150" i="2"/>
  <c r="EA150" i="2"/>
  <c r="EB150" i="2" s="1"/>
  <c r="DZ150" i="2"/>
  <c r="DY150" i="2"/>
  <c r="DX150" i="2"/>
  <c r="DW150" i="2"/>
  <c r="DV150" i="2"/>
  <c r="DU150" i="2"/>
  <c r="DT150" i="2"/>
  <c r="DS150" i="2"/>
  <c r="DR150" i="2"/>
  <c r="DQ150" i="2"/>
  <c r="DP150" i="2"/>
  <c r="DO150" i="2"/>
  <c r="DN150" i="2"/>
  <c r="DM150" i="2"/>
  <c r="DL150" i="2"/>
  <c r="DK150" i="2"/>
  <c r="DJ150" i="2"/>
  <c r="DI150" i="2"/>
  <c r="DH150" i="2"/>
  <c r="DG150" i="2"/>
  <c r="DF150" i="2"/>
  <c r="DE150" i="2"/>
  <c r="DD150" i="2"/>
  <c r="DC150" i="2"/>
  <c r="DA150" i="2"/>
  <c r="DB150" i="2" s="1"/>
  <c r="CZ150" i="2"/>
  <c r="CY150" i="2"/>
  <c r="CX150" i="2"/>
  <c r="CW150" i="2"/>
  <c r="CV150" i="2"/>
  <c r="CU150" i="2"/>
  <c r="CT150" i="2"/>
  <c r="CS150" i="2"/>
  <c r="CR150" i="2"/>
  <c r="CQ150" i="2"/>
  <c r="CP150" i="2"/>
  <c r="CN150" i="2"/>
  <c r="CO150" i="2" s="1"/>
  <c r="CM150" i="2"/>
  <c r="CL150" i="2"/>
  <c r="CK150" i="2"/>
  <c r="CJ150" i="2"/>
  <c r="CI150" i="2"/>
  <c r="CH150" i="2"/>
  <c r="CG150" i="2"/>
  <c r="CF150" i="2"/>
  <c r="CE150" i="2"/>
  <c r="CD150" i="2"/>
  <c r="CC150" i="2"/>
  <c r="CA150" i="2"/>
  <c r="CB150" i="2" s="1"/>
  <c r="BZ150" i="2"/>
  <c r="BY150" i="2"/>
  <c r="BX150" i="2"/>
  <c r="BW150" i="2"/>
  <c r="BV150" i="2"/>
  <c r="BU150" i="2"/>
  <c r="BT150" i="2"/>
  <c r="BS150" i="2"/>
  <c r="BR150" i="2"/>
  <c r="BQ150" i="2"/>
  <c r="BP150" i="2"/>
  <c r="BN150" i="2"/>
  <c r="BO150" i="2" s="1"/>
  <c r="BM150" i="2"/>
  <c r="BL150" i="2"/>
  <c r="BK150" i="2"/>
  <c r="BJ150" i="2"/>
  <c r="BI150" i="2"/>
  <c r="BH150" i="2"/>
  <c r="BG150" i="2"/>
  <c r="BF150" i="2"/>
  <c r="BE150" i="2"/>
  <c r="BD150" i="2"/>
  <c r="BC150" i="2"/>
  <c r="BB150" i="2"/>
  <c r="BA150" i="2"/>
  <c r="AZ150" i="2"/>
  <c r="AY150" i="2"/>
  <c r="AX150" i="2"/>
  <c r="AW150" i="2"/>
  <c r="AV150" i="2"/>
  <c r="AU150" i="2"/>
  <c r="AT150" i="2"/>
  <c r="AS150" i="2"/>
  <c r="AR150" i="2"/>
  <c r="AQ150" i="2"/>
  <c r="AP150" i="2"/>
  <c r="AN150" i="2"/>
  <c r="AO150" i="2" s="1"/>
  <c r="AM150" i="2"/>
  <c r="AL150" i="2"/>
  <c r="AK150" i="2"/>
  <c r="AJ150" i="2"/>
  <c r="AI150" i="2"/>
  <c r="AH150" i="2"/>
  <c r="AG150" i="2"/>
  <c r="AF150" i="2"/>
  <c r="AE150" i="2"/>
  <c r="AD150" i="2"/>
  <c r="AC150" i="2"/>
  <c r="AA150" i="2"/>
  <c r="AB150" i="2" s="1"/>
  <c r="Z150" i="2"/>
  <c r="Y150" i="2"/>
  <c r="X150" i="2"/>
  <c r="W150" i="2"/>
  <c r="V150" i="2"/>
  <c r="U150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FO149" i="2"/>
  <c r="FI149" i="2"/>
  <c r="FH149" i="2"/>
  <c r="FG149" i="2"/>
  <c r="FF149" i="2"/>
  <c r="FE149" i="2"/>
  <c r="FD149" i="2"/>
  <c r="FC149" i="2"/>
  <c r="FA149" i="2"/>
  <c r="FB149" i="2" s="1"/>
  <c r="EZ149" i="2"/>
  <c r="EY149" i="2"/>
  <c r="EX149" i="2"/>
  <c r="EW149" i="2"/>
  <c r="EV149" i="2"/>
  <c r="EU149" i="2"/>
  <c r="ET149" i="2"/>
  <c r="ES149" i="2"/>
  <c r="ER149" i="2"/>
  <c r="EQ149" i="2"/>
  <c r="EP149" i="2"/>
  <c r="EN149" i="2"/>
  <c r="EO149" i="2" s="1"/>
  <c r="EM149" i="2"/>
  <c r="EL149" i="2"/>
  <c r="EK149" i="2"/>
  <c r="EJ149" i="2"/>
  <c r="EI149" i="2"/>
  <c r="EH149" i="2"/>
  <c r="EG149" i="2"/>
  <c r="EF149" i="2"/>
  <c r="EE149" i="2"/>
  <c r="ED149" i="2"/>
  <c r="EC149" i="2"/>
  <c r="EA149" i="2"/>
  <c r="EB149" i="2" s="1"/>
  <c r="DZ149" i="2"/>
  <c r="DY149" i="2"/>
  <c r="DX149" i="2"/>
  <c r="DW149" i="2"/>
  <c r="DV149" i="2"/>
  <c r="DU149" i="2"/>
  <c r="DT149" i="2"/>
  <c r="DS149" i="2"/>
  <c r="DR149" i="2"/>
  <c r="DQ149" i="2"/>
  <c r="DP149" i="2"/>
  <c r="DN149" i="2"/>
  <c r="DO149" i="2" s="1"/>
  <c r="DM149" i="2"/>
  <c r="DL149" i="2"/>
  <c r="DK149" i="2"/>
  <c r="DJ149" i="2"/>
  <c r="DI149" i="2"/>
  <c r="DH149" i="2"/>
  <c r="DG149" i="2"/>
  <c r="DF149" i="2"/>
  <c r="DE149" i="2"/>
  <c r="DD149" i="2"/>
  <c r="DC149" i="2"/>
  <c r="DB149" i="2"/>
  <c r="DA149" i="2"/>
  <c r="CZ149" i="2"/>
  <c r="CY149" i="2"/>
  <c r="CX149" i="2"/>
  <c r="CW149" i="2"/>
  <c r="CV149" i="2"/>
  <c r="CU149" i="2"/>
  <c r="CT149" i="2"/>
  <c r="CS149" i="2"/>
  <c r="CR149" i="2"/>
  <c r="CQ149" i="2"/>
  <c r="CP149" i="2"/>
  <c r="CN149" i="2"/>
  <c r="CO149" i="2" s="1"/>
  <c r="CM149" i="2"/>
  <c r="CL149" i="2"/>
  <c r="CK149" i="2"/>
  <c r="CJ149" i="2"/>
  <c r="CI149" i="2"/>
  <c r="CH149" i="2"/>
  <c r="CG149" i="2"/>
  <c r="CF149" i="2"/>
  <c r="CE149" i="2"/>
  <c r="CD149" i="2"/>
  <c r="CC149" i="2"/>
  <c r="CA149" i="2"/>
  <c r="CB149" i="2" s="1"/>
  <c r="BZ149" i="2"/>
  <c r="BY149" i="2"/>
  <c r="BX149" i="2"/>
  <c r="BW149" i="2"/>
  <c r="BV149" i="2"/>
  <c r="BU149" i="2"/>
  <c r="BT149" i="2"/>
  <c r="BS149" i="2"/>
  <c r="BR149" i="2"/>
  <c r="BQ149" i="2"/>
  <c r="BP149" i="2"/>
  <c r="BO149" i="2"/>
  <c r="BN149" i="2"/>
  <c r="BM149" i="2"/>
  <c r="BL149" i="2"/>
  <c r="BK149" i="2"/>
  <c r="BJ149" i="2"/>
  <c r="BI149" i="2"/>
  <c r="BH149" i="2"/>
  <c r="BG149" i="2"/>
  <c r="BF149" i="2"/>
  <c r="BE149" i="2"/>
  <c r="BD149" i="2"/>
  <c r="BC149" i="2"/>
  <c r="BB149" i="2"/>
  <c r="BA149" i="2"/>
  <c r="AZ149" i="2"/>
  <c r="AY149" i="2"/>
  <c r="AX149" i="2"/>
  <c r="AW149" i="2"/>
  <c r="AV149" i="2"/>
  <c r="AU149" i="2"/>
  <c r="AT149" i="2"/>
  <c r="AS149" i="2"/>
  <c r="AR149" i="2"/>
  <c r="AQ149" i="2"/>
  <c r="AP149" i="2"/>
  <c r="AN149" i="2"/>
  <c r="AO149" i="2" s="1"/>
  <c r="AM149" i="2"/>
  <c r="AL149" i="2"/>
  <c r="AK149" i="2"/>
  <c r="AJ149" i="2"/>
  <c r="AI149" i="2"/>
  <c r="AH149" i="2"/>
  <c r="AG149" i="2"/>
  <c r="AF149" i="2"/>
  <c r="AE149" i="2"/>
  <c r="AD149" i="2"/>
  <c r="AC149" i="2"/>
  <c r="AB149" i="2"/>
  <c r="AA149" i="2"/>
  <c r="Z149" i="2"/>
  <c r="Y149" i="2"/>
  <c r="X149" i="2"/>
  <c r="W149" i="2"/>
  <c r="V149" i="2"/>
  <c r="U149" i="2"/>
  <c r="T149" i="2"/>
  <c r="S149" i="2"/>
  <c r="R149" i="2"/>
  <c r="Q149" i="2"/>
  <c r="P149" i="2"/>
  <c r="N149" i="2"/>
  <c r="O149" i="2" s="1"/>
  <c r="M149" i="2"/>
  <c r="L149" i="2"/>
  <c r="K149" i="2"/>
  <c r="J149" i="2"/>
  <c r="I149" i="2"/>
  <c r="H149" i="2"/>
  <c r="G149" i="2"/>
  <c r="F149" i="2"/>
  <c r="E149" i="2"/>
  <c r="D149" i="2"/>
  <c r="C149" i="2"/>
  <c r="FI148" i="2"/>
  <c r="FO148" i="2" s="1"/>
  <c r="FH148" i="2"/>
  <c r="FG148" i="2"/>
  <c r="FF148" i="2"/>
  <c r="FE148" i="2"/>
  <c r="FD148" i="2"/>
  <c r="FC148" i="2"/>
  <c r="FA148" i="2"/>
  <c r="FB148" i="2" s="1"/>
  <c r="EZ148" i="2"/>
  <c r="EY148" i="2"/>
  <c r="EX148" i="2"/>
  <c r="EW148" i="2"/>
  <c r="EV148" i="2"/>
  <c r="EU148" i="2"/>
  <c r="ET148" i="2"/>
  <c r="ES148" i="2"/>
  <c r="ER148" i="2"/>
  <c r="EQ148" i="2"/>
  <c r="EP148" i="2"/>
  <c r="EN148" i="2"/>
  <c r="EO148" i="2" s="1"/>
  <c r="EM148" i="2"/>
  <c r="EL148" i="2"/>
  <c r="EK148" i="2"/>
  <c r="EJ148" i="2"/>
  <c r="EI148" i="2"/>
  <c r="EH148" i="2"/>
  <c r="EG148" i="2"/>
  <c r="EF148" i="2"/>
  <c r="EE148" i="2"/>
  <c r="ED148" i="2"/>
  <c r="EC148" i="2"/>
  <c r="EA148" i="2"/>
  <c r="EB148" i="2" s="1"/>
  <c r="DZ148" i="2"/>
  <c r="DY148" i="2"/>
  <c r="DX148" i="2"/>
  <c r="DW148" i="2"/>
  <c r="DV148" i="2"/>
  <c r="DU148" i="2"/>
  <c r="DT148" i="2"/>
  <c r="DS148" i="2"/>
  <c r="DR148" i="2"/>
  <c r="DQ148" i="2"/>
  <c r="DP148" i="2"/>
  <c r="DN148" i="2"/>
  <c r="DO148" i="2" s="1"/>
  <c r="DM148" i="2"/>
  <c r="DL148" i="2"/>
  <c r="DK148" i="2"/>
  <c r="DJ148" i="2"/>
  <c r="DI148" i="2"/>
  <c r="DH148" i="2"/>
  <c r="DG148" i="2"/>
  <c r="DF148" i="2"/>
  <c r="DE148" i="2"/>
  <c r="DD148" i="2"/>
  <c r="DC148" i="2"/>
  <c r="DA148" i="2"/>
  <c r="DB148" i="2" s="1"/>
  <c r="CZ148" i="2"/>
  <c r="CY148" i="2"/>
  <c r="CX148" i="2"/>
  <c r="CW148" i="2"/>
  <c r="CV148" i="2"/>
  <c r="CU148" i="2"/>
  <c r="CT148" i="2"/>
  <c r="CS148" i="2"/>
  <c r="CR148" i="2"/>
  <c r="CQ148" i="2"/>
  <c r="CP148" i="2"/>
  <c r="CO148" i="2"/>
  <c r="CN148" i="2"/>
  <c r="CM148" i="2"/>
  <c r="CL148" i="2"/>
  <c r="CK148" i="2"/>
  <c r="CJ148" i="2"/>
  <c r="CI148" i="2"/>
  <c r="CH148" i="2"/>
  <c r="CG148" i="2"/>
  <c r="CF148" i="2"/>
  <c r="CE148" i="2"/>
  <c r="CD148" i="2"/>
  <c r="CC148" i="2"/>
  <c r="CB148" i="2"/>
  <c r="CA148" i="2"/>
  <c r="BZ148" i="2"/>
  <c r="BY148" i="2"/>
  <c r="BX148" i="2"/>
  <c r="BW148" i="2"/>
  <c r="BV148" i="2"/>
  <c r="BU148" i="2"/>
  <c r="BT148" i="2"/>
  <c r="BS148" i="2"/>
  <c r="BR148" i="2"/>
  <c r="BQ148" i="2"/>
  <c r="BP148" i="2"/>
  <c r="BN148" i="2"/>
  <c r="BO148" i="2" s="1"/>
  <c r="BM148" i="2"/>
  <c r="BL148" i="2"/>
  <c r="BK148" i="2"/>
  <c r="BJ148" i="2"/>
  <c r="BI148" i="2"/>
  <c r="BH148" i="2"/>
  <c r="BG148" i="2"/>
  <c r="BF148" i="2"/>
  <c r="BE148" i="2"/>
  <c r="BD148" i="2"/>
  <c r="BC148" i="2"/>
  <c r="BB148" i="2"/>
  <c r="BA148" i="2"/>
  <c r="AZ148" i="2"/>
  <c r="AY148" i="2"/>
  <c r="AX148" i="2"/>
  <c r="AW148" i="2"/>
  <c r="AV148" i="2"/>
  <c r="AU148" i="2"/>
  <c r="AT148" i="2"/>
  <c r="AS148" i="2"/>
  <c r="AR148" i="2"/>
  <c r="AQ148" i="2"/>
  <c r="AP148" i="2"/>
  <c r="AN148" i="2"/>
  <c r="AO148" i="2" s="1"/>
  <c r="AM148" i="2"/>
  <c r="AL148" i="2"/>
  <c r="AK148" i="2"/>
  <c r="AJ148" i="2"/>
  <c r="AI148" i="2"/>
  <c r="AH148" i="2"/>
  <c r="AG148" i="2"/>
  <c r="AF148" i="2"/>
  <c r="AE148" i="2"/>
  <c r="AD148" i="2"/>
  <c r="AC148" i="2"/>
  <c r="AA148" i="2"/>
  <c r="AB148" i="2" s="1"/>
  <c r="Z148" i="2"/>
  <c r="Y148" i="2"/>
  <c r="X148" i="2"/>
  <c r="W148" i="2"/>
  <c r="V148" i="2"/>
  <c r="U148" i="2"/>
  <c r="T148" i="2"/>
  <c r="S148" i="2"/>
  <c r="R148" i="2"/>
  <c r="Q148" i="2"/>
  <c r="P148" i="2"/>
  <c r="N148" i="2"/>
  <c r="O148" i="2" s="1"/>
  <c r="M148" i="2"/>
  <c r="L148" i="2"/>
  <c r="K148" i="2"/>
  <c r="J148" i="2"/>
  <c r="I148" i="2"/>
  <c r="H148" i="2"/>
  <c r="G148" i="2"/>
  <c r="F148" i="2"/>
  <c r="E148" i="2"/>
  <c r="D148" i="2"/>
  <c r="C148" i="2"/>
  <c r="FI147" i="2"/>
  <c r="FH147" i="2"/>
  <c r="FG147" i="2"/>
  <c r="FF147" i="2"/>
  <c r="FE147" i="2"/>
  <c r="FD147" i="2"/>
  <c r="FC147" i="2"/>
  <c r="FA147" i="2"/>
  <c r="FB147" i="2" s="1"/>
  <c r="EZ147" i="2"/>
  <c r="EY147" i="2"/>
  <c r="EX147" i="2"/>
  <c r="EW147" i="2"/>
  <c r="EV147" i="2"/>
  <c r="EU147" i="2"/>
  <c r="ET147" i="2"/>
  <c r="ES147" i="2"/>
  <c r="ER147" i="2"/>
  <c r="EQ147" i="2"/>
  <c r="EP147" i="2"/>
  <c r="EN147" i="2"/>
  <c r="EO147" i="2" s="1"/>
  <c r="EM147" i="2"/>
  <c r="EL147" i="2"/>
  <c r="EK147" i="2"/>
  <c r="EJ147" i="2"/>
  <c r="EI147" i="2"/>
  <c r="EH147" i="2"/>
  <c r="EG147" i="2"/>
  <c r="EF147" i="2"/>
  <c r="EE147" i="2"/>
  <c r="ED147" i="2"/>
  <c r="EC147" i="2"/>
  <c r="EA147" i="2"/>
  <c r="EB147" i="2" s="1"/>
  <c r="DZ147" i="2"/>
  <c r="DY147" i="2"/>
  <c r="DX147" i="2"/>
  <c r="DW147" i="2"/>
  <c r="DV147" i="2"/>
  <c r="DU147" i="2"/>
  <c r="DT147" i="2"/>
  <c r="DS147" i="2"/>
  <c r="DR147" i="2"/>
  <c r="DQ147" i="2"/>
  <c r="DP147" i="2"/>
  <c r="DN147" i="2"/>
  <c r="DO147" i="2" s="1"/>
  <c r="DM147" i="2"/>
  <c r="DL147" i="2"/>
  <c r="DK147" i="2"/>
  <c r="DJ147" i="2"/>
  <c r="DI147" i="2"/>
  <c r="DH147" i="2"/>
  <c r="DG147" i="2"/>
  <c r="DF147" i="2"/>
  <c r="DE147" i="2"/>
  <c r="DD147" i="2"/>
  <c r="DC147" i="2"/>
  <c r="DA147" i="2"/>
  <c r="DB147" i="2" s="1"/>
  <c r="CZ147" i="2"/>
  <c r="CY147" i="2"/>
  <c r="CX147" i="2"/>
  <c r="CW147" i="2"/>
  <c r="CV147" i="2"/>
  <c r="CU147" i="2"/>
  <c r="CT147" i="2"/>
  <c r="CS147" i="2"/>
  <c r="CR147" i="2"/>
  <c r="CQ147" i="2"/>
  <c r="CP147" i="2"/>
  <c r="CO147" i="2"/>
  <c r="CN147" i="2"/>
  <c r="CM147" i="2"/>
  <c r="CL147" i="2"/>
  <c r="CK147" i="2"/>
  <c r="CJ147" i="2"/>
  <c r="CI147" i="2"/>
  <c r="CH147" i="2"/>
  <c r="CG147" i="2"/>
  <c r="CF147" i="2"/>
  <c r="CE147" i="2"/>
  <c r="CD147" i="2"/>
  <c r="CC147" i="2"/>
  <c r="CA147" i="2"/>
  <c r="CB147" i="2" s="1"/>
  <c r="BZ147" i="2"/>
  <c r="BY147" i="2"/>
  <c r="BX147" i="2"/>
  <c r="BW147" i="2"/>
  <c r="BV147" i="2"/>
  <c r="BU147" i="2"/>
  <c r="BT147" i="2"/>
  <c r="BS147" i="2"/>
  <c r="BR147" i="2"/>
  <c r="BQ147" i="2"/>
  <c r="BP147" i="2"/>
  <c r="BN147" i="2"/>
  <c r="BO147" i="2" s="1"/>
  <c r="BM147" i="2"/>
  <c r="BL147" i="2"/>
  <c r="BK147" i="2"/>
  <c r="BJ147" i="2"/>
  <c r="BI147" i="2"/>
  <c r="BH147" i="2"/>
  <c r="BG147" i="2"/>
  <c r="BF147" i="2"/>
  <c r="BE147" i="2"/>
  <c r="BD147" i="2"/>
  <c r="BC147" i="2"/>
  <c r="BA147" i="2"/>
  <c r="BB147" i="2" s="1"/>
  <c r="AZ147" i="2"/>
  <c r="AY147" i="2"/>
  <c r="AX147" i="2"/>
  <c r="AW147" i="2"/>
  <c r="AV147" i="2"/>
  <c r="AU147" i="2"/>
  <c r="AT147" i="2"/>
  <c r="AS147" i="2"/>
  <c r="AR147" i="2"/>
  <c r="AQ147" i="2"/>
  <c r="AP147" i="2"/>
  <c r="AO147" i="2"/>
  <c r="AN147" i="2"/>
  <c r="AM147" i="2"/>
  <c r="AL147" i="2"/>
  <c r="AK147" i="2"/>
  <c r="AJ147" i="2"/>
  <c r="AI147" i="2"/>
  <c r="AH147" i="2"/>
  <c r="AG147" i="2"/>
  <c r="AF147" i="2"/>
  <c r="AE147" i="2"/>
  <c r="AD147" i="2"/>
  <c r="AC147" i="2"/>
  <c r="AB147" i="2"/>
  <c r="AA147" i="2"/>
  <c r="Z147" i="2"/>
  <c r="Y147" i="2"/>
  <c r="X147" i="2"/>
  <c r="W147" i="2"/>
  <c r="V147" i="2"/>
  <c r="U147" i="2"/>
  <c r="T147" i="2"/>
  <c r="S147" i="2"/>
  <c r="R147" i="2"/>
  <c r="Q147" i="2"/>
  <c r="P147" i="2"/>
  <c r="N147" i="2"/>
  <c r="O147" i="2" s="1"/>
  <c r="M147" i="2"/>
  <c r="L147" i="2"/>
  <c r="K147" i="2"/>
  <c r="J147" i="2"/>
  <c r="I147" i="2"/>
  <c r="H147" i="2"/>
  <c r="G147" i="2"/>
  <c r="F147" i="2"/>
  <c r="E147" i="2"/>
  <c r="D147" i="2"/>
  <c r="C147" i="2"/>
  <c r="FI146" i="2"/>
  <c r="FO146" i="2" s="1"/>
  <c r="FH146" i="2"/>
  <c r="FG146" i="2"/>
  <c r="FF146" i="2"/>
  <c r="FE146" i="2"/>
  <c r="FD146" i="2"/>
  <c r="FC146" i="2"/>
  <c r="FA146" i="2"/>
  <c r="FA164" i="2" s="1"/>
  <c r="EZ146" i="2"/>
  <c r="EZ164" i="2" s="1"/>
  <c r="EY146" i="2"/>
  <c r="EX146" i="2"/>
  <c r="EW146" i="2"/>
  <c r="EV146" i="2"/>
  <c r="EU146" i="2"/>
  <c r="ET146" i="2"/>
  <c r="ES146" i="2"/>
  <c r="ER146" i="2"/>
  <c r="EQ146" i="2"/>
  <c r="EP146" i="2"/>
  <c r="EP164" i="2" s="1"/>
  <c r="EN146" i="2"/>
  <c r="EM146" i="2"/>
  <c r="EL146" i="2"/>
  <c r="EK146" i="2"/>
  <c r="EJ146" i="2"/>
  <c r="EI146" i="2"/>
  <c r="EH146" i="2"/>
  <c r="EG146" i="2"/>
  <c r="EF146" i="2"/>
  <c r="EE146" i="2"/>
  <c r="ED146" i="2"/>
  <c r="ED164" i="2" s="1"/>
  <c r="EC146" i="2"/>
  <c r="EC164" i="2" s="1"/>
  <c r="EB146" i="2"/>
  <c r="EB164" i="2" s="1"/>
  <c r="EA146" i="2"/>
  <c r="DZ146" i="2"/>
  <c r="DY146" i="2"/>
  <c r="DX146" i="2"/>
  <c r="DW146" i="2"/>
  <c r="DV146" i="2"/>
  <c r="DU146" i="2"/>
  <c r="DT146" i="2"/>
  <c r="DS146" i="2"/>
  <c r="DR146" i="2"/>
  <c r="DR164" i="2" s="1"/>
  <c r="DQ146" i="2"/>
  <c r="DQ164" i="2" s="1"/>
  <c r="DP146" i="2"/>
  <c r="DP164" i="2" s="1"/>
  <c r="DN146" i="2"/>
  <c r="DO146" i="2" s="1"/>
  <c r="DM146" i="2"/>
  <c r="DL146" i="2"/>
  <c r="DK146" i="2"/>
  <c r="DJ146" i="2"/>
  <c r="DI146" i="2"/>
  <c r="DH146" i="2"/>
  <c r="DG146" i="2"/>
  <c r="DF146" i="2"/>
  <c r="DF164" i="2" s="1"/>
  <c r="DE146" i="2"/>
  <c r="DE164" i="2" s="1"/>
  <c r="DD146" i="2"/>
  <c r="DD164" i="2" s="1"/>
  <c r="DC146" i="2"/>
  <c r="DB146" i="2"/>
  <c r="DA146" i="2"/>
  <c r="CZ146" i="2"/>
  <c r="CY146" i="2"/>
  <c r="CX146" i="2"/>
  <c r="CW146" i="2"/>
  <c r="CV146" i="2"/>
  <c r="CU146" i="2"/>
  <c r="CT146" i="2"/>
  <c r="CT164" i="2" s="1"/>
  <c r="CS146" i="2"/>
  <c r="CS164" i="2" s="1"/>
  <c r="CR146" i="2"/>
  <c r="CR164" i="2" s="1"/>
  <c r="CQ146" i="2"/>
  <c r="CP146" i="2"/>
  <c r="CN146" i="2"/>
  <c r="CM146" i="2"/>
  <c r="CL146" i="2"/>
  <c r="CK146" i="2"/>
  <c r="CJ146" i="2"/>
  <c r="CI146" i="2"/>
  <c r="CH146" i="2"/>
  <c r="CG146" i="2"/>
  <c r="CF146" i="2"/>
  <c r="CF164" i="2" s="1"/>
  <c r="CE146" i="2"/>
  <c r="CD146" i="2"/>
  <c r="CC146" i="2"/>
  <c r="CA146" i="2"/>
  <c r="BZ146" i="2"/>
  <c r="BY146" i="2"/>
  <c r="BX146" i="2"/>
  <c r="BW146" i="2"/>
  <c r="BV146" i="2"/>
  <c r="BV164" i="2" s="1"/>
  <c r="BU146" i="2"/>
  <c r="BT146" i="2"/>
  <c r="BS146" i="2"/>
  <c r="BR146" i="2"/>
  <c r="BR164" i="2" s="1"/>
  <c r="BQ146" i="2"/>
  <c r="BQ164" i="2" s="1"/>
  <c r="BP146" i="2"/>
  <c r="BN146" i="2"/>
  <c r="BO146" i="2" s="1"/>
  <c r="BM146" i="2"/>
  <c r="BL146" i="2"/>
  <c r="BL164" i="2" s="1"/>
  <c r="BK146" i="2"/>
  <c r="BJ146" i="2"/>
  <c r="BJ164" i="2" s="1"/>
  <c r="BI146" i="2"/>
  <c r="BH146" i="2"/>
  <c r="BG146" i="2"/>
  <c r="BF146" i="2"/>
  <c r="BE146" i="2"/>
  <c r="BE164" i="2" s="1"/>
  <c r="BD146" i="2"/>
  <c r="BC146" i="2"/>
  <c r="BA146" i="2"/>
  <c r="BB146" i="2" s="1"/>
  <c r="AZ146" i="2"/>
  <c r="AZ164" i="2" s="1"/>
  <c r="AY146" i="2"/>
  <c r="AX146" i="2"/>
  <c r="AW146" i="2"/>
  <c r="AV146" i="2"/>
  <c r="AU146" i="2"/>
  <c r="AT146" i="2"/>
  <c r="AS146" i="2"/>
  <c r="AS164" i="2" s="1"/>
  <c r="AR146" i="2"/>
  <c r="AQ146" i="2"/>
  <c r="AP146" i="2"/>
  <c r="AO146" i="2"/>
  <c r="AN146" i="2"/>
  <c r="AN164" i="2" s="1"/>
  <c r="AM146" i="2"/>
  <c r="AL146" i="2"/>
  <c r="AK146" i="2"/>
  <c r="AJ146" i="2"/>
  <c r="AI146" i="2"/>
  <c r="AH146" i="2"/>
  <c r="AG146" i="2"/>
  <c r="AG164" i="2" s="1"/>
  <c r="AF146" i="2"/>
  <c r="AE146" i="2"/>
  <c r="AD146" i="2"/>
  <c r="AC146" i="2"/>
  <c r="AA146" i="2"/>
  <c r="Z146" i="2"/>
  <c r="Y146" i="2"/>
  <c r="X146" i="2"/>
  <c r="W146" i="2"/>
  <c r="V146" i="2"/>
  <c r="U146" i="2"/>
  <c r="T146" i="2"/>
  <c r="S146" i="2"/>
  <c r="R146" i="2"/>
  <c r="Q146" i="2"/>
  <c r="P146" i="2"/>
  <c r="N146" i="2"/>
  <c r="M146" i="2"/>
  <c r="L146" i="2"/>
  <c r="K146" i="2"/>
  <c r="J146" i="2"/>
  <c r="I146" i="2"/>
  <c r="I164" i="2" s="1"/>
  <c r="H146" i="2"/>
  <c r="G146" i="2"/>
  <c r="G164" i="2" s="1"/>
  <c r="F146" i="2"/>
  <c r="E146" i="2"/>
  <c r="D146" i="2"/>
  <c r="C146" i="2"/>
  <c r="FN139" i="2"/>
  <c r="FM139" i="2"/>
  <c r="FL139" i="2"/>
  <c r="FK139" i="2"/>
  <c r="FJ139" i="2"/>
  <c r="FI138" i="2"/>
  <c r="FO138" i="2" s="1"/>
  <c r="FH138" i="2"/>
  <c r="FG138" i="2"/>
  <c r="FF138" i="2"/>
  <c r="FE138" i="2"/>
  <c r="FD138" i="2"/>
  <c r="FC138" i="2"/>
  <c r="FA138" i="2"/>
  <c r="FB138" i="2" s="1"/>
  <c r="EZ138" i="2"/>
  <c r="EY138" i="2"/>
  <c r="EX138" i="2"/>
  <c r="EW138" i="2"/>
  <c r="EV138" i="2"/>
  <c r="EU138" i="2"/>
  <c r="ET138" i="2"/>
  <c r="ES138" i="2"/>
  <c r="ER138" i="2"/>
  <c r="EQ138" i="2"/>
  <c r="EP138" i="2"/>
  <c r="EN138" i="2"/>
  <c r="EO138" i="2" s="1"/>
  <c r="EM138" i="2"/>
  <c r="EL138" i="2"/>
  <c r="EK138" i="2"/>
  <c r="EJ138" i="2"/>
  <c r="EI138" i="2"/>
  <c r="EH138" i="2"/>
  <c r="EG138" i="2"/>
  <c r="EF138" i="2"/>
  <c r="EE138" i="2"/>
  <c r="ED138" i="2"/>
  <c r="EC138" i="2"/>
  <c r="EA138" i="2"/>
  <c r="EB138" i="2" s="1"/>
  <c r="DZ138" i="2"/>
  <c r="DY138" i="2"/>
  <c r="DX138" i="2"/>
  <c r="DW138" i="2"/>
  <c r="DV138" i="2"/>
  <c r="DU138" i="2"/>
  <c r="DT138" i="2"/>
  <c r="DS138" i="2"/>
  <c r="DR138" i="2"/>
  <c r="DQ138" i="2"/>
  <c r="DP138" i="2"/>
  <c r="DN138" i="2"/>
  <c r="DO138" i="2" s="1"/>
  <c r="DM138" i="2"/>
  <c r="DL138" i="2"/>
  <c r="DK138" i="2"/>
  <c r="DJ138" i="2"/>
  <c r="DI138" i="2"/>
  <c r="DH138" i="2"/>
  <c r="DG138" i="2"/>
  <c r="DF138" i="2"/>
  <c r="DE138" i="2"/>
  <c r="DD138" i="2"/>
  <c r="DC138" i="2"/>
  <c r="DB138" i="2"/>
  <c r="DA138" i="2"/>
  <c r="CZ138" i="2"/>
  <c r="CY138" i="2"/>
  <c r="CX138" i="2"/>
  <c r="CW138" i="2"/>
  <c r="CV138" i="2"/>
  <c r="CU138" i="2"/>
  <c r="CT138" i="2"/>
  <c r="CS138" i="2"/>
  <c r="CR138" i="2"/>
  <c r="CQ138" i="2"/>
  <c r="CP138" i="2"/>
  <c r="CO138" i="2"/>
  <c r="CN138" i="2"/>
  <c r="CM138" i="2"/>
  <c r="CL138" i="2"/>
  <c r="CK138" i="2"/>
  <c r="CJ138" i="2"/>
  <c r="CI138" i="2"/>
  <c r="CH138" i="2"/>
  <c r="CG138" i="2"/>
  <c r="CF138" i="2"/>
  <c r="CE138" i="2"/>
  <c r="CD138" i="2"/>
  <c r="CC138" i="2"/>
  <c r="CA138" i="2"/>
  <c r="CB138" i="2" s="1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A138" i="2"/>
  <c r="BB138" i="2" s="1"/>
  <c r="AZ138" i="2"/>
  <c r="AY138" i="2"/>
  <c r="AX138" i="2"/>
  <c r="AW138" i="2"/>
  <c r="AV138" i="2"/>
  <c r="AU138" i="2"/>
  <c r="AT138" i="2"/>
  <c r="AS138" i="2"/>
  <c r="AR138" i="2"/>
  <c r="AQ138" i="2"/>
  <c r="AP138" i="2"/>
  <c r="AN138" i="2"/>
  <c r="AO138" i="2" s="1"/>
  <c r="AM138" i="2"/>
  <c r="AL138" i="2"/>
  <c r="AK138" i="2"/>
  <c r="AJ138" i="2"/>
  <c r="AI138" i="2"/>
  <c r="AH138" i="2"/>
  <c r="AG138" i="2"/>
  <c r="AF138" i="2"/>
  <c r="AE138" i="2"/>
  <c r="AD138" i="2"/>
  <c r="AC138" i="2"/>
  <c r="AA138" i="2"/>
  <c r="AB138" i="2" s="1"/>
  <c r="Z138" i="2"/>
  <c r="Y138" i="2"/>
  <c r="X138" i="2"/>
  <c r="W138" i="2"/>
  <c r="V138" i="2"/>
  <c r="U138" i="2"/>
  <c r="T138" i="2"/>
  <c r="S138" i="2"/>
  <c r="R138" i="2"/>
  <c r="Q138" i="2"/>
  <c r="P138" i="2"/>
  <c r="N138" i="2"/>
  <c r="O138" i="2" s="1"/>
  <c r="M138" i="2"/>
  <c r="L138" i="2"/>
  <c r="K138" i="2"/>
  <c r="J138" i="2"/>
  <c r="I138" i="2"/>
  <c r="H138" i="2"/>
  <c r="G138" i="2"/>
  <c r="F138" i="2"/>
  <c r="E138" i="2"/>
  <c r="D138" i="2"/>
  <c r="C138" i="2"/>
  <c r="FI137" i="2"/>
  <c r="FO137" i="2" s="1"/>
  <c r="FH137" i="2"/>
  <c r="FG137" i="2"/>
  <c r="FF137" i="2"/>
  <c r="FE137" i="2"/>
  <c r="FD137" i="2"/>
  <c r="FC137" i="2"/>
  <c r="FA137" i="2"/>
  <c r="FB137" i="2" s="1"/>
  <c r="EZ137" i="2"/>
  <c r="EY137" i="2"/>
  <c r="EX137" i="2"/>
  <c r="EW137" i="2"/>
  <c r="EV137" i="2"/>
  <c r="EU137" i="2"/>
  <c r="ET137" i="2"/>
  <c r="ES137" i="2"/>
  <c r="ER137" i="2"/>
  <c r="EQ137" i="2"/>
  <c r="EP137" i="2"/>
  <c r="EN137" i="2"/>
  <c r="EO137" i="2" s="1"/>
  <c r="EM137" i="2"/>
  <c r="EL137" i="2"/>
  <c r="EK137" i="2"/>
  <c r="EJ137" i="2"/>
  <c r="EI137" i="2"/>
  <c r="EH137" i="2"/>
  <c r="EG137" i="2"/>
  <c r="EF137" i="2"/>
  <c r="EE137" i="2"/>
  <c r="ED137" i="2"/>
  <c r="EC137" i="2"/>
  <c r="EA137" i="2"/>
  <c r="EB137" i="2" s="1"/>
  <c r="DZ137" i="2"/>
  <c r="DY137" i="2"/>
  <c r="DX137" i="2"/>
  <c r="DW137" i="2"/>
  <c r="DV137" i="2"/>
  <c r="DU137" i="2"/>
  <c r="DT137" i="2"/>
  <c r="DS137" i="2"/>
  <c r="DR137" i="2"/>
  <c r="DQ137" i="2"/>
  <c r="DP137" i="2"/>
  <c r="DN137" i="2"/>
  <c r="DO137" i="2" s="1"/>
  <c r="DM137" i="2"/>
  <c r="DL137" i="2"/>
  <c r="DK137" i="2"/>
  <c r="DJ137" i="2"/>
  <c r="DI137" i="2"/>
  <c r="DH137" i="2"/>
  <c r="DG137" i="2"/>
  <c r="DF137" i="2"/>
  <c r="DE137" i="2"/>
  <c r="DD137" i="2"/>
  <c r="DC137" i="2"/>
  <c r="DB137" i="2"/>
  <c r="DA137" i="2"/>
  <c r="CZ137" i="2"/>
  <c r="CY137" i="2"/>
  <c r="CX137" i="2"/>
  <c r="CW137" i="2"/>
  <c r="CV137" i="2"/>
  <c r="CU137" i="2"/>
  <c r="CT137" i="2"/>
  <c r="CS137" i="2"/>
  <c r="CR137" i="2"/>
  <c r="CQ137" i="2"/>
  <c r="CP137" i="2"/>
  <c r="CN137" i="2"/>
  <c r="CO137" i="2" s="1"/>
  <c r="CM137" i="2"/>
  <c r="CL137" i="2"/>
  <c r="CK137" i="2"/>
  <c r="CJ137" i="2"/>
  <c r="CI137" i="2"/>
  <c r="CH137" i="2"/>
  <c r="CG137" i="2"/>
  <c r="CF137" i="2"/>
  <c r="CE137" i="2"/>
  <c r="CD137" i="2"/>
  <c r="CC137" i="2"/>
  <c r="CA137" i="2"/>
  <c r="CB137" i="2" s="1"/>
  <c r="BZ137" i="2"/>
  <c r="BY137" i="2"/>
  <c r="BX137" i="2"/>
  <c r="BW137" i="2"/>
  <c r="BV137" i="2"/>
  <c r="BU137" i="2"/>
  <c r="BT137" i="2"/>
  <c r="BS137" i="2"/>
  <c r="BR137" i="2"/>
  <c r="BQ137" i="2"/>
  <c r="BP137" i="2"/>
  <c r="BN137" i="2"/>
  <c r="BO137" i="2" s="1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N137" i="2"/>
  <c r="AO137" i="2" s="1"/>
  <c r="AM137" i="2"/>
  <c r="AL137" i="2"/>
  <c r="AK137" i="2"/>
  <c r="AJ137" i="2"/>
  <c r="AI137" i="2"/>
  <c r="AH137" i="2"/>
  <c r="AG137" i="2"/>
  <c r="AF137" i="2"/>
  <c r="AE137" i="2"/>
  <c r="AD137" i="2"/>
  <c r="AC137" i="2"/>
  <c r="AA137" i="2"/>
  <c r="AB137" i="2" s="1"/>
  <c r="Z137" i="2"/>
  <c r="Y137" i="2"/>
  <c r="X137" i="2"/>
  <c r="W137" i="2"/>
  <c r="V137" i="2"/>
  <c r="U137" i="2"/>
  <c r="T137" i="2"/>
  <c r="S137" i="2"/>
  <c r="R137" i="2"/>
  <c r="Q137" i="2"/>
  <c r="P137" i="2"/>
  <c r="N137" i="2"/>
  <c r="O137" i="2" s="1"/>
  <c r="M137" i="2"/>
  <c r="L137" i="2"/>
  <c r="K137" i="2"/>
  <c r="J137" i="2"/>
  <c r="I137" i="2"/>
  <c r="H137" i="2"/>
  <c r="G137" i="2"/>
  <c r="F137" i="2"/>
  <c r="E137" i="2"/>
  <c r="D137" i="2"/>
  <c r="C137" i="2"/>
  <c r="FI136" i="2"/>
  <c r="FO136" i="2" s="1"/>
  <c r="FH136" i="2"/>
  <c r="FG136" i="2"/>
  <c r="FF136" i="2"/>
  <c r="FE136" i="2"/>
  <c r="FD136" i="2"/>
  <c r="FC136" i="2"/>
  <c r="FA136" i="2"/>
  <c r="FB136" i="2" s="1"/>
  <c r="EZ136" i="2"/>
  <c r="EY136" i="2"/>
  <c r="EX136" i="2"/>
  <c r="EW136" i="2"/>
  <c r="EV136" i="2"/>
  <c r="EU136" i="2"/>
  <c r="ET136" i="2"/>
  <c r="ES136" i="2"/>
  <c r="ER136" i="2"/>
  <c r="EQ136" i="2"/>
  <c r="EP136" i="2"/>
  <c r="EN136" i="2"/>
  <c r="EO136" i="2" s="1"/>
  <c r="EM136" i="2"/>
  <c r="EL136" i="2"/>
  <c r="EK136" i="2"/>
  <c r="EJ136" i="2"/>
  <c r="EI136" i="2"/>
  <c r="EH136" i="2"/>
  <c r="EG136" i="2"/>
  <c r="EF136" i="2"/>
  <c r="EE136" i="2"/>
  <c r="ED136" i="2"/>
  <c r="EC136" i="2"/>
  <c r="EA136" i="2"/>
  <c r="EB136" i="2" s="1"/>
  <c r="DZ136" i="2"/>
  <c r="DY136" i="2"/>
  <c r="DX136" i="2"/>
  <c r="DW136" i="2"/>
  <c r="DV136" i="2"/>
  <c r="DU136" i="2"/>
  <c r="DT136" i="2"/>
  <c r="DS136" i="2"/>
  <c r="DR136" i="2"/>
  <c r="DQ136" i="2"/>
  <c r="DP136" i="2"/>
  <c r="DO136" i="2"/>
  <c r="DN136" i="2"/>
  <c r="DM136" i="2"/>
  <c r="DL136" i="2"/>
  <c r="DK136" i="2"/>
  <c r="DJ136" i="2"/>
  <c r="DI136" i="2"/>
  <c r="DH136" i="2"/>
  <c r="DG136" i="2"/>
  <c r="DF136" i="2"/>
  <c r="DE136" i="2"/>
  <c r="DD136" i="2"/>
  <c r="DC136" i="2"/>
  <c r="DA136" i="2"/>
  <c r="DB136" i="2" s="1"/>
  <c r="CZ136" i="2"/>
  <c r="CY136" i="2"/>
  <c r="CX136" i="2"/>
  <c r="CW136" i="2"/>
  <c r="CV136" i="2"/>
  <c r="CU136" i="2"/>
  <c r="CT136" i="2"/>
  <c r="CS136" i="2"/>
  <c r="CR136" i="2"/>
  <c r="CQ136" i="2"/>
  <c r="CP136" i="2"/>
  <c r="CN136" i="2"/>
  <c r="CO136" i="2" s="1"/>
  <c r="CM136" i="2"/>
  <c r="CL136" i="2"/>
  <c r="CK136" i="2"/>
  <c r="CJ136" i="2"/>
  <c r="CI136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N136" i="2"/>
  <c r="BO136" i="2" s="1"/>
  <c r="BM136" i="2"/>
  <c r="BL136" i="2"/>
  <c r="BK136" i="2"/>
  <c r="BJ136" i="2"/>
  <c r="BI136" i="2"/>
  <c r="BH136" i="2"/>
  <c r="BG136" i="2"/>
  <c r="BF136" i="2"/>
  <c r="BE136" i="2"/>
  <c r="BD136" i="2"/>
  <c r="BC136" i="2"/>
  <c r="BA136" i="2"/>
  <c r="BB136" i="2" s="1"/>
  <c r="AZ136" i="2"/>
  <c r="AY136" i="2"/>
  <c r="AX136" i="2"/>
  <c r="AW136" i="2"/>
  <c r="AV136" i="2"/>
  <c r="AU136" i="2"/>
  <c r="AT136" i="2"/>
  <c r="AS136" i="2"/>
  <c r="AR136" i="2"/>
  <c r="AQ136" i="2"/>
  <c r="AP136" i="2"/>
  <c r="AN136" i="2"/>
  <c r="AO136" i="2" s="1"/>
  <c r="AM136" i="2"/>
  <c r="AL136" i="2"/>
  <c r="AK136" i="2"/>
  <c r="AJ136" i="2"/>
  <c r="AI136" i="2"/>
  <c r="AH136" i="2"/>
  <c r="AG136" i="2"/>
  <c r="AF136" i="2"/>
  <c r="AE136" i="2"/>
  <c r="AD136" i="2"/>
  <c r="AC136" i="2"/>
  <c r="AA136" i="2"/>
  <c r="AB136" i="2" s="1"/>
  <c r="Z136" i="2"/>
  <c r="Y136" i="2"/>
  <c r="X136" i="2"/>
  <c r="W136" i="2"/>
  <c r="V136" i="2"/>
  <c r="U136" i="2"/>
  <c r="T136" i="2"/>
  <c r="S136" i="2"/>
  <c r="R136" i="2"/>
  <c r="Q136" i="2"/>
  <c r="P136" i="2"/>
  <c r="N136" i="2"/>
  <c r="O136" i="2" s="1"/>
  <c r="M136" i="2"/>
  <c r="L136" i="2"/>
  <c r="K136" i="2"/>
  <c r="J136" i="2"/>
  <c r="I136" i="2"/>
  <c r="H136" i="2"/>
  <c r="G136" i="2"/>
  <c r="F136" i="2"/>
  <c r="E136" i="2"/>
  <c r="D136" i="2"/>
  <c r="C136" i="2"/>
  <c r="FO135" i="2"/>
  <c r="FI135" i="2"/>
  <c r="FH135" i="2"/>
  <c r="FG135" i="2"/>
  <c r="FF135" i="2"/>
  <c r="FE135" i="2"/>
  <c r="FD135" i="2"/>
  <c r="FC135" i="2"/>
  <c r="FB135" i="2"/>
  <c r="FA135" i="2"/>
  <c r="EZ135" i="2"/>
  <c r="EY135" i="2"/>
  <c r="EX135" i="2"/>
  <c r="EW135" i="2"/>
  <c r="EV135" i="2"/>
  <c r="EU135" i="2"/>
  <c r="ET135" i="2"/>
  <c r="ES135" i="2"/>
  <c r="ER135" i="2"/>
  <c r="EQ135" i="2"/>
  <c r="EP135" i="2"/>
  <c r="EN135" i="2"/>
  <c r="EO135" i="2" s="1"/>
  <c r="EM135" i="2"/>
  <c r="EL135" i="2"/>
  <c r="EK135" i="2"/>
  <c r="EJ135" i="2"/>
  <c r="EI135" i="2"/>
  <c r="EH135" i="2"/>
  <c r="EG135" i="2"/>
  <c r="EF135" i="2"/>
  <c r="EE135" i="2"/>
  <c r="ED135" i="2"/>
  <c r="EC135" i="2"/>
  <c r="EA135" i="2"/>
  <c r="EB135" i="2" s="1"/>
  <c r="DZ135" i="2"/>
  <c r="DY135" i="2"/>
  <c r="DX135" i="2"/>
  <c r="DW135" i="2"/>
  <c r="DV135" i="2"/>
  <c r="DU135" i="2"/>
  <c r="DT135" i="2"/>
  <c r="DS135" i="2"/>
  <c r="DR135" i="2"/>
  <c r="DQ135" i="2"/>
  <c r="DP135" i="2"/>
  <c r="DO135" i="2"/>
  <c r="DN135" i="2"/>
  <c r="DM135" i="2"/>
  <c r="DL135" i="2"/>
  <c r="DK135" i="2"/>
  <c r="DJ135" i="2"/>
  <c r="DI135" i="2"/>
  <c r="DH135" i="2"/>
  <c r="DG135" i="2"/>
  <c r="DF135" i="2"/>
  <c r="DE135" i="2"/>
  <c r="DD135" i="2"/>
  <c r="DC135" i="2"/>
  <c r="DA135" i="2"/>
  <c r="DB135" i="2" s="1"/>
  <c r="CZ135" i="2"/>
  <c r="CY135" i="2"/>
  <c r="CX135" i="2"/>
  <c r="CW135" i="2"/>
  <c r="CV135" i="2"/>
  <c r="CU135" i="2"/>
  <c r="CT135" i="2"/>
  <c r="CS135" i="2"/>
  <c r="CR135" i="2"/>
  <c r="CQ135" i="2"/>
  <c r="CP135" i="2"/>
  <c r="CN135" i="2"/>
  <c r="CO135" i="2" s="1"/>
  <c r="CM135" i="2"/>
  <c r="CL135" i="2"/>
  <c r="CK135" i="2"/>
  <c r="CJ135" i="2"/>
  <c r="CI135" i="2"/>
  <c r="CH135" i="2"/>
  <c r="CG135" i="2"/>
  <c r="CF135" i="2"/>
  <c r="CE135" i="2"/>
  <c r="CD135" i="2"/>
  <c r="CC135" i="2"/>
  <c r="CA135" i="2"/>
  <c r="CB135" i="2" s="1"/>
  <c r="BZ135" i="2"/>
  <c r="BY135" i="2"/>
  <c r="BX135" i="2"/>
  <c r="BW135" i="2"/>
  <c r="BV135" i="2"/>
  <c r="BU135" i="2"/>
  <c r="BT135" i="2"/>
  <c r="BS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A135" i="2"/>
  <c r="BB135" i="2" s="1"/>
  <c r="AZ135" i="2"/>
  <c r="AY135" i="2"/>
  <c r="AX135" i="2"/>
  <c r="AW135" i="2"/>
  <c r="AV135" i="2"/>
  <c r="AU135" i="2"/>
  <c r="AT135" i="2"/>
  <c r="AS135" i="2"/>
  <c r="AR135" i="2"/>
  <c r="AQ135" i="2"/>
  <c r="AP135" i="2"/>
  <c r="AN135" i="2"/>
  <c r="AO135" i="2" s="1"/>
  <c r="AM135" i="2"/>
  <c r="AL135" i="2"/>
  <c r="AK135" i="2"/>
  <c r="AJ135" i="2"/>
  <c r="AI135" i="2"/>
  <c r="AH135" i="2"/>
  <c r="AG135" i="2"/>
  <c r="AF135" i="2"/>
  <c r="AE135" i="2"/>
  <c r="AD135" i="2"/>
  <c r="AC135" i="2"/>
  <c r="AA135" i="2"/>
  <c r="AB135" i="2" s="1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FI134" i="2"/>
  <c r="FO134" i="2" s="1"/>
  <c r="FH134" i="2"/>
  <c r="FG134" i="2"/>
  <c r="FF134" i="2"/>
  <c r="FE134" i="2"/>
  <c r="FD134" i="2"/>
  <c r="FC134" i="2"/>
  <c r="FA134" i="2"/>
  <c r="FB134" i="2" s="1"/>
  <c r="EZ134" i="2"/>
  <c r="EY134" i="2"/>
  <c r="EX134" i="2"/>
  <c r="EW134" i="2"/>
  <c r="EV134" i="2"/>
  <c r="EU134" i="2"/>
  <c r="ET134" i="2"/>
  <c r="ES134" i="2"/>
  <c r="ER134" i="2"/>
  <c r="EQ134" i="2"/>
  <c r="EP134" i="2"/>
  <c r="EN134" i="2"/>
  <c r="EO134" i="2" s="1"/>
  <c r="EM134" i="2"/>
  <c r="EL134" i="2"/>
  <c r="EK134" i="2"/>
  <c r="EJ134" i="2"/>
  <c r="EI134" i="2"/>
  <c r="EH134" i="2"/>
  <c r="EG134" i="2"/>
  <c r="EF134" i="2"/>
  <c r="EE134" i="2"/>
  <c r="ED134" i="2"/>
  <c r="EC134" i="2"/>
  <c r="EA134" i="2"/>
  <c r="EB134" i="2" s="1"/>
  <c r="DZ134" i="2"/>
  <c r="DY134" i="2"/>
  <c r="DX134" i="2"/>
  <c r="DW134" i="2"/>
  <c r="DV134" i="2"/>
  <c r="DU134" i="2"/>
  <c r="DT134" i="2"/>
  <c r="DS134" i="2"/>
  <c r="DR134" i="2"/>
  <c r="DQ134" i="2"/>
  <c r="DP134" i="2"/>
  <c r="DO134" i="2"/>
  <c r="DN134" i="2"/>
  <c r="DM134" i="2"/>
  <c r="DL134" i="2"/>
  <c r="DK134" i="2"/>
  <c r="DJ134" i="2"/>
  <c r="DI134" i="2"/>
  <c r="DH134" i="2"/>
  <c r="DG134" i="2"/>
  <c r="DF134" i="2"/>
  <c r="DE134" i="2"/>
  <c r="DD134" i="2"/>
  <c r="DC134" i="2"/>
  <c r="DA134" i="2"/>
  <c r="DB134" i="2" s="1"/>
  <c r="CZ134" i="2"/>
  <c r="CY134" i="2"/>
  <c r="CX134" i="2"/>
  <c r="CW134" i="2"/>
  <c r="CV134" i="2"/>
  <c r="CU134" i="2"/>
  <c r="CT134" i="2"/>
  <c r="CS134" i="2"/>
  <c r="CR134" i="2"/>
  <c r="CQ134" i="2"/>
  <c r="CP134" i="2"/>
  <c r="CN134" i="2"/>
  <c r="CO134" i="2" s="1"/>
  <c r="CM134" i="2"/>
  <c r="CL134" i="2"/>
  <c r="CK134" i="2"/>
  <c r="CJ134" i="2"/>
  <c r="CI134" i="2"/>
  <c r="CH134" i="2"/>
  <c r="CG134" i="2"/>
  <c r="CF134" i="2"/>
  <c r="CE134" i="2"/>
  <c r="CD134" i="2"/>
  <c r="CC134" i="2"/>
  <c r="CA134" i="2"/>
  <c r="CB134" i="2" s="1"/>
  <c r="BZ134" i="2"/>
  <c r="BY134" i="2"/>
  <c r="BX134" i="2"/>
  <c r="BW134" i="2"/>
  <c r="BV134" i="2"/>
  <c r="BU134" i="2"/>
  <c r="BT134" i="2"/>
  <c r="BS134" i="2"/>
  <c r="BR134" i="2"/>
  <c r="BQ134" i="2"/>
  <c r="BP134" i="2"/>
  <c r="BO134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A134" i="2"/>
  <c r="BB134" i="2" s="1"/>
  <c r="AZ134" i="2"/>
  <c r="AY134" i="2"/>
  <c r="AX134" i="2"/>
  <c r="AW134" i="2"/>
  <c r="AV134" i="2"/>
  <c r="AU134" i="2"/>
  <c r="AT134" i="2"/>
  <c r="AS134" i="2"/>
  <c r="AR134" i="2"/>
  <c r="AQ134" i="2"/>
  <c r="AP134" i="2"/>
  <c r="AO134" i="2"/>
  <c r="AN134" i="2"/>
  <c r="AM134" i="2"/>
  <c r="AL134" i="2"/>
  <c r="AK134" i="2"/>
  <c r="AJ134" i="2"/>
  <c r="AI134" i="2"/>
  <c r="AH134" i="2"/>
  <c r="AG134" i="2"/>
  <c r="AF134" i="2"/>
  <c r="AE134" i="2"/>
  <c r="AD134" i="2"/>
  <c r="AC134" i="2"/>
  <c r="AA134" i="2"/>
  <c r="AB134" i="2" s="1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FI133" i="2"/>
  <c r="FO133" i="2" s="1"/>
  <c r="FH133" i="2"/>
  <c r="FG133" i="2"/>
  <c r="FF133" i="2"/>
  <c r="FE133" i="2"/>
  <c r="FD133" i="2"/>
  <c r="FC133" i="2"/>
  <c r="FA133" i="2"/>
  <c r="FB133" i="2" s="1"/>
  <c r="EZ133" i="2"/>
  <c r="EY133" i="2"/>
  <c r="EX133" i="2"/>
  <c r="EW133" i="2"/>
  <c r="EV133" i="2"/>
  <c r="EU133" i="2"/>
  <c r="ET133" i="2"/>
  <c r="ES133" i="2"/>
  <c r="ER133" i="2"/>
  <c r="EQ133" i="2"/>
  <c r="EP133" i="2"/>
  <c r="EN133" i="2"/>
  <c r="EO133" i="2" s="1"/>
  <c r="EM133" i="2"/>
  <c r="EL133" i="2"/>
  <c r="EK133" i="2"/>
  <c r="EJ133" i="2"/>
  <c r="EI133" i="2"/>
  <c r="EH133" i="2"/>
  <c r="EG133" i="2"/>
  <c r="EF133" i="2"/>
  <c r="EE133" i="2"/>
  <c r="ED133" i="2"/>
  <c r="EC133" i="2"/>
  <c r="EA133" i="2"/>
  <c r="EB133" i="2" s="1"/>
  <c r="DZ133" i="2"/>
  <c r="DY133" i="2"/>
  <c r="DX133" i="2"/>
  <c r="DW133" i="2"/>
  <c r="DV133" i="2"/>
  <c r="DU133" i="2"/>
  <c r="DT133" i="2"/>
  <c r="DS133" i="2"/>
  <c r="DR133" i="2"/>
  <c r="DQ133" i="2"/>
  <c r="DP133" i="2"/>
  <c r="DO133" i="2"/>
  <c r="DN133" i="2"/>
  <c r="DM133" i="2"/>
  <c r="DL133" i="2"/>
  <c r="DK133" i="2"/>
  <c r="DJ133" i="2"/>
  <c r="DI133" i="2"/>
  <c r="DH133" i="2"/>
  <c r="DG133" i="2"/>
  <c r="DF133" i="2"/>
  <c r="DE133" i="2"/>
  <c r="DD133" i="2"/>
  <c r="DC133" i="2"/>
  <c r="DA133" i="2"/>
  <c r="DB133" i="2" s="1"/>
  <c r="CZ133" i="2"/>
  <c r="CY133" i="2"/>
  <c r="CX133" i="2"/>
  <c r="CW133" i="2"/>
  <c r="CV133" i="2"/>
  <c r="CU133" i="2"/>
  <c r="CT133" i="2"/>
  <c r="CS133" i="2"/>
  <c r="CR133" i="2"/>
  <c r="CQ133" i="2"/>
  <c r="CP133" i="2"/>
  <c r="CN133" i="2"/>
  <c r="CO133" i="2" s="1"/>
  <c r="CM133" i="2"/>
  <c r="CL133" i="2"/>
  <c r="CK133" i="2"/>
  <c r="CJ133" i="2"/>
  <c r="CI133" i="2"/>
  <c r="CH133" i="2"/>
  <c r="CG133" i="2"/>
  <c r="CF133" i="2"/>
  <c r="CE133" i="2"/>
  <c r="CD133" i="2"/>
  <c r="CC133" i="2"/>
  <c r="CA133" i="2"/>
  <c r="CB133" i="2" s="1"/>
  <c r="BZ133" i="2"/>
  <c r="BY133" i="2"/>
  <c r="BX133" i="2"/>
  <c r="BW133" i="2"/>
  <c r="BV133" i="2"/>
  <c r="BU133" i="2"/>
  <c r="BT133" i="2"/>
  <c r="BS133" i="2"/>
  <c r="BR133" i="2"/>
  <c r="BQ133" i="2"/>
  <c r="BP133" i="2"/>
  <c r="BO133" i="2"/>
  <c r="BN133" i="2"/>
  <c r="BM133" i="2"/>
  <c r="BL133" i="2"/>
  <c r="BK133" i="2"/>
  <c r="BJ133" i="2"/>
  <c r="BI133" i="2"/>
  <c r="BH133" i="2"/>
  <c r="BG133" i="2"/>
  <c r="BF133" i="2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N133" i="2"/>
  <c r="AO133" i="2" s="1"/>
  <c r="AM133" i="2"/>
  <c r="AL133" i="2"/>
  <c r="AK133" i="2"/>
  <c r="AJ133" i="2"/>
  <c r="AI133" i="2"/>
  <c r="AH133" i="2"/>
  <c r="AG133" i="2"/>
  <c r="AF133" i="2"/>
  <c r="AE133" i="2"/>
  <c r="AD133" i="2"/>
  <c r="AC133" i="2"/>
  <c r="AA133" i="2"/>
  <c r="AB133" i="2" s="1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FI132" i="2"/>
  <c r="FO132" i="2" s="1"/>
  <c r="FH132" i="2"/>
  <c r="FG132" i="2"/>
  <c r="FF132" i="2"/>
  <c r="FE132" i="2"/>
  <c r="FD132" i="2"/>
  <c r="FC132" i="2"/>
  <c r="FB132" i="2"/>
  <c r="FA132" i="2"/>
  <c r="EZ132" i="2"/>
  <c r="EY132" i="2"/>
  <c r="EX132" i="2"/>
  <c r="EW132" i="2"/>
  <c r="EV132" i="2"/>
  <c r="EU132" i="2"/>
  <c r="ET132" i="2"/>
  <c r="ES132" i="2"/>
  <c r="ER132" i="2"/>
  <c r="EQ132" i="2"/>
  <c r="EP132" i="2"/>
  <c r="EN132" i="2"/>
  <c r="EO132" i="2" s="1"/>
  <c r="EM132" i="2"/>
  <c r="EL132" i="2"/>
  <c r="EK132" i="2"/>
  <c r="EJ132" i="2"/>
  <c r="EI132" i="2"/>
  <c r="EH132" i="2"/>
  <c r="EG132" i="2"/>
  <c r="EF132" i="2"/>
  <c r="EE132" i="2"/>
  <c r="ED132" i="2"/>
  <c r="EC132" i="2"/>
  <c r="EA132" i="2"/>
  <c r="EB132" i="2" s="1"/>
  <c r="DZ132" i="2"/>
  <c r="DY132" i="2"/>
  <c r="DX132" i="2"/>
  <c r="DW132" i="2"/>
  <c r="DV132" i="2"/>
  <c r="DU132" i="2"/>
  <c r="DT132" i="2"/>
  <c r="DS132" i="2"/>
  <c r="DR132" i="2"/>
  <c r="DQ132" i="2"/>
  <c r="DP132" i="2"/>
  <c r="DO132" i="2"/>
  <c r="DN132" i="2"/>
  <c r="DM132" i="2"/>
  <c r="DL132" i="2"/>
  <c r="DK132" i="2"/>
  <c r="DJ132" i="2"/>
  <c r="DI132" i="2"/>
  <c r="DH132" i="2"/>
  <c r="DG132" i="2"/>
  <c r="DF132" i="2"/>
  <c r="DE132" i="2"/>
  <c r="DD132" i="2"/>
  <c r="DC132" i="2"/>
  <c r="DA132" i="2"/>
  <c r="DB132" i="2" s="1"/>
  <c r="CZ132" i="2"/>
  <c r="CY132" i="2"/>
  <c r="CX132" i="2"/>
  <c r="CW132" i="2"/>
  <c r="CV132" i="2"/>
  <c r="CU132" i="2"/>
  <c r="CT132" i="2"/>
  <c r="CS132" i="2"/>
  <c r="CR132" i="2"/>
  <c r="CQ132" i="2"/>
  <c r="CP132" i="2"/>
  <c r="CO132" i="2"/>
  <c r="CN132" i="2"/>
  <c r="CM132" i="2"/>
  <c r="CL132" i="2"/>
  <c r="CK132" i="2"/>
  <c r="CJ132" i="2"/>
  <c r="CI132" i="2"/>
  <c r="CH132" i="2"/>
  <c r="CG132" i="2"/>
  <c r="CF132" i="2"/>
  <c r="CE132" i="2"/>
  <c r="CD132" i="2"/>
  <c r="CC132" i="2"/>
  <c r="CB132" i="2"/>
  <c r="CA132" i="2"/>
  <c r="BZ132" i="2"/>
  <c r="BY132" i="2"/>
  <c r="BX132" i="2"/>
  <c r="BW132" i="2"/>
  <c r="BV132" i="2"/>
  <c r="BU132" i="2"/>
  <c r="BT132" i="2"/>
  <c r="BS132" i="2"/>
  <c r="BR132" i="2"/>
  <c r="BQ132" i="2"/>
  <c r="BP132" i="2"/>
  <c r="BN132" i="2"/>
  <c r="BO132" i="2" s="1"/>
  <c r="BM132" i="2"/>
  <c r="BL132" i="2"/>
  <c r="BK132" i="2"/>
  <c r="BJ132" i="2"/>
  <c r="BI132" i="2"/>
  <c r="BH132" i="2"/>
  <c r="BG132" i="2"/>
  <c r="BF132" i="2"/>
  <c r="BE132" i="2"/>
  <c r="BD132" i="2"/>
  <c r="BC132" i="2"/>
  <c r="BA132" i="2"/>
  <c r="BB132" i="2" s="1"/>
  <c r="AZ132" i="2"/>
  <c r="AY132" i="2"/>
  <c r="AX132" i="2"/>
  <c r="AW132" i="2"/>
  <c r="AV132" i="2"/>
  <c r="AU132" i="2"/>
  <c r="AT132" i="2"/>
  <c r="AS132" i="2"/>
  <c r="AR132" i="2"/>
  <c r="AQ132" i="2"/>
  <c r="AP132" i="2"/>
  <c r="AN132" i="2"/>
  <c r="AO132" i="2" s="1"/>
  <c r="AM132" i="2"/>
  <c r="AL132" i="2"/>
  <c r="AK132" i="2"/>
  <c r="AJ132" i="2"/>
  <c r="AI132" i="2"/>
  <c r="AH132" i="2"/>
  <c r="AG132" i="2"/>
  <c r="AF132" i="2"/>
  <c r="AE132" i="2"/>
  <c r="AD132" i="2"/>
  <c r="AC132" i="2"/>
  <c r="AA132" i="2"/>
  <c r="AB132" i="2" s="1"/>
  <c r="Z132" i="2"/>
  <c r="Y132" i="2"/>
  <c r="X132" i="2"/>
  <c r="W132" i="2"/>
  <c r="V132" i="2"/>
  <c r="U132" i="2"/>
  <c r="T132" i="2"/>
  <c r="S132" i="2"/>
  <c r="R132" i="2"/>
  <c r="Q132" i="2"/>
  <c r="P132" i="2"/>
  <c r="N132" i="2"/>
  <c r="O132" i="2" s="1"/>
  <c r="M132" i="2"/>
  <c r="L132" i="2"/>
  <c r="K132" i="2"/>
  <c r="J132" i="2"/>
  <c r="I132" i="2"/>
  <c r="H132" i="2"/>
  <c r="G132" i="2"/>
  <c r="F132" i="2"/>
  <c r="E132" i="2"/>
  <c r="D132" i="2"/>
  <c r="C132" i="2"/>
  <c r="FO131" i="2"/>
  <c r="FI131" i="2"/>
  <c r="FH131" i="2"/>
  <c r="FG131" i="2"/>
  <c r="FF131" i="2"/>
  <c r="FE131" i="2"/>
  <c r="FD131" i="2"/>
  <c r="FC131" i="2"/>
  <c r="FA131" i="2"/>
  <c r="FB131" i="2" s="1"/>
  <c r="EZ131" i="2"/>
  <c r="EY131" i="2"/>
  <c r="EX131" i="2"/>
  <c r="EW131" i="2"/>
  <c r="EV131" i="2"/>
  <c r="EU131" i="2"/>
  <c r="ET131" i="2"/>
  <c r="ES131" i="2"/>
  <c r="ER131" i="2"/>
  <c r="EQ131" i="2"/>
  <c r="EP131" i="2"/>
  <c r="EN131" i="2"/>
  <c r="EO131" i="2" s="1"/>
  <c r="EM131" i="2"/>
  <c r="EL131" i="2"/>
  <c r="EK131" i="2"/>
  <c r="EJ131" i="2"/>
  <c r="EI131" i="2"/>
  <c r="EH131" i="2"/>
  <c r="EG131" i="2"/>
  <c r="EF131" i="2"/>
  <c r="EE131" i="2"/>
  <c r="ED131" i="2"/>
  <c r="EC131" i="2"/>
  <c r="EB131" i="2"/>
  <c r="EA131" i="2"/>
  <c r="DZ131" i="2"/>
  <c r="DY131" i="2"/>
  <c r="DX131" i="2"/>
  <c r="DW131" i="2"/>
  <c r="DV131" i="2"/>
  <c r="DU131" i="2"/>
  <c r="DT131" i="2"/>
  <c r="DS131" i="2"/>
  <c r="DR131" i="2"/>
  <c r="DQ131" i="2"/>
  <c r="DP131" i="2"/>
  <c r="DO131" i="2"/>
  <c r="DN131" i="2"/>
  <c r="DM131" i="2"/>
  <c r="DL131" i="2"/>
  <c r="DK131" i="2"/>
  <c r="DJ131" i="2"/>
  <c r="DI131" i="2"/>
  <c r="DH131" i="2"/>
  <c r="DG131" i="2"/>
  <c r="DF131" i="2"/>
  <c r="DE131" i="2"/>
  <c r="DD131" i="2"/>
  <c r="DC131" i="2"/>
  <c r="DA131" i="2"/>
  <c r="DB131" i="2" s="1"/>
  <c r="CZ131" i="2"/>
  <c r="CY131" i="2"/>
  <c r="CX131" i="2"/>
  <c r="CW131" i="2"/>
  <c r="CV131" i="2"/>
  <c r="CU131" i="2"/>
  <c r="CT131" i="2"/>
  <c r="CS131" i="2"/>
  <c r="CR131" i="2"/>
  <c r="CQ131" i="2"/>
  <c r="CP131" i="2"/>
  <c r="CN131" i="2"/>
  <c r="CO131" i="2" s="1"/>
  <c r="CM131" i="2"/>
  <c r="CL131" i="2"/>
  <c r="CK131" i="2"/>
  <c r="CJ131" i="2"/>
  <c r="CI131" i="2"/>
  <c r="CH131" i="2"/>
  <c r="CG131" i="2"/>
  <c r="CF131" i="2"/>
  <c r="CE131" i="2"/>
  <c r="CD131" i="2"/>
  <c r="CC131" i="2"/>
  <c r="CA131" i="2"/>
  <c r="CB131" i="2" s="1"/>
  <c r="BZ131" i="2"/>
  <c r="BY131" i="2"/>
  <c r="BX131" i="2"/>
  <c r="BW131" i="2"/>
  <c r="BV131" i="2"/>
  <c r="BU131" i="2"/>
  <c r="BT131" i="2"/>
  <c r="BS131" i="2"/>
  <c r="BR131" i="2"/>
  <c r="BQ131" i="2"/>
  <c r="BP131" i="2"/>
  <c r="BN131" i="2"/>
  <c r="BO131" i="2" s="1"/>
  <c r="BM131" i="2"/>
  <c r="BL131" i="2"/>
  <c r="BK131" i="2"/>
  <c r="BJ131" i="2"/>
  <c r="BI131" i="2"/>
  <c r="BH131" i="2"/>
  <c r="BG131" i="2"/>
  <c r="BF131" i="2"/>
  <c r="BE131" i="2"/>
  <c r="BD131" i="2"/>
  <c r="BC131" i="2"/>
  <c r="BA131" i="2"/>
  <c r="BB131" i="2" s="1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A131" i="2"/>
  <c r="AB131" i="2" s="1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FI130" i="2"/>
  <c r="FO130" i="2" s="1"/>
  <c r="FH130" i="2"/>
  <c r="FG130" i="2"/>
  <c r="FF130" i="2"/>
  <c r="FE130" i="2"/>
  <c r="FD130" i="2"/>
  <c r="FC130" i="2"/>
  <c r="FA130" i="2"/>
  <c r="FB130" i="2" s="1"/>
  <c r="EZ130" i="2"/>
  <c r="EY130" i="2"/>
  <c r="EX130" i="2"/>
  <c r="EW130" i="2"/>
  <c r="EV130" i="2"/>
  <c r="EU130" i="2"/>
  <c r="ET130" i="2"/>
  <c r="ES130" i="2"/>
  <c r="ER130" i="2"/>
  <c r="EQ130" i="2"/>
  <c r="EP130" i="2"/>
  <c r="EN130" i="2"/>
  <c r="EO130" i="2" s="1"/>
  <c r="EM130" i="2"/>
  <c r="EL130" i="2"/>
  <c r="EK130" i="2"/>
  <c r="EJ130" i="2"/>
  <c r="EI130" i="2"/>
  <c r="EH130" i="2"/>
  <c r="EG130" i="2"/>
  <c r="EF130" i="2"/>
  <c r="EE130" i="2"/>
  <c r="ED130" i="2"/>
  <c r="EC130" i="2"/>
  <c r="EA130" i="2"/>
  <c r="EB130" i="2" s="1"/>
  <c r="DZ130" i="2"/>
  <c r="DY130" i="2"/>
  <c r="DX130" i="2"/>
  <c r="DW130" i="2"/>
  <c r="DV130" i="2"/>
  <c r="DU130" i="2"/>
  <c r="DT130" i="2"/>
  <c r="DS130" i="2"/>
  <c r="DR130" i="2"/>
  <c r="DQ130" i="2"/>
  <c r="DP130" i="2"/>
  <c r="DO130" i="2"/>
  <c r="DN130" i="2"/>
  <c r="DM130" i="2"/>
  <c r="DL130" i="2"/>
  <c r="DK130" i="2"/>
  <c r="DJ130" i="2"/>
  <c r="DI130" i="2"/>
  <c r="DH130" i="2"/>
  <c r="DG130" i="2"/>
  <c r="DF130" i="2"/>
  <c r="DE130" i="2"/>
  <c r="DD130" i="2"/>
  <c r="DC130" i="2"/>
  <c r="DA130" i="2"/>
  <c r="DB130" i="2" s="1"/>
  <c r="CZ130" i="2"/>
  <c r="CY130" i="2"/>
  <c r="CX130" i="2"/>
  <c r="CW130" i="2"/>
  <c r="CV130" i="2"/>
  <c r="CU130" i="2"/>
  <c r="CT130" i="2"/>
  <c r="CS130" i="2"/>
  <c r="CR130" i="2"/>
  <c r="CQ130" i="2"/>
  <c r="CP130" i="2"/>
  <c r="CN130" i="2"/>
  <c r="CO130" i="2" s="1"/>
  <c r="CM130" i="2"/>
  <c r="CL130" i="2"/>
  <c r="CK130" i="2"/>
  <c r="CJ130" i="2"/>
  <c r="CI130" i="2"/>
  <c r="CH130" i="2"/>
  <c r="CG130" i="2"/>
  <c r="CF130" i="2"/>
  <c r="CE130" i="2"/>
  <c r="CD130" i="2"/>
  <c r="CC130" i="2"/>
  <c r="CA130" i="2"/>
  <c r="CB130" i="2" s="1"/>
  <c r="BZ130" i="2"/>
  <c r="BY130" i="2"/>
  <c r="BX130" i="2"/>
  <c r="BW130" i="2"/>
  <c r="BV130" i="2"/>
  <c r="BU130" i="2"/>
  <c r="BT130" i="2"/>
  <c r="BS130" i="2"/>
  <c r="BR130" i="2"/>
  <c r="BQ130" i="2"/>
  <c r="BP130" i="2"/>
  <c r="BN130" i="2"/>
  <c r="BO130" i="2" s="1"/>
  <c r="BM130" i="2"/>
  <c r="BL130" i="2"/>
  <c r="BK130" i="2"/>
  <c r="BJ130" i="2"/>
  <c r="BI130" i="2"/>
  <c r="BH130" i="2"/>
  <c r="BG130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N130" i="2"/>
  <c r="AO130" i="2" s="1"/>
  <c r="AM130" i="2"/>
  <c r="AL130" i="2"/>
  <c r="AK130" i="2"/>
  <c r="AJ130" i="2"/>
  <c r="AI130" i="2"/>
  <c r="AH130" i="2"/>
  <c r="AG130" i="2"/>
  <c r="AF130" i="2"/>
  <c r="AE130" i="2"/>
  <c r="AD130" i="2"/>
  <c r="AC130" i="2"/>
  <c r="AA130" i="2"/>
  <c r="AB130" i="2" s="1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FI129" i="2"/>
  <c r="FO129" i="2" s="1"/>
  <c r="FH129" i="2"/>
  <c r="FG129" i="2"/>
  <c r="FF129" i="2"/>
  <c r="FE129" i="2"/>
  <c r="FD129" i="2"/>
  <c r="FC129" i="2"/>
  <c r="FB129" i="2"/>
  <c r="FA129" i="2"/>
  <c r="EZ129" i="2"/>
  <c r="EY129" i="2"/>
  <c r="EX129" i="2"/>
  <c r="EW129" i="2"/>
  <c r="EV129" i="2"/>
  <c r="EU129" i="2"/>
  <c r="ET129" i="2"/>
  <c r="ES129" i="2"/>
  <c r="ER129" i="2"/>
  <c r="EQ129" i="2"/>
  <c r="EP129" i="2"/>
  <c r="EN129" i="2"/>
  <c r="EO129" i="2" s="1"/>
  <c r="EM129" i="2"/>
  <c r="EL129" i="2"/>
  <c r="EK129" i="2"/>
  <c r="EJ129" i="2"/>
  <c r="EI129" i="2"/>
  <c r="EH129" i="2"/>
  <c r="EG129" i="2"/>
  <c r="EF129" i="2"/>
  <c r="EE129" i="2"/>
  <c r="ED129" i="2"/>
  <c r="EC129" i="2"/>
  <c r="EA129" i="2"/>
  <c r="EB129" i="2" s="1"/>
  <c r="DZ129" i="2"/>
  <c r="DY129" i="2"/>
  <c r="DX129" i="2"/>
  <c r="DW129" i="2"/>
  <c r="DV129" i="2"/>
  <c r="DU129" i="2"/>
  <c r="DT129" i="2"/>
  <c r="DS129" i="2"/>
  <c r="DR129" i="2"/>
  <c r="DQ129" i="2"/>
  <c r="DP129" i="2"/>
  <c r="DN129" i="2"/>
  <c r="DO129" i="2" s="1"/>
  <c r="DM129" i="2"/>
  <c r="DL129" i="2"/>
  <c r="DK129" i="2"/>
  <c r="DJ129" i="2"/>
  <c r="DI129" i="2"/>
  <c r="DH129" i="2"/>
  <c r="DG129" i="2"/>
  <c r="DF129" i="2"/>
  <c r="DE129" i="2"/>
  <c r="DD129" i="2"/>
  <c r="DC129" i="2"/>
  <c r="DA129" i="2"/>
  <c r="DB129" i="2" s="1"/>
  <c r="CZ129" i="2"/>
  <c r="CY129" i="2"/>
  <c r="CX129" i="2"/>
  <c r="CW129" i="2"/>
  <c r="CV129" i="2"/>
  <c r="CU129" i="2"/>
  <c r="CT129" i="2"/>
  <c r="CS129" i="2"/>
  <c r="CR129" i="2"/>
  <c r="CQ129" i="2"/>
  <c r="CP129" i="2"/>
  <c r="CN129" i="2"/>
  <c r="CO129" i="2" s="1"/>
  <c r="CM129" i="2"/>
  <c r="CL129" i="2"/>
  <c r="CK129" i="2"/>
  <c r="CJ129" i="2"/>
  <c r="CI129" i="2"/>
  <c r="CH129" i="2"/>
  <c r="CG129" i="2"/>
  <c r="CF129" i="2"/>
  <c r="CE129" i="2"/>
  <c r="CD129" i="2"/>
  <c r="CC129" i="2"/>
  <c r="CB129" i="2"/>
  <c r="CA129" i="2"/>
  <c r="BZ129" i="2"/>
  <c r="BY129" i="2"/>
  <c r="BX129" i="2"/>
  <c r="BW129" i="2"/>
  <c r="BV129" i="2"/>
  <c r="BU129" i="2"/>
  <c r="BT129" i="2"/>
  <c r="BS129" i="2"/>
  <c r="BR129" i="2"/>
  <c r="BQ129" i="2"/>
  <c r="BP129" i="2"/>
  <c r="BO129" i="2"/>
  <c r="BN129" i="2"/>
  <c r="BM129" i="2"/>
  <c r="BL129" i="2"/>
  <c r="BK129" i="2"/>
  <c r="BJ129" i="2"/>
  <c r="BI129" i="2"/>
  <c r="BH129" i="2"/>
  <c r="BG129" i="2"/>
  <c r="BF129" i="2"/>
  <c r="BE129" i="2"/>
  <c r="BD129" i="2"/>
  <c r="BC129" i="2"/>
  <c r="BA129" i="2"/>
  <c r="BB129" i="2" s="1"/>
  <c r="AZ129" i="2"/>
  <c r="AY129" i="2"/>
  <c r="AX129" i="2"/>
  <c r="AW129" i="2"/>
  <c r="AV129" i="2"/>
  <c r="AU129" i="2"/>
  <c r="AT129" i="2"/>
  <c r="AS129" i="2"/>
  <c r="AR129" i="2"/>
  <c r="AQ129" i="2"/>
  <c r="AP129" i="2"/>
  <c r="AN129" i="2"/>
  <c r="AO129" i="2" s="1"/>
  <c r="AM129" i="2"/>
  <c r="AL129" i="2"/>
  <c r="AK129" i="2"/>
  <c r="AJ129" i="2"/>
  <c r="AI129" i="2"/>
  <c r="AH129" i="2"/>
  <c r="AG129" i="2"/>
  <c r="AF129" i="2"/>
  <c r="AE129" i="2"/>
  <c r="AD129" i="2"/>
  <c r="AC129" i="2"/>
  <c r="AA129" i="2"/>
  <c r="AB129" i="2" s="1"/>
  <c r="Z129" i="2"/>
  <c r="Y129" i="2"/>
  <c r="X129" i="2"/>
  <c r="W129" i="2"/>
  <c r="V129" i="2"/>
  <c r="U129" i="2"/>
  <c r="T129" i="2"/>
  <c r="S129" i="2"/>
  <c r="R129" i="2"/>
  <c r="Q129" i="2"/>
  <c r="P129" i="2"/>
  <c r="N129" i="2"/>
  <c r="O129" i="2" s="1"/>
  <c r="M129" i="2"/>
  <c r="L129" i="2"/>
  <c r="K129" i="2"/>
  <c r="J129" i="2"/>
  <c r="I129" i="2"/>
  <c r="H129" i="2"/>
  <c r="G129" i="2"/>
  <c r="F129" i="2"/>
  <c r="E129" i="2"/>
  <c r="D129" i="2"/>
  <c r="C129" i="2"/>
  <c r="FO128" i="2"/>
  <c r="FI128" i="2"/>
  <c r="FH128" i="2"/>
  <c r="FG128" i="2"/>
  <c r="FF128" i="2"/>
  <c r="FE128" i="2"/>
  <c r="FD128" i="2"/>
  <c r="FC128" i="2"/>
  <c r="FA128" i="2"/>
  <c r="FB128" i="2" s="1"/>
  <c r="EZ128" i="2"/>
  <c r="EY128" i="2"/>
  <c r="EX128" i="2"/>
  <c r="EW128" i="2"/>
  <c r="EV128" i="2"/>
  <c r="EU128" i="2"/>
  <c r="ET128" i="2"/>
  <c r="ES128" i="2"/>
  <c r="ER128" i="2"/>
  <c r="EQ128" i="2"/>
  <c r="EP128" i="2"/>
  <c r="EN128" i="2"/>
  <c r="EO128" i="2" s="1"/>
  <c r="EM128" i="2"/>
  <c r="EL128" i="2"/>
  <c r="EK128" i="2"/>
  <c r="EJ128" i="2"/>
  <c r="EI128" i="2"/>
  <c r="EH128" i="2"/>
  <c r="EG128" i="2"/>
  <c r="EF128" i="2"/>
  <c r="EE128" i="2"/>
  <c r="ED128" i="2"/>
  <c r="EC128" i="2"/>
  <c r="EB128" i="2"/>
  <c r="EA128" i="2"/>
  <c r="DZ128" i="2"/>
  <c r="DY128" i="2"/>
  <c r="DX128" i="2"/>
  <c r="DW128" i="2"/>
  <c r="DV128" i="2"/>
  <c r="DU128" i="2"/>
  <c r="DT128" i="2"/>
  <c r="DS128" i="2"/>
  <c r="DR128" i="2"/>
  <c r="DQ128" i="2"/>
  <c r="DP128" i="2"/>
  <c r="DO128" i="2"/>
  <c r="DN128" i="2"/>
  <c r="DM128" i="2"/>
  <c r="DL128" i="2"/>
  <c r="DK128" i="2"/>
  <c r="DJ128" i="2"/>
  <c r="DI128" i="2"/>
  <c r="DH128" i="2"/>
  <c r="DG128" i="2"/>
  <c r="DF128" i="2"/>
  <c r="DE128" i="2"/>
  <c r="DD128" i="2"/>
  <c r="DC128" i="2"/>
  <c r="DA128" i="2"/>
  <c r="DB128" i="2" s="1"/>
  <c r="CZ128" i="2"/>
  <c r="CY128" i="2"/>
  <c r="CX128" i="2"/>
  <c r="CW128" i="2"/>
  <c r="CV128" i="2"/>
  <c r="CU128" i="2"/>
  <c r="CT128" i="2"/>
  <c r="CS128" i="2"/>
  <c r="CR128" i="2"/>
  <c r="CQ128" i="2"/>
  <c r="CP128" i="2"/>
  <c r="CN128" i="2"/>
  <c r="CO128" i="2" s="1"/>
  <c r="CM128" i="2"/>
  <c r="CL128" i="2"/>
  <c r="CK128" i="2"/>
  <c r="CJ128" i="2"/>
  <c r="CI128" i="2"/>
  <c r="CH128" i="2"/>
  <c r="CG128" i="2"/>
  <c r="CF128" i="2"/>
  <c r="CE128" i="2"/>
  <c r="CD128" i="2"/>
  <c r="CC128" i="2"/>
  <c r="CA128" i="2"/>
  <c r="CB128" i="2" s="1"/>
  <c r="BZ128" i="2"/>
  <c r="BY128" i="2"/>
  <c r="BX128" i="2"/>
  <c r="BW128" i="2"/>
  <c r="BV128" i="2"/>
  <c r="BU128" i="2"/>
  <c r="BT128" i="2"/>
  <c r="BS128" i="2"/>
  <c r="BR128" i="2"/>
  <c r="BQ128" i="2"/>
  <c r="BP128" i="2"/>
  <c r="BN128" i="2"/>
  <c r="BO128" i="2" s="1"/>
  <c r="BM128" i="2"/>
  <c r="BL128" i="2"/>
  <c r="BK128" i="2"/>
  <c r="BJ128" i="2"/>
  <c r="BI128" i="2"/>
  <c r="BH128" i="2"/>
  <c r="BG128" i="2"/>
  <c r="BF128" i="2"/>
  <c r="BE128" i="2"/>
  <c r="BD128" i="2"/>
  <c r="BC128" i="2"/>
  <c r="BA128" i="2"/>
  <c r="BB128" i="2" s="1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A128" i="2"/>
  <c r="AB128" i="2" s="1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FI127" i="2"/>
  <c r="FO127" i="2" s="1"/>
  <c r="FH127" i="2"/>
  <c r="FG127" i="2"/>
  <c r="FF127" i="2"/>
  <c r="FE127" i="2"/>
  <c r="FD127" i="2"/>
  <c r="FC127" i="2"/>
  <c r="FA127" i="2"/>
  <c r="FB127" i="2" s="1"/>
  <c r="EZ127" i="2"/>
  <c r="EY127" i="2"/>
  <c r="EX127" i="2"/>
  <c r="EW127" i="2"/>
  <c r="EV127" i="2"/>
  <c r="EU127" i="2"/>
  <c r="ET127" i="2"/>
  <c r="ES127" i="2"/>
  <c r="ER127" i="2"/>
  <c r="EQ127" i="2"/>
  <c r="EP127" i="2"/>
  <c r="EN127" i="2"/>
  <c r="EO127" i="2" s="1"/>
  <c r="EM127" i="2"/>
  <c r="EL127" i="2"/>
  <c r="EK127" i="2"/>
  <c r="EJ127" i="2"/>
  <c r="EI127" i="2"/>
  <c r="EH127" i="2"/>
  <c r="EG127" i="2"/>
  <c r="EF127" i="2"/>
  <c r="EE127" i="2"/>
  <c r="ED127" i="2"/>
  <c r="EC127" i="2"/>
  <c r="EA127" i="2"/>
  <c r="EB127" i="2" s="1"/>
  <c r="DZ127" i="2"/>
  <c r="DY127" i="2"/>
  <c r="DX127" i="2"/>
  <c r="DW127" i="2"/>
  <c r="DV127" i="2"/>
  <c r="DU127" i="2"/>
  <c r="DT127" i="2"/>
  <c r="DS127" i="2"/>
  <c r="DR127" i="2"/>
  <c r="DQ127" i="2"/>
  <c r="DP127" i="2"/>
  <c r="DO127" i="2"/>
  <c r="DN127" i="2"/>
  <c r="DM127" i="2"/>
  <c r="DL127" i="2"/>
  <c r="DK127" i="2"/>
  <c r="DJ127" i="2"/>
  <c r="DI127" i="2"/>
  <c r="DH127" i="2"/>
  <c r="DG127" i="2"/>
  <c r="DF127" i="2"/>
  <c r="DE127" i="2"/>
  <c r="DD127" i="2"/>
  <c r="DC127" i="2"/>
  <c r="DA127" i="2"/>
  <c r="DB127" i="2" s="1"/>
  <c r="CZ127" i="2"/>
  <c r="CY127" i="2"/>
  <c r="CX127" i="2"/>
  <c r="CW127" i="2"/>
  <c r="CV127" i="2"/>
  <c r="CU127" i="2"/>
  <c r="CT127" i="2"/>
  <c r="CS127" i="2"/>
  <c r="CR127" i="2"/>
  <c r="CQ127" i="2"/>
  <c r="CP127" i="2"/>
  <c r="CN127" i="2"/>
  <c r="CO127" i="2" s="1"/>
  <c r="CM127" i="2"/>
  <c r="CL127" i="2"/>
  <c r="CK127" i="2"/>
  <c r="CJ127" i="2"/>
  <c r="CI127" i="2"/>
  <c r="CH127" i="2"/>
  <c r="CG127" i="2"/>
  <c r="CF127" i="2"/>
  <c r="CE127" i="2"/>
  <c r="CD127" i="2"/>
  <c r="CC127" i="2"/>
  <c r="CA127" i="2"/>
  <c r="CB127" i="2" s="1"/>
  <c r="BZ127" i="2"/>
  <c r="BY127" i="2"/>
  <c r="BX127" i="2"/>
  <c r="BW127" i="2"/>
  <c r="BV127" i="2"/>
  <c r="BU127" i="2"/>
  <c r="BT127" i="2"/>
  <c r="BS127" i="2"/>
  <c r="BR127" i="2"/>
  <c r="BQ127" i="2"/>
  <c r="BP127" i="2"/>
  <c r="BO127" i="2"/>
  <c r="BN127" i="2"/>
  <c r="BM127" i="2"/>
  <c r="BL127" i="2"/>
  <c r="BK127" i="2"/>
  <c r="BJ127" i="2"/>
  <c r="BI127" i="2"/>
  <c r="BH127" i="2"/>
  <c r="BG127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N127" i="2"/>
  <c r="AO127" i="2" s="1"/>
  <c r="AM127" i="2"/>
  <c r="AL127" i="2"/>
  <c r="AK127" i="2"/>
  <c r="AJ127" i="2"/>
  <c r="AI127" i="2"/>
  <c r="AH127" i="2"/>
  <c r="AG127" i="2"/>
  <c r="AF127" i="2"/>
  <c r="AE127" i="2"/>
  <c r="AD127" i="2"/>
  <c r="AC127" i="2"/>
  <c r="AA127" i="2"/>
  <c r="AB127" i="2" s="1"/>
  <c r="Z127" i="2"/>
  <c r="Y127" i="2"/>
  <c r="X127" i="2"/>
  <c r="W127" i="2"/>
  <c r="V127" i="2"/>
  <c r="U127" i="2"/>
  <c r="T127" i="2"/>
  <c r="S127" i="2"/>
  <c r="R127" i="2"/>
  <c r="Q127" i="2"/>
  <c r="P127" i="2"/>
  <c r="N127" i="2"/>
  <c r="O127" i="2" s="1"/>
  <c r="M127" i="2"/>
  <c r="L127" i="2"/>
  <c r="K127" i="2"/>
  <c r="J127" i="2"/>
  <c r="I127" i="2"/>
  <c r="H127" i="2"/>
  <c r="G127" i="2"/>
  <c r="F127" i="2"/>
  <c r="E127" i="2"/>
  <c r="D127" i="2"/>
  <c r="C127" i="2"/>
  <c r="FI126" i="2"/>
  <c r="FO126" i="2" s="1"/>
  <c r="FH126" i="2"/>
  <c r="FG126" i="2"/>
  <c r="FF126" i="2"/>
  <c r="FE126" i="2"/>
  <c r="FD126" i="2"/>
  <c r="FC126" i="2"/>
  <c r="FA126" i="2"/>
  <c r="FB126" i="2" s="1"/>
  <c r="EZ126" i="2"/>
  <c r="EY126" i="2"/>
  <c r="EX126" i="2"/>
  <c r="EW126" i="2"/>
  <c r="EV126" i="2"/>
  <c r="EU126" i="2"/>
  <c r="ET126" i="2"/>
  <c r="ES126" i="2"/>
  <c r="ER126" i="2"/>
  <c r="EQ126" i="2"/>
  <c r="EP126" i="2"/>
  <c r="EN126" i="2"/>
  <c r="EO126" i="2" s="1"/>
  <c r="EM126" i="2"/>
  <c r="EL126" i="2"/>
  <c r="EK126" i="2"/>
  <c r="EJ126" i="2"/>
  <c r="EI126" i="2"/>
  <c r="EH126" i="2"/>
  <c r="EG126" i="2"/>
  <c r="EF126" i="2"/>
  <c r="EE126" i="2"/>
  <c r="ED126" i="2"/>
  <c r="EC126" i="2"/>
  <c r="EA126" i="2"/>
  <c r="EB126" i="2" s="1"/>
  <c r="DZ126" i="2"/>
  <c r="DY126" i="2"/>
  <c r="DX126" i="2"/>
  <c r="DW126" i="2"/>
  <c r="DV126" i="2"/>
  <c r="DU126" i="2"/>
  <c r="DT126" i="2"/>
  <c r="DS126" i="2"/>
  <c r="DR126" i="2"/>
  <c r="DQ126" i="2"/>
  <c r="DP126" i="2"/>
  <c r="DO126" i="2"/>
  <c r="DN126" i="2"/>
  <c r="DM126" i="2"/>
  <c r="DL126" i="2"/>
  <c r="DK126" i="2"/>
  <c r="DJ126" i="2"/>
  <c r="DI126" i="2"/>
  <c r="DH126" i="2"/>
  <c r="DG126" i="2"/>
  <c r="DF126" i="2"/>
  <c r="DE126" i="2"/>
  <c r="DD126" i="2"/>
  <c r="DC126" i="2"/>
  <c r="DA126" i="2"/>
  <c r="DB126" i="2" s="1"/>
  <c r="CZ126" i="2"/>
  <c r="CY126" i="2"/>
  <c r="CX126" i="2"/>
  <c r="CW126" i="2"/>
  <c r="CV126" i="2"/>
  <c r="CU126" i="2"/>
  <c r="CT126" i="2"/>
  <c r="CS126" i="2"/>
  <c r="CR126" i="2"/>
  <c r="CQ126" i="2"/>
  <c r="CP126" i="2"/>
  <c r="CN126" i="2"/>
  <c r="CO126" i="2" s="1"/>
  <c r="CM126" i="2"/>
  <c r="CL126" i="2"/>
  <c r="CK126" i="2"/>
  <c r="CJ126" i="2"/>
  <c r="CI126" i="2"/>
  <c r="CH126" i="2"/>
  <c r="CG126" i="2"/>
  <c r="CF126" i="2"/>
  <c r="CE126" i="2"/>
  <c r="CD126" i="2"/>
  <c r="CC126" i="2"/>
  <c r="CA126" i="2"/>
  <c r="CB126" i="2" s="1"/>
  <c r="BZ126" i="2"/>
  <c r="BY126" i="2"/>
  <c r="BX126" i="2"/>
  <c r="BW126" i="2"/>
  <c r="BV126" i="2"/>
  <c r="BU126" i="2"/>
  <c r="BT126" i="2"/>
  <c r="BS126" i="2"/>
  <c r="BR126" i="2"/>
  <c r="BQ126" i="2"/>
  <c r="BP126" i="2"/>
  <c r="BO126" i="2"/>
  <c r="BN126" i="2"/>
  <c r="BM126" i="2"/>
  <c r="BL126" i="2"/>
  <c r="BK126" i="2"/>
  <c r="BJ126" i="2"/>
  <c r="BI126" i="2"/>
  <c r="BH126" i="2"/>
  <c r="BG126" i="2"/>
  <c r="BF126" i="2"/>
  <c r="BE126" i="2"/>
  <c r="BD126" i="2"/>
  <c r="BC126" i="2"/>
  <c r="BA126" i="2"/>
  <c r="BB126" i="2" s="1"/>
  <c r="AZ126" i="2"/>
  <c r="AY126" i="2"/>
  <c r="AX126" i="2"/>
  <c r="AW126" i="2"/>
  <c r="AV126" i="2"/>
  <c r="AU126" i="2"/>
  <c r="AT126" i="2"/>
  <c r="AS126" i="2"/>
  <c r="AR126" i="2"/>
  <c r="AQ126" i="2"/>
  <c r="AP126" i="2"/>
  <c r="AN126" i="2"/>
  <c r="AO126" i="2" s="1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FI125" i="2"/>
  <c r="FO125" i="2" s="1"/>
  <c r="FH125" i="2"/>
  <c r="FG125" i="2"/>
  <c r="FF125" i="2"/>
  <c r="FE125" i="2"/>
  <c r="FD125" i="2"/>
  <c r="FC125" i="2"/>
  <c r="FA125" i="2"/>
  <c r="FB125" i="2" s="1"/>
  <c r="EZ125" i="2"/>
  <c r="EY125" i="2"/>
  <c r="EX125" i="2"/>
  <c r="EW125" i="2"/>
  <c r="EV125" i="2"/>
  <c r="EU125" i="2"/>
  <c r="ET125" i="2"/>
  <c r="ES125" i="2"/>
  <c r="ER125" i="2"/>
  <c r="EQ125" i="2"/>
  <c r="EP125" i="2"/>
  <c r="EN125" i="2"/>
  <c r="EO125" i="2" s="1"/>
  <c r="EM125" i="2"/>
  <c r="EL125" i="2"/>
  <c r="EK125" i="2"/>
  <c r="EJ125" i="2"/>
  <c r="EI125" i="2"/>
  <c r="EH125" i="2"/>
  <c r="EG125" i="2"/>
  <c r="EF125" i="2"/>
  <c r="EE125" i="2"/>
  <c r="ED125" i="2"/>
  <c r="EC125" i="2"/>
  <c r="EA125" i="2"/>
  <c r="EB125" i="2" s="1"/>
  <c r="DZ125" i="2"/>
  <c r="DY125" i="2"/>
  <c r="DX125" i="2"/>
  <c r="DW125" i="2"/>
  <c r="DV125" i="2"/>
  <c r="DU125" i="2"/>
  <c r="DT125" i="2"/>
  <c r="DS125" i="2"/>
  <c r="DR125" i="2"/>
  <c r="DQ125" i="2"/>
  <c r="DP125" i="2"/>
  <c r="DO125" i="2"/>
  <c r="DN125" i="2"/>
  <c r="DM125" i="2"/>
  <c r="DL125" i="2"/>
  <c r="DK125" i="2"/>
  <c r="DJ125" i="2"/>
  <c r="DI125" i="2"/>
  <c r="DH125" i="2"/>
  <c r="DG125" i="2"/>
  <c r="DF125" i="2"/>
  <c r="DE125" i="2"/>
  <c r="DD125" i="2"/>
  <c r="DC125" i="2"/>
  <c r="DA125" i="2"/>
  <c r="DB125" i="2" s="1"/>
  <c r="CZ125" i="2"/>
  <c r="CY125" i="2"/>
  <c r="CX125" i="2"/>
  <c r="CW125" i="2"/>
  <c r="CV125" i="2"/>
  <c r="CU125" i="2"/>
  <c r="CT125" i="2"/>
  <c r="CS125" i="2"/>
  <c r="CR125" i="2"/>
  <c r="CQ125" i="2"/>
  <c r="CP125" i="2"/>
  <c r="CN125" i="2"/>
  <c r="CO125" i="2" s="1"/>
  <c r="CM125" i="2"/>
  <c r="CL125" i="2"/>
  <c r="CK125" i="2"/>
  <c r="CJ125" i="2"/>
  <c r="CI125" i="2"/>
  <c r="CH125" i="2"/>
  <c r="CG125" i="2"/>
  <c r="CF125" i="2"/>
  <c r="CE125" i="2"/>
  <c r="CD125" i="2"/>
  <c r="CC125" i="2"/>
  <c r="CA125" i="2"/>
  <c r="CB125" i="2" s="1"/>
  <c r="BZ125" i="2"/>
  <c r="BY125" i="2"/>
  <c r="BX125" i="2"/>
  <c r="BW125" i="2"/>
  <c r="BV125" i="2"/>
  <c r="BU125" i="2"/>
  <c r="BT125" i="2"/>
  <c r="BS125" i="2"/>
  <c r="BR125" i="2"/>
  <c r="BQ125" i="2"/>
  <c r="BP125" i="2"/>
  <c r="BO125" i="2"/>
  <c r="BN125" i="2"/>
  <c r="BM125" i="2"/>
  <c r="BL125" i="2"/>
  <c r="BK125" i="2"/>
  <c r="BJ125" i="2"/>
  <c r="BI125" i="2"/>
  <c r="BH125" i="2"/>
  <c r="BG125" i="2"/>
  <c r="BF125" i="2"/>
  <c r="BE125" i="2"/>
  <c r="BD125" i="2"/>
  <c r="BC125" i="2"/>
  <c r="BA125" i="2"/>
  <c r="BB125" i="2" s="1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A125" i="2"/>
  <c r="AB125" i="2" s="1"/>
  <c r="Z125" i="2"/>
  <c r="Y125" i="2"/>
  <c r="X125" i="2"/>
  <c r="W125" i="2"/>
  <c r="V125" i="2"/>
  <c r="U125" i="2"/>
  <c r="T125" i="2"/>
  <c r="S125" i="2"/>
  <c r="R125" i="2"/>
  <c r="Q125" i="2"/>
  <c r="P125" i="2"/>
  <c r="N125" i="2"/>
  <c r="O125" i="2" s="1"/>
  <c r="M125" i="2"/>
  <c r="L125" i="2"/>
  <c r="K125" i="2"/>
  <c r="J125" i="2"/>
  <c r="I125" i="2"/>
  <c r="H125" i="2"/>
  <c r="G125" i="2"/>
  <c r="F125" i="2"/>
  <c r="E125" i="2"/>
  <c r="D125" i="2"/>
  <c r="C125" i="2"/>
  <c r="FI124" i="2"/>
  <c r="FO124" i="2" s="1"/>
  <c r="FH124" i="2"/>
  <c r="FG124" i="2"/>
  <c r="FF124" i="2"/>
  <c r="FE124" i="2"/>
  <c r="FD124" i="2"/>
  <c r="FC124" i="2"/>
  <c r="FA124" i="2"/>
  <c r="FB124" i="2" s="1"/>
  <c r="EZ124" i="2"/>
  <c r="EY124" i="2"/>
  <c r="EX124" i="2"/>
  <c r="EW124" i="2"/>
  <c r="EV124" i="2"/>
  <c r="EU124" i="2"/>
  <c r="ET124" i="2"/>
  <c r="ES124" i="2"/>
  <c r="ER124" i="2"/>
  <c r="EQ124" i="2"/>
  <c r="EP124" i="2"/>
  <c r="EN124" i="2"/>
  <c r="EO124" i="2" s="1"/>
  <c r="EM124" i="2"/>
  <c r="EL124" i="2"/>
  <c r="EK124" i="2"/>
  <c r="EJ124" i="2"/>
  <c r="EI124" i="2"/>
  <c r="EH124" i="2"/>
  <c r="EG124" i="2"/>
  <c r="EF124" i="2"/>
  <c r="EE124" i="2"/>
  <c r="ED124" i="2"/>
  <c r="EC124" i="2"/>
  <c r="EB124" i="2"/>
  <c r="EA124" i="2"/>
  <c r="DZ124" i="2"/>
  <c r="DY124" i="2"/>
  <c r="DX124" i="2"/>
  <c r="DW124" i="2"/>
  <c r="DV124" i="2"/>
  <c r="DU124" i="2"/>
  <c r="DT124" i="2"/>
  <c r="DS124" i="2"/>
  <c r="DR124" i="2"/>
  <c r="DQ124" i="2"/>
  <c r="DP124" i="2"/>
  <c r="DO124" i="2"/>
  <c r="DN124" i="2"/>
  <c r="DM124" i="2"/>
  <c r="DL124" i="2"/>
  <c r="DK124" i="2"/>
  <c r="DJ124" i="2"/>
  <c r="DI124" i="2"/>
  <c r="DH124" i="2"/>
  <c r="DG124" i="2"/>
  <c r="DF124" i="2"/>
  <c r="DE124" i="2"/>
  <c r="DD124" i="2"/>
  <c r="DC124" i="2"/>
  <c r="DA124" i="2"/>
  <c r="DB124" i="2" s="1"/>
  <c r="CZ124" i="2"/>
  <c r="CY124" i="2"/>
  <c r="CX124" i="2"/>
  <c r="CW124" i="2"/>
  <c r="CV124" i="2"/>
  <c r="CU124" i="2"/>
  <c r="CT124" i="2"/>
  <c r="CS124" i="2"/>
  <c r="CR124" i="2"/>
  <c r="CQ124" i="2"/>
  <c r="CP124" i="2"/>
  <c r="CN124" i="2"/>
  <c r="CO124" i="2" s="1"/>
  <c r="CM124" i="2"/>
  <c r="CL124" i="2"/>
  <c r="CK124" i="2"/>
  <c r="CJ124" i="2"/>
  <c r="CI124" i="2"/>
  <c r="CH124" i="2"/>
  <c r="CG124" i="2"/>
  <c r="CF124" i="2"/>
  <c r="CE124" i="2"/>
  <c r="CD124" i="2"/>
  <c r="CC124" i="2"/>
  <c r="CB124" i="2"/>
  <c r="CA124" i="2"/>
  <c r="BZ124" i="2"/>
  <c r="BY124" i="2"/>
  <c r="BX124" i="2"/>
  <c r="BW124" i="2"/>
  <c r="BV124" i="2"/>
  <c r="BU124" i="2"/>
  <c r="BT124" i="2"/>
  <c r="BS124" i="2"/>
  <c r="BR124" i="2"/>
  <c r="BQ124" i="2"/>
  <c r="BP124" i="2"/>
  <c r="BN124" i="2"/>
  <c r="BO124" i="2" s="1"/>
  <c r="BM124" i="2"/>
  <c r="BL124" i="2"/>
  <c r="BK124" i="2"/>
  <c r="BJ124" i="2"/>
  <c r="BI124" i="2"/>
  <c r="BH124" i="2"/>
  <c r="BG124" i="2"/>
  <c r="BF124" i="2"/>
  <c r="BE124" i="2"/>
  <c r="BD124" i="2"/>
  <c r="BC124" i="2"/>
  <c r="BB124" i="2"/>
  <c r="BA124" i="2"/>
  <c r="AZ124" i="2"/>
  <c r="AY124" i="2"/>
  <c r="AX124" i="2"/>
  <c r="AW124" i="2"/>
  <c r="AV124" i="2"/>
  <c r="AU124" i="2"/>
  <c r="AT124" i="2"/>
  <c r="AS124" i="2"/>
  <c r="AR124" i="2"/>
  <c r="AQ124" i="2"/>
  <c r="AP124" i="2"/>
  <c r="AN124" i="2"/>
  <c r="AO124" i="2" s="1"/>
  <c r="AM124" i="2"/>
  <c r="AL124" i="2"/>
  <c r="AK124" i="2"/>
  <c r="AJ124" i="2"/>
  <c r="AI124" i="2"/>
  <c r="AH124" i="2"/>
  <c r="AG124" i="2"/>
  <c r="AF124" i="2"/>
  <c r="AE124" i="2"/>
  <c r="AD124" i="2"/>
  <c r="AC124" i="2"/>
  <c r="AA124" i="2"/>
  <c r="AB124" i="2" s="1"/>
  <c r="Z124" i="2"/>
  <c r="Y124" i="2"/>
  <c r="X124" i="2"/>
  <c r="W124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FO123" i="2"/>
  <c r="FI123" i="2"/>
  <c r="FH123" i="2"/>
  <c r="FG123" i="2"/>
  <c r="FF123" i="2"/>
  <c r="FE123" i="2"/>
  <c r="FD123" i="2"/>
  <c r="FC123" i="2"/>
  <c r="FB123" i="2"/>
  <c r="FA123" i="2"/>
  <c r="EZ123" i="2"/>
  <c r="EY123" i="2"/>
  <c r="EX123" i="2"/>
  <c r="EW123" i="2"/>
  <c r="EV123" i="2"/>
  <c r="EU123" i="2"/>
  <c r="ET123" i="2"/>
  <c r="ES123" i="2"/>
  <c r="ER123" i="2"/>
  <c r="EQ123" i="2"/>
  <c r="EP123" i="2"/>
  <c r="EN123" i="2"/>
  <c r="EO123" i="2" s="1"/>
  <c r="EM123" i="2"/>
  <c r="EL123" i="2"/>
  <c r="EK123" i="2"/>
  <c r="EJ123" i="2"/>
  <c r="EI123" i="2"/>
  <c r="EH123" i="2"/>
  <c r="EG123" i="2"/>
  <c r="EF123" i="2"/>
  <c r="EE123" i="2"/>
  <c r="ED123" i="2"/>
  <c r="EC123" i="2"/>
  <c r="EA123" i="2"/>
  <c r="EB123" i="2" s="1"/>
  <c r="DZ123" i="2"/>
  <c r="DY123" i="2"/>
  <c r="DX123" i="2"/>
  <c r="DW123" i="2"/>
  <c r="DV123" i="2"/>
  <c r="DU123" i="2"/>
  <c r="DT123" i="2"/>
  <c r="DS123" i="2"/>
  <c r="DR123" i="2"/>
  <c r="DQ123" i="2"/>
  <c r="DP123" i="2"/>
  <c r="DN123" i="2"/>
  <c r="DO123" i="2" s="1"/>
  <c r="DM123" i="2"/>
  <c r="DL123" i="2"/>
  <c r="DK123" i="2"/>
  <c r="DJ123" i="2"/>
  <c r="DI123" i="2"/>
  <c r="DH123" i="2"/>
  <c r="DG123" i="2"/>
  <c r="DF123" i="2"/>
  <c r="DE123" i="2"/>
  <c r="DD123" i="2"/>
  <c r="DC123" i="2"/>
  <c r="DA123" i="2"/>
  <c r="DB123" i="2" s="1"/>
  <c r="CZ123" i="2"/>
  <c r="CY123" i="2"/>
  <c r="CX123" i="2"/>
  <c r="CW123" i="2"/>
  <c r="CV123" i="2"/>
  <c r="CU123" i="2"/>
  <c r="CT123" i="2"/>
  <c r="CS123" i="2"/>
  <c r="CR123" i="2"/>
  <c r="CQ123" i="2"/>
  <c r="CP123" i="2"/>
  <c r="CO123" i="2"/>
  <c r="CN123" i="2"/>
  <c r="CM123" i="2"/>
  <c r="CL123" i="2"/>
  <c r="CK123" i="2"/>
  <c r="CJ123" i="2"/>
  <c r="CI123" i="2"/>
  <c r="CH123" i="2"/>
  <c r="CG123" i="2"/>
  <c r="CF123" i="2"/>
  <c r="CE123" i="2"/>
  <c r="CD123" i="2"/>
  <c r="CC123" i="2"/>
  <c r="CA123" i="2"/>
  <c r="CB123" i="2" s="1"/>
  <c r="BZ123" i="2"/>
  <c r="BY123" i="2"/>
  <c r="BX123" i="2"/>
  <c r="BW123" i="2"/>
  <c r="BV123" i="2"/>
  <c r="BU123" i="2"/>
  <c r="BT123" i="2"/>
  <c r="BS123" i="2"/>
  <c r="BR123" i="2"/>
  <c r="BQ123" i="2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A123" i="2"/>
  <c r="BB123" i="2" s="1"/>
  <c r="AZ123" i="2"/>
  <c r="AY123" i="2"/>
  <c r="AX123" i="2"/>
  <c r="AW123" i="2"/>
  <c r="AV123" i="2"/>
  <c r="AU123" i="2"/>
  <c r="AT123" i="2"/>
  <c r="AS123" i="2"/>
  <c r="AR123" i="2"/>
  <c r="AQ123" i="2"/>
  <c r="AP123" i="2"/>
  <c r="AN123" i="2"/>
  <c r="AO123" i="2" s="1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N123" i="2"/>
  <c r="O123" i="2" s="1"/>
  <c r="M123" i="2"/>
  <c r="L123" i="2"/>
  <c r="K123" i="2"/>
  <c r="J123" i="2"/>
  <c r="I123" i="2"/>
  <c r="H123" i="2"/>
  <c r="G123" i="2"/>
  <c r="F123" i="2"/>
  <c r="E123" i="2"/>
  <c r="D123" i="2"/>
  <c r="C123" i="2"/>
  <c r="FI122" i="2"/>
  <c r="FO122" i="2" s="1"/>
  <c r="FH122" i="2"/>
  <c r="FG122" i="2"/>
  <c r="FF122" i="2"/>
  <c r="FE122" i="2"/>
  <c r="FD122" i="2"/>
  <c r="FC122" i="2"/>
  <c r="FB122" i="2"/>
  <c r="FA122" i="2"/>
  <c r="EZ122" i="2"/>
  <c r="EY122" i="2"/>
  <c r="EX122" i="2"/>
  <c r="EW122" i="2"/>
  <c r="EV122" i="2"/>
  <c r="EU122" i="2"/>
  <c r="ET122" i="2"/>
  <c r="ES122" i="2"/>
  <c r="ER122" i="2"/>
  <c r="EQ122" i="2"/>
  <c r="EP122" i="2"/>
  <c r="EN122" i="2"/>
  <c r="EO122" i="2" s="1"/>
  <c r="EM122" i="2"/>
  <c r="EL122" i="2"/>
  <c r="EK122" i="2"/>
  <c r="EJ122" i="2"/>
  <c r="EI122" i="2"/>
  <c r="EH122" i="2"/>
  <c r="EG122" i="2"/>
  <c r="EF122" i="2"/>
  <c r="EE122" i="2"/>
  <c r="ED122" i="2"/>
  <c r="EC122" i="2"/>
  <c r="EB122" i="2"/>
  <c r="EA122" i="2"/>
  <c r="DZ122" i="2"/>
  <c r="DY122" i="2"/>
  <c r="DX122" i="2"/>
  <c r="DW122" i="2"/>
  <c r="DV122" i="2"/>
  <c r="DU122" i="2"/>
  <c r="DT122" i="2"/>
  <c r="DS122" i="2"/>
  <c r="DR122" i="2"/>
  <c r="DQ122" i="2"/>
  <c r="DP122" i="2"/>
  <c r="DN122" i="2"/>
  <c r="DO122" i="2" s="1"/>
  <c r="DM122" i="2"/>
  <c r="DL122" i="2"/>
  <c r="DK122" i="2"/>
  <c r="DJ122" i="2"/>
  <c r="DI122" i="2"/>
  <c r="DH122" i="2"/>
  <c r="DG122" i="2"/>
  <c r="DF122" i="2"/>
  <c r="DE122" i="2"/>
  <c r="DD122" i="2"/>
  <c r="DC122" i="2"/>
  <c r="DB122" i="2"/>
  <c r="DA122" i="2"/>
  <c r="CZ122" i="2"/>
  <c r="CY122" i="2"/>
  <c r="CX122" i="2"/>
  <c r="CW122" i="2"/>
  <c r="CV122" i="2"/>
  <c r="CU122" i="2"/>
  <c r="CT122" i="2"/>
  <c r="CS122" i="2"/>
  <c r="CR122" i="2"/>
  <c r="CQ122" i="2"/>
  <c r="CP122" i="2"/>
  <c r="CN122" i="2"/>
  <c r="CO122" i="2" s="1"/>
  <c r="CM122" i="2"/>
  <c r="CL122" i="2"/>
  <c r="CK122" i="2"/>
  <c r="CJ122" i="2"/>
  <c r="CI122" i="2"/>
  <c r="CH122" i="2"/>
  <c r="CG122" i="2"/>
  <c r="CF122" i="2"/>
  <c r="CE122" i="2"/>
  <c r="CD122" i="2"/>
  <c r="CC122" i="2"/>
  <c r="CA122" i="2"/>
  <c r="CB122" i="2" s="1"/>
  <c r="BZ122" i="2"/>
  <c r="BY122" i="2"/>
  <c r="BX122" i="2"/>
  <c r="BW122" i="2"/>
  <c r="BV122" i="2"/>
  <c r="BU122" i="2"/>
  <c r="BT122" i="2"/>
  <c r="BS122" i="2"/>
  <c r="BR122" i="2"/>
  <c r="BQ122" i="2"/>
  <c r="BP122" i="2"/>
  <c r="BN122" i="2"/>
  <c r="BO122" i="2" s="1"/>
  <c r="BM122" i="2"/>
  <c r="BL122" i="2"/>
  <c r="BK122" i="2"/>
  <c r="BJ122" i="2"/>
  <c r="BI122" i="2"/>
  <c r="BH122" i="2"/>
  <c r="BG122" i="2"/>
  <c r="BF122" i="2"/>
  <c r="BE122" i="2"/>
  <c r="BD122" i="2"/>
  <c r="BC122" i="2"/>
  <c r="BA122" i="2"/>
  <c r="BB122" i="2" s="1"/>
  <c r="AZ122" i="2"/>
  <c r="AY122" i="2"/>
  <c r="AX122" i="2"/>
  <c r="AW122" i="2"/>
  <c r="AV122" i="2"/>
  <c r="AU122" i="2"/>
  <c r="AT122" i="2"/>
  <c r="AS122" i="2"/>
  <c r="AR122" i="2"/>
  <c r="AQ122" i="2"/>
  <c r="AP122" i="2"/>
  <c r="AN122" i="2"/>
  <c r="AO122" i="2" s="1"/>
  <c r="AM122" i="2"/>
  <c r="AL122" i="2"/>
  <c r="AK122" i="2"/>
  <c r="AJ122" i="2"/>
  <c r="AI122" i="2"/>
  <c r="AH122" i="2"/>
  <c r="AG122" i="2"/>
  <c r="AF122" i="2"/>
  <c r="AF139" i="2" s="1"/>
  <c r="AE122" i="2"/>
  <c r="AD122" i="2"/>
  <c r="AC122" i="2"/>
  <c r="AA122" i="2"/>
  <c r="AB122" i="2" s="1"/>
  <c r="Z122" i="2"/>
  <c r="Y122" i="2"/>
  <c r="X122" i="2"/>
  <c r="W122" i="2"/>
  <c r="V122" i="2"/>
  <c r="U122" i="2"/>
  <c r="T122" i="2"/>
  <c r="T139" i="2" s="1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FI121" i="2"/>
  <c r="FO121" i="2" s="1"/>
  <c r="FH121" i="2"/>
  <c r="FH139" i="2" s="1"/>
  <c r="FG121" i="2"/>
  <c r="FG139" i="2" s="1"/>
  <c r="FF121" i="2"/>
  <c r="FE121" i="2"/>
  <c r="FD121" i="2"/>
  <c r="FC121" i="2"/>
  <c r="FA121" i="2"/>
  <c r="EZ121" i="2"/>
  <c r="EY121" i="2"/>
  <c r="EX121" i="2"/>
  <c r="EW121" i="2"/>
  <c r="EV121" i="2"/>
  <c r="EU121" i="2"/>
  <c r="ET121" i="2"/>
  <c r="ET139" i="2" s="1"/>
  <c r="ES121" i="2"/>
  <c r="ER121" i="2"/>
  <c r="EQ121" i="2"/>
  <c r="EP121" i="2"/>
  <c r="EP139" i="2" s="1"/>
  <c r="EN121" i="2"/>
  <c r="EM121" i="2"/>
  <c r="EL121" i="2"/>
  <c r="EK121" i="2"/>
  <c r="EJ121" i="2"/>
  <c r="EI121" i="2"/>
  <c r="EH121" i="2"/>
  <c r="EG121" i="2"/>
  <c r="EF121" i="2"/>
  <c r="EE121" i="2"/>
  <c r="ED121" i="2"/>
  <c r="EC121" i="2"/>
  <c r="EA121" i="2"/>
  <c r="DZ121" i="2"/>
  <c r="DY121" i="2"/>
  <c r="DX121" i="2"/>
  <c r="DW121" i="2"/>
  <c r="DV121" i="2"/>
  <c r="DV139" i="2" s="1"/>
  <c r="DU121" i="2"/>
  <c r="DT121" i="2"/>
  <c r="DS121" i="2"/>
  <c r="DS139" i="2" s="1"/>
  <c r="DR121" i="2"/>
  <c r="DQ121" i="2"/>
  <c r="DQ139" i="2" s="1"/>
  <c r="DP121" i="2"/>
  <c r="DO121" i="2"/>
  <c r="DN121" i="2"/>
  <c r="DM121" i="2"/>
  <c r="DL121" i="2"/>
  <c r="DK121" i="2"/>
  <c r="DK139" i="2" s="1"/>
  <c r="DJ121" i="2"/>
  <c r="DI121" i="2"/>
  <c r="DH121" i="2"/>
  <c r="DG121" i="2"/>
  <c r="DG139" i="2" s="1"/>
  <c r="DF121" i="2"/>
  <c r="DE121" i="2"/>
  <c r="DE139" i="2" s="1"/>
  <c r="DD121" i="2"/>
  <c r="DC121" i="2"/>
  <c r="DC139" i="2" s="1"/>
  <c r="DA121" i="2"/>
  <c r="DB121" i="2" s="1"/>
  <c r="CZ121" i="2"/>
  <c r="CZ139" i="2" s="1"/>
  <c r="CY121" i="2"/>
  <c r="CX121" i="2"/>
  <c r="CW121" i="2"/>
  <c r="CV121" i="2"/>
  <c r="CU121" i="2"/>
  <c r="CU139" i="2" s="1"/>
  <c r="CT121" i="2"/>
  <c r="CS121" i="2"/>
  <c r="CR121" i="2"/>
  <c r="CQ121" i="2"/>
  <c r="CQ139" i="2" s="1"/>
  <c r="CP121" i="2"/>
  <c r="CN121" i="2"/>
  <c r="CO121" i="2" s="1"/>
  <c r="CM121" i="2"/>
  <c r="CL121" i="2"/>
  <c r="CK121" i="2"/>
  <c r="CJ121" i="2"/>
  <c r="CI121" i="2"/>
  <c r="CH121" i="2"/>
  <c r="CG121" i="2"/>
  <c r="CG139" i="2" s="1"/>
  <c r="CF121" i="2"/>
  <c r="CE121" i="2"/>
  <c r="CE139" i="2" s="1"/>
  <c r="CD121" i="2"/>
  <c r="CC121" i="2"/>
  <c r="CB121" i="2"/>
  <c r="CA121" i="2"/>
  <c r="BZ121" i="2"/>
  <c r="BY121" i="2"/>
  <c r="BX121" i="2"/>
  <c r="BW121" i="2"/>
  <c r="BV121" i="2"/>
  <c r="BU121" i="2"/>
  <c r="BU139" i="2" s="1"/>
  <c r="BT121" i="2"/>
  <c r="BT139" i="2" s="1"/>
  <c r="BS121" i="2"/>
  <c r="BS139" i="2" s="1"/>
  <c r="BR121" i="2"/>
  <c r="BQ121" i="2"/>
  <c r="BP121" i="2"/>
  <c r="BN121" i="2"/>
  <c r="BM121" i="2"/>
  <c r="BL121" i="2"/>
  <c r="BK121" i="2"/>
  <c r="BJ121" i="2"/>
  <c r="BI121" i="2"/>
  <c r="BI139" i="2" s="1"/>
  <c r="BH121" i="2"/>
  <c r="BG121" i="2"/>
  <c r="BF121" i="2"/>
  <c r="BE121" i="2"/>
  <c r="BD121" i="2"/>
  <c r="BC121" i="2"/>
  <c r="BC139" i="2" s="1"/>
  <c r="BA121" i="2"/>
  <c r="BB121" i="2" s="1"/>
  <c r="BB139" i="2" s="1"/>
  <c r="AZ121" i="2"/>
  <c r="AY121" i="2"/>
  <c r="AX121" i="2"/>
  <c r="AX139" i="2" s="1"/>
  <c r="AW121" i="2"/>
  <c r="AW139" i="2" s="1"/>
  <c r="AV121" i="2"/>
  <c r="AU121" i="2"/>
  <c r="AU139" i="2" s="1"/>
  <c r="AT121" i="2"/>
  <c r="AS121" i="2"/>
  <c r="AR121" i="2"/>
  <c r="AQ121" i="2"/>
  <c r="AP121" i="2"/>
  <c r="AN121" i="2"/>
  <c r="AM121" i="2"/>
  <c r="AL121" i="2"/>
  <c r="AK121" i="2"/>
  <c r="AK139" i="2" s="1"/>
  <c r="AJ121" i="2"/>
  <c r="AI121" i="2"/>
  <c r="AH121" i="2"/>
  <c r="AG121" i="2"/>
  <c r="AF121" i="2"/>
  <c r="AE121" i="2"/>
  <c r="AD121" i="2"/>
  <c r="AD139" i="2" s="1"/>
  <c r="AC121" i="2"/>
  <c r="AB121" i="2"/>
  <c r="AA121" i="2"/>
  <c r="Z121" i="2"/>
  <c r="Y121" i="2"/>
  <c r="Y139" i="2" s="1"/>
  <c r="X121" i="2"/>
  <c r="W121" i="2"/>
  <c r="V121" i="2"/>
  <c r="U121" i="2"/>
  <c r="T121" i="2"/>
  <c r="S121" i="2"/>
  <c r="R121" i="2"/>
  <c r="R139" i="2" s="1"/>
  <c r="Q121" i="2"/>
  <c r="P121" i="2"/>
  <c r="N121" i="2"/>
  <c r="M121" i="2"/>
  <c r="L121" i="2"/>
  <c r="K121" i="2"/>
  <c r="J121" i="2"/>
  <c r="I121" i="2"/>
  <c r="H121" i="2"/>
  <c r="G121" i="2"/>
  <c r="F121" i="2"/>
  <c r="F139" i="2" s="1"/>
  <c r="E121" i="2"/>
  <c r="D121" i="2"/>
  <c r="C121" i="2"/>
  <c r="FN117" i="2"/>
  <c r="FM117" i="2"/>
  <c r="FL117" i="2"/>
  <c r="FK117" i="2"/>
  <c r="FJ117" i="2"/>
  <c r="FI116" i="2"/>
  <c r="FO116" i="2" s="1"/>
  <c r="FH116" i="2"/>
  <c r="FG116" i="2"/>
  <c r="FF116" i="2"/>
  <c r="FE116" i="2"/>
  <c r="FD116" i="2"/>
  <c r="FC116" i="2"/>
  <c r="FA116" i="2"/>
  <c r="FB116" i="2" s="1"/>
  <c r="EZ116" i="2"/>
  <c r="EY116" i="2"/>
  <c r="EX116" i="2"/>
  <c r="EW116" i="2"/>
  <c r="EV116" i="2"/>
  <c r="EU116" i="2"/>
  <c r="ET116" i="2"/>
  <c r="ES116" i="2"/>
  <c r="ER116" i="2"/>
  <c r="EQ116" i="2"/>
  <c r="EP116" i="2"/>
  <c r="EN116" i="2"/>
  <c r="EO116" i="2" s="1"/>
  <c r="EM116" i="2"/>
  <c r="EL116" i="2"/>
  <c r="EK116" i="2"/>
  <c r="EJ116" i="2"/>
  <c r="EI116" i="2"/>
  <c r="EH116" i="2"/>
  <c r="EG116" i="2"/>
  <c r="EF116" i="2"/>
  <c r="EE116" i="2"/>
  <c r="ED116" i="2"/>
  <c r="EC116" i="2"/>
  <c r="EA116" i="2"/>
  <c r="EB116" i="2" s="1"/>
  <c r="DZ116" i="2"/>
  <c r="DY116" i="2"/>
  <c r="DX116" i="2"/>
  <c r="DW116" i="2"/>
  <c r="DV116" i="2"/>
  <c r="DU116" i="2"/>
  <c r="DT116" i="2"/>
  <c r="DS116" i="2"/>
  <c r="DR116" i="2"/>
  <c r="DQ116" i="2"/>
  <c r="DP116" i="2"/>
  <c r="DN116" i="2"/>
  <c r="DO116" i="2" s="1"/>
  <c r="DM116" i="2"/>
  <c r="DL116" i="2"/>
  <c r="DK116" i="2"/>
  <c r="DJ116" i="2"/>
  <c r="DI116" i="2"/>
  <c r="DH116" i="2"/>
  <c r="DG116" i="2"/>
  <c r="DF116" i="2"/>
  <c r="DE116" i="2"/>
  <c r="DD116" i="2"/>
  <c r="DC116" i="2"/>
  <c r="DB116" i="2"/>
  <c r="DA116" i="2"/>
  <c r="CZ116" i="2"/>
  <c r="CY116" i="2"/>
  <c r="CX116" i="2"/>
  <c r="CW116" i="2"/>
  <c r="CV116" i="2"/>
  <c r="CU116" i="2"/>
  <c r="CT116" i="2"/>
  <c r="CS116" i="2"/>
  <c r="CR116" i="2"/>
  <c r="CQ116" i="2"/>
  <c r="CP116" i="2"/>
  <c r="CN116" i="2"/>
  <c r="CO116" i="2" s="1"/>
  <c r="CM116" i="2"/>
  <c r="CL116" i="2"/>
  <c r="CK116" i="2"/>
  <c r="CJ116" i="2"/>
  <c r="CI116" i="2"/>
  <c r="CH116" i="2"/>
  <c r="CG116" i="2"/>
  <c r="CF116" i="2"/>
  <c r="CE116" i="2"/>
  <c r="CD116" i="2"/>
  <c r="CC116" i="2"/>
  <c r="CB116" i="2"/>
  <c r="CA116" i="2"/>
  <c r="BZ116" i="2"/>
  <c r="BY116" i="2"/>
  <c r="BX116" i="2"/>
  <c r="BW116" i="2"/>
  <c r="BV116" i="2"/>
  <c r="BU116" i="2"/>
  <c r="BT116" i="2"/>
  <c r="BS116" i="2"/>
  <c r="BR116" i="2"/>
  <c r="BQ116" i="2"/>
  <c r="BP116" i="2"/>
  <c r="BN116" i="2"/>
  <c r="BO116" i="2" s="1"/>
  <c r="BM116" i="2"/>
  <c r="BL116" i="2"/>
  <c r="BK116" i="2"/>
  <c r="BJ116" i="2"/>
  <c r="BI116" i="2"/>
  <c r="BH116" i="2"/>
  <c r="BG116" i="2"/>
  <c r="BF116" i="2"/>
  <c r="BE116" i="2"/>
  <c r="BD116" i="2"/>
  <c r="BC116" i="2"/>
  <c r="BA116" i="2"/>
  <c r="BB116" i="2" s="1"/>
  <c r="AZ116" i="2"/>
  <c r="AY116" i="2"/>
  <c r="AX116" i="2"/>
  <c r="AW116" i="2"/>
  <c r="AV116" i="2"/>
  <c r="AU116" i="2"/>
  <c r="AT116" i="2"/>
  <c r="AS116" i="2"/>
  <c r="AR116" i="2"/>
  <c r="AQ116" i="2"/>
  <c r="AP116" i="2"/>
  <c r="AO116" i="2"/>
  <c r="AN116" i="2"/>
  <c r="AM116" i="2"/>
  <c r="AL116" i="2"/>
  <c r="AK116" i="2"/>
  <c r="AJ116" i="2"/>
  <c r="AI116" i="2"/>
  <c r="AH116" i="2"/>
  <c r="AG116" i="2"/>
  <c r="AF116" i="2"/>
  <c r="AE116" i="2"/>
  <c r="AD116" i="2"/>
  <c r="AC116" i="2"/>
  <c r="AA116" i="2"/>
  <c r="AB116" i="2" s="1"/>
  <c r="Z116" i="2"/>
  <c r="Y116" i="2"/>
  <c r="X116" i="2"/>
  <c r="W116" i="2"/>
  <c r="V116" i="2"/>
  <c r="U116" i="2"/>
  <c r="T116" i="2"/>
  <c r="S116" i="2"/>
  <c r="R116" i="2"/>
  <c r="Q116" i="2"/>
  <c r="P116" i="2"/>
  <c r="N116" i="2"/>
  <c r="O116" i="2" s="1"/>
  <c r="M116" i="2"/>
  <c r="L116" i="2"/>
  <c r="K116" i="2"/>
  <c r="J116" i="2"/>
  <c r="I116" i="2"/>
  <c r="H116" i="2"/>
  <c r="G116" i="2"/>
  <c r="F116" i="2"/>
  <c r="E116" i="2"/>
  <c r="D116" i="2"/>
  <c r="C116" i="2"/>
  <c r="FI115" i="2"/>
  <c r="FO115" i="2" s="1"/>
  <c r="FH115" i="2"/>
  <c r="FG115" i="2"/>
  <c r="FF115" i="2"/>
  <c r="FE115" i="2"/>
  <c r="FD115" i="2"/>
  <c r="FC115" i="2"/>
  <c r="FB115" i="2"/>
  <c r="FA115" i="2"/>
  <c r="EZ115" i="2"/>
  <c r="EY115" i="2"/>
  <c r="EX115" i="2"/>
  <c r="EW115" i="2"/>
  <c r="EV115" i="2"/>
  <c r="EU115" i="2"/>
  <c r="ET115" i="2"/>
  <c r="ES115" i="2"/>
  <c r="ER115" i="2"/>
  <c r="EQ115" i="2"/>
  <c r="EP115" i="2"/>
  <c r="EN115" i="2"/>
  <c r="EO115" i="2" s="1"/>
  <c r="EM115" i="2"/>
  <c r="EL115" i="2"/>
  <c r="EK115" i="2"/>
  <c r="EJ115" i="2"/>
  <c r="EI115" i="2"/>
  <c r="EH115" i="2"/>
  <c r="EG115" i="2"/>
  <c r="EF115" i="2"/>
  <c r="EE115" i="2"/>
  <c r="ED115" i="2"/>
  <c r="EC115" i="2"/>
  <c r="EA115" i="2"/>
  <c r="EB115" i="2" s="1"/>
  <c r="DZ115" i="2"/>
  <c r="DY115" i="2"/>
  <c r="DX115" i="2"/>
  <c r="DW115" i="2"/>
  <c r="DV115" i="2"/>
  <c r="DU115" i="2"/>
  <c r="DT115" i="2"/>
  <c r="DS115" i="2"/>
  <c r="DR115" i="2"/>
  <c r="DQ115" i="2"/>
  <c r="DP115" i="2"/>
  <c r="DN115" i="2"/>
  <c r="DO115" i="2" s="1"/>
  <c r="DM115" i="2"/>
  <c r="DL115" i="2"/>
  <c r="DK115" i="2"/>
  <c r="DJ115" i="2"/>
  <c r="DI115" i="2"/>
  <c r="DH115" i="2"/>
  <c r="DG115" i="2"/>
  <c r="DF115" i="2"/>
  <c r="DE115" i="2"/>
  <c r="DD115" i="2"/>
  <c r="DC115" i="2"/>
  <c r="DA115" i="2"/>
  <c r="DB115" i="2" s="1"/>
  <c r="CZ115" i="2"/>
  <c r="CY115" i="2"/>
  <c r="CX115" i="2"/>
  <c r="CW115" i="2"/>
  <c r="CV115" i="2"/>
  <c r="CU115" i="2"/>
  <c r="CT115" i="2"/>
  <c r="CS115" i="2"/>
  <c r="CR115" i="2"/>
  <c r="CQ115" i="2"/>
  <c r="CP115" i="2"/>
  <c r="CO115" i="2"/>
  <c r="CN115" i="2"/>
  <c r="CM115" i="2"/>
  <c r="CL115" i="2"/>
  <c r="CK115" i="2"/>
  <c r="CJ115" i="2"/>
  <c r="CI115" i="2"/>
  <c r="CH115" i="2"/>
  <c r="CG115" i="2"/>
  <c r="CF115" i="2"/>
  <c r="CE115" i="2"/>
  <c r="CD115" i="2"/>
  <c r="CC115" i="2"/>
  <c r="CA115" i="2"/>
  <c r="CB115" i="2" s="1"/>
  <c r="BZ115" i="2"/>
  <c r="BY115" i="2"/>
  <c r="BX115" i="2"/>
  <c r="BW115" i="2"/>
  <c r="BV115" i="2"/>
  <c r="BU115" i="2"/>
  <c r="BT115" i="2"/>
  <c r="BS115" i="2"/>
  <c r="BR115" i="2"/>
  <c r="BQ115" i="2"/>
  <c r="BP115" i="2"/>
  <c r="BN115" i="2"/>
  <c r="BO115" i="2" s="1"/>
  <c r="BM115" i="2"/>
  <c r="BL115" i="2"/>
  <c r="BK115" i="2"/>
  <c r="BJ115" i="2"/>
  <c r="BI115" i="2"/>
  <c r="BH115" i="2"/>
  <c r="BG115" i="2"/>
  <c r="BF115" i="2"/>
  <c r="BE115" i="2"/>
  <c r="BD115" i="2"/>
  <c r="BC115" i="2"/>
  <c r="BA115" i="2"/>
  <c r="BB115" i="2" s="1"/>
  <c r="AZ115" i="2"/>
  <c r="AY115" i="2"/>
  <c r="AX115" i="2"/>
  <c r="AW115" i="2"/>
  <c r="AV115" i="2"/>
  <c r="AU115" i="2"/>
  <c r="AT115" i="2"/>
  <c r="AS115" i="2"/>
  <c r="AR115" i="2"/>
  <c r="AQ115" i="2"/>
  <c r="AP115" i="2"/>
  <c r="AN115" i="2"/>
  <c r="AO115" i="2" s="1"/>
  <c r="AM115" i="2"/>
  <c r="AL115" i="2"/>
  <c r="AK115" i="2"/>
  <c r="AJ115" i="2"/>
  <c r="AI115" i="2"/>
  <c r="AH115" i="2"/>
  <c r="AG115" i="2"/>
  <c r="AF115" i="2"/>
  <c r="AE115" i="2"/>
  <c r="AD115" i="2"/>
  <c r="AC115" i="2"/>
  <c r="AA115" i="2"/>
  <c r="AB115" i="2" s="1"/>
  <c r="Z115" i="2"/>
  <c r="Y115" i="2"/>
  <c r="X115" i="2"/>
  <c r="W115" i="2"/>
  <c r="V115" i="2"/>
  <c r="U115" i="2"/>
  <c r="T115" i="2"/>
  <c r="S115" i="2"/>
  <c r="R115" i="2"/>
  <c r="Q115" i="2"/>
  <c r="P115" i="2"/>
  <c r="N115" i="2"/>
  <c r="O115" i="2" s="1"/>
  <c r="M115" i="2"/>
  <c r="L115" i="2"/>
  <c r="K115" i="2"/>
  <c r="J115" i="2"/>
  <c r="I115" i="2"/>
  <c r="H115" i="2"/>
  <c r="G115" i="2"/>
  <c r="F115" i="2"/>
  <c r="E115" i="2"/>
  <c r="D115" i="2"/>
  <c r="C115" i="2"/>
  <c r="FO114" i="2"/>
  <c r="FI114" i="2"/>
  <c r="FH114" i="2"/>
  <c r="FG114" i="2"/>
  <c r="FF114" i="2"/>
  <c r="FE114" i="2"/>
  <c r="FD114" i="2"/>
  <c r="FC114" i="2"/>
  <c r="FA114" i="2"/>
  <c r="FB114" i="2" s="1"/>
  <c r="EZ114" i="2"/>
  <c r="EY114" i="2"/>
  <c r="EX114" i="2"/>
  <c r="EW114" i="2"/>
  <c r="EV114" i="2"/>
  <c r="EU114" i="2"/>
  <c r="ET114" i="2"/>
  <c r="ES114" i="2"/>
  <c r="ER114" i="2"/>
  <c r="EQ114" i="2"/>
  <c r="EP114" i="2"/>
  <c r="EN114" i="2"/>
  <c r="EO114" i="2" s="1"/>
  <c r="EM114" i="2"/>
  <c r="EL114" i="2"/>
  <c r="EK114" i="2"/>
  <c r="EJ114" i="2"/>
  <c r="EI114" i="2"/>
  <c r="EH114" i="2"/>
  <c r="EG114" i="2"/>
  <c r="EF114" i="2"/>
  <c r="EE114" i="2"/>
  <c r="ED114" i="2"/>
  <c r="EC114" i="2"/>
  <c r="EA114" i="2"/>
  <c r="EB114" i="2" s="1"/>
  <c r="DZ114" i="2"/>
  <c r="DY114" i="2"/>
  <c r="DX114" i="2"/>
  <c r="DW114" i="2"/>
  <c r="DV114" i="2"/>
  <c r="DU114" i="2"/>
  <c r="DT114" i="2"/>
  <c r="DS114" i="2"/>
  <c r="DR114" i="2"/>
  <c r="DQ114" i="2"/>
  <c r="DP114" i="2"/>
  <c r="DN114" i="2"/>
  <c r="DO114" i="2" s="1"/>
  <c r="DM114" i="2"/>
  <c r="DL114" i="2"/>
  <c r="DK114" i="2"/>
  <c r="DJ114" i="2"/>
  <c r="DI114" i="2"/>
  <c r="DH114" i="2"/>
  <c r="DG114" i="2"/>
  <c r="DF114" i="2"/>
  <c r="DE114" i="2"/>
  <c r="DD114" i="2"/>
  <c r="DC114" i="2"/>
  <c r="DB114" i="2"/>
  <c r="DA114" i="2"/>
  <c r="CZ114" i="2"/>
  <c r="CY114" i="2"/>
  <c r="CX114" i="2"/>
  <c r="CW114" i="2"/>
  <c r="CV114" i="2"/>
  <c r="CU114" i="2"/>
  <c r="CT114" i="2"/>
  <c r="CS114" i="2"/>
  <c r="CR114" i="2"/>
  <c r="CQ114" i="2"/>
  <c r="CP114" i="2"/>
  <c r="CN114" i="2"/>
  <c r="CO114" i="2" s="1"/>
  <c r="CM114" i="2"/>
  <c r="CL114" i="2"/>
  <c r="CK114" i="2"/>
  <c r="CJ114" i="2"/>
  <c r="CI114" i="2"/>
  <c r="CH114" i="2"/>
  <c r="CG114" i="2"/>
  <c r="CF114" i="2"/>
  <c r="CE114" i="2"/>
  <c r="CD114" i="2"/>
  <c r="CC114" i="2"/>
  <c r="CA114" i="2"/>
  <c r="CB114" i="2" s="1"/>
  <c r="BZ114" i="2"/>
  <c r="BY114" i="2"/>
  <c r="BX114" i="2"/>
  <c r="BW114" i="2"/>
  <c r="BV114" i="2"/>
  <c r="BU114" i="2"/>
  <c r="BT114" i="2"/>
  <c r="BS114" i="2"/>
  <c r="BR114" i="2"/>
  <c r="BQ114" i="2"/>
  <c r="BP114" i="2"/>
  <c r="BO114" i="2"/>
  <c r="BN114" i="2"/>
  <c r="BM114" i="2"/>
  <c r="BL114" i="2"/>
  <c r="BK114" i="2"/>
  <c r="BJ114" i="2"/>
  <c r="BI114" i="2"/>
  <c r="BH114" i="2"/>
  <c r="BG114" i="2"/>
  <c r="BF114" i="2"/>
  <c r="BE114" i="2"/>
  <c r="BD114" i="2"/>
  <c r="BC114" i="2"/>
  <c r="BB114" i="2"/>
  <c r="BA114" i="2"/>
  <c r="AZ114" i="2"/>
  <c r="AY114" i="2"/>
  <c r="AX114" i="2"/>
  <c r="AW114" i="2"/>
  <c r="AV114" i="2"/>
  <c r="AU114" i="2"/>
  <c r="AT114" i="2"/>
  <c r="AS114" i="2"/>
  <c r="AR114" i="2"/>
  <c r="AQ114" i="2"/>
  <c r="AP114" i="2"/>
  <c r="AN114" i="2"/>
  <c r="AO114" i="2" s="1"/>
  <c r="AM114" i="2"/>
  <c r="AL114" i="2"/>
  <c r="AK114" i="2"/>
  <c r="AJ114" i="2"/>
  <c r="AI114" i="2"/>
  <c r="AH114" i="2"/>
  <c r="AG114" i="2"/>
  <c r="AF114" i="2"/>
  <c r="AE114" i="2"/>
  <c r="AD114" i="2"/>
  <c r="AC114" i="2"/>
  <c r="AA114" i="2"/>
  <c r="AB114" i="2" s="1"/>
  <c r="Z114" i="2"/>
  <c r="Y114" i="2"/>
  <c r="X114" i="2"/>
  <c r="W114" i="2"/>
  <c r="V114" i="2"/>
  <c r="U114" i="2"/>
  <c r="T114" i="2"/>
  <c r="S114" i="2"/>
  <c r="R114" i="2"/>
  <c r="Q114" i="2"/>
  <c r="P114" i="2"/>
  <c r="N114" i="2"/>
  <c r="O114" i="2" s="1"/>
  <c r="M114" i="2"/>
  <c r="L114" i="2"/>
  <c r="K114" i="2"/>
  <c r="J114" i="2"/>
  <c r="I114" i="2"/>
  <c r="H114" i="2"/>
  <c r="G114" i="2"/>
  <c r="F114" i="2"/>
  <c r="E114" i="2"/>
  <c r="D114" i="2"/>
  <c r="C114" i="2"/>
  <c r="FI113" i="2"/>
  <c r="FO113" i="2" s="1"/>
  <c r="FH113" i="2"/>
  <c r="FG113" i="2"/>
  <c r="FF113" i="2"/>
  <c r="FE113" i="2"/>
  <c r="FD113" i="2"/>
  <c r="FC113" i="2"/>
  <c r="FA113" i="2"/>
  <c r="FB113" i="2" s="1"/>
  <c r="EZ113" i="2"/>
  <c r="EY113" i="2"/>
  <c r="EX113" i="2"/>
  <c r="EW113" i="2"/>
  <c r="EV113" i="2"/>
  <c r="EU113" i="2"/>
  <c r="ET113" i="2"/>
  <c r="ES113" i="2"/>
  <c r="ER113" i="2"/>
  <c r="EQ113" i="2"/>
  <c r="EP113" i="2"/>
  <c r="EO113" i="2"/>
  <c r="EN113" i="2"/>
  <c r="EM113" i="2"/>
  <c r="EL113" i="2"/>
  <c r="EK113" i="2"/>
  <c r="EJ113" i="2"/>
  <c r="EI113" i="2"/>
  <c r="EH113" i="2"/>
  <c r="EG113" i="2"/>
  <c r="EF113" i="2"/>
  <c r="EE113" i="2"/>
  <c r="ED113" i="2"/>
  <c r="EC113" i="2"/>
  <c r="EA113" i="2"/>
  <c r="EB113" i="2" s="1"/>
  <c r="DZ113" i="2"/>
  <c r="DY113" i="2"/>
  <c r="DX113" i="2"/>
  <c r="DW113" i="2"/>
  <c r="DV113" i="2"/>
  <c r="DU113" i="2"/>
  <c r="DT113" i="2"/>
  <c r="DS113" i="2"/>
  <c r="DR113" i="2"/>
  <c r="DQ113" i="2"/>
  <c r="DP113" i="2"/>
  <c r="DN113" i="2"/>
  <c r="DO113" i="2" s="1"/>
  <c r="DM113" i="2"/>
  <c r="DL113" i="2"/>
  <c r="DK113" i="2"/>
  <c r="DJ113" i="2"/>
  <c r="DI113" i="2"/>
  <c r="DH113" i="2"/>
  <c r="DG113" i="2"/>
  <c r="DF113" i="2"/>
  <c r="DE113" i="2"/>
  <c r="DD113" i="2"/>
  <c r="DC113" i="2"/>
  <c r="DA113" i="2"/>
  <c r="DB113" i="2" s="1"/>
  <c r="CZ113" i="2"/>
  <c r="CY113" i="2"/>
  <c r="CX113" i="2"/>
  <c r="CW113" i="2"/>
  <c r="CV113" i="2"/>
  <c r="CU113" i="2"/>
  <c r="CT113" i="2"/>
  <c r="CS113" i="2"/>
  <c r="CR113" i="2"/>
  <c r="CQ113" i="2"/>
  <c r="CP113" i="2"/>
  <c r="CO113" i="2"/>
  <c r="CN113" i="2"/>
  <c r="CM113" i="2"/>
  <c r="CL113" i="2"/>
  <c r="CK113" i="2"/>
  <c r="CJ113" i="2"/>
  <c r="CI113" i="2"/>
  <c r="CH113" i="2"/>
  <c r="CG113" i="2"/>
  <c r="CF113" i="2"/>
  <c r="CE113" i="2"/>
  <c r="CD113" i="2"/>
  <c r="CC113" i="2"/>
  <c r="CB113" i="2"/>
  <c r="CA113" i="2"/>
  <c r="BZ113" i="2"/>
  <c r="BY113" i="2"/>
  <c r="BX113" i="2"/>
  <c r="BW113" i="2"/>
  <c r="BV113" i="2"/>
  <c r="BU113" i="2"/>
  <c r="BT113" i="2"/>
  <c r="BS113" i="2"/>
  <c r="BR113" i="2"/>
  <c r="BQ113" i="2"/>
  <c r="BP113" i="2"/>
  <c r="BN113" i="2"/>
  <c r="BO113" i="2" s="1"/>
  <c r="BM113" i="2"/>
  <c r="BL113" i="2"/>
  <c r="BK113" i="2"/>
  <c r="BJ113" i="2"/>
  <c r="BI113" i="2"/>
  <c r="BH113" i="2"/>
  <c r="BG113" i="2"/>
  <c r="BF113" i="2"/>
  <c r="BE113" i="2"/>
  <c r="BD113" i="2"/>
  <c r="BC113" i="2"/>
  <c r="BA113" i="2"/>
  <c r="BB113" i="2" s="1"/>
  <c r="AZ113" i="2"/>
  <c r="AY113" i="2"/>
  <c r="AX113" i="2"/>
  <c r="AW113" i="2"/>
  <c r="AV113" i="2"/>
  <c r="AU113" i="2"/>
  <c r="AT113" i="2"/>
  <c r="AS113" i="2"/>
  <c r="AR113" i="2"/>
  <c r="AQ113" i="2"/>
  <c r="AP113" i="2"/>
  <c r="AN113" i="2"/>
  <c r="AO113" i="2" s="1"/>
  <c r="AM113" i="2"/>
  <c r="AL113" i="2"/>
  <c r="AK113" i="2"/>
  <c r="AJ113" i="2"/>
  <c r="AI113" i="2"/>
  <c r="AH113" i="2"/>
  <c r="AG113" i="2"/>
  <c r="AF113" i="2"/>
  <c r="AE113" i="2"/>
  <c r="AD113" i="2"/>
  <c r="AC113" i="2"/>
  <c r="AA113" i="2"/>
  <c r="AB113" i="2" s="1"/>
  <c r="Z113" i="2"/>
  <c r="Y113" i="2"/>
  <c r="X113" i="2"/>
  <c r="W113" i="2"/>
  <c r="V113" i="2"/>
  <c r="U113" i="2"/>
  <c r="T113" i="2"/>
  <c r="S113" i="2"/>
  <c r="R113" i="2"/>
  <c r="Q113" i="2"/>
  <c r="P113" i="2"/>
  <c r="N113" i="2"/>
  <c r="O113" i="2" s="1"/>
  <c r="M113" i="2"/>
  <c r="L113" i="2"/>
  <c r="K113" i="2"/>
  <c r="J113" i="2"/>
  <c r="I113" i="2"/>
  <c r="H113" i="2"/>
  <c r="G113" i="2"/>
  <c r="F113" i="2"/>
  <c r="E113" i="2"/>
  <c r="D113" i="2"/>
  <c r="C113" i="2"/>
  <c r="FI112" i="2"/>
  <c r="FO112" i="2" s="1"/>
  <c r="FH112" i="2"/>
  <c r="FG112" i="2"/>
  <c r="FF112" i="2"/>
  <c r="FE112" i="2"/>
  <c r="FD112" i="2"/>
  <c r="FC112" i="2"/>
  <c r="FB112" i="2"/>
  <c r="FA112" i="2"/>
  <c r="EZ112" i="2"/>
  <c r="EY112" i="2"/>
  <c r="EX112" i="2"/>
  <c r="EW112" i="2"/>
  <c r="EV112" i="2"/>
  <c r="EU112" i="2"/>
  <c r="ET112" i="2"/>
  <c r="ES112" i="2"/>
  <c r="ER112" i="2"/>
  <c r="EQ112" i="2"/>
  <c r="EP112" i="2"/>
  <c r="EN112" i="2"/>
  <c r="EO112" i="2" s="1"/>
  <c r="EM112" i="2"/>
  <c r="EL112" i="2"/>
  <c r="EK112" i="2"/>
  <c r="EJ112" i="2"/>
  <c r="EI112" i="2"/>
  <c r="EH112" i="2"/>
  <c r="EG112" i="2"/>
  <c r="EF112" i="2"/>
  <c r="EE112" i="2"/>
  <c r="ED112" i="2"/>
  <c r="EC112" i="2"/>
  <c r="EA112" i="2"/>
  <c r="EB112" i="2" s="1"/>
  <c r="DZ112" i="2"/>
  <c r="DY112" i="2"/>
  <c r="DX112" i="2"/>
  <c r="DW112" i="2"/>
  <c r="DV112" i="2"/>
  <c r="DU112" i="2"/>
  <c r="DT112" i="2"/>
  <c r="DS112" i="2"/>
  <c r="DR112" i="2"/>
  <c r="DQ112" i="2"/>
  <c r="DP112" i="2"/>
  <c r="DN112" i="2"/>
  <c r="DO112" i="2" s="1"/>
  <c r="DM112" i="2"/>
  <c r="DL112" i="2"/>
  <c r="DK112" i="2"/>
  <c r="DJ112" i="2"/>
  <c r="DI112" i="2"/>
  <c r="DH112" i="2"/>
  <c r="DG112" i="2"/>
  <c r="DF112" i="2"/>
  <c r="DE112" i="2"/>
  <c r="DD112" i="2"/>
  <c r="DC112" i="2"/>
  <c r="DA112" i="2"/>
  <c r="DB112" i="2" s="1"/>
  <c r="CZ112" i="2"/>
  <c r="CY112" i="2"/>
  <c r="CX112" i="2"/>
  <c r="CW112" i="2"/>
  <c r="CV112" i="2"/>
  <c r="CU112" i="2"/>
  <c r="CT112" i="2"/>
  <c r="CS112" i="2"/>
  <c r="CR112" i="2"/>
  <c r="CQ112" i="2"/>
  <c r="CP112" i="2"/>
  <c r="CN112" i="2"/>
  <c r="CO112" i="2" s="1"/>
  <c r="CM112" i="2"/>
  <c r="CL112" i="2"/>
  <c r="CK112" i="2"/>
  <c r="CJ112" i="2"/>
  <c r="CI112" i="2"/>
  <c r="CH112" i="2"/>
  <c r="CG112" i="2"/>
  <c r="CF112" i="2"/>
  <c r="CE112" i="2"/>
  <c r="CD112" i="2"/>
  <c r="CC112" i="2"/>
  <c r="CA112" i="2"/>
  <c r="CB112" i="2" s="1"/>
  <c r="BZ112" i="2"/>
  <c r="BY112" i="2"/>
  <c r="BX112" i="2"/>
  <c r="BW112" i="2"/>
  <c r="BV112" i="2"/>
  <c r="BU112" i="2"/>
  <c r="BT112" i="2"/>
  <c r="BS112" i="2"/>
  <c r="BR112" i="2"/>
  <c r="BQ112" i="2"/>
  <c r="BP112" i="2"/>
  <c r="BN112" i="2"/>
  <c r="BO112" i="2" s="1"/>
  <c r="BM112" i="2"/>
  <c r="BL112" i="2"/>
  <c r="BK112" i="2"/>
  <c r="BJ112" i="2"/>
  <c r="BI112" i="2"/>
  <c r="BH112" i="2"/>
  <c r="BG112" i="2"/>
  <c r="BF112" i="2"/>
  <c r="BE112" i="2"/>
  <c r="BD112" i="2"/>
  <c r="BC112" i="2"/>
  <c r="BA112" i="2"/>
  <c r="BB112" i="2" s="1"/>
  <c r="AZ112" i="2"/>
  <c r="AY112" i="2"/>
  <c r="AX112" i="2"/>
  <c r="AW112" i="2"/>
  <c r="AV112" i="2"/>
  <c r="AU112" i="2"/>
  <c r="AT112" i="2"/>
  <c r="AS112" i="2"/>
  <c r="AR112" i="2"/>
  <c r="AQ112" i="2"/>
  <c r="AP112" i="2"/>
  <c r="AN112" i="2"/>
  <c r="AO112" i="2" s="1"/>
  <c r="AM112" i="2"/>
  <c r="AL112" i="2"/>
  <c r="AK112" i="2"/>
  <c r="AJ112" i="2"/>
  <c r="AI112" i="2"/>
  <c r="AH112" i="2"/>
  <c r="AG112" i="2"/>
  <c r="AF112" i="2"/>
  <c r="AE112" i="2"/>
  <c r="AD112" i="2"/>
  <c r="AC112" i="2"/>
  <c r="AB112" i="2"/>
  <c r="AA112" i="2"/>
  <c r="Z112" i="2"/>
  <c r="Y112" i="2"/>
  <c r="X112" i="2"/>
  <c r="W112" i="2"/>
  <c r="V112" i="2"/>
  <c r="U112" i="2"/>
  <c r="T112" i="2"/>
  <c r="S112" i="2"/>
  <c r="R112" i="2"/>
  <c r="Q112" i="2"/>
  <c r="P112" i="2"/>
  <c r="N112" i="2"/>
  <c r="O112" i="2" s="1"/>
  <c r="M112" i="2"/>
  <c r="L112" i="2"/>
  <c r="K112" i="2"/>
  <c r="J112" i="2"/>
  <c r="I112" i="2"/>
  <c r="H112" i="2"/>
  <c r="G112" i="2"/>
  <c r="F112" i="2"/>
  <c r="E112" i="2"/>
  <c r="D112" i="2"/>
  <c r="C112" i="2"/>
  <c r="FI111" i="2"/>
  <c r="FO111" i="2" s="1"/>
  <c r="FH111" i="2"/>
  <c r="FG111" i="2"/>
  <c r="FF111" i="2"/>
  <c r="FE111" i="2"/>
  <c r="FD111" i="2"/>
  <c r="FC111" i="2"/>
  <c r="FA111" i="2"/>
  <c r="FB111" i="2" s="1"/>
  <c r="EZ111" i="2"/>
  <c r="EY111" i="2"/>
  <c r="EX111" i="2"/>
  <c r="EW111" i="2"/>
  <c r="EV111" i="2"/>
  <c r="EU111" i="2"/>
  <c r="ET111" i="2"/>
  <c r="ES111" i="2"/>
  <c r="ER111" i="2"/>
  <c r="EQ111" i="2"/>
  <c r="EP111" i="2"/>
  <c r="EN111" i="2"/>
  <c r="EO111" i="2" s="1"/>
  <c r="EM111" i="2"/>
  <c r="EL111" i="2"/>
  <c r="EK111" i="2"/>
  <c r="EJ111" i="2"/>
  <c r="EI111" i="2"/>
  <c r="EH111" i="2"/>
  <c r="EG111" i="2"/>
  <c r="EF111" i="2"/>
  <c r="EE111" i="2"/>
  <c r="ED111" i="2"/>
  <c r="EC111" i="2"/>
  <c r="EA111" i="2"/>
  <c r="EB111" i="2" s="1"/>
  <c r="DZ111" i="2"/>
  <c r="DY111" i="2"/>
  <c r="DX111" i="2"/>
  <c r="DW111" i="2"/>
  <c r="DV111" i="2"/>
  <c r="DU111" i="2"/>
  <c r="DT111" i="2"/>
  <c r="DS111" i="2"/>
  <c r="DR111" i="2"/>
  <c r="DQ111" i="2"/>
  <c r="DP111" i="2"/>
  <c r="DN111" i="2"/>
  <c r="DO111" i="2" s="1"/>
  <c r="DM111" i="2"/>
  <c r="DL111" i="2"/>
  <c r="DK111" i="2"/>
  <c r="DJ111" i="2"/>
  <c r="DI111" i="2"/>
  <c r="DH111" i="2"/>
  <c r="DG111" i="2"/>
  <c r="DF111" i="2"/>
  <c r="DE111" i="2"/>
  <c r="DD111" i="2"/>
  <c r="DC111" i="2"/>
  <c r="DA111" i="2"/>
  <c r="DB111" i="2" s="1"/>
  <c r="CZ111" i="2"/>
  <c r="CY111" i="2"/>
  <c r="CX111" i="2"/>
  <c r="CW111" i="2"/>
  <c r="CV111" i="2"/>
  <c r="CU111" i="2"/>
  <c r="CT111" i="2"/>
  <c r="CS111" i="2"/>
  <c r="CR111" i="2"/>
  <c r="CQ111" i="2"/>
  <c r="CP111" i="2"/>
  <c r="CO111" i="2"/>
  <c r="CN111" i="2"/>
  <c r="CM111" i="2"/>
  <c r="CL111" i="2"/>
  <c r="CK111" i="2"/>
  <c r="CJ111" i="2"/>
  <c r="CI111" i="2"/>
  <c r="CH111" i="2"/>
  <c r="CG111" i="2"/>
  <c r="CF111" i="2"/>
  <c r="CE111" i="2"/>
  <c r="CD111" i="2"/>
  <c r="CC111" i="2"/>
  <c r="CA111" i="2"/>
  <c r="CB111" i="2" s="1"/>
  <c r="BZ111" i="2"/>
  <c r="BY111" i="2"/>
  <c r="BX111" i="2"/>
  <c r="BW111" i="2"/>
  <c r="BV111" i="2"/>
  <c r="BU111" i="2"/>
  <c r="BT111" i="2"/>
  <c r="BS111" i="2"/>
  <c r="BR111" i="2"/>
  <c r="BQ111" i="2"/>
  <c r="BP111" i="2"/>
  <c r="BN111" i="2"/>
  <c r="BO111" i="2" s="1"/>
  <c r="BM111" i="2"/>
  <c r="BL111" i="2"/>
  <c r="BK111" i="2"/>
  <c r="BJ111" i="2"/>
  <c r="BI111" i="2"/>
  <c r="BH111" i="2"/>
  <c r="BG111" i="2"/>
  <c r="BF111" i="2"/>
  <c r="BE111" i="2"/>
  <c r="BD111" i="2"/>
  <c r="BC111" i="2"/>
  <c r="BB111" i="2"/>
  <c r="BA111" i="2"/>
  <c r="AZ111" i="2"/>
  <c r="AY111" i="2"/>
  <c r="AX111" i="2"/>
  <c r="AW111" i="2"/>
  <c r="AV111" i="2"/>
  <c r="AU111" i="2"/>
  <c r="AT111" i="2"/>
  <c r="AS111" i="2"/>
  <c r="AR111" i="2"/>
  <c r="AQ111" i="2"/>
  <c r="AP111" i="2"/>
  <c r="AO111" i="2"/>
  <c r="AN111" i="2"/>
  <c r="AM111" i="2"/>
  <c r="AL111" i="2"/>
  <c r="AK111" i="2"/>
  <c r="AJ111" i="2"/>
  <c r="AI111" i="2"/>
  <c r="AH111" i="2"/>
  <c r="AG111" i="2"/>
  <c r="AF111" i="2"/>
  <c r="AE111" i="2"/>
  <c r="AD111" i="2"/>
  <c r="AC111" i="2"/>
  <c r="AA111" i="2"/>
  <c r="AB111" i="2" s="1"/>
  <c r="Z111" i="2"/>
  <c r="Y111" i="2"/>
  <c r="X111" i="2"/>
  <c r="W111" i="2"/>
  <c r="V111" i="2"/>
  <c r="U111" i="2"/>
  <c r="T111" i="2"/>
  <c r="S111" i="2"/>
  <c r="R111" i="2"/>
  <c r="Q111" i="2"/>
  <c r="P111" i="2"/>
  <c r="N111" i="2"/>
  <c r="O111" i="2" s="1"/>
  <c r="M111" i="2"/>
  <c r="L111" i="2"/>
  <c r="K111" i="2"/>
  <c r="J111" i="2"/>
  <c r="I111" i="2"/>
  <c r="H111" i="2"/>
  <c r="G111" i="2"/>
  <c r="F111" i="2"/>
  <c r="E111" i="2"/>
  <c r="D111" i="2"/>
  <c r="C111" i="2"/>
  <c r="FI110" i="2"/>
  <c r="FO110" i="2" s="1"/>
  <c r="FH110" i="2"/>
  <c r="FG110" i="2"/>
  <c r="FF110" i="2"/>
  <c r="FE110" i="2"/>
  <c r="FD110" i="2"/>
  <c r="FC110" i="2"/>
  <c r="FA110" i="2"/>
  <c r="FB110" i="2" s="1"/>
  <c r="EZ110" i="2"/>
  <c r="EY110" i="2"/>
  <c r="EX110" i="2"/>
  <c r="EW110" i="2"/>
  <c r="EV110" i="2"/>
  <c r="EU110" i="2"/>
  <c r="ET110" i="2"/>
  <c r="ES110" i="2"/>
  <c r="ER110" i="2"/>
  <c r="EQ110" i="2"/>
  <c r="EP110" i="2"/>
  <c r="EN110" i="2"/>
  <c r="EO110" i="2" s="1"/>
  <c r="EM110" i="2"/>
  <c r="EL110" i="2"/>
  <c r="EK110" i="2"/>
  <c r="EJ110" i="2"/>
  <c r="EI110" i="2"/>
  <c r="EH110" i="2"/>
  <c r="EG110" i="2"/>
  <c r="EF110" i="2"/>
  <c r="EE110" i="2"/>
  <c r="ED110" i="2"/>
  <c r="EC110" i="2"/>
  <c r="EA110" i="2"/>
  <c r="EB110" i="2" s="1"/>
  <c r="DZ110" i="2"/>
  <c r="DY110" i="2"/>
  <c r="DX110" i="2"/>
  <c r="DW110" i="2"/>
  <c r="DV110" i="2"/>
  <c r="DU110" i="2"/>
  <c r="DT110" i="2"/>
  <c r="DS110" i="2"/>
  <c r="DR110" i="2"/>
  <c r="DQ110" i="2"/>
  <c r="DP110" i="2"/>
  <c r="DN110" i="2"/>
  <c r="DO110" i="2" s="1"/>
  <c r="DM110" i="2"/>
  <c r="DL110" i="2"/>
  <c r="DK110" i="2"/>
  <c r="DJ110" i="2"/>
  <c r="DI110" i="2"/>
  <c r="DH110" i="2"/>
  <c r="DG110" i="2"/>
  <c r="DF110" i="2"/>
  <c r="DE110" i="2"/>
  <c r="DD110" i="2"/>
  <c r="DC110" i="2"/>
  <c r="DB110" i="2"/>
  <c r="DA110" i="2"/>
  <c r="CZ110" i="2"/>
  <c r="CY110" i="2"/>
  <c r="CX110" i="2"/>
  <c r="CW110" i="2"/>
  <c r="CV110" i="2"/>
  <c r="CU110" i="2"/>
  <c r="CT110" i="2"/>
  <c r="CS110" i="2"/>
  <c r="CR110" i="2"/>
  <c r="CQ110" i="2"/>
  <c r="CP110" i="2"/>
  <c r="CN110" i="2"/>
  <c r="CO110" i="2" s="1"/>
  <c r="CM110" i="2"/>
  <c r="CL110" i="2"/>
  <c r="CK110" i="2"/>
  <c r="CJ110" i="2"/>
  <c r="CI110" i="2"/>
  <c r="CH110" i="2"/>
  <c r="CG110" i="2"/>
  <c r="CF110" i="2"/>
  <c r="CE110" i="2"/>
  <c r="CD110" i="2"/>
  <c r="CC110" i="2"/>
  <c r="CB110" i="2"/>
  <c r="CA110" i="2"/>
  <c r="BZ110" i="2"/>
  <c r="BY110" i="2"/>
  <c r="BX110" i="2"/>
  <c r="BW110" i="2"/>
  <c r="BV110" i="2"/>
  <c r="BU110" i="2"/>
  <c r="BT110" i="2"/>
  <c r="BS110" i="2"/>
  <c r="BR110" i="2"/>
  <c r="BQ110" i="2"/>
  <c r="BP110" i="2"/>
  <c r="BO110" i="2"/>
  <c r="BN110" i="2"/>
  <c r="BM110" i="2"/>
  <c r="BL110" i="2"/>
  <c r="BK110" i="2"/>
  <c r="BJ110" i="2"/>
  <c r="BI110" i="2"/>
  <c r="BH110" i="2"/>
  <c r="BG110" i="2"/>
  <c r="BF110" i="2"/>
  <c r="BE110" i="2"/>
  <c r="BD110" i="2"/>
  <c r="BC110" i="2"/>
  <c r="BA110" i="2"/>
  <c r="BB110" i="2" s="1"/>
  <c r="AZ110" i="2"/>
  <c r="AY110" i="2"/>
  <c r="AX110" i="2"/>
  <c r="AW110" i="2"/>
  <c r="AV110" i="2"/>
  <c r="AU110" i="2"/>
  <c r="AT110" i="2"/>
  <c r="AS110" i="2"/>
  <c r="AR110" i="2"/>
  <c r="AQ110" i="2"/>
  <c r="AP110" i="2"/>
  <c r="AN110" i="2"/>
  <c r="AO110" i="2" s="1"/>
  <c r="AM110" i="2"/>
  <c r="AL110" i="2"/>
  <c r="AK110" i="2"/>
  <c r="AJ110" i="2"/>
  <c r="AI110" i="2"/>
  <c r="AH110" i="2"/>
  <c r="AG110" i="2"/>
  <c r="AF110" i="2"/>
  <c r="AE110" i="2"/>
  <c r="AD110" i="2"/>
  <c r="AC110" i="2"/>
  <c r="AA110" i="2"/>
  <c r="AB110" i="2" s="1"/>
  <c r="Z110" i="2"/>
  <c r="Y110" i="2"/>
  <c r="X110" i="2"/>
  <c r="W110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FI109" i="2"/>
  <c r="FO109" i="2" s="1"/>
  <c r="FH109" i="2"/>
  <c r="FG109" i="2"/>
  <c r="FF109" i="2"/>
  <c r="FE109" i="2"/>
  <c r="FD109" i="2"/>
  <c r="FC109" i="2"/>
  <c r="FB109" i="2"/>
  <c r="FA109" i="2"/>
  <c r="EZ109" i="2"/>
  <c r="EY109" i="2"/>
  <c r="EX109" i="2"/>
  <c r="EW109" i="2"/>
  <c r="EV109" i="2"/>
  <c r="EU109" i="2"/>
  <c r="ET109" i="2"/>
  <c r="ES109" i="2"/>
  <c r="ER109" i="2"/>
  <c r="EQ109" i="2"/>
  <c r="EP109" i="2"/>
  <c r="EO109" i="2"/>
  <c r="EN109" i="2"/>
  <c r="EM109" i="2"/>
  <c r="EL109" i="2"/>
  <c r="EK109" i="2"/>
  <c r="EJ109" i="2"/>
  <c r="EI109" i="2"/>
  <c r="EH109" i="2"/>
  <c r="EG109" i="2"/>
  <c r="EF109" i="2"/>
  <c r="EE109" i="2"/>
  <c r="ED109" i="2"/>
  <c r="EC109" i="2"/>
  <c r="EA109" i="2"/>
  <c r="EB109" i="2" s="1"/>
  <c r="DZ109" i="2"/>
  <c r="DY109" i="2"/>
  <c r="DX109" i="2"/>
  <c r="DW109" i="2"/>
  <c r="DV109" i="2"/>
  <c r="DU109" i="2"/>
  <c r="DT109" i="2"/>
  <c r="DS109" i="2"/>
  <c r="DR109" i="2"/>
  <c r="DQ109" i="2"/>
  <c r="DP109" i="2"/>
  <c r="DN109" i="2"/>
  <c r="DO109" i="2" s="1"/>
  <c r="DM109" i="2"/>
  <c r="DL109" i="2"/>
  <c r="DK109" i="2"/>
  <c r="DJ109" i="2"/>
  <c r="DI109" i="2"/>
  <c r="DH109" i="2"/>
  <c r="DG109" i="2"/>
  <c r="DF109" i="2"/>
  <c r="DE109" i="2"/>
  <c r="DD109" i="2"/>
  <c r="DC109" i="2"/>
  <c r="DA109" i="2"/>
  <c r="DB109" i="2" s="1"/>
  <c r="CZ109" i="2"/>
  <c r="CY109" i="2"/>
  <c r="CX109" i="2"/>
  <c r="CW109" i="2"/>
  <c r="CV109" i="2"/>
  <c r="CU109" i="2"/>
  <c r="CT109" i="2"/>
  <c r="CS109" i="2"/>
  <c r="CR109" i="2"/>
  <c r="CQ109" i="2"/>
  <c r="CP109" i="2"/>
  <c r="CN109" i="2"/>
  <c r="CO109" i="2" s="1"/>
  <c r="CM109" i="2"/>
  <c r="CL109" i="2"/>
  <c r="CK109" i="2"/>
  <c r="CJ109" i="2"/>
  <c r="CI109" i="2"/>
  <c r="CH109" i="2"/>
  <c r="CG109" i="2"/>
  <c r="CF109" i="2"/>
  <c r="CE109" i="2"/>
  <c r="CD109" i="2"/>
  <c r="CC109" i="2"/>
  <c r="CA109" i="2"/>
  <c r="CB109" i="2" s="1"/>
  <c r="BZ109" i="2"/>
  <c r="BY109" i="2"/>
  <c r="BX109" i="2"/>
  <c r="BW109" i="2"/>
  <c r="BV109" i="2"/>
  <c r="BU109" i="2"/>
  <c r="BT109" i="2"/>
  <c r="BS109" i="2"/>
  <c r="BR109" i="2"/>
  <c r="BQ109" i="2"/>
  <c r="BP109" i="2"/>
  <c r="BN109" i="2"/>
  <c r="BO109" i="2" s="1"/>
  <c r="BM109" i="2"/>
  <c r="BL109" i="2"/>
  <c r="BK109" i="2"/>
  <c r="BJ109" i="2"/>
  <c r="BI109" i="2"/>
  <c r="BH109" i="2"/>
  <c r="BG109" i="2"/>
  <c r="BF109" i="2"/>
  <c r="BE109" i="2"/>
  <c r="BD109" i="2"/>
  <c r="BC109" i="2"/>
  <c r="BA109" i="2"/>
  <c r="BB109" i="2" s="1"/>
  <c r="AZ109" i="2"/>
  <c r="AY109" i="2"/>
  <c r="AX109" i="2"/>
  <c r="AW109" i="2"/>
  <c r="AV109" i="2"/>
  <c r="AU109" i="2"/>
  <c r="AT109" i="2"/>
  <c r="AS109" i="2"/>
  <c r="AR109" i="2"/>
  <c r="AQ109" i="2"/>
  <c r="AP109" i="2"/>
  <c r="AO109" i="2"/>
  <c r="AN109" i="2"/>
  <c r="AM109" i="2"/>
  <c r="AL109" i="2"/>
  <c r="AK109" i="2"/>
  <c r="AJ109" i="2"/>
  <c r="AI109" i="2"/>
  <c r="AH109" i="2"/>
  <c r="AG109" i="2"/>
  <c r="AF109" i="2"/>
  <c r="AE109" i="2"/>
  <c r="AD109" i="2"/>
  <c r="AC109" i="2"/>
  <c r="AB109" i="2"/>
  <c r="AA109" i="2"/>
  <c r="Z109" i="2"/>
  <c r="Y109" i="2"/>
  <c r="X109" i="2"/>
  <c r="W109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FI108" i="2"/>
  <c r="FO108" i="2" s="1"/>
  <c r="FH108" i="2"/>
  <c r="FG108" i="2"/>
  <c r="FF108" i="2"/>
  <c r="FE108" i="2"/>
  <c r="FD108" i="2"/>
  <c r="FC108" i="2"/>
  <c r="FA108" i="2"/>
  <c r="EZ108" i="2"/>
  <c r="EY108" i="2"/>
  <c r="EX108" i="2"/>
  <c r="EW108" i="2"/>
  <c r="EV108" i="2"/>
  <c r="EU108" i="2"/>
  <c r="ET108" i="2"/>
  <c r="ES108" i="2"/>
  <c r="ER108" i="2"/>
  <c r="EQ108" i="2"/>
  <c r="EP108" i="2"/>
  <c r="EN108" i="2"/>
  <c r="EO108" i="2" s="1"/>
  <c r="EM108" i="2"/>
  <c r="EL108" i="2"/>
  <c r="EK108" i="2"/>
  <c r="EJ108" i="2"/>
  <c r="EI108" i="2"/>
  <c r="EH108" i="2"/>
  <c r="EG108" i="2"/>
  <c r="EF108" i="2"/>
  <c r="EE108" i="2"/>
  <c r="ED108" i="2"/>
  <c r="EC108" i="2"/>
  <c r="EB108" i="2"/>
  <c r="EA108" i="2"/>
  <c r="DZ108" i="2"/>
  <c r="DY108" i="2"/>
  <c r="DX108" i="2"/>
  <c r="DW108" i="2"/>
  <c r="DV108" i="2"/>
  <c r="DU108" i="2"/>
  <c r="DT108" i="2"/>
  <c r="DS108" i="2"/>
  <c r="DR108" i="2"/>
  <c r="DQ108" i="2"/>
  <c r="DP108" i="2"/>
  <c r="DO108" i="2"/>
  <c r="DN108" i="2"/>
  <c r="DM108" i="2"/>
  <c r="DL108" i="2"/>
  <c r="DK108" i="2"/>
  <c r="DJ108" i="2"/>
  <c r="DI108" i="2"/>
  <c r="DH108" i="2"/>
  <c r="DG108" i="2"/>
  <c r="DF108" i="2"/>
  <c r="DE108" i="2"/>
  <c r="DD108" i="2"/>
  <c r="DC108" i="2"/>
  <c r="DB108" i="2"/>
  <c r="DA108" i="2"/>
  <c r="CZ108" i="2"/>
  <c r="CY108" i="2"/>
  <c r="CX108" i="2"/>
  <c r="CW108" i="2"/>
  <c r="CV108" i="2"/>
  <c r="CU108" i="2"/>
  <c r="CT108" i="2"/>
  <c r="CS108" i="2"/>
  <c r="CR108" i="2"/>
  <c r="CQ108" i="2"/>
  <c r="CP108" i="2"/>
  <c r="CN108" i="2"/>
  <c r="CO108" i="2" s="1"/>
  <c r="CM108" i="2"/>
  <c r="CL108" i="2"/>
  <c r="CK108" i="2"/>
  <c r="CJ108" i="2"/>
  <c r="CI108" i="2"/>
  <c r="CH108" i="2"/>
  <c r="CG108" i="2"/>
  <c r="CF108" i="2"/>
  <c r="CE108" i="2"/>
  <c r="CD108" i="2"/>
  <c r="CC108" i="2"/>
  <c r="CA108" i="2"/>
  <c r="CB108" i="2" s="1"/>
  <c r="BZ108" i="2"/>
  <c r="BY108" i="2"/>
  <c r="BX108" i="2"/>
  <c r="BW108" i="2"/>
  <c r="BV108" i="2"/>
  <c r="BU108" i="2"/>
  <c r="BT108" i="2"/>
  <c r="BS108" i="2"/>
  <c r="BR108" i="2"/>
  <c r="BQ108" i="2"/>
  <c r="BP108" i="2"/>
  <c r="BN108" i="2"/>
  <c r="BO108" i="2" s="1"/>
  <c r="BM108" i="2"/>
  <c r="BL108" i="2"/>
  <c r="BK108" i="2"/>
  <c r="BJ108" i="2"/>
  <c r="BI108" i="2"/>
  <c r="BH108" i="2"/>
  <c r="BG108" i="2"/>
  <c r="BF108" i="2"/>
  <c r="BE108" i="2"/>
  <c r="BD108" i="2"/>
  <c r="BC108" i="2"/>
  <c r="BA108" i="2"/>
  <c r="BB108" i="2" s="1"/>
  <c r="AZ108" i="2"/>
  <c r="AY108" i="2"/>
  <c r="AX108" i="2"/>
  <c r="AW108" i="2"/>
  <c r="AV108" i="2"/>
  <c r="AU108" i="2"/>
  <c r="AT108" i="2"/>
  <c r="AS108" i="2"/>
  <c r="AR108" i="2"/>
  <c r="AQ108" i="2"/>
  <c r="AP108" i="2"/>
  <c r="AO108" i="2"/>
  <c r="AN108" i="2"/>
  <c r="AM108" i="2"/>
  <c r="AL108" i="2"/>
  <c r="AK108" i="2"/>
  <c r="AJ108" i="2"/>
  <c r="AI108" i="2"/>
  <c r="AH108" i="2"/>
  <c r="AG108" i="2"/>
  <c r="AF108" i="2"/>
  <c r="AE108" i="2"/>
  <c r="AD108" i="2"/>
  <c r="AC108" i="2"/>
  <c r="AA108" i="2"/>
  <c r="AB108" i="2" s="1"/>
  <c r="Z108" i="2"/>
  <c r="Y108" i="2"/>
  <c r="X108" i="2"/>
  <c r="W108" i="2"/>
  <c r="V108" i="2"/>
  <c r="U108" i="2"/>
  <c r="T108" i="2"/>
  <c r="S108" i="2"/>
  <c r="R108" i="2"/>
  <c r="Q108" i="2"/>
  <c r="P108" i="2"/>
  <c r="N108" i="2"/>
  <c r="O108" i="2" s="1"/>
  <c r="M108" i="2"/>
  <c r="L108" i="2"/>
  <c r="K108" i="2"/>
  <c r="J108" i="2"/>
  <c r="I108" i="2"/>
  <c r="H108" i="2"/>
  <c r="G108" i="2"/>
  <c r="F108" i="2"/>
  <c r="E108" i="2"/>
  <c r="D108" i="2"/>
  <c r="C108" i="2"/>
  <c r="FO107" i="2"/>
  <c r="FI107" i="2"/>
  <c r="FH107" i="2"/>
  <c r="FG107" i="2"/>
  <c r="FF107" i="2"/>
  <c r="FE107" i="2"/>
  <c r="FD107" i="2"/>
  <c r="FC107" i="2"/>
  <c r="FA107" i="2"/>
  <c r="FB107" i="2" s="1"/>
  <c r="EZ107" i="2"/>
  <c r="EY107" i="2"/>
  <c r="EX107" i="2"/>
  <c r="EW107" i="2"/>
  <c r="EV107" i="2"/>
  <c r="EU107" i="2"/>
  <c r="ET107" i="2"/>
  <c r="ES107" i="2"/>
  <c r="ER107" i="2"/>
  <c r="EQ107" i="2"/>
  <c r="EP107" i="2"/>
  <c r="EO107" i="2"/>
  <c r="EN107" i="2"/>
  <c r="EM107" i="2"/>
  <c r="EL107" i="2"/>
  <c r="EK107" i="2"/>
  <c r="EJ107" i="2"/>
  <c r="EI107" i="2"/>
  <c r="EH107" i="2"/>
  <c r="EG107" i="2"/>
  <c r="EF107" i="2"/>
  <c r="EE107" i="2"/>
  <c r="ED107" i="2"/>
  <c r="EC107" i="2"/>
  <c r="EA107" i="2"/>
  <c r="EB107" i="2" s="1"/>
  <c r="DZ107" i="2"/>
  <c r="DY107" i="2"/>
  <c r="DX107" i="2"/>
  <c r="DW107" i="2"/>
  <c r="DV107" i="2"/>
  <c r="DU107" i="2"/>
  <c r="DT107" i="2"/>
  <c r="DS107" i="2"/>
  <c r="DR107" i="2"/>
  <c r="DQ107" i="2"/>
  <c r="DP107" i="2"/>
  <c r="DN107" i="2"/>
  <c r="DO107" i="2" s="1"/>
  <c r="DM107" i="2"/>
  <c r="DL107" i="2"/>
  <c r="DK107" i="2"/>
  <c r="DJ107" i="2"/>
  <c r="DI107" i="2"/>
  <c r="DH107" i="2"/>
  <c r="DG107" i="2"/>
  <c r="DF107" i="2"/>
  <c r="DE107" i="2"/>
  <c r="DD107" i="2"/>
  <c r="DC107" i="2"/>
  <c r="DA107" i="2"/>
  <c r="DB107" i="2" s="1"/>
  <c r="CZ107" i="2"/>
  <c r="CY107" i="2"/>
  <c r="CX107" i="2"/>
  <c r="CW107" i="2"/>
  <c r="CV107" i="2"/>
  <c r="CU107" i="2"/>
  <c r="CT107" i="2"/>
  <c r="CS107" i="2"/>
  <c r="CR107" i="2"/>
  <c r="CQ107" i="2"/>
  <c r="CP107" i="2"/>
  <c r="CO107" i="2"/>
  <c r="CN107" i="2"/>
  <c r="CM107" i="2"/>
  <c r="CL107" i="2"/>
  <c r="CK107" i="2"/>
  <c r="CJ107" i="2"/>
  <c r="CI107" i="2"/>
  <c r="CH107" i="2"/>
  <c r="CG107" i="2"/>
  <c r="CF107" i="2"/>
  <c r="CE107" i="2"/>
  <c r="CD107" i="2"/>
  <c r="CC107" i="2"/>
  <c r="CA107" i="2"/>
  <c r="CB107" i="2" s="1"/>
  <c r="BZ107" i="2"/>
  <c r="BY107" i="2"/>
  <c r="BX107" i="2"/>
  <c r="BW107" i="2"/>
  <c r="BV107" i="2"/>
  <c r="BU107" i="2"/>
  <c r="BT107" i="2"/>
  <c r="BS107" i="2"/>
  <c r="BR107" i="2"/>
  <c r="BQ107" i="2"/>
  <c r="BP107" i="2"/>
  <c r="BO107" i="2"/>
  <c r="BN107" i="2"/>
  <c r="BM107" i="2"/>
  <c r="BL107" i="2"/>
  <c r="BK107" i="2"/>
  <c r="BJ107" i="2"/>
  <c r="BI107" i="2"/>
  <c r="BH107" i="2"/>
  <c r="BG107" i="2"/>
  <c r="BF107" i="2"/>
  <c r="BE107" i="2"/>
  <c r="BD107" i="2"/>
  <c r="BC107" i="2"/>
  <c r="BA107" i="2"/>
  <c r="BB107" i="2" s="1"/>
  <c r="AZ107" i="2"/>
  <c r="AY107" i="2"/>
  <c r="AX107" i="2"/>
  <c r="AW107" i="2"/>
  <c r="AV107" i="2"/>
  <c r="AU107" i="2"/>
  <c r="AT107" i="2"/>
  <c r="AS107" i="2"/>
  <c r="AR107" i="2"/>
  <c r="AQ107" i="2"/>
  <c r="AP107" i="2"/>
  <c r="AO107" i="2"/>
  <c r="AN107" i="2"/>
  <c r="AM107" i="2"/>
  <c r="AL107" i="2"/>
  <c r="AK107" i="2"/>
  <c r="AJ107" i="2"/>
  <c r="AI107" i="2"/>
  <c r="AH107" i="2"/>
  <c r="AG107" i="2"/>
  <c r="AF107" i="2"/>
  <c r="AE107" i="2"/>
  <c r="AD107" i="2"/>
  <c r="AC107" i="2"/>
  <c r="AA107" i="2"/>
  <c r="AB107" i="2" s="1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FO106" i="2"/>
  <c r="FI106" i="2"/>
  <c r="FH106" i="2"/>
  <c r="FG106" i="2"/>
  <c r="FF106" i="2"/>
  <c r="FE106" i="2"/>
  <c r="FD106" i="2"/>
  <c r="FC106" i="2"/>
  <c r="FB106" i="2"/>
  <c r="FA106" i="2"/>
  <c r="EZ106" i="2"/>
  <c r="EY106" i="2"/>
  <c r="EX106" i="2"/>
  <c r="EW106" i="2"/>
  <c r="EV106" i="2"/>
  <c r="EU106" i="2"/>
  <c r="ET106" i="2"/>
  <c r="ES106" i="2"/>
  <c r="ER106" i="2"/>
  <c r="EQ106" i="2"/>
  <c r="EP106" i="2"/>
  <c r="EN106" i="2"/>
  <c r="EO106" i="2" s="1"/>
  <c r="EM106" i="2"/>
  <c r="EL106" i="2"/>
  <c r="EK106" i="2"/>
  <c r="EJ106" i="2"/>
  <c r="EI106" i="2"/>
  <c r="EH106" i="2"/>
  <c r="EG106" i="2"/>
  <c r="EF106" i="2"/>
  <c r="EE106" i="2"/>
  <c r="ED106" i="2"/>
  <c r="EC106" i="2"/>
  <c r="EA106" i="2"/>
  <c r="EB106" i="2" s="1"/>
  <c r="DZ106" i="2"/>
  <c r="DY106" i="2"/>
  <c r="DX106" i="2"/>
  <c r="DW106" i="2"/>
  <c r="DV106" i="2"/>
  <c r="DU106" i="2"/>
  <c r="DT106" i="2"/>
  <c r="DS106" i="2"/>
  <c r="DR106" i="2"/>
  <c r="DQ106" i="2"/>
  <c r="DP106" i="2"/>
  <c r="DO106" i="2"/>
  <c r="DN106" i="2"/>
  <c r="DM106" i="2"/>
  <c r="DL106" i="2"/>
  <c r="DK106" i="2"/>
  <c r="DJ106" i="2"/>
  <c r="DI106" i="2"/>
  <c r="DH106" i="2"/>
  <c r="DG106" i="2"/>
  <c r="DF106" i="2"/>
  <c r="DE106" i="2"/>
  <c r="DD106" i="2"/>
  <c r="DC106" i="2"/>
  <c r="DB106" i="2"/>
  <c r="DA106" i="2"/>
  <c r="CZ106" i="2"/>
  <c r="CY106" i="2"/>
  <c r="CX106" i="2"/>
  <c r="CW106" i="2"/>
  <c r="CV106" i="2"/>
  <c r="CU106" i="2"/>
  <c r="CT106" i="2"/>
  <c r="CS106" i="2"/>
  <c r="CR106" i="2"/>
  <c r="CQ106" i="2"/>
  <c r="CP106" i="2"/>
  <c r="CO106" i="2"/>
  <c r="CN106" i="2"/>
  <c r="CM106" i="2"/>
  <c r="CL106" i="2"/>
  <c r="CK106" i="2"/>
  <c r="CJ106" i="2"/>
  <c r="CI106" i="2"/>
  <c r="CH106" i="2"/>
  <c r="CG106" i="2"/>
  <c r="CF106" i="2"/>
  <c r="CE106" i="2"/>
  <c r="CD106" i="2"/>
  <c r="CC106" i="2"/>
  <c r="CA106" i="2"/>
  <c r="CB106" i="2" s="1"/>
  <c r="BZ106" i="2"/>
  <c r="BY106" i="2"/>
  <c r="BX106" i="2"/>
  <c r="BW106" i="2"/>
  <c r="BV106" i="2"/>
  <c r="BU106" i="2"/>
  <c r="BT106" i="2"/>
  <c r="BS106" i="2"/>
  <c r="BR106" i="2"/>
  <c r="BQ106" i="2"/>
  <c r="BP106" i="2"/>
  <c r="BN106" i="2"/>
  <c r="BO106" i="2" s="1"/>
  <c r="BM106" i="2"/>
  <c r="BL106" i="2"/>
  <c r="BK106" i="2"/>
  <c r="BJ106" i="2"/>
  <c r="BI106" i="2"/>
  <c r="BH106" i="2"/>
  <c r="BG106" i="2"/>
  <c r="BF106" i="2"/>
  <c r="BE106" i="2"/>
  <c r="BD106" i="2"/>
  <c r="BC106" i="2"/>
  <c r="BA106" i="2"/>
  <c r="BB106" i="2" s="1"/>
  <c r="AZ106" i="2"/>
  <c r="AY106" i="2"/>
  <c r="AX106" i="2"/>
  <c r="AW106" i="2"/>
  <c r="AV106" i="2"/>
  <c r="AU106" i="2"/>
  <c r="AT106" i="2"/>
  <c r="AS106" i="2"/>
  <c r="AR106" i="2"/>
  <c r="AQ106" i="2"/>
  <c r="AP106" i="2"/>
  <c r="AN106" i="2"/>
  <c r="AO106" i="2" s="1"/>
  <c r="AM106" i="2"/>
  <c r="AL106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FO105" i="2"/>
  <c r="FI105" i="2"/>
  <c r="FH105" i="2"/>
  <c r="FG105" i="2"/>
  <c r="FF105" i="2"/>
  <c r="FE105" i="2"/>
  <c r="FD105" i="2"/>
  <c r="FC105" i="2"/>
  <c r="FA105" i="2"/>
  <c r="FB105" i="2" s="1"/>
  <c r="EZ105" i="2"/>
  <c r="EY105" i="2"/>
  <c r="EX105" i="2"/>
  <c r="EW105" i="2"/>
  <c r="EV105" i="2"/>
  <c r="EU105" i="2"/>
  <c r="ET105" i="2"/>
  <c r="ES105" i="2"/>
  <c r="ER105" i="2"/>
  <c r="EQ105" i="2"/>
  <c r="EP105" i="2"/>
  <c r="EN105" i="2"/>
  <c r="EO105" i="2" s="1"/>
  <c r="EM105" i="2"/>
  <c r="EL105" i="2"/>
  <c r="EK105" i="2"/>
  <c r="EJ105" i="2"/>
  <c r="EI105" i="2"/>
  <c r="EH105" i="2"/>
  <c r="EG105" i="2"/>
  <c r="EF105" i="2"/>
  <c r="EE105" i="2"/>
  <c r="ED105" i="2"/>
  <c r="EC105" i="2"/>
  <c r="EA105" i="2"/>
  <c r="EB105" i="2" s="1"/>
  <c r="DZ105" i="2"/>
  <c r="DY105" i="2"/>
  <c r="DX105" i="2"/>
  <c r="DW105" i="2"/>
  <c r="DV105" i="2"/>
  <c r="DU105" i="2"/>
  <c r="DT105" i="2"/>
  <c r="DS105" i="2"/>
  <c r="DR105" i="2"/>
  <c r="DQ105" i="2"/>
  <c r="DP105" i="2"/>
  <c r="DO105" i="2"/>
  <c r="DN105" i="2"/>
  <c r="DM105" i="2"/>
  <c r="DL105" i="2"/>
  <c r="DK105" i="2"/>
  <c r="DJ105" i="2"/>
  <c r="DI105" i="2"/>
  <c r="DH105" i="2"/>
  <c r="DG105" i="2"/>
  <c r="DF105" i="2"/>
  <c r="DE105" i="2"/>
  <c r="DD105" i="2"/>
  <c r="DC105" i="2"/>
  <c r="DB105" i="2"/>
  <c r="DA105" i="2"/>
  <c r="CZ105" i="2"/>
  <c r="CY105" i="2"/>
  <c r="CX105" i="2"/>
  <c r="CW105" i="2"/>
  <c r="CV105" i="2"/>
  <c r="CU105" i="2"/>
  <c r="CT105" i="2"/>
  <c r="CS105" i="2"/>
  <c r="CR105" i="2"/>
  <c r="CQ105" i="2"/>
  <c r="CP105" i="2"/>
  <c r="CO105" i="2"/>
  <c r="CN105" i="2"/>
  <c r="CM105" i="2"/>
  <c r="CL105" i="2"/>
  <c r="CK105" i="2"/>
  <c r="CJ105" i="2"/>
  <c r="CI105" i="2"/>
  <c r="CH105" i="2"/>
  <c r="CG105" i="2"/>
  <c r="CF105" i="2"/>
  <c r="CE105" i="2"/>
  <c r="CD105" i="2"/>
  <c r="CC105" i="2"/>
  <c r="CA105" i="2"/>
  <c r="CB105" i="2" s="1"/>
  <c r="BZ105" i="2"/>
  <c r="BY105" i="2"/>
  <c r="BX105" i="2"/>
  <c r="BW105" i="2"/>
  <c r="BV105" i="2"/>
  <c r="BU105" i="2"/>
  <c r="BT105" i="2"/>
  <c r="BS105" i="2"/>
  <c r="BR105" i="2"/>
  <c r="BQ105" i="2"/>
  <c r="BP105" i="2"/>
  <c r="BN105" i="2"/>
  <c r="BO105" i="2" s="1"/>
  <c r="BM105" i="2"/>
  <c r="BL105" i="2"/>
  <c r="BK105" i="2"/>
  <c r="BJ105" i="2"/>
  <c r="BI105" i="2"/>
  <c r="BH105" i="2"/>
  <c r="BG105" i="2"/>
  <c r="BF105" i="2"/>
  <c r="BE105" i="2"/>
  <c r="BD105" i="2"/>
  <c r="BC105" i="2"/>
  <c r="BA105" i="2"/>
  <c r="BB105" i="2" s="1"/>
  <c r="AZ105" i="2"/>
  <c r="AY105" i="2"/>
  <c r="AX105" i="2"/>
  <c r="AW105" i="2"/>
  <c r="AV105" i="2"/>
  <c r="AU105" i="2"/>
  <c r="AT105" i="2"/>
  <c r="AS105" i="2"/>
  <c r="AR105" i="2"/>
  <c r="AQ105" i="2"/>
  <c r="AP105" i="2"/>
  <c r="AN105" i="2"/>
  <c r="AO105" i="2" s="1"/>
  <c r="AM105" i="2"/>
  <c r="AL105" i="2"/>
  <c r="AK105" i="2"/>
  <c r="AJ105" i="2"/>
  <c r="AI105" i="2"/>
  <c r="AH105" i="2"/>
  <c r="AG105" i="2"/>
  <c r="AF105" i="2"/>
  <c r="AE105" i="2"/>
  <c r="AD105" i="2"/>
  <c r="AC105" i="2"/>
  <c r="AA105" i="2"/>
  <c r="AB105" i="2" s="1"/>
  <c r="Z105" i="2"/>
  <c r="Y105" i="2"/>
  <c r="X105" i="2"/>
  <c r="W105" i="2"/>
  <c r="V105" i="2"/>
  <c r="U105" i="2"/>
  <c r="T105" i="2"/>
  <c r="S105" i="2"/>
  <c r="R105" i="2"/>
  <c r="Q105" i="2"/>
  <c r="P105" i="2"/>
  <c r="N105" i="2"/>
  <c r="O105" i="2" s="1"/>
  <c r="M105" i="2"/>
  <c r="L105" i="2"/>
  <c r="K105" i="2"/>
  <c r="J105" i="2"/>
  <c r="I105" i="2"/>
  <c r="H105" i="2"/>
  <c r="G105" i="2"/>
  <c r="F105" i="2"/>
  <c r="E105" i="2"/>
  <c r="D105" i="2"/>
  <c r="C105" i="2"/>
  <c r="FI104" i="2"/>
  <c r="FO104" i="2" s="1"/>
  <c r="FH104" i="2"/>
  <c r="FG104" i="2"/>
  <c r="FF104" i="2"/>
  <c r="FE104" i="2"/>
  <c r="FD104" i="2"/>
  <c r="FC104" i="2"/>
  <c r="FA104" i="2"/>
  <c r="FB104" i="2" s="1"/>
  <c r="EZ104" i="2"/>
  <c r="EY104" i="2"/>
  <c r="EX104" i="2"/>
  <c r="EW104" i="2"/>
  <c r="EV104" i="2"/>
  <c r="EU104" i="2"/>
  <c r="ET104" i="2"/>
  <c r="ES104" i="2"/>
  <c r="ER104" i="2"/>
  <c r="EQ104" i="2"/>
  <c r="EP104" i="2"/>
  <c r="EO104" i="2"/>
  <c r="EN104" i="2"/>
  <c r="EM104" i="2"/>
  <c r="EL104" i="2"/>
  <c r="EK104" i="2"/>
  <c r="EJ104" i="2"/>
  <c r="EI104" i="2"/>
  <c r="EH104" i="2"/>
  <c r="EG104" i="2"/>
  <c r="EF104" i="2"/>
  <c r="EE104" i="2"/>
  <c r="ED104" i="2"/>
  <c r="EC104" i="2"/>
  <c r="EA104" i="2"/>
  <c r="EB104" i="2" s="1"/>
  <c r="DZ104" i="2"/>
  <c r="DY104" i="2"/>
  <c r="DX104" i="2"/>
  <c r="DW104" i="2"/>
  <c r="DV104" i="2"/>
  <c r="DU104" i="2"/>
  <c r="DT104" i="2"/>
  <c r="DS104" i="2"/>
  <c r="DR104" i="2"/>
  <c r="DQ104" i="2"/>
  <c r="DP104" i="2"/>
  <c r="DN104" i="2"/>
  <c r="DO104" i="2" s="1"/>
  <c r="DM104" i="2"/>
  <c r="DL104" i="2"/>
  <c r="DK104" i="2"/>
  <c r="DJ104" i="2"/>
  <c r="DI104" i="2"/>
  <c r="DH104" i="2"/>
  <c r="DG104" i="2"/>
  <c r="DF104" i="2"/>
  <c r="DE104" i="2"/>
  <c r="DD104" i="2"/>
  <c r="DC104" i="2"/>
  <c r="DA104" i="2"/>
  <c r="DB104" i="2" s="1"/>
  <c r="CZ104" i="2"/>
  <c r="CY104" i="2"/>
  <c r="CX104" i="2"/>
  <c r="CW104" i="2"/>
  <c r="CV104" i="2"/>
  <c r="CU104" i="2"/>
  <c r="CT104" i="2"/>
  <c r="CS104" i="2"/>
  <c r="CR104" i="2"/>
  <c r="CQ104" i="2"/>
  <c r="CP104" i="2"/>
  <c r="CN104" i="2"/>
  <c r="CO104" i="2" s="1"/>
  <c r="CM104" i="2"/>
  <c r="CL104" i="2"/>
  <c r="CK104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V104" i="2"/>
  <c r="BU104" i="2"/>
  <c r="BT104" i="2"/>
  <c r="BS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A104" i="2"/>
  <c r="BB104" i="2" s="1"/>
  <c r="AZ104" i="2"/>
  <c r="AY104" i="2"/>
  <c r="AX104" i="2"/>
  <c r="AW104" i="2"/>
  <c r="AV104" i="2"/>
  <c r="AU104" i="2"/>
  <c r="AT104" i="2"/>
  <c r="AS104" i="2"/>
  <c r="AR104" i="2"/>
  <c r="AQ104" i="2"/>
  <c r="AP104" i="2"/>
  <c r="AN104" i="2"/>
  <c r="AO104" i="2" s="1"/>
  <c r="AM104" i="2"/>
  <c r="AL104" i="2"/>
  <c r="AK104" i="2"/>
  <c r="AJ104" i="2"/>
  <c r="AI104" i="2"/>
  <c r="AH104" i="2"/>
  <c r="AG104" i="2"/>
  <c r="AF104" i="2"/>
  <c r="AE104" i="2"/>
  <c r="AD104" i="2"/>
  <c r="AC104" i="2"/>
  <c r="AA104" i="2"/>
  <c r="AB104" i="2" s="1"/>
  <c r="Z104" i="2"/>
  <c r="Y104" i="2"/>
  <c r="X104" i="2"/>
  <c r="W104" i="2"/>
  <c r="V104" i="2"/>
  <c r="U104" i="2"/>
  <c r="T104" i="2"/>
  <c r="S104" i="2"/>
  <c r="R104" i="2"/>
  <c r="Q104" i="2"/>
  <c r="P104" i="2"/>
  <c r="N104" i="2"/>
  <c r="O104" i="2" s="1"/>
  <c r="M104" i="2"/>
  <c r="L104" i="2"/>
  <c r="K104" i="2"/>
  <c r="J104" i="2"/>
  <c r="I104" i="2"/>
  <c r="H104" i="2"/>
  <c r="G104" i="2"/>
  <c r="F104" i="2"/>
  <c r="E104" i="2"/>
  <c r="D104" i="2"/>
  <c r="C104" i="2"/>
  <c r="FI103" i="2"/>
  <c r="FO103" i="2" s="1"/>
  <c r="FH103" i="2"/>
  <c r="FG103" i="2"/>
  <c r="FF103" i="2"/>
  <c r="FE103" i="2"/>
  <c r="FD103" i="2"/>
  <c r="FC103" i="2"/>
  <c r="FB103" i="2"/>
  <c r="FA103" i="2"/>
  <c r="EZ103" i="2"/>
  <c r="EY103" i="2"/>
  <c r="EX103" i="2"/>
  <c r="EW103" i="2"/>
  <c r="EV103" i="2"/>
  <c r="EU103" i="2"/>
  <c r="ET103" i="2"/>
  <c r="ES103" i="2"/>
  <c r="ER103" i="2"/>
  <c r="EQ103" i="2"/>
  <c r="EP103" i="2"/>
  <c r="EN103" i="2"/>
  <c r="EO103" i="2" s="1"/>
  <c r="EM103" i="2"/>
  <c r="EL103" i="2"/>
  <c r="EK103" i="2"/>
  <c r="EJ103" i="2"/>
  <c r="EI103" i="2"/>
  <c r="EH103" i="2"/>
  <c r="EG103" i="2"/>
  <c r="EF103" i="2"/>
  <c r="EE103" i="2"/>
  <c r="ED103" i="2"/>
  <c r="EC103" i="2"/>
  <c r="EA103" i="2"/>
  <c r="EB103" i="2" s="1"/>
  <c r="DZ103" i="2"/>
  <c r="DY103" i="2"/>
  <c r="DX103" i="2"/>
  <c r="DW103" i="2"/>
  <c r="DV103" i="2"/>
  <c r="DU103" i="2"/>
  <c r="DT103" i="2"/>
  <c r="DS103" i="2"/>
  <c r="DR103" i="2"/>
  <c r="DQ103" i="2"/>
  <c r="DP103" i="2"/>
  <c r="DO103" i="2"/>
  <c r="DN103" i="2"/>
  <c r="DM103" i="2"/>
  <c r="DL103" i="2"/>
  <c r="DK103" i="2"/>
  <c r="DJ103" i="2"/>
  <c r="DI103" i="2"/>
  <c r="DH103" i="2"/>
  <c r="DG103" i="2"/>
  <c r="DF103" i="2"/>
  <c r="DE103" i="2"/>
  <c r="DD103" i="2"/>
  <c r="DC103" i="2"/>
  <c r="DB103" i="2"/>
  <c r="DA103" i="2"/>
  <c r="CZ103" i="2"/>
  <c r="CY103" i="2"/>
  <c r="CX103" i="2"/>
  <c r="CW103" i="2"/>
  <c r="CV103" i="2"/>
  <c r="CU103" i="2"/>
  <c r="CT103" i="2"/>
  <c r="CS103" i="2"/>
  <c r="CR103" i="2"/>
  <c r="CQ103" i="2"/>
  <c r="CP103" i="2"/>
  <c r="CN103" i="2"/>
  <c r="CO103" i="2" s="1"/>
  <c r="CM103" i="2"/>
  <c r="CL103" i="2"/>
  <c r="CK103" i="2"/>
  <c r="CJ103" i="2"/>
  <c r="CI103" i="2"/>
  <c r="CH103" i="2"/>
  <c r="CG103" i="2"/>
  <c r="CF103" i="2"/>
  <c r="CE103" i="2"/>
  <c r="CD103" i="2"/>
  <c r="CC103" i="2"/>
  <c r="CA103" i="2"/>
  <c r="CB103" i="2" s="1"/>
  <c r="BZ103" i="2"/>
  <c r="BY103" i="2"/>
  <c r="BX103" i="2"/>
  <c r="BW103" i="2"/>
  <c r="BV103" i="2"/>
  <c r="BU103" i="2"/>
  <c r="BT103" i="2"/>
  <c r="BS103" i="2"/>
  <c r="BR103" i="2"/>
  <c r="BQ103" i="2"/>
  <c r="BP103" i="2"/>
  <c r="BN103" i="2"/>
  <c r="BO103" i="2" s="1"/>
  <c r="BM103" i="2"/>
  <c r="BL103" i="2"/>
  <c r="BK103" i="2"/>
  <c r="BJ103" i="2"/>
  <c r="BI103" i="2"/>
  <c r="BH103" i="2"/>
  <c r="BG103" i="2"/>
  <c r="BF103" i="2"/>
  <c r="BE103" i="2"/>
  <c r="BD103" i="2"/>
  <c r="BC103" i="2"/>
  <c r="BA103" i="2"/>
  <c r="BB103" i="2" s="1"/>
  <c r="AZ103" i="2"/>
  <c r="AY103" i="2"/>
  <c r="AX103" i="2"/>
  <c r="AW103" i="2"/>
  <c r="AV103" i="2"/>
  <c r="AU103" i="2"/>
  <c r="AT103" i="2"/>
  <c r="AS103" i="2"/>
  <c r="AR103" i="2"/>
  <c r="AQ103" i="2"/>
  <c r="AP103" i="2"/>
  <c r="AN103" i="2"/>
  <c r="AO103" i="2" s="1"/>
  <c r="AM103" i="2"/>
  <c r="AL103" i="2"/>
  <c r="AK103" i="2"/>
  <c r="AJ103" i="2"/>
  <c r="AI103" i="2"/>
  <c r="AH103" i="2"/>
  <c r="AG103" i="2"/>
  <c r="AF103" i="2"/>
  <c r="AE103" i="2"/>
  <c r="AD103" i="2"/>
  <c r="AC103" i="2"/>
  <c r="AA103" i="2"/>
  <c r="AB103" i="2" s="1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FI102" i="2"/>
  <c r="FO102" i="2" s="1"/>
  <c r="FH102" i="2"/>
  <c r="FG102" i="2"/>
  <c r="FF102" i="2"/>
  <c r="FE102" i="2"/>
  <c r="FD102" i="2"/>
  <c r="FC102" i="2"/>
  <c r="FA102" i="2"/>
  <c r="FB102" i="2" s="1"/>
  <c r="EZ102" i="2"/>
  <c r="EY102" i="2"/>
  <c r="EX102" i="2"/>
  <c r="EW102" i="2"/>
  <c r="EV102" i="2"/>
  <c r="EU102" i="2"/>
  <c r="ET102" i="2"/>
  <c r="ES102" i="2"/>
  <c r="ER102" i="2"/>
  <c r="EQ102" i="2"/>
  <c r="EP102" i="2"/>
  <c r="EN102" i="2"/>
  <c r="EO102" i="2" s="1"/>
  <c r="EM102" i="2"/>
  <c r="EL102" i="2"/>
  <c r="EK102" i="2"/>
  <c r="EJ102" i="2"/>
  <c r="EI102" i="2"/>
  <c r="EH102" i="2"/>
  <c r="EG102" i="2"/>
  <c r="EF102" i="2"/>
  <c r="EE102" i="2"/>
  <c r="ED102" i="2"/>
  <c r="EC102" i="2"/>
  <c r="EA102" i="2"/>
  <c r="EB102" i="2" s="1"/>
  <c r="DZ102" i="2"/>
  <c r="DY102" i="2"/>
  <c r="DX102" i="2"/>
  <c r="DW102" i="2"/>
  <c r="DV102" i="2"/>
  <c r="DU102" i="2"/>
  <c r="DT102" i="2"/>
  <c r="DS102" i="2"/>
  <c r="DR102" i="2"/>
  <c r="DQ102" i="2"/>
  <c r="DP102" i="2"/>
  <c r="DN102" i="2"/>
  <c r="DO102" i="2" s="1"/>
  <c r="DM102" i="2"/>
  <c r="DL102" i="2"/>
  <c r="DK102" i="2"/>
  <c r="DJ102" i="2"/>
  <c r="DI102" i="2"/>
  <c r="DH102" i="2"/>
  <c r="DG102" i="2"/>
  <c r="DF102" i="2"/>
  <c r="DE102" i="2"/>
  <c r="DD102" i="2"/>
  <c r="DC102" i="2"/>
  <c r="DB102" i="2"/>
  <c r="DA102" i="2"/>
  <c r="CZ102" i="2"/>
  <c r="CY102" i="2"/>
  <c r="CX102" i="2"/>
  <c r="CW102" i="2"/>
  <c r="CV102" i="2"/>
  <c r="CU102" i="2"/>
  <c r="CT102" i="2"/>
  <c r="CS102" i="2"/>
  <c r="CR102" i="2"/>
  <c r="CQ102" i="2"/>
  <c r="CP102" i="2"/>
  <c r="CN102" i="2"/>
  <c r="CO102" i="2" s="1"/>
  <c r="CM102" i="2"/>
  <c r="CL102" i="2"/>
  <c r="CK102" i="2"/>
  <c r="CJ102" i="2"/>
  <c r="CI102" i="2"/>
  <c r="CH102" i="2"/>
  <c r="CG102" i="2"/>
  <c r="CF102" i="2"/>
  <c r="CE102" i="2"/>
  <c r="CD102" i="2"/>
  <c r="CC102" i="2"/>
  <c r="CA102" i="2"/>
  <c r="CB102" i="2" s="1"/>
  <c r="BZ102" i="2"/>
  <c r="BY102" i="2"/>
  <c r="BX102" i="2"/>
  <c r="BW102" i="2"/>
  <c r="BV102" i="2"/>
  <c r="BU102" i="2"/>
  <c r="BT102" i="2"/>
  <c r="BS102" i="2"/>
  <c r="BR102" i="2"/>
  <c r="BQ102" i="2"/>
  <c r="BP102" i="2"/>
  <c r="BN102" i="2"/>
  <c r="BO102" i="2" s="1"/>
  <c r="BM102" i="2"/>
  <c r="BL102" i="2"/>
  <c r="BK102" i="2"/>
  <c r="BJ102" i="2"/>
  <c r="BI102" i="2"/>
  <c r="BH102" i="2"/>
  <c r="BG102" i="2"/>
  <c r="BF102" i="2"/>
  <c r="BE102" i="2"/>
  <c r="BD102" i="2"/>
  <c r="BC102" i="2"/>
  <c r="BA102" i="2"/>
  <c r="BB102" i="2" s="1"/>
  <c r="AZ102" i="2"/>
  <c r="AY102" i="2"/>
  <c r="AX102" i="2"/>
  <c r="AW102" i="2"/>
  <c r="AV102" i="2"/>
  <c r="AU102" i="2"/>
  <c r="AT102" i="2"/>
  <c r="AS102" i="2"/>
  <c r="AR102" i="2"/>
  <c r="AQ102" i="2"/>
  <c r="AP102" i="2"/>
  <c r="AN102" i="2"/>
  <c r="AO102" i="2" s="1"/>
  <c r="AM102" i="2"/>
  <c r="AL102" i="2"/>
  <c r="AK102" i="2"/>
  <c r="AJ102" i="2"/>
  <c r="AI102" i="2"/>
  <c r="AH102" i="2"/>
  <c r="AG102" i="2"/>
  <c r="AF102" i="2"/>
  <c r="AE102" i="2"/>
  <c r="AD102" i="2"/>
  <c r="AC102" i="2"/>
  <c r="AA102" i="2"/>
  <c r="AB102" i="2" s="1"/>
  <c r="Z102" i="2"/>
  <c r="Y102" i="2"/>
  <c r="X102" i="2"/>
  <c r="W102" i="2"/>
  <c r="V102" i="2"/>
  <c r="U102" i="2"/>
  <c r="T102" i="2"/>
  <c r="S102" i="2"/>
  <c r="R102" i="2"/>
  <c r="Q102" i="2"/>
  <c r="P102" i="2"/>
  <c r="N102" i="2"/>
  <c r="O102" i="2" s="1"/>
  <c r="M102" i="2"/>
  <c r="L102" i="2"/>
  <c r="K102" i="2"/>
  <c r="J102" i="2"/>
  <c r="I102" i="2"/>
  <c r="H102" i="2"/>
  <c r="G102" i="2"/>
  <c r="F102" i="2"/>
  <c r="E102" i="2"/>
  <c r="D102" i="2"/>
  <c r="C102" i="2"/>
  <c r="FO101" i="2"/>
  <c r="FI101" i="2"/>
  <c r="FH101" i="2"/>
  <c r="FG101" i="2"/>
  <c r="FF101" i="2"/>
  <c r="FE101" i="2"/>
  <c r="FD101" i="2"/>
  <c r="FC101" i="2"/>
  <c r="FA101" i="2"/>
  <c r="FB101" i="2" s="1"/>
  <c r="EZ101" i="2"/>
  <c r="EY101" i="2"/>
  <c r="EX101" i="2"/>
  <c r="EW101" i="2"/>
  <c r="EV101" i="2"/>
  <c r="EU101" i="2"/>
  <c r="ET101" i="2"/>
  <c r="ES101" i="2"/>
  <c r="ER101" i="2"/>
  <c r="EQ101" i="2"/>
  <c r="EP101" i="2"/>
  <c r="EO101" i="2"/>
  <c r="EN101" i="2"/>
  <c r="EM101" i="2"/>
  <c r="EL101" i="2"/>
  <c r="EK101" i="2"/>
  <c r="EJ101" i="2"/>
  <c r="EI101" i="2"/>
  <c r="EH101" i="2"/>
  <c r="EG101" i="2"/>
  <c r="EF101" i="2"/>
  <c r="EE101" i="2"/>
  <c r="ED101" i="2"/>
  <c r="EC101" i="2"/>
  <c r="EA101" i="2"/>
  <c r="EB101" i="2" s="1"/>
  <c r="DZ101" i="2"/>
  <c r="DY101" i="2"/>
  <c r="DX101" i="2"/>
  <c r="DW101" i="2"/>
  <c r="DV101" i="2"/>
  <c r="DU101" i="2"/>
  <c r="DT101" i="2"/>
  <c r="DS101" i="2"/>
  <c r="DR101" i="2"/>
  <c r="DQ101" i="2"/>
  <c r="DP101" i="2"/>
  <c r="DN101" i="2"/>
  <c r="DO101" i="2" s="1"/>
  <c r="DM101" i="2"/>
  <c r="DL101" i="2"/>
  <c r="DK101" i="2"/>
  <c r="DJ101" i="2"/>
  <c r="DI101" i="2"/>
  <c r="DH101" i="2"/>
  <c r="DG101" i="2"/>
  <c r="DF101" i="2"/>
  <c r="DE101" i="2"/>
  <c r="DD101" i="2"/>
  <c r="DC101" i="2"/>
  <c r="DA101" i="2"/>
  <c r="DB101" i="2" s="1"/>
  <c r="CZ101" i="2"/>
  <c r="CY101" i="2"/>
  <c r="CX101" i="2"/>
  <c r="CW101" i="2"/>
  <c r="CV101" i="2"/>
  <c r="CU101" i="2"/>
  <c r="CT101" i="2"/>
  <c r="CS101" i="2"/>
  <c r="CR101" i="2"/>
  <c r="CQ101" i="2"/>
  <c r="CP101" i="2"/>
  <c r="CN101" i="2"/>
  <c r="CO101" i="2" s="1"/>
  <c r="CM101" i="2"/>
  <c r="CL101" i="2"/>
  <c r="CK101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V101" i="2"/>
  <c r="BU101" i="2"/>
  <c r="BT101" i="2"/>
  <c r="BS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A101" i="2"/>
  <c r="BB101" i="2" s="1"/>
  <c r="AZ101" i="2"/>
  <c r="AY101" i="2"/>
  <c r="AX101" i="2"/>
  <c r="AW101" i="2"/>
  <c r="AV101" i="2"/>
  <c r="AU101" i="2"/>
  <c r="AT101" i="2"/>
  <c r="AS101" i="2"/>
  <c r="AR101" i="2"/>
  <c r="AQ101" i="2"/>
  <c r="AP101" i="2"/>
  <c r="AN101" i="2"/>
  <c r="AO101" i="2" s="1"/>
  <c r="AM101" i="2"/>
  <c r="AL101" i="2"/>
  <c r="AK101" i="2"/>
  <c r="AJ101" i="2"/>
  <c r="AI101" i="2"/>
  <c r="AH101" i="2"/>
  <c r="AG101" i="2"/>
  <c r="AF101" i="2"/>
  <c r="AE101" i="2"/>
  <c r="AD101" i="2"/>
  <c r="AC101" i="2"/>
  <c r="AA101" i="2"/>
  <c r="AB101" i="2" s="1"/>
  <c r="Z101" i="2"/>
  <c r="Y101" i="2"/>
  <c r="X101" i="2"/>
  <c r="W101" i="2"/>
  <c r="V101" i="2"/>
  <c r="U101" i="2"/>
  <c r="T101" i="2"/>
  <c r="S101" i="2"/>
  <c r="R101" i="2"/>
  <c r="Q101" i="2"/>
  <c r="P101" i="2"/>
  <c r="N101" i="2"/>
  <c r="O101" i="2" s="1"/>
  <c r="M101" i="2"/>
  <c r="L101" i="2"/>
  <c r="K101" i="2"/>
  <c r="J101" i="2"/>
  <c r="I101" i="2"/>
  <c r="H101" i="2"/>
  <c r="G101" i="2"/>
  <c r="F101" i="2"/>
  <c r="E101" i="2"/>
  <c r="D101" i="2"/>
  <c r="C101" i="2"/>
  <c r="FI100" i="2"/>
  <c r="FO100" i="2" s="1"/>
  <c r="FH100" i="2"/>
  <c r="FG100" i="2"/>
  <c r="FF100" i="2"/>
  <c r="FE100" i="2"/>
  <c r="FD100" i="2"/>
  <c r="FC100" i="2"/>
  <c r="FA100" i="2"/>
  <c r="FB100" i="2" s="1"/>
  <c r="EZ100" i="2"/>
  <c r="EY100" i="2"/>
  <c r="EX100" i="2"/>
  <c r="EW100" i="2"/>
  <c r="EV100" i="2"/>
  <c r="EU100" i="2"/>
  <c r="ET100" i="2"/>
  <c r="ES100" i="2"/>
  <c r="ER100" i="2"/>
  <c r="EQ100" i="2"/>
  <c r="EP100" i="2"/>
  <c r="EN100" i="2"/>
  <c r="EO100" i="2" s="1"/>
  <c r="EM100" i="2"/>
  <c r="EL100" i="2"/>
  <c r="EK100" i="2"/>
  <c r="EJ100" i="2"/>
  <c r="EI100" i="2"/>
  <c r="EH100" i="2"/>
  <c r="EG100" i="2"/>
  <c r="EF100" i="2"/>
  <c r="EE100" i="2"/>
  <c r="ED100" i="2"/>
  <c r="EC100" i="2"/>
  <c r="EA100" i="2"/>
  <c r="EB100" i="2" s="1"/>
  <c r="DZ100" i="2"/>
  <c r="DY100" i="2"/>
  <c r="DX100" i="2"/>
  <c r="DW100" i="2"/>
  <c r="DV100" i="2"/>
  <c r="DU100" i="2"/>
  <c r="DT100" i="2"/>
  <c r="DS100" i="2"/>
  <c r="DR100" i="2"/>
  <c r="DQ100" i="2"/>
  <c r="DP100" i="2"/>
  <c r="DN100" i="2"/>
  <c r="DO100" i="2" s="1"/>
  <c r="DM100" i="2"/>
  <c r="DL100" i="2"/>
  <c r="DK100" i="2"/>
  <c r="DJ100" i="2"/>
  <c r="DI100" i="2"/>
  <c r="DH100" i="2"/>
  <c r="DG100" i="2"/>
  <c r="DF100" i="2"/>
  <c r="DE100" i="2"/>
  <c r="DD100" i="2"/>
  <c r="DC100" i="2"/>
  <c r="DA100" i="2"/>
  <c r="DB100" i="2" s="1"/>
  <c r="CZ100" i="2"/>
  <c r="CY100" i="2"/>
  <c r="CX100" i="2"/>
  <c r="CW100" i="2"/>
  <c r="CV100" i="2"/>
  <c r="CU100" i="2"/>
  <c r="CT100" i="2"/>
  <c r="CS100" i="2"/>
  <c r="CR100" i="2"/>
  <c r="CQ100" i="2"/>
  <c r="CP100" i="2"/>
  <c r="CO100" i="2"/>
  <c r="CN100" i="2"/>
  <c r="CM100" i="2"/>
  <c r="CL100" i="2"/>
  <c r="CK100" i="2"/>
  <c r="CJ100" i="2"/>
  <c r="CI100" i="2"/>
  <c r="CH100" i="2"/>
  <c r="CG100" i="2"/>
  <c r="CF100" i="2"/>
  <c r="CE100" i="2"/>
  <c r="CD100" i="2"/>
  <c r="CC100" i="2"/>
  <c r="CA100" i="2"/>
  <c r="CB100" i="2" s="1"/>
  <c r="BZ100" i="2"/>
  <c r="BY100" i="2"/>
  <c r="BX100" i="2"/>
  <c r="BW100" i="2"/>
  <c r="BV100" i="2"/>
  <c r="BU100" i="2"/>
  <c r="BT100" i="2"/>
  <c r="BS100" i="2"/>
  <c r="BR100" i="2"/>
  <c r="BQ100" i="2"/>
  <c r="BP100" i="2"/>
  <c r="BN100" i="2"/>
  <c r="BO100" i="2" s="1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N100" i="2"/>
  <c r="AO100" i="2" s="1"/>
  <c r="AM100" i="2"/>
  <c r="AL100" i="2"/>
  <c r="AK100" i="2"/>
  <c r="AJ100" i="2"/>
  <c r="AI100" i="2"/>
  <c r="AH100" i="2"/>
  <c r="AG100" i="2"/>
  <c r="AF100" i="2"/>
  <c r="AE100" i="2"/>
  <c r="AD100" i="2"/>
  <c r="AC100" i="2"/>
  <c r="AA100" i="2"/>
  <c r="AB100" i="2" s="1"/>
  <c r="Z100" i="2"/>
  <c r="Y100" i="2"/>
  <c r="X100" i="2"/>
  <c r="W100" i="2"/>
  <c r="V100" i="2"/>
  <c r="U100" i="2"/>
  <c r="T100" i="2"/>
  <c r="S100" i="2"/>
  <c r="R100" i="2"/>
  <c r="Q100" i="2"/>
  <c r="P100" i="2"/>
  <c r="N100" i="2"/>
  <c r="O100" i="2" s="1"/>
  <c r="M100" i="2"/>
  <c r="L100" i="2"/>
  <c r="K100" i="2"/>
  <c r="J100" i="2"/>
  <c r="I100" i="2"/>
  <c r="H100" i="2"/>
  <c r="G100" i="2"/>
  <c r="F100" i="2"/>
  <c r="E100" i="2"/>
  <c r="D100" i="2"/>
  <c r="C100" i="2"/>
  <c r="FI99" i="2"/>
  <c r="FO99" i="2" s="1"/>
  <c r="FH99" i="2"/>
  <c r="FG99" i="2"/>
  <c r="FF99" i="2"/>
  <c r="FE99" i="2"/>
  <c r="FE117" i="2" s="1"/>
  <c r="FD99" i="2"/>
  <c r="FD117" i="2" s="1"/>
  <c r="FC99" i="2"/>
  <c r="FA99" i="2"/>
  <c r="FB99" i="2" s="1"/>
  <c r="EZ99" i="2"/>
  <c r="EY99" i="2"/>
  <c r="EX99" i="2"/>
  <c r="EW99" i="2"/>
  <c r="EV99" i="2"/>
  <c r="EU99" i="2"/>
  <c r="EU117" i="2" s="1"/>
  <c r="ET99" i="2"/>
  <c r="ES99" i="2"/>
  <c r="ES117" i="2" s="1"/>
  <c r="ER99" i="2"/>
  <c r="ER117" i="2" s="1"/>
  <c r="EQ99" i="2"/>
  <c r="EP99" i="2"/>
  <c r="EP117" i="2" s="1"/>
  <c r="EN99" i="2"/>
  <c r="EO99" i="2" s="1"/>
  <c r="EM99" i="2"/>
  <c r="EL99" i="2"/>
  <c r="EK99" i="2"/>
  <c r="EJ99" i="2"/>
  <c r="EI99" i="2"/>
  <c r="EI117" i="2" s="1"/>
  <c r="EH99" i="2"/>
  <c r="EG99" i="2"/>
  <c r="EF99" i="2"/>
  <c r="EF117" i="2" s="1"/>
  <c r="EE99" i="2"/>
  <c r="ED99" i="2"/>
  <c r="EC99" i="2"/>
  <c r="EB99" i="2"/>
  <c r="EA99" i="2"/>
  <c r="DZ99" i="2"/>
  <c r="DY99" i="2"/>
  <c r="DX99" i="2"/>
  <c r="DW99" i="2"/>
  <c r="DV99" i="2"/>
  <c r="DU99" i="2"/>
  <c r="DT99" i="2"/>
  <c r="DT117" i="2" s="1"/>
  <c r="DS99" i="2"/>
  <c r="DR99" i="2"/>
  <c r="DQ99" i="2"/>
  <c r="DP99" i="2"/>
  <c r="DN99" i="2"/>
  <c r="DO99" i="2" s="1"/>
  <c r="DM99" i="2"/>
  <c r="DL99" i="2"/>
  <c r="DK99" i="2"/>
  <c r="DK117" i="2" s="1"/>
  <c r="DJ99" i="2"/>
  <c r="DI99" i="2"/>
  <c r="DH99" i="2"/>
  <c r="DH117" i="2" s="1"/>
  <c r="DG99" i="2"/>
  <c r="DG117" i="2" s="1"/>
  <c r="DF99" i="2"/>
  <c r="DE99" i="2"/>
  <c r="DD99" i="2"/>
  <c r="DC99" i="2"/>
  <c r="DA99" i="2"/>
  <c r="DB99" i="2" s="1"/>
  <c r="CZ99" i="2"/>
  <c r="CY99" i="2"/>
  <c r="CX99" i="2"/>
  <c r="CW99" i="2"/>
  <c r="CV99" i="2"/>
  <c r="CU99" i="2"/>
  <c r="CU117" i="2" s="1"/>
  <c r="CT99" i="2"/>
  <c r="CT117" i="2" s="1"/>
  <c r="CS99" i="2"/>
  <c r="CR99" i="2"/>
  <c r="CR117" i="2" s="1"/>
  <c r="CQ99" i="2"/>
  <c r="CP99" i="2"/>
  <c r="CN99" i="2"/>
  <c r="CM99" i="2"/>
  <c r="CM117" i="2" s="1"/>
  <c r="CL99" i="2"/>
  <c r="CK99" i="2"/>
  <c r="CJ99" i="2"/>
  <c r="CI99" i="2"/>
  <c r="CI117" i="2" s="1"/>
  <c r="CH99" i="2"/>
  <c r="CH117" i="2" s="1"/>
  <c r="CG99" i="2"/>
  <c r="CF99" i="2"/>
  <c r="CF117" i="2" s="1"/>
  <c r="CE99" i="2"/>
  <c r="CD99" i="2"/>
  <c r="CC99" i="2"/>
  <c r="CA99" i="2"/>
  <c r="CA117" i="2" s="1"/>
  <c r="BZ99" i="2"/>
  <c r="BY99" i="2"/>
  <c r="BX99" i="2"/>
  <c r="BW99" i="2"/>
  <c r="BW117" i="2" s="1"/>
  <c r="BV99" i="2"/>
  <c r="BV117" i="2" s="1"/>
  <c r="BU99" i="2"/>
  <c r="BT99" i="2"/>
  <c r="BS99" i="2"/>
  <c r="BR99" i="2"/>
  <c r="BQ99" i="2"/>
  <c r="BP99" i="2"/>
  <c r="BN99" i="2"/>
  <c r="BM99" i="2"/>
  <c r="BL99" i="2"/>
  <c r="BL117" i="2" s="1"/>
  <c r="BK99" i="2"/>
  <c r="BK117" i="2" s="1"/>
  <c r="BJ99" i="2"/>
  <c r="BJ117" i="2" s="1"/>
  <c r="BI99" i="2"/>
  <c r="BI117" i="2" s="1"/>
  <c r="BH99" i="2"/>
  <c r="BG99" i="2"/>
  <c r="BF99" i="2"/>
  <c r="BE99" i="2"/>
  <c r="BD99" i="2"/>
  <c r="BC99" i="2"/>
  <c r="BC117" i="2" s="1"/>
  <c r="BB99" i="2"/>
  <c r="BA99" i="2"/>
  <c r="AZ99" i="2"/>
  <c r="AZ117" i="2" s="1"/>
  <c r="AY99" i="2"/>
  <c r="AY117" i="2" s="1"/>
  <c r="AX99" i="2"/>
  <c r="AX117" i="2" s="1"/>
  <c r="AW99" i="2"/>
  <c r="AW117" i="2" s="1"/>
  <c r="AV99" i="2"/>
  <c r="AU99" i="2"/>
  <c r="AT99" i="2"/>
  <c r="AS99" i="2"/>
  <c r="AR99" i="2"/>
  <c r="AQ99" i="2"/>
  <c r="AQ117" i="2" s="1"/>
  <c r="AP99" i="2"/>
  <c r="AN99" i="2"/>
  <c r="AN117" i="2" s="1"/>
  <c r="AM99" i="2"/>
  <c r="AM117" i="2" s="1"/>
  <c r="AL99" i="2"/>
  <c r="AL117" i="2" s="1"/>
  <c r="AK99" i="2"/>
  <c r="AK117" i="2" s="1"/>
  <c r="AJ99" i="2"/>
  <c r="AI99" i="2"/>
  <c r="AH99" i="2"/>
  <c r="AG99" i="2"/>
  <c r="AF99" i="2"/>
  <c r="AE99" i="2"/>
  <c r="AE117" i="2" s="1"/>
  <c r="AD99" i="2"/>
  <c r="AC99" i="2"/>
  <c r="AA99" i="2"/>
  <c r="AB99" i="2" s="1"/>
  <c r="Z99" i="2"/>
  <c r="Y99" i="2"/>
  <c r="X99" i="2"/>
  <c r="X117" i="2" s="1"/>
  <c r="W99" i="2"/>
  <c r="V99" i="2"/>
  <c r="U99" i="2"/>
  <c r="T99" i="2"/>
  <c r="S99" i="2"/>
  <c r="R99" i="2"/>
  <c r="Q99" i="2"/>
  <c r="P99" i="2"/>
  <c r="N99" i="2"/>
  <c r="M99" i="2"/>
  <c r="L99" i="2"/>
  <c r="K99" i="2"/>
  <c r="K117" i="2" s="1"/>
  <c r="J99" i="2"/>
  <c r="I99" i="2"/>
  <c r="H99" i="2"/>
  <c r="G99" i="2"/>
  <c r="G117" i="2" s="1"/>
  <c r="F99" i="2"/>
  <c r="E99" i="2"/>
  <c r="E117" i="2" s="1"/>
  <c r="D99" i="2"/>
  <c r="C99" i="2"/>
  <c r="FN95" i="2"/>
  <c r="FM95" i="2"/>
  <c r="FL95" i="2"/>
  <c r="FK95" i="2"/>
  <c r="FJ95" i="2"/>
  <c r="FI94" i="2"/>
  <c r="FO94" i="2" s="1"/>
  <c r="FH94" i="2"/>
  <c r="FG94" i="2"/>
  <c r="FF94" i="2"/>
  <c r="FE94" i="2"/>
  <c r="FD94" i="2"/>
  <c r="FC94" i="2"/>
  <c r="FA94" i="2"/>
  <c r="FB94" i="2" s="1"/>
  <c r="EZ94" i="2"/>
  <c r="EY94" i="2"/>
  <c r="EX94" i="2"/>
  <c r="EW94" i="2"/>
  <c r="EV94" i="2"/>
  <c r="EU94" i="2"/>
  <c r="ET94" i="2"/>
  <c r="ES94" i="2"/>
  <c r="ER94" i="2"/>
  <c r="EQ94" i="2"/>
  <c r="EP94" i="2"/>
  <c r="EN94" i="2"/>
  <c r="EO94" i="2" s="1"/>
  <c r="EM94" i="2"/>
  <c r="EL94" i="2"/>
  <c r="EK94" i="2"/>
  <c r="EJ94" i="2"/>
  <c r="EI94" i="2"/>
  <c r="EH94" i="2"/>
  <c r="EG94" i="2"/>
  <c r="EF94" i="2"/>
  <c r="EE94" i="2"/>
  <c r="ED94" i="2"/>
  <c r="EC94" i="2"/>
  <c r="EA94" i="2"/>
  <c r="EB94" i="2" s="1"/>
  <c r="DZ94" i="2"/>
  <c r="DY94" i="2"/>
  <c r="DX94" i="2"/>
  <c r="DW94" i="2"/>
  <c r="DV94" i="2"/>
  <c r="DU94" i="2"/>
  <c r="DT94" i="2"/>
  <c r="DS94" i="2"/>
  <c r="DR94" i="2"/>
  <c r="DQ94" i="2"/>
  <c r="DP94" i="2"/>
  <c r="DO94" i="2"/>
  <c r="DN94" i="2"/>
  <c r="DM94" i="2"/>
  <c r="DL94" i="2"/>
  <c r="DK94" i="2"/>
  <c r="DJ94" i="2"/>
  <c r="DI94" i="2"/>
  <c r="DH94" i="2"/>
  <c r="DG94" i="2"/>
  <c r="DF94" i="2"/>
  <c r="DE94" i="2"/>
  <c r="DD94" i="2"/>
  <c r="DC94" i="2"/>
  <c r="DB94" i="2"/>
  <c r="DA94" i="2"/>
  <c r="CZ94" i="2"/>
  <c r="CY94" i="2"/>
  <c r="CX94" i="2"/>
  <c r="CW94" i="2"/>
  <c r="CV94" i="2"/>
  <c r="CU94" i="2"/>
  <c r="CT94" i="2"/>
  <c r="CS94" i="2"/>
  <c r="CR94" i="2"/>
  <c r="CQ94" i="2"/>
  <c r="CP94" i="2"/>
  <c r="CN94" i="2"/>
  <c r="CO94" i="2" s="1"/>
  <c r="CM94" i="2"/>
  <c r="CL94" i="2"/>
  <c r="CK94" i="2"/>
  <c r="CJ94" i="2"/>
  <c r="CI94" i="2"/>
  <c r="CH94" i="2"/>
  <c r="CG94" i="2"/>
  <c r="CF94" i="2"/>
  <c r="CE94" i="2"/>
  <c r="CD94" i="2"/>
  <c r="CC94" i="2"/>
  <c r="CA94" i="2"/>
  <c r="CB94" i="2" s="1"/>
  <c r="BZ94" i="2"/>
  <c r="BY94" i="2"/>
  <c r="BX94" i="2"/>
  <c r="BW94" i="2"/>
  <c r="BV94" i="2"/>
  <c r="BU94" i="2"/>
  <c r="BT94" i="2"/>
  <c r="BS94" i="2"/>
  <c r="BR94" i="2"/>
  <c r="BQ94" i="2"/>
  <c r="BP94" i="2"/>
  <c r="BN94" i="2"/>
  <c r="BO94" i="2" s="1"/>
  <c r="BM94" i="2"/>
  <c r="BL94" i="2"/>
  <c r="BK94" i="2"/>
  <c r="BJ94" i="2"/>
  <c r="BI94" i="2"/>
  <c r="BH94" i="2"/>
  <c r="BG94" i="2"/>
  <c r="BF94" i="2"/>
  <c r="BE94" i="2"/>
  <c r="BD94" i="2"/>
  <c r="BC94" i="2"/>
  <c r="BA94" i="2"/>
  <c r="BB94" i="2" s="1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A94" i="2"/>
  <c r="AB94" i="2" s="1"/>
  <c r="Z94" i="2"/>
  <c r="Y94" i="2"/>
  <c r="X94" i="2"/>
  <c r="W94" i="2"/>
  <c r="V94" i="2"/>
  <c r="U94" i="2"/>
  <c r="T94" i="2"/>
  <c r="S94" i="2"/>
  <c r="R94" i="2"/>
  <c r="Q94" i="2"/>
  <c r="P94" i="2"/>
  <c r="N94" i="2"/>
  <c r="O94" i="2" s="1"/>
  <c r="M94" i="2"/>
  <c r="L94" i="2"/>
  <c r="K94" i="2"/>
  <c r="J94" i="2"/>
  <c r="I94" i="2"/>
  <c r="H94" i="2"/>
  <c r="G94" i="2"/>
  <c r="F94" i="2"/>
  <c r="E94" i="2"/>
  <c r="D94" i="2"/>
  <c r="C94" i="2"/>
  <c r="FI93" i="2"/>
  <c r="FO93" i="2" s="1"/>
  <c r="FH93" i="2"/>
  <c r="FG93" i="2"/>
  <c r="FF93" i="2"/>
  <c r="FE93" i="2"/>
  <c r="FD93" i="2"/>
  <c r="FC93" i="2"/>
  <c r="FB93" i="2"/>
  <c r="FA93" i="2"/>
  <c r="EZ93" i="2"/>
  <c r="EY93" i="2"/>
  <c r="EX93" i="2"/>
  <c r="EW93" i="2"/>
  <c r="EV93" i="2"/>
  <c r="EU93" i="2"/>
  <c r="ET93" i="2"/>
  <c r="ES93" i="2"/>
  <c r="ER93" i="2"/>
  <c r="EQ93" i="2"/>
  <c r="EP93" i="2"/>
  <c r="EN93" i="2"/>
  <c r="EO93" i="2" s="1"/>
  <c r="EM93" i="2"/>
  <c r="EL93" i="2"/>
  <c r="EK93" i="2"/>
  <c r="EJ93" i="2"/>
  <c r="EI93" i="2"/>
  <c r="EH93" i="2"/>
  <c r="EG93" i="2"/>
  <c r="EF93" i="2"/>
  <c r="EE93" i="2"/>
  <c r="ED93" i="2"/>
  <c r="EC93" i="2"/>
  <c r="EA93" i="2"/>
  <c r="EB93" i="2" s="1"/>
  <c r="DZ93" i="2"/>
  <c r="DY93" i="2"/>
  <c r="DX93" i="2"/>
  <c r="DW93" i="2"/>
  <c r="DV93" i="2"/>
  <c r="DU93" i="2"/>
  <c r="DT93" i="2"/>
  <c r="DS93" i="2"/>
  <c r="DR93" i="2"/>
  <c r="DQ93" i="2"/>
  <c r="DP93" i="2"/>
  <c r="DN93" i="2"/>
  <c r="DO93" i="2" s="1"/>
  <c r="DM93" i="2"/>
  <c r="DL93" i="2"/>
  <c r="DK93" i="2"/>
  <c r="DJ93" i="2"/>
  <c r="DI93" i="2"/>
  <c r="DH93" i="2"/>
  <c r="DG93" i="2"/>
  <c r="DF93" i="2"/>
  <c r="DE93" i="2"/>
  <c r="DD93" i="2"/>
  <c r="DC93" i="2"/>
  <c r="DA93" i="2"/>
  <c r="DB93" i="2" s="1"/>
  <c r="CZ93" i="2"/>
  <c r="CY93" i="2"/>
  <c r="CX93" i="2"/>
  <c r="CW93" i="2"/>
  <c r="CV93" i="2"/>
  <c r="CU93" i="2"/>
  <c r="CT93" i="2"/>
  <c r="CS93" i="2"/>
  <c r="CR93" i="2"/>
  <c r="CQ93" i="2"/>
  <c r="CP93" i="2"/>
  <c r="CN93" i="2"/>
  <c r="CO93" i="2" s="1"/>
  <c r="CM93" i="2"/>
  <c r="CL93" i="2"/>
  <c r="CK93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N93" i="2"/>
  <c r="BO93" i="2" s="1"/>
  <c r="BM93" i="2"/>
  <c r="BL93" i="2"/>
  <c r="BK93" i="2"/>
  <c r="BJ93" i="2"/>
  <c r="BI93" i="2"/>
  <c r="BH93" i="2"/>
  <c r="BG93" i="2"/>
  <c r="BF93" i="2"/>
  <c r="BE93" i="2"/>
  <c r="BD93" i="2"/>
  <c r="BC93" i="2"/>
  <c r="BA93" i="2"/>
  <c r="BB93" i="2" s="1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A93" i="2"/>
  <c r="AB93" i="2" s="1"/>
  <c r="Z93" i="2"/>
  <c r="Y93" i="2"/>
  <c r="X93" i="2"/>
  <c r="W93" i="2"/>
  <c r="V93" i="2"/>
  <c r="U93" i="2"/>
  <c r="T93" i="2"/>
  <c r="S93" i="2"/>
  <c r="R93" i="2"/>
  <c r="Q93" i="2"/>
  <c r="P93" i="2"/>
  <c r="N93" i="2"/>
  <c r="O93" i="2" s="1"/>
  <c r="M93" i="2"/>
  <c r="L93" i="2"/>
  <c r="K93" i="2"/>
  <c r="J93" i="2"/>
  <c r="I93" i="2"/>
  <c r="H93" i="2"/>
  <c r="G93" i="2"/>
  <c r="F93" i="2"/>
  <c r="E93" i="2"/>
  <c r="D93" i="2"/>
  <c r="C93" i="2"/>
  <c r="FI92" i="2"/>
  <c r="FO92" i="2" s="1"/>
  <c r="FH92" i="2"/>
  <c r="FG92" i="2"/>
  <c r="FF92" i="2"/>
  <c r="FE92" i="2"/>
  <c r="FD92" i="2"/>
  <c r="FC92" i="2"/>
  <c r="FA92" i="2"/>
  <c r="FB92" i="2" s="1"/>
  <c r="EZ92" i="2"/>
  <c r="EY92" i="2"/>
  <c r="EX92" i="2"/>
  <c r="EW92" i="2"/>
  <c r="EV92" i="2"/>
  <c r="EU92" i="2"/>
  <c r="ET92" i="2"/>
  <c r="ES92" i="2"/>
  <c r="ER92" i="2"/>
  <c r="EQ92" i="2"/>
  <c r="EP92" i="2"/>
  <c r="EO92" i="2"/>
  <c r="EN92" i="2"/>
  <c r="EM92" i="2"/>
  <c r="EL92" i="2"/>
  <c r="EK92" i="2"/>
  <c r="EJ92" i="2"/>
  <c r="EI92" i="2"/>
  <c r="EH92" i="2"/>
  <c r="EG92" i="2"/>
  <c r="EF92" i="2"/>
  <c r="EE92" i="2"/>
  <c r="ED92" i="2"/>
  <c r="EC92" i="2"/>
  <c r="EA92" i="2"/>
  <c r="EB92" i="2" s="1"/>
  <c r="DZ92" i="2"/>
  <c r="DY92" i="2"/>
  <c r="DX92" i="2"/>
  <c r="DW92" i="2"/>
  <c r="DV92" i="2"/>
  <c r="DU92" i="2"/>
  <c r="DT92" i="2"/>
  <c r="DS92" i="2"/>
  <c r="DR92" i="2"/>
  <c r="DQ92" i="2"/>
  <c r="DP92" i="2"/>
  <c r="DN92" i="2"/>
  <c r="DO92" i="2" s="1"/>
  <c r="DM92" i="2"/>
  <c r="DL92" i="2"/>
  <c r="DK92" i="2"/>
  <c r="DJ92" i="2"/>
  <c r="DI92" i="2"/>
  <c r="DH92" i="2"/>
  <c r="DG92" i="2"/>
  <c r="DF92" i="2"/>
  <c r="DE92" i="2"/>
  <c r="DD92" i="2"/>
  <c r="DC92" i="2"/>
  <c r="DB92" i="2"/>
  <c r="DA92" i="2"/>
  <c r="CZ92" i="2"/>
  <c r="CY92" i="2"/>
  <c r="CX92" i="2"/>
  <c r="CW92" i="2"/>
  <c r="CV92" i="2"/>
  <c r="CU92" i="2"/>
  <c r="CT92" i="2"/>
  <c r="CS92" i="2"/>
  <c r="CR92" i="2"/>
  <c r="CQ92" i="2"/>
  <c r="CP92" i="2"/>
  <c r="CN92" i="2"/>
  <c r="CO92" i="2" s="1"/>
  <c r="CM92" i="2"/>
  <c r="CL92" i="2"/>
  <c r="CK92" i="2"/>
  <c r="CJ92" i="2"/>
  <c r="CI92" i="2"/>
  <c r="CH92" i="2"/>
  <c r="CG92" i="2"/>
  <c r="CF92" i="2"/>
  <c r="CE92" i="2"/>
  <c r="CD92" i="2"/>
  <c r="CC92" i="2"/>
  <c r="CA92" i="2"/>
  <c r="CB92" i="2" s="1"/>
  <c r="BZ92" i="2"/>
  <c r="BY92" i="2"/>
  <c r="BX92" i="2"/>
  <c r="BW92" i="2"/>
  <c r="BV92" i="2"/>
  <c r="BU92" i="2"/>
  <c r="BT92" i="2"/>
  <c r="BS92" i="2"/>
  <c r="BR92" i="2"/>
  <c r="BQ92" i="2"/>
  <c r="BP92" i="2"/>
  <c r="BN92" i="2"/>
  <c r="BO92" i="2" s="1"/>
  <c r="BM92" i="2"/>
  <c r="BL92" i="2"/>
  <c r="BK92" i="2"/>
  <c r="BJ92" i="2"/>
  <c r="BI92" i="2"/>
  <c r="BH92" i="2"/>
  <c r="BG92" i="2"/>
  <c r="BF92" i="2"/>
  <c r="BE92" i="2"/>
  <c r="BD92" i="2"/>
  <c r="BC92" i="2"/>
  <c r="BA92" i="2"/>
  <c r="BB92" i="2" s="1"/>
  <c r="AZ92" i="2"/>
  <c r="AY92" i="2"/>
  <c r="AX92" i="2"/>
  <c r="AW92" i="2"/>
  <c r="AV92" i="2"/>
  <c r="AU92" i="2"/>
  <c r="AT92" i="2"/>
  <c r="AS92" i="2"/>
  <c r="AR92" i="2"/>
  <c r="AQ92" i="2"/>
  <c r="AP92" i="2"/>
  <c r="AN92" i="2"/>
  <c r="AO92" i="2" s="1"/>
  <c r="AM92" i="2"/>
  <c r="AL92" i="2"/>
  <c r="AK92" i="2"/>
  <c r="AJ92" i="2"/>
  <c r="AI92" i="2"/>
  <c r="AH92" i="2"/>
  <c r="AG92" i="2"/>
  <c r="AF92" i="2"/>
  <c r="AE92" i="2"/>
  <c r="AD92" i="2"/>
  <c r="AC92" i="2"/>
  <c r="AA92" i="2"/>
  <c r="AB92" i="2" s="1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FI91" i="2"/>
  <c r="FO91" i="2" s="1"/>
  <c r="FH91" i="2"/>
  <c r="FG91" i="2"/>
  <c r="FF91" i="2"/>
  <c r="FE91" i="2"/>
  <c r="FD91" i="2"/>
  <c r="FC91" i="2"/>
  <c r="FA91" i="2"/>
  <c r="FB91" i="2" s="1"/>
  <c r="EZ91" i="2"/>
  <c r="EY91" i="2"/>
  <c r="EX91" i="2"/>
  <c r="EW91" i="2"/>
  <c r="EV91" i="2"/>
  <c r="EU91" i="2"/>
  <c r="ET91" i="2"/>
  <c r="ES91" i="2"/>
  <c r="ER91" i="2"/>
  <c r="EQ91" i="2"/>
  <c r="EP91" i="2"/>
  <c r="EN91" i="2"/>
  <c r="EO91" i="2" s="1"/>
  <c r="EM91" i="2"/>
  <c r="EL91" i="2"/>
  <c r="EK91" i="2"/>
  <c r="EJ91" i="2"/>
  <c r="EI91" i="2"/>
  <c r="EH91" i="2"/>
  <c r="EG91" i="2"/>
  <c r="EF91" i="2"/>
  <c r="EE91" i="2"/>
  <c r="ED91" i="2"/>
  <c r="EC91" i="2"/>
  <c r="EA91" i="2"/>
  <c r="EB91" i="2" s="1"/>
  <c r="DZ91" i="2"/>
  <c r="DY91" i="2"/>
  <c r="DX91" i="2"/>
  <c r="DW91" i="2"/>
  <c r="DV91" i="2"/>
  <c r="DU91" i="2"/>
  <c r="DT91" i="2"/>
  <c r="DS91" i="2"/>
  <c r="DR91" i="2"/>
  <c r="DQ91" i="2"/>
  <c r="DP91" i="2"/>
  <c r="DN91" i="2"/>
  <c r="DO91" i="2" s="1"/>
  <c r="DM91" i="2"/>
  <c r="DL91" i="2"/>
  <c r="DK91" i="2"/>
  <c r="DJ91" i="2"/>
  <c r="DI91" i="2"/>
  <c r="DH91" i="2"/>
  <c r="DG91" i="2"/>
  <c r="DF91" i="2"/>
  <c r="DE91" i="2"/>
  <c r="DD91" i="2"/>
  <c r="DC91" i="2"/>
  <c r="DA91" i="2"/>
  <c r="DB91" i="2" s="1"/>
  <c r="CZ91" i="2"/>
  <c r="CY91" i="2"/>
  <c r="CX91" i="2"/>
  <c r="CW91" i="2"/>
  <c r="CV91" i="2"/>
  <c r="CU91" i="2"/>
  <c r="CT91" i="2"/>
  <c r="CS91" i="2"/>
  <c r="CR91" i="2"/>
  <c r="CQ91" i="2"/>
  <c r="CP91" i="2"/>
  <c r="CN91" i="2"/>
  <c r="CO91" i="2" s="1"/>
  <c r="CM91" i="2"/>
  <c r="CL91" i="2"/>
  <c r="CK91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N91" i="2"/>
  <c r="BO91" i="2" s="1"/>
  <c r="BM91" i="2"/>
  <c r="BL91" i="2"/>
  <c r="BK91" i="2"/>
  <c r="BJ91" i="2"/>
  <c r="BI91" i="2"/>
  <c r="BH91" i="2"/>
  <c r="BG91" i="2"/>
  <c r="BF91" i="2"/>
  <c r="BE91" i="2"/>
  <c r="BD91" i="2"/>
  <c r="BC91" i="2"/>
  <c r="BA91" i="2"/>
  <c r="BB91" i="2" s="1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A91" i="2"/>
  <c r="AB91" i="2" s="1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FI90" i="2"/>
  <c r="FO90" i="2" s="1"/>
  <c r="FH90" i="2"/>
  <c r="FG90" i="2"/>
  <c r="FF90" i="2"/>
  <c r="FE90" i="2"/>
  <c r="FD90" i="2"/>
  <c r="FC90" i="2"/>
  <c r="FA90" i="2"/>
  <c r="FB90" i="2" s="1"/>
  <c r="EZ90" i="2"/>
  <c r="EY90" i="2"/>
  <c r="EX90" i="2"/>
  <c r="EW90" i="2"/>
  <c r="EV90" i="2"/>
  <c r="EU90" i="2"/>
  <c r="ET90" i="2"/>
  <c r="ES90" i="2"/>
  <c r="ER90" i="2"/>
  <c r="EQ90" i="2"/>
  <c r="EP90" i="2"/>
  <c r="EO90" i="2"/>
  <c r="EN90" i="2"/>
  <c r="EM90" i="2"/>
  <c r="EL90" i="2"/>
  <c r="EK90" i="2"/>
  <c r="EJ90" i="2"/>
  <c r="EI90" i="2"/>
  <c r="EH90" i="2"/>
  <c r="EG90" i="2"/>
  <c r="EF90" i="2"/>
  <c r="EE90" i="2"/>
  <c r="ED90" i="2"/>
  <c r="EC90" i="2"/>
  <c r="EA90" i="2"/>
  <c r="EB90" i="2" s="1"/>
  <c r="DZ90" i="2"/>
  <c r="DY90" i="2"/>
  <c r="DX90" i="2"/>
  <c r="DW90" i="2"/>
  <c r="DV90" i="2"/>
  <c r="DU90" i="2"/>
  <c r="DT90" i="2"/>
  <c r="DS90" i="2"/>
  <c r="DR90" i="2"/>
  <c r="DQ90" i="2"/>
  <c r="DP90" i="2"/>
  <c r="DN90" i="2"/>
  <c r="DO90" i="2" s="1"/>
  <c r="DM90" i="2"/>
  <c r="DL90" i="2"/>
  <c r="DK90" i="2"/>
  <c r="DJ90" i="2"/>
  <c r="DI90" i="2"/>
  <c r="DH90" i="2"/>
  <c r="DG90" i="2"/>
  <c r="DF90" i="2"/>
  <c r="DE90" i="2"/>
  <c r="DD90" i="2"/>
  <c r="DC90" i="2"/>
  <c r="DA90" i="2"/>
  <c r="DB90" i="2" s="1"/>
  <c r="CZ90" i="2"/>
  <c r="CY90" i="2"/>
  <c r="CX90" i="2"/>
  <c r="CW90" i="2"/>
  <c r="CV90" i="2"/>
  <c r="CU90" i="2"/>
  <c r="CT90" i="2"/>
  <c r="CS90" i="2"/>
  <c r="CR90" i="2"/>
  <c r="CQ90" i="2"/>
  <c r="CP90" i="2"/>
  <c r="CN90" i="2"/>
  <c r="CO90" i="2" s="1"/>
  <c r="CM90" i="2"/>
  <c r="CL90" i="2"/>
  <c r="CK90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N90" i="2"/>
  <c r="BO90" i="2" s="1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N90" i="2"/>
  <c r="AO90" i="2" s="1"/>
  <c r="AM90" i="2"/>
  <c r="AL90" i="2"/>
  <c r="AK90" i="2"/>
  <c r="AJ90" i="2"/>
  <c r="AI90" i="2"/>
  <c r="AH90" i="2"/>
  <c r="AG90" i="2"/>
  <c r="AF90" i="2"/>
  <c r="AE90" i="2"/>
  <c r="AD90" i="2"/>
  <c r="AC90" i="2"/>
  <c r="AA90" i="2"/>
  <c r="AB90" i="2" s="1"/>
  <c r="Z90" i="2"/>
  <c r="Y90" i="2"/>
  <c r="X90" i="2"/>
  <c r="W90" i="2"/>
  <c r="V90" i="2"/>
  <c r="U90" i="2"/>
  <c r="T90" i="2"/>
  <c r="S90" i="2"/>
  <c r="R90" i="2"/>
  <c r="Q90" i="2"/>
  <c r="P90" i="2"/>
  <c r="N90" i="2"/>
  <c r="O90" i="2" s="1"/>
  <c r="M90" i="2"/>
  <c r="L90" i="2"/>
  <c r="K90" i="2"/>
  <c r="J90" i="2"/>
  <c r="I90" i="2"/>
  <c r="H90" i="2"/>
  <c r="G90" i="2"/>
  <c r="F90" i="2"/>
  <c r="E90" i="2"/>
  <c r="D90" i="2"/>
  <c r="C90" i="2"/>
  <c r="FO89" i="2"/>
  <c r="FI89" i="2"/>
  <c r="FH89" i="2"/>
  <c r="FG89" i="2"/>
  <c r="FF89" i="2"/>
  <c r="FE89" i="2"/>
  <c r="FD89" i="2"/>
  <c r="FC89" i="2"/>
  <c r="FA89" i="2"/>
  <c r="FB89" i="2" s="1"/>
  <c r="EZ89" i="2"/>
  <c r="EY89" i="2"/>
  <c r="EX89" i="2"/>
  <c r="EW89" i="2"/>
  <c r="EV89" i="2"/>
  <c r="EU89" i="2"/>
  <c r="ET89" i="2"/>
  <c r="ES89" i="2"/>
  <c r="ER89" i="2"/>
  <c r="EQ89" i="2"/>
  <c r="EP89" i="2"/>
  <c r="EO89" i="2"/>
  <c r="EN89" i="2"/>
  <c r="EM89" i="2"/>
  <c r="EL89" i="2"/>
  <c r="EK89" i="2"/>
  <c r="EJ89" i="2"/>
  <c r="EI89" i="2"/>
  <c r="EH89" i="2"/>
  <c r="EG89" i="2"/>
  <c r="EF89" i="2"/>
  <c r="EE89" i="2"/>
  <c r="ED89" i="2"/>
  <c r="EC89" i="2"/>
  <c r="EB89" i="2"/>
  <c r="EA89" i="2"/>
  <c r="DZ89" i="2"/>
  <c r="DY89" i="2"/>
  <c r="DX89" i="2"/>
  <c r="DW89" i="2"/>
  <c r="DV89" i="2"/>
  <c r="DU89" i="2"/>
  <c r="DT89" i="2"/>
  <c r="DS89" i="2"/>
  <c r="DR89" i="2"/>
  <c r="DQ89" i="2"/>
  <c r="DP89" i="2"/>
  <c r="DN89" i="2"/>
  <c r="DO89" i="2" s="1"/>
  <c r="DM89" i="2"/>
  <c r="DL89" i="2"/>
  <c r="DK89" i="2"/>
  <c r="DJ89" i="2"/>
  <c r="DI89" i="2"/>
  <c r="DH89" i="2"/>
  <c r="DG89" i="2"/>
  <c r="DF89" i="2"/>
  <c r="DE89" i="2"/>
  <c r="DD89" i="2"/>
  <c r="DC89" i="2"/>
  <c r="DA89" i="2"/>
  <c r="DB89" i="2" s="1"/>
  <c r="CZ89" i="2"/>
  <c r="CY89" i="2"/>
  <c r="CX89" i="2"/>
  <c r="CW89" i="2"/>
  <c r="CV89" i="2"/>
  <c r="CU89" i="2"/>
  <c r="CT89" i="2"/>
  <c r="CS89" i="2"/>
  <c r="CR89" i="2"/>
  <c r="CQ89" i="2"/>
  <c r="CP89" i="2"/>
  <c r="CN89" i="2"/>
  <c r="CO89" i="2" s="1"/>
  <c r="CM89" i="2"/>
  <c r="CL89" i="2"/>
  <c r="CK89" i="2"/>
  <c r="CJ89" i="2"/>
  <c r="CI89" i="2"/>
  <c r="CH89" i="2"/>
  <c r="CG89" i="2"/>
  <c r="CF89" i="2"/>
  <c r="CE89" i="2"/>
  <c r="CD89" i="2"/>
  <c r="CC89" i="2"/>
  <c r="CA89" i="2"/>
  <c r="CB89" i="2" s="1"/>
  <c r="BZ89" i="2"/>
  <c r="BY89" i="2"/>
  <c r="BX89" i="2"/>
  <c r="BW89" i="2"/>
  <c r="BV89" i="2"/>
  <c r="BU89" i="2"/>
  <c r="BT89" i="2"/>
  <c r="BS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A89" i="2"/>
  <c r="BB89" i="2" s="1"/>
  <c r="AZ89" i="2"/>
  <c r="AY89" i="2"/>
  <c r="AX89" i="2"/>
  <c r="AW89" i="2"/>
  <c r="AV89" i="2"/>
  <c r="AU89" i="2"/>
  <c r="AT89" i="2"/>
  <c r="AS89" i="2"/>
  <c r="AR89" i="2"/>
  <c r="AQ89" i="2"/>
  <c r="AP89" i="2"/>
  <c r="AN89" i="2"/>
  <c r="AO89" i="2" s="1"/>
  <c r="AM89" i="2"/>
  <c r="AL89" i="2"/>
  <c r="AK89" i="2"/>
  <c r="AJ89" i="2"/>
  <c r="AI89" i="2"/>
  <c r="AH89" i="2"/>
  <c r="AG89" i="2"/>
  <c r="AF89" i="2"/>
  <c r="AE89" i="2"/>
  <c r="AD89" i="2"/>
  <c r="AC89" i="2"/>
  <c r="AA89" i="2"/>
  <c r="AB89" i="2" s="1"/>
  <c r="Z89" i="2"/>
  <c r="Y89" i="2"/>
  <c r="X89" i="2"/>
  <c r="W89" i="2"/>
  <c r="V89" i="2"/>
  <c r="U89" i="2"/>
  <c r="T89" i="2"/>
  <c r="S89" i="2"/>
  <c r="R89" i="2"/>
  <c r="Q89" i="2"/>
  <c r="P89" i="2"/>
  <c r="N89" i="2"/>
  <c r="O89" i="2" s="1"/>
  <c r="M89" i="2"/>
  <c r="L89" i="2"/>
  <c r="K89" i="2"/>
  <c r="J89" i="2"/>
  <c r="I89" i="2"/>
  <c r="H89" i="2"/>
  <c r="G89" i="2"/>
  <c r="F89" i="2"/>
  <c r="E89" i="2"/>
  <c r="D89" i="2"/>
  <c r="C89" i="2"/>
  <c r="FI88" i="2"/>
  <c r="FO88" i="2" s="1"/>
  <c r="FH88" i="2"/>
  <c r="FG88" i="2"/>
  <c r="FF88" i="2"/>
  <c r="FE88" i="2"/>
  <c r="FD88" i="2"/>
  <c r="FC88" i="2"/>
  <c r="FA88" i="2"/>
  <c r="FB88" i="2" s="1"/>
  <c r="EZ88" i="2"/>
  <c r="EY88" i="2"/>
  <c r="EX88" i="2"/>
  <c r="EW88" i="2"/>
  <c r="EV88" i="2"/>
  <c r="EU88" i="2"/>
  <c r="ET88" i="2"/>
  <c r="ES88" i="2"/>
  <c r="ER88" i="2"/>
  <c r="EQ88" i="2"/>
  <c r="EP88" i="2"/>
  <c r="EN88" i="2"/>
  <c r="EO88" i="2" s="1"/>
  <c r="EM88" i="2"/>
  <c r="EL88" i="2"/>
  <c r="EK88" i="2"/>
  <c r="EJ88" i="2"/>
  <c r="EI88" i="2"/>
  <c r="EH88" i="2"/>
  <c r="EG88" i="2"/>
  <c r="EF88" i="2"/>
  <c r="EE88" i="2"/>
  <c r="ED88" i="2"/>
  <c r="EC88" i="2"/>
  <c r="EA88" i="2"/>
  <c r="EB88" i="2" s="1"/>
  <c r="DZ88" i="2"/>
  <c r="DY88" i="2"/>
  <c r="DX88" i="2"/>
  <c r="DW88" i="2"/>
  <c r="DV88" i="2"/>
  <c r="DU88" i="2"/>
  <c r="DT88" i="2"/>
  <c r="DS88" i="2"/>
  <c r="DR88" i="2"/>
  <c r="DQ88" i="2"/>
  <c r="DP88" i="2"/>
  <c r="DN88" i="2"/>
  <c r="DO88" i="2" s="1"/>
  <c r="DM88" i="2"/>
  <c r="DL88" i="2"/>
  <c r="DK88" i="2"/>
  <c r="DJ88" i="2"/>
  <c r="DI88" i="2"/>
  <c r="DH88" i="2"/>
  <c r="DG88" i="2"/>
  <c r="DF88" i="2"/>
  <c r="DE88" i="2"/>
  <c r="DD88" i="2"/>
  <c r="DC88" i="2"/>
  <c r="DA88" i="2"/>
  <c r="DB88" i="2" s="1"/>
  <c r="CZ88" i="2"/>
  <c r="CY88" i="2"/>
  <c r="CX88" i="2"/>
  <c r="CW88" i="2"/>
  <c r="CV88" i="2"/>
  <c r="CU88" i="2"/>
  <c r="CT88" i="2"/>
  <c r="CS88" i="2"/>
  <c r="CR88" i="2"/>
  <c r="CQ88" i="2"/>
  <c r="CP88" i="2"/>
  <c r="CO88" i="2"/>
  <c r="CN88" i="2"/>
  <c r="CM88" i="2"/>
  <c r="CL88" i="2"/>
  <c r="CK88" i="2"/>
  <c r="CJ88" i="2"/>
  <c r="CI88" i="2"/>
  <c r="CH88" i="2"/>
  <c r="CG88" i="2"/>
  <c r="CF88" i="2"/>
  <c r="CE88" i="2"/>
  <c r="CD88" i="2"/>
  <c r="CC88" i="2"/>
  <c r="CA88" i="2"/>
  <c r="CB88" i="2" s="1"/>
  <c r="BZ88" i="2"/>
  <c r="BY88" i="2"/>
  <c r="BX88" i="2"/>
  <c r="BW88" i="2"/>
  <c r="BV88" i="2"/>
  <c r="BU88" i="2"/>
  <c r="BT88" i="2"/>
  <c r="BS88" i="2"/>
  <c r="BR88" i="2"/>
  <c r="BQ88" i="2"/>
  <c r="BP88" i="2"/>
  <c r="BN88" i="2"/>
  <c r="BO88" i="2" s="1"/>
  <c r="BM88" i="2"/>
  <c r="BL88" i="2"/>
  <c r="BK88" i="2"/>
  <c r="BJ88" i="2"/>
  <c r="BI88" i="2"/>
  <c r="BH88" i="2"/>
  <c r="BG88" i="2"/>
  <c r="BF88" i="2"/>
  <c r="BE88" i="2"/>
  <c r="BD88" i="2"/>
  <c r="BC88" i="2"/>
  <c r="BA88" i="2"/>
  <c r="BB88" i="2" s="1"/>
  <c r="AZ88" i="2"/>
  <c r="AY88" i="2"/>
  <c r="AX88" i="2"/>
  <c r="AW88" i="2"/>
  <c r="AV88" i="2"/>
  <c r="AU88" i="2"/>
  <c r="AT88" i="2"/>
  <c r="AS88" i="2"/>
  <c r="AR88" i="2"/>
  <c r="AQ88" i="2"/>
  <c r="AP88" i="2"/>
  <c r="AN88" i="2"/>
  <c r="AO88" i="2" s="1"/>
  <c r="AM88" i="2"/>
  <c r="AL88" i="2"/>
  <c r="AK88" i="2"/>
  <c r="AJ88" i="2"/>
  <c r="AI88" i="2"/>
  <c r="AH88" i="2"/>
  <c r="AG88" i="2"/>
  <c r="AF88" i="2"/>
  <c r="AE88" i="2"/>
  <c r="AD88" i="2"/>
  <c r="AC88" i="2"/>
  <c r="AA88" i="2"/>
  <c r="AB88" i="2" s="1"/>
  <c r="Z88" i="2"/>
  <c r="Y88" i="2"/>
  <c r="X88" i="2"/>
  <c r="W88" i="2"/>
  <c r="V88" i="2"/>
  <c r="U88" i="2"/>
  <c r="T88" i="2"/>
  <c r="S88" i="2"/>
  <c r="R88" i="2"/>
  <c r="Q88" i="2"/>
  <c r="P88" i="2"/>
  <c r="N88" i="2"/>
  <c r="O88" i="2" s="1"/>
  <c r="M88" i="2"/>
  <c r="L88" i="2"/>
  <c r="K88" i="2"/>
  <c r="J88" i="2"/>
  <c r="I88" i="2"/>
  <c r="H88" i="2"/>
  <c r="G88" i="2"/>
  <c r="F88" i="2"/>
  <c r="E88" i="2"/>
  <c r="D88" i="2"/>
  <c r="C88" i="2"/>
  <c r="FI87" i="2"/>
  <c r="FO87" i="2" s="1"/>
  <c r="FH87" i="2"/>
  <c r="FG87" i="2"/>
  <c r="FF87" i="2"/>
  <c r="FE87" i="2"/>
  <c r="FD87" i="2"/>
  <c r="FC87" i="2"/>
  <c r="FB87" i="2"/>
  <c r="FA87" i="2"/>
  <c r="EZ87" i="2"/>
  <c r="EY87" i="2"/>
  <c r="EX87" i="2"/>
  <c r="EW87" i="2"/>
  <c r="EV87" i="2"/>
  <c r="EU87" i="2"/>
  <c r="ET87" i="2"/>
  <c r="ES87" i="2"/>
  <c r="ER87" i="2"/>
  <c r="EQ87" i="2"/>
  <c r="EP87" i="2"/>
  <c r="EN87" i="2"/>
  <c r="EO87" i="2" s="1"/>
  <c r="EM87" i="2"/>
  <c r="EL87" i="2"/>
  <c r="EK87" i="2"/>
  <c r="EJ87" i="2"/>
  <c r="EI87" i="2"/>
  <c r="EH87" i="2"/>
  <c r="EG87" i="2"/>
  <c r="EF87" i="2"/>
  <c r="EE87" i="2"/>
  <c r="ED87" i="2"/>
  <c r="EC87" i="2"/>
  <c r="EA87" i="2"/>
  <c r="EB87" i="2" s="1"/>
  <c r="DZ87" i="2"/>
  <c r="DY87" i="2"/>
  <c r="DX87" i="2"/>
  <c r="DW87" i="2"/>
  <c r="DV87" i="2"/>
  <c r="DU87" i="2"/>
  <c r="DT87" i="2"/>
  <c r="DS87" i="2"/>
  <c r="DR87" i="2"/>
  <c r="DQ87" i="2"/>
  <c r="DP87" i="2"/>
  <c r="DN87" i="2"/>
  <c r="DO87" i="2" s="1"/>
  <c r="DM87" i="2"/>
  <c r="DL87" i="2"/>
  <c r="DK87" i="2"/>
  <c r="DJ87" i="2"/>
  <c r="DI87" i="2"/>
  <c r="DH87" i="2"/>
  <c r="DG87" i="2"/>
  <c r="DF87" i="2"/>
  <c r="DE87" i="2"/>
  <c r="DD87" i="2"/>
  <c r="DC87" i="2"/>
  <c r="DA87" i="2"/>
  <c r="DB87" i="2" s="1"/>
  <c r="CZ87" i="2"/>
  <c r="CY87" i="2"/>
  <c r="CX87" i="2"/>
  <c r="CW87" i="2"/>
  <c r="CV87" i="2"/>
  <c r="CU87" i="2"/>
  <c r="CT87" i="2"/>
  <c r="CS87" i="2"/>
  <c r="CR87" i="2"/>
  <c r="CQ87" i="2"/>
  <c r="CP87" i="2"/>
  <c r="CN87" i="2"/>
  <c r="CO87" i="2" s="1"/>
  <c r="CM87" i="2"/>
  <c r="CL87" i="2"/>
  <c r="CK87" i="2"/>
  <c r="CJ87" i="2"/>
  <c r="CI87" i="2"/>
  <c r="CH87" i="2"/>
  <c r="CG87" i="2"/>
  <c r="CF87" i="2"/>
  <c r="CE87" i="2"/>
  <c r="CD87" i="2"/>
  <c r="CC87" i="2"/>
  <c r="CA87" i="2"/>
  <c r="CB87" i="2" s="1"/>
  <c r="BZ87" i="2"/>
  <c r="BY87" i="2"/>
  <c r="BX87" i="2"/>
  <c r="BW87" i="2"/>
  <c r="BV87" i="2"/>
  <c r="BU87" i="2"/>
  <c r="BT87" i="2"/>
  <c r="BS87" i="2"/>
  <c r="BR87" i="2"/>
  <c r="BQ87" i="2"/>
  <c r="BP87" i="2"/>
  <c r="BN87" i="2"/>
  <c r="BO87" i="2" s="1"/>
  <c r="BM87" i="2"/>
  <c r="BL87" i="2"/>
  <c r="BK87" i="2"/>
  <c r="BJ87" i="2"/>
  <c r="BI87" i="2"/>
  <c r="BH87" i="2"/>
  <c r="BG87" i="2"/>
  <c r="BF87" i="2"/>
  <c r="BE87" i="2"/>
  <c r="BD87" i="2"/>
  <c r="BC87" i="2"/>
  <c r="BA87" i="2"/>
  <c r="BB87" i="2" s="1"/>
  <c r="AZ87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K87" i="2"/>
  <c r="AJ87" i="2"/>
  <c r="AI87" i="2"/>
  <c r="AH87" i="2"/>
  <c r="AG87" i="2"/>
  <c r="AF87" i="2"/>
  <c r="AE87" i="2"/>
  <c r="AD87" i="2"/>
  <c r="AC87" i="2"/>
  <c r="AA87" i="2"/>
  <c r="AB87" i="2" s="1"/>
  <c r="Z87" i="2"/>
  <c r="Y87" i="2"/>
  <c r="X87" i="2"/>
  <c r="W87" i="2"/>
  <c r="V87" i="2"/>
  <c r="U87" i="2"/>
  <c r="T87" i="2"/>
  <c r="S87" i="2"/>
  <c r="R87" i="2"/>
  <c r="Q87" i="2"/>
  <c r="P87" i="2"/>
  <c r="N87" i="2"/>
  <c r="O87" i="2" s="1"/>
  <c r="M87" i="2"/>
  <c r="L87" i="2"/>
  <c r="K87" i="2"/>
  <c r="J87" i="2"/>
  <c r="I87" i="2"/>
  <c r="H87" i="2"/>
  <c r="G87" i="2"/>
  <c r="F87" i="2"/>
  <c r="E87" i="2"/>
  <c r="D87" i="2"/>
  <c r="C87" i="2"/>
  <c r="FO86" i="2"/>
  <c r="FI86" i="2"/>
  <c r="FH86" i="2"/>
  <c r="FG86" i="2"/>
  <c r="FF86" i="2"/>
  <c r="FE86" i="2"/>
  <c r="FD86" i="2"/>
  <c r="FC86" i="2"/>
  <c r="FA86" i="2"/>
  <c r="FB86" i="2" s="1"/>
  <c r="EZ86" i="2"/>
  <c r="EY86" i="2"/>
  <c r="EX86" i="2"/>
  <c r="EW86" i="2"/>
  <c r="EV86" i="2"/>
  <c r="EU86" i="2"/>
  <c r="ET86" i="2"/>
  <c r="ES86" i="2"/>
  <c r="ER86" i="2"/>
  <c r="EQ86" i="2"/>
  <c r="EP86" i="2"/>
  <c r="EN86" i="2"/>
  <c r="EO86" i="2" s="1"/>
  <c r="EM86" i="2"/>
  <c r="EL86" i="2"/>
  <c r="EK86" i="2"/>
  <c r="EJ86" i="2"/>
  <c r="EI86" i="2"/>
  <c r="EH86" i="2"/>
  <c r="EG86" i="2"/>
  <c r="EF86" i="2"/>
  <c r="EE86" i="2"/>
  <c r="ED86" i="2"/>
  <c r="EC86" i="2"/>
  <c r="EA86" i="2"/>
  <c r="EB86" i="2" s="1"/>
  <c r="DZ86" i="2"/>
  <c r="DY86" i="2"/>
  <c r="DX86" i="2"/>
  <c r="DW86" i="2"/>
  <c r="DV86" i="2"/>
  <c r="DU86" i="2"/>
  <c r="DT86" i="2"/>
  <c r="DS86" i="2"/>
  <c r="DR86" i="2"/>
  <c r="DQ86" i="2"/>
  <c r="DP86" i="2"/>
  <c r="DN86" i="2"/>
  <c r="DO86" i="2" s="1"/>
  <c r="DM86" i="2"/>
  <c r="DL86" i="2"/>
  <c r="DK86" i="2"/>
  <c r="DJ86" i="2"/>
  <c r="DI86" i="2"/>
  <c r="DH86" i="2"/>
  <c r="DG86" i="2"/>
  <c r="DF86" i="2"/>
  <c r="DE86" i="2"/>
  <c r="DD86" i="2"/>
  <c r="DC86" i="2"/>
  <c r="DB86" i="2"/>
  <c r="DA86" i="2"/>
  <c r="CZ86" i="2"/>
  <c r="CY86" i="2"/>
  <c r="CX86" i="2"/>
  <c r="CW86" i="2"/>
  <c r="CV86" i="2"/>
  <c r="CU86" i="2"/>
  <c r="CT86" i="2"/>
  <c r="CS86" i="2"/>
  <c r="CR86" i="2"/>
  <c r="CQ86" i="2"/>
  <c r="CP86" i="2"/>
  <c r="CN86" i="2"/>
  <c r="CO86" i="2" s="1"/>
  <c r="CM86" i="2"/>
  <c r="CL86" i="2"/>
  <c r="CK86" i="2"/>
  <c r="CJ86" i="2"/>
  <c r="CI86" i="2"/>
  <c r="CH86" i="2"/>
  <c r="CG86" i="2"/>
  <c r="CF86" i="2"/>
  <c r="CE86" i="2"/>
  <c r="CD86" i="2"/>
  <c r="CC86" i="2"/>
  <c r="CA86" i="2"/>
  <c r="CB86" i="2" s="1"/>
  <c r="BZ86" i="2"/>
  <c r="BY86" i="2"/>
  <c r="BX86" i="2"/>
  <c r="BW86" i="2"/>
  <c r="BV86" i="2"/>
  <c r="BU86" i="2"/>
  <c r="BT86" i="2"/>
  <c r="BS86" i="2"/>
  <c r="BR86" i="2"/>
  <c r="BQ86" i="2"/>
  <c r="BP86" i="2"/>
  <c r="BO86" i="2"/>
  <c r="BN86" i="2"/>
  <c r="BM86" i="2"/>
  <c r="BL86" i="2"/>
  <c r="BK86" i="2"/>
  <c r="BJ86" i="2"/>
  <c r="BI86" i="2"/>
  <c r="BH86" i="2"/>
  <c r="BG86" i="2"/>
  <c r="BF86" i="2"/>
  <c r="BE86" i="2"/>
  <c r="BD86" i="2"/>
  <c r="BC86" i="2"/>
  <c r="BA86" i="2"/>
  <c r="BB86" i="2" s="1"/>
  <c r="AZ86" i="2"/>
  <c r="AY86" i="2"/>
  <c r="AX86" i="2"/>
  <c r="AW86" i="2"/>
  <c r="AV86" i="2"/>
  <c r="AU86" i="2"/>
  <c r="AT86" i="2"/>
  <c r="AS86" i="2"/>
  <c r="AR86" i="2"/>
  <c r="AQ86" i="2"/>
  <c r="AP86" i="2"/>
  <c r="AN86" i="2"/>
  <c r="AO86" i="2" s="1"/>
  <c r="AM86" i="2"/>
  <c r="AL86" i="2"/>
  <c r="AK86" i="2"/>
  <c r="AJ86" i="2"/>
  <c r="AI86" i="2"/>
  <c r="AH86" i="2"/>
  <c r="AG86" i="2"/>
  <c r="AF86" i="2"/>
  <c r="AE86" i="2"/>
  <c r="AD86" i="2"/>
  <c r="AC86" i="2"/>
  <c r="AA86" i="2"/>
  <c r="AB86" i="2" s="1"/>
  <c r="Z86" i="2"/>
  <c r="Y86" i="2"/>
  <c r="X86" i="2"/>
  <c r="W86" i="2"/>
  <c r="V86" i="2"/>
  <c r="U86" i="2"/>
  <c r="T86" i="2"/>
  <c r="S86" i="2"/>
  <c r="R86" i="2"/>
  <c r="Q86" i="2"/>
  <c r="P86" i="2"/>
  <c r="N86" i="2"/>
  <c r="O86" i="2" s="1"/>
  <c r="M86" i="2"/>
  <c r="L86" i="2"/>
  <c r="K86" i="2"/>
  <c r="J86" i="2"/>
  <c r="I86" i="2"/>
  <c r="H86" i="2"/>
  <c r="G86" i="2"/>
  <c r="F86" i="2"/>
  <c r="E86" i="2"/>
  <c r="D86" i="2"/>
  <c r="C86" i="2"/>
  <c r="FO85" i="2"/>
  <c r="FI85" i="2"/>
  <c r="FH85" i="2"/>
  <c r="FG85" i="2"/>
  <c r="FF85" i="2"/>
  <c r="FE85" i="2"/>
  <c r="FD85" i="2"/>
  <c r="FC85" i="2"/>
  <c r="FA85" i="2"/>
  <c r="FB85" i="2" s="1"/>
  <c r="EZ85" i="2"/>
  <c r="EY85" i="2"/>
  <c r="EX85" i="2"/>
  <c r="EW85" i="2"/>
  <c r="EV85" i="2"/>
  <c r="EU85" i="2"/>
  <c r="ET85" i="2"/>
  <c r="ES85" i="2"/>
  <c r="ER85" i="2"/>
  <c r="EQ85" i="2"/>
  <c r="EP85" i="2"/>
  <c r="EN85" i="2"/>
  <c r="EO85" i="2" s="1"/>
  <c r="EM85" i="2"/>
  <c r="EL85" i="2"/>
  <c r="EK85" i="2"/>
  <c r="EJ85" i="2"/>
  <c r="EI85" i="2"/>
  <c r="EH85" i="2"/>
  <c r="EG85" i="2"/>
  <c r="EF85" i="2"/>
  <c r="EE85" i="2"/>
  <c r="ED85" i="2"/>
  <c r="EC85" i="2"/>
  <c r="EA85" i="2"/>
  <c r="EB85" i="2" s="1"/>
  <c r="DZ85" i="2"/>
  <c r="DY85" i="2"/>
  <c r="DX85" i="2"/>
  <c r="DW85" i="2"/>
  <c r="DV85" i="2"/>
  <c r="DU85" i="2"/>
  <c r="DT85" i="2"/>
  <c r="DS85" i="2"/>
  <c r="DR85" i="2"/>
  <c r="DQ85" i="2"/>
  <c r="DP85" i="2"/>
  <c r="DO85" i="2"/>
  <c r="DN85" i="2"/>
  <c r="DM85" i="2"/>
  <c r="DL85" i="2"/>
  <c r="DK85" i="2"/>
  <c r="DJ85" i="2"/>
  <c r="DI85" i="2"/>
  <c r="DH85" i="2"/>
  <c r="DG85" i="2"/>
  <c r="DF85" i="2"/>
  <c r="DE85" i="2"/>
  <c r="DD85" i="2"/>
  <c r="DC85" i="2"/>
  <c r="DA85" i="2"/>
  <c r="DB85" i="2" s="1"/>
  <c r="CZ85" i="2"/>
  <c r="CY85" i="2"/>
  <c r="CX85" i="2"/>
  <c r="CW85" i="2"/>
  <c r="CV85" i="2"/>
  <c r="CU85" i="2"/>
  <c r="CT85" i="2"/>
  <c r="CS85" i="2"/>
  <c r="CR85" i="2"/>
  <c r="CQ85" i="2"/>
  <c r="CP85" i="2"/>
  <c r="CN85" i="2"/>
  <c r="CO85" i="2" s="1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N85" i="2"/>
  <c r="BO85" i="2" s="1"/>
  <c r="BM85" i="2"/>
  <c r="BL85" i="2"/>
  <c r="BK85" i="2"/>
  <c r="BJ85" i="2"/>
  <c r="BI85" i="2"/>
  <c r="BH85" i="2"/>
  <c r="BG85" i="2"/>
  <c r="BF85" i="2"/>
  <c r="BE85" i="2"/>
  <c r="BD85" i="2"/>
  <c r="BC85" i="2"/>
  <c r="BA85" i="2"/>
  <c r="BB85" i="2" s="1"/>
  <c r="AZ85" i="2"/>
  <c r="AY85" i="2"/>
  <c r="AX85" i="2"/>
  <c r="AW85" i="2"/>
  <c r="AV85" i="2"/>
  <c r="AU85" i="2"/>
  <c r="AT85" i="2"/>
  <c r="AS85" i="2"/>
  <c r="AR85" i="2"/>
  <c r="AQ85" i="2"/>
  <c r="AP85" i="2"/>
  <c r="AN85" i="2"/>
  <c r="AO85" i="2" s="1"/>
  <c r="AM85" i="2"/>
  <c r="AL85" i="2"/>
  <c r="AK85" i="2"/>
  <c r="AJ85" i="2"/>
  <c r="AI85" i="2"/>
  <c r="AH85" i="2"/>
  <c r="AG85" i="2"/>
  <c r="AF85" i="2"/>
  <c r="AE85" i="2"/>
  <c r="AD85" i="2"/>
  <c r="AC85" i="2"/>
  <c r="AA85" i="2"/>
  <c r="AB85" i="2" s="1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FI84" i="2"/>
  <c r="FO84" i="2" s="1"/>
  <c r="FH84" i="2"/>
  <c r="FG84" i="2"/>
  <c r="FF84" i="2"/>
  <c r="FE84" i="2"/>
  <c r="FD84" i="2"/>
  <c r="FC84" i="2"/>
  <c r="FB84" i="2"/>
  <c r="FA84" i="2"/>
  <c r="EZ84" i="2"/>
  <c r="EY84" i="2"/>
  <c r="EX84" i="2"/>
  <c r="EW84" i="2"/>
  <c r="EV84" i="2"/>
  <c r="EU84" i="2"/>
  <c r="ET84" i="2"/>
  <c r="ES84" i="2"/>
  <c r="ER84" i="2"/>
  <c r="EQ84" i="2"/>
  <c r="EP84" i="2"/>
  <c r="EN84" i="2"/>
  <c r="EO84" i="2" s="1"/>
  <c r="EM84" i="2"/>
  <c r="EL84" i="2"/>
  <c r="EK84" i="2"/>
  <c r="EJ84" i="2"/>
  <c r="EI84" i="2"/>
  <c r="EH84" i="2"/>
  <c r="EG84" i="2"/>
  <c r="EF84" i="2"/>
  <c r="EE84" i="2"/>
  <c r="ED84" i="2"/>
  <c r="EC84" i="2"/>
  <c r="EA84" i="2"/>
  <c r="EB84" i="2" s="1"/>
  <c r="DZ84" i="2"/>
  <c r="DY84" i="2"/>
  <c r="DX84" i="2"/>
  <c r="DW84" i="2"/>
  <c r="DV84" i="2"/>
  <c r="DU84" i="2"/>
  <c r="DT84" i="2"/>
  <c r="DS84" i="2"/>
  <c r="DR84" i="2"/>
  <c r="DQ84" i="2"/>
  <c r="DP84" i="2"/>
  <c r="DN84" i="2"/>
  <c r="DO84" i="2" s="1"/>
  <c r="DM84" i="2"/>
  <c r="DL84" i="2"/>
  <c r="DK84" i="2"/>
  <c r="DJ84" i="2"/>
  <c r="DI84" i="2"/>
  <c r="DH84" i="2"/>
  <c r="DG84" i="2"/>
  <c r="DF84" i="2"/>
  <c r="DE84" i="2"/>
  <c r="DD84" i="2"/>
  <c r="DC84" i="2"/>
  <c r="DA84" i="2"/>
  <c r="DB84" i="2" s="1"/>
  <c r="CZ84" i="2"/>
  <c r="CY84" i="2"/>
  <c r="CX84" i="2"/>
  <c r="CW84" i="2"/>
  <c r="CV84" i="2"/>
  <c r="CU84" i="2"/>
  <c r="CT84" i="2"/>
  <c r="CS84" i="2"/>
  <c r="CR84" i="2"/>
  <c r="CQ84" i="2"/>
  <c r="CP84" i="2"/>
  <c r="CN84" i="2"/>
  <c r="CO84" i="2" s="1"/>
  <c r="CM84" i="2"/>
  <c r="CL84" i="2"/>
  <c r="CK84" i="2"/>
  <c r="CJ84" i="2"/>
  <c r="CI84" i="2"/>
  <c r="CH84" i="2"/>
  <c r="CG84" i="2"/>
  <c r="CF84" i="2"/>
  <c r="CE84" i="2"/>
  <c r="CD84" i="2"/>
  <c r="CC84" i="2"/>
  <c r="CB84" i="2"/>
  <c r="CA84" i="2"/>
  <c r="BZ84" i="2"/>
  <c r="BY84" i="2"/>
  <c r="BX84" i="2"/>
  <c r="BW84" i="2"/>
  <c r="BV84" i="2"/>
  <c r="BU84" i="2"/>
  <c r="BT84" i="2"/>
  <c r="BS84" i="2"/>
  <c r="BR84" i="2"/>
  <c r="BQ84" i="2"/>
  <c r="BP84" i="2"/>
  <c r="BN84" i="2"/>
  <c r="BO84" i="2" s="1"/>
  <c r="BM84" i="2"/>
  <c r="BL84" i="2"/>
  <c r="BK84" i="2"/>
  <c r="BJ84" i="2"/>
  <c r="BI84" i="2"/>
  <c r="BH84" i="2"/>
  <c r="BG84" i="2"/>
  <c r="BF84" i="2"/>
  <c r="BE84" i="2"/>
  <c r="BD84" i="2"/>
  <c r="BC84" i="2"/>
  <c r="BA84" i="2"/>
  <c r="BB84" i="2" s="1"/>
  <c r="AZ84" i="2"/>
  <c r="AY84" i="2"/>
  <c r="AX84" i="2"/>
  <c r="AW84" i="2"/>
  <c r="AV84" i="2"/>
  <c r="AU84" i="2"/>
  <c r="AT84" i="2"/>
  <c r="AS84" i="2"/>
  <c r="AR84" i="2"/>
  <c r="AQ84" i="2"/>
  <c r="AP84" i="2"/>
  <c r="AN84" i="2"/>
  <c r="AO84" i="2" s="1"/>
  <c r="AM84" i="2"/>
  <c r="AL84" i="2"/>
  <c r="AK84" i="2"/>
  <c r="AJ84" i="2"/>
  <c r="AI84" i="2"/>
  <c r="AH84" i="2"/>
  <c r="AG84" i="2"/>
  <c r="AF84" i="2"/>
  <c r="AE84" i="2"/>
  <c r="AD84" i="2"/>
  <c r="AC84" i="2"/>
  <c r="AA84" i="2"/>
  <c r="AB84" i="2" s="1"/>
  <c r="Z84" i="2"/>
  <c r="Y84" i="2"/>
  <c r="X84" i="2"/>
  <c r="W84" i="2"/>
  <c r="V84" i="2"/>
  <c r="U84" i="2"/>
  <c r="T84" i="2"/>
  <c r="S84" i="2"/>
  <c r="R84" i="2"/>
  <c r="Q84" i="2"/>
  <c r="P84" i="2"/>
  <c r="N84" i="2"/>
  <c r="O84" i="2" s="1"/>
  <c r="M84" i="2"/>
  <c r="L84" i="2"/>
  <c r="K84" i="2"/>
  <c r="J84" i="2"/>
  <c r="I84" i="2"/>
  <c r="H84" i="2"/>
  <c r="G84" i="2"/>
  <c r="F84" i="2"/>
  <c r="E84" i="2"/>
  <c r="D84" i="2"/>
  <c r="C84" i="2"/>
  <c r="FO83" i="2"/>
  <c r="FI83" i="2"/>
  <c r="FH83" i="2"/>
  <c r="FG83" i="2"/>
  <c r="FF83" i="2"/>
  <c r="FE83" i="2"/>
  <c r="FD83" i="2"/>
  <c r="FC83" i="2"/>
  <c r="FB83" i="2"/>
  <c r="FA83" i="2"/>
  <c r="EZ83" i="2"/>
  <c r="EY83" i="2"/>
  <c r="EX83" i="2"/>
  <c r="EW83" i="2"/>
  <c r="EV83" i="2"/>
  <c r="EU83" i="2"/>
  <c r="ET83" i="2"/>
  <c r="ES83" i="2"/>
  <c r="ER83" i="2"/>
  <c r="EQ83" i="2"/>
  <c r="EP83" i="2"/>
  <c r="EN83" i="2"/>
  <c r="EO83" i="2" s="1"/>
  <c r="EM83" i="2"/>
  <c r="EL83" i="2"/>
  <c r="EK83" i="2"/>
  <c r="EJ83" i="2"/>
  <c r="EI83" i="2"/>
  <c r="EH83" i="2"/>
  <c r="EG83" i="2"/>
  <c r="EF83" i="2"/>
  <c r="EE83" i="2"/>
  <c r="ED83" i="2"/>
  <c r="EC83" i="2"/>
  <c r="EA83" i="2"/>
  <c r="EB83" i="2" s="1"/>
  <c r="DZ83" i="2"/>
  <c r="DY83" i="2"/>
  <c r="DX83" i="2"/>
  <c r="DW83" i="2"/>
  <c r="DV83" i="2"/>
  <c r="DU83" i="2"/>
  <c r="DT83" i="2"/>
  <c r="DS83" i="2"/>
  <c r="DR83" i="2"/>
  <c r="DQ83" i="2"/>
  <c r="DP83" i="2"/>
  <c r="DN83" i="2"/>
  <c r="DO83" i="2" s="1"/>
  <c r="DM83" i="2"/>
  <c r="DL83" i="2"/>
  <c r="DK83" i="2"/>
  <c r="DJ83" i="2"/>
  <c r="DI83" i="2"/>
  <c r="DH83" i="2"/>
  <c r="DG83" i="2"/>
  <c r="DF83" i="2"/>
  <c r="DE83" i="2"/>
  <c r="DD83" i="2"/>
  <c r="DC83" i="2"/>
  <c r="DB83" i="2"/>
  <c r="DA83" i="2"/>
  <c r="CZ83" i="2"/>
  <c r="CY83" i="2"/>
  <c r="CX83" i="2"/>
  <c r="CW83" i="2"/>
  <c r="CV83" i="2"/>
  <c r="CU83" i="2"/>
  <c r="CT83" i="2"/>
  <c r="CS83" i="2"/>
  <c r="CR83" i="2"/>
  <c r="CQ83" i="2"/>
  <c r="CP83" i="2"/>
  <c r="CN83" i="2"/>
  <c r="CO83" i="2" s="1"/>
  <c r="CM83" i="2"/>
  <c r="CL83" i="2"/>
  <c r="CK83" i="2"/>
  <c r="CJ83" i="2"/>
  <c r="CI83" i="2"/>
  <c r="CH83" i="2"/>
  <c r="CG83" i="2"/>
  <c r="CF83" i="2"/>
  <c r="CE83" i="2"/>
  <c r="CD83" i="2"/>
  <c r="CC83" i="2"/>
  <c r="CA83" i="2"/>
  <c r="CB83" i="2" s="1"/>
  <c r="BZ83" i="2"/>
  <c r="BY83" i="2"/>
  <c r="BX83" i="2"/>
  <c r="BW83" i="2"/>
  <c r="BV83" i="2"/>
  <c r="BU83" i="2"/>
  <c r="BT83" i="2"/>
  <c r="BS83" i="2"/>
  <c r="BR83" i="2"/>
  <c r="BQ83" i="2"/>
  <c r="BP83" i="2"/>
  <c r="BN83" i="2"/>
  <c r="BO83" i="2" s="1"/>
  <c r="BM83" i="2"/>
  <c r="BL83" i="2"/>
  <c r="BK83" i="2"/>
  <c r="BJ83" i="2"/>
  <c r="BI83" i="2"/>
  <c r="BH83" i="2"/>
  <c r="BG83" i="2"/>
  <c r="BF83" i="2"/>
  <c r="BE83" i="2"/>
  <c r="BD83" i="2"/>
  <c r="BC83" i="2"/>
  <c r="BA83" i="2"/>
  <c r="BB83" i="2" s="1"/>
  <c r="AZ83" i="2"/>
  <c r="AY83" i="2"/>
  <c r="AX83" i="2"/>
  <c r="AW83" i="2"/>
  <c r="AV83" i="2"/>
  <c r="AU83" i="2"/>
  <c r="AT83" i="2"/>
  <c r="AS83" i="2"/>
  <c r="AR83" i="2"/>
  <c r="AQ83" i="2"/>
  <c r="AP83" i="2"/>
  <c r="AN83" i="2"/>
  <c r="AO83" i="2" s="1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N83" i="2"/>
  <c r="O83" i="2" s="1"/>
  <c r="M83" i="2"/>
  <c r="L83" i="2"/>
  <c r="K83" i="2"/>
  <c r="J83" i="2"/>
  <c r="I83" i="2"/>
  <c r="H83" i="2"/>
  <c r="G83" i="2"/>
  <c r="F83" i="2"/>
  <c r="E83" i="2"/>
  <c r="D83" i="2"/>
  <c r="C83" i="2"/>
  <c r="FI82" i="2"/>
  <c r="FO82" i="2" s="1"/>
  <c r="FH82" i="2"/>
  <c r="FG82" i="2"/>
  <c r="FF82" i="2"/>
  <c r="FE82" i="2"/>
  <c r="FD82" i="2"/>
  <c r="FC82" i="2"/>
  <c r="FA82" i="2"/>
  <c r="FB82" i="2" s="1"/>
  <c r="EZ82" i="2"/>
  <c r="EY82" i="2"/>
  <c r="EX82" i="2"/>
  <c r="EW82" i="2"/>
  <c r="EV82" i="2"/>
  <c r="EU82" i="2"/>
  <c r="ET82" i="2"/>
  <c r="ES82" i="2"/>
  <c r="ER82" i="2"/>
  <c r="EQ82" i="2"/>
  <c r="EP82" i="2"/>
  <c r="EO82" i="2"/>
  <c r="EN82" i="2"/>
  <c r="EM82" i="2"/>
  <c r="EL82" i="2"/>
  <c r="EK82" i="2"/>
  <c r="EJ82" i="2"/>
  <c r="EI82" i="2"/>
  <c r="EH82" i="2"/>
  <c r="EG82" i="2"/>
  <c r="EF82" i="2"/>
  <c r="EE82" i="2"/>
  <c r="ED82" i="2"/>
  <c r="EC82" i="2"/>
  <c r="EA82" i="2"/>
  <c r="EB82" i="2" s="1"/>
  <c r="DZ82" i="2"/>
  <c r="DY82" i="2"/>
  <c r="DX82" i="2"/>
  <c r="DW82" i="2"/>
  <c r="DV82" i="2"/>
  <c r="DU82" i="2"/>
  <c r="DT82" i="2"/>
  <c r="DS82" i="2"/>
  <c r="DR82" i="2"/>
  <c r="DQ82" i="2"/>
  <c r="DP82" i="2"/>
  <c r="DN82" i="2"/>
  <c r="DO82" i="2" s="1"/>
  <c r="DM82" i="2"/>
  <c r="DL82" i="2"/>
  <c r="DK82" i="2"/>
  <c r="DJ82" i="2"/>
  <c r="DI82" i="2"/>
  <c r="DH82" i="2"/>
  <c r="DG82" i="2"/>
  <c r="DF82" i="2"/>
  <c r="DE82" i="2"/>
  <c r="DD82" i="2"/>
  <c r="DC82" i="2"/>
  <c r="DA82" i="2"/>
  <c r="DB82" i="2" s="1"/>
  <c r="CZ82" i="2"/>
  <c r="CY82" i="2"/>
  <c r="CX82" i="2"/>
  <c r="CW82" i="2"/>
  <c r="CV82" i="2"/>
  <c r="CU82" i="2"/>
  <c r="CT82" i="2"/>
  <c r="CS82" i="2"/>
  <c r="CR82" i="2"/>
  <c r="CQ82" i="2"/>
  <c r="CP82" i="2"/>
  <c r="CO82" i="2"/>
  <c r="CN82" i="2"/>
  <c r="CM82" i="2"/>
  <c r="CL82" i="2"/>
  <c r="CK82" i="2"/>
  <c r="CJ82" i="2"/>
  <c r="CI82" i="2"/>
  <c r="CH82" i="2"/>
  <c r="CG82" i="2"/>
  <c r="CF82" i="2"/>
  <c r="CE82" i="2"/>
  <c r="CD82" i="2"/>
  <c r="CC82" i="2"/>
  <c r="CA82" i="2"/>
  <c r="CB82" i="2" s="1"/>
  <c r="BZ82" i="2"/>
  <c r="BY82" i="2"/>
  <c r="BX82" i="2"/>
  <c r="BW82" i="2"/>
  <c r="BV82" i="2"/>
  <c r="BU82" i="2"/>
  <c r="BT82" i="2"/>
  <c r="BS82" i="2"/>
  <c r="BR82" i="2"/>
  <c r="BQ82" i="2"/>
  <c r="BP82" i="2"/>
  <c r="BN82" i="2"/>
  <c r="BO82" i="2" s="1"/>
  <c r="BM82" i="2"/>
  <c r="BL82" i="2"/>
  <c r="BK82" i="2"/>
  <c r="BJ82" i="2"/>
  <c r="BI82" i="2"/>
  <c r="BH82" i="2"/>
  <c r="BG82" i="2"/>
  <c r="BF82" i="2"/>
  <c r="BE82" i="2"/>
  <c r="BD82" i="2"/>
  <c r="BC82" i="2"/>
  <c r="BA82" i="2"/>
  <c r="BB82" i="2" s="1"/>
  <c r="AZ82" i="2"/>
  <c r="AY82" i="2"/>
  <c r="AX82" i="2"/>
  <c r="AW82" i="2"/>
  <c r="AV82" i="2"/>
  <c r="AU82" i="2"/>
  <c r="AT82" i="2"/>
  <c r="AS82" i="2"/>
  <c r="AR82" i="2"/>
  <c r="AQ82" i="2"/>
  <c r="AP82" i="2"/>
  <c r="AN82" i="2"/>
  <c r="AO82" i="2" s="1"/>
  <c r="AM82" i="2"/>
  <c r="AL82" i="2"/>
  <c r="AK82" i="2"/>
  <c r="AJ82" i="2"/>
  <c r="AI82" i="2"/>
  <c r="AH82" i="2"/>
  <c r="AG82" i="2"/>
  <c r="AF82" i="2"/>
  <c r="AE82" i="2"/>
  <c r="AD82" i="2"/>
  <c r="AC82" i="2"/>
  <c r="AA82" i="2"/>
  <c r="AB82" i="2" s="1"/>
  <c r="Z82" i="2"/>
  <c r="Y82" i="2"/>
  <c r="X82" i="2"/>
  <c r="W82" i="2"/>
  <c r="V82" i="2"/>
  <c r="U82" i="2"/>
  <c r="T82" i="2"/>
  <c r="S82" i="2"/>
  <c r="R82" i="2"/>
  <c r="Q82" i="2"/>
  <c r="P82" i="2"/>
  <c r="N82" i="2"/>
  <c r="O82" i="2" s="1"/>
  <c r="M82" i="2"/>
  <c r="L82" i="2"/>
  <c r="K82" i="2"/>
  <c r="J82" i="2"/>
  <c r="I82" i="2"/>
  <c r="H82" i="2"/>
  <c r="G82" i="2"/>
  <c r="F82" i="2"/>
  <c r="E82" i="2"/>
  <c r="D82" i="2"/>
  <c r="C82" i="2"/>
  <c r="FI81" i="2"/>
  <c r="FO81" i="2" s="1"/>
  <c r="FH81" i="2"/>
  <c r="FG81" i="2"/>
  <c r="FF81" i="2"/>
  <c r="FE81" i="2"/>
  <c r="FD81" i="2"/>
  <c r="FC81" i="2"/>
  <c r="FA81" i="2"/>
  <c r="FB81" i="2" s="1"/>
  <c r="EZ81" i="2"/>
  <c r="EY81" i="2"/>
  <c r="EX81" i="2"/>
  <c r="EW81" i="2"/>
  <c r="EV81" i="2"/>
  <c r="EU81" i="2"/>
  <c r="ET81" i="2"/>
  <c r="ES81" i="2"/>
  <c r="ER81" i="2"/>
  <c r="EQ81" i="2"/>
  <c r="EP81" i="2"/>
  <c r="EN81" i="2"/>
  <c r="EO81" i="2" s="1"/>
  <c r="EM81" i="2"/>
  <c r="EL81" i="2"/>
  <c r="EK81" i="2"/>
  <c r="EJ81" i="2"/>
  <c r="EI81" i="2"/>
  <c r="EH81" i="2"/>
  <c r="EG81" i="2"/>
  <c r="EF81" i="2"/>
  <c r="EE81" i="2"/>
  <c r="ED81" i="2"/>
  <c r="EC81" i="2"/>
  <c r="EA81" i="2"/>
  <c r="EB81" i="2" s="1"/>
  <c r="DZ81" i="2"/>
  <c r="DY81" i="2"/>
  <c r="DX81" i="2"/>
  <c r="DW81" i="2"/>
  <c r="DV81" i="2"/>
  <c r="DU81" i="2"/>
  <c r="DT81" i="2"/>
  <c r="DS81" i="2"/>
  <c r="DR81" i="2"/>
  <c r="DQ81" i="2"/>
  <c r="DP81" i="2"/>
  <c r="DN81" i="2"/>
  <c r="DO81" i="2" s="1"/>
  <c r="DM81" i="2"/>
  <c r="DL81" i="2"/>
  <c r="DK81" i="2"/>
  <c r="DJ81" i="2"/>
  <c r="DI81" i="2"/>
  <c r="DH81" i="2"/>
  <c r="DG81" i="2"/>
  <c r="DF81" i="2"/>
  <c r="DE81" i="2"/>
  <c r="DD81" i="2"/>
  <c r="DC81" i="2"/>
  <c r="DA81" i="2"/>
  <c r="DB81" i="2" s="1"/>
  <c r="CZ81" i="2"/>
  <c r="CY81" i="2"/>
  <c r="CX81" i="2"/>
  <c r="CW81" i="2"/>
  <c r="CV81" i="2"/>
  <c r="CU81" i="2"/>
  <c r="CT81" i="2"/>
  <c r="CS81" i="2"/>
  <c r="CR81" i="2"/>
  <c r="CQ81" i="2"/>
  <c r="CP81" i="2"/>
  <c r="CN81" i="2"/>
  <c r="CO81" i="2" s="1"/>
  <c r="CM81" i="2"/>
  <c r="CL81" i="2"/>
  <c r="CK81" i="2"/>
  <c r="CJ81" i="2"/>
  <c r="CI81" i="2"/>
  <c r="CH81" i="2"/>
  <c r="CG81" i="2"/>
  <c r="CF81" i="2"/>
  <c r="CE81" i="2"/>
  <c r="CD81" i="2"/>
  <c r="CC81" i="2"/>
  <c r="CA81" i="2"/>
  <c r="CB81" i="2" s="1"/>
  <c r="BZ81" i="2"/>
  <c r="BY81" i="2"/>
  <c r="BX81" i="2"/>
  <c r="BW81" i="2"/>
  <c r="BV81" i="2"/>
  <c r="BU81" i="2"/>
  <c r="BT81" i="2"/>
  <c r="BS81" i="2"/>
  <c r="BR81" i="2"/>
  <c r="BQ81" i="2"/>
  <c r="BP81" i="2"/>
  <c r="BN81" i="2"/>
  <c r="BO81" i="2" s="1"/>
  <c r="BM81" i="2"/>
  <c r="BL81" i="2"/>
  <c r="BK81" i="2"/>
  <c r="BJ81" i="2"/>
  <c r="BI81" i="2"/>
  <c r="BH81" i="2"/>
  <c r="BG81" i="2"/>
  <c r="BF81" i="2"/>
  <c r="BE81" i="2"/>
  <c r="BD81" i="2"/>
  <c r="BC81" i="2"/>
  <c r="BA81" i="2"/>
  <c r="BB81" i="2" s="1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A81" i="2"/>
  <c r="AB81" i="2" s="1"/>
  <c r="Z81" i="2"/>
  <c r="Y81" i="2"/>
  <c r="X81" i="2"/>
  <c r="W81" i="2"/>
  <c r="V81" i="2"/>
  <c r="U81" i="2"/>
  <c r="T81" i="2"/>
  <c r="S81" i="2"/>
  <c r="R81" i="2"/>
  <c r="Q81" i="2"/>
  <c r="P81" i="2"/>
  <c r="N81" i="2"/>
  <c r="O81" i="2" s="1"/>
  <c r="M81" i="2"/>
  <c r="L81" i="2"/>
  <c r="K81" i="2"/>
  <c r="J81" i="2"/>
  <c r="I81" i="2"/>
  <c r="H81" i="2"/>
  <c r="G81" i="2"/>
  <c r="F81" i="2"/>
  <c r="E81" i="2"/>
  <c r="D81" i="2"/>
  <c r="C81" i="2"/>
  <c r="FI80" i="2"/>
  <c r="FO80" i="2" s="1"/>
  <c r="FH80" i="2"/>
  <c r="FG80" i="2"/>
  <c r="FF80" i="2"/>
  <c r="FE80" i="2"/>
  <c r="FD80" i="2"/>
  <c r="FC80" i="2"/>
  <c r="FA80" i="2"/>
  <c r="FB80" i="2" s="1"/>
  <c r="EZ80" i="2"/>
  <c r="EY80" i="2"/>
  <c r="EX80" i="2"/>
  <c r="EW80" i="2"/>
  <c r="EV80" i="2"/>
  <c r="EU80" i="2"/>
  <c r="ET80" i="2"/>
  <c r="ES80" i="2"/>
  <c r="ER80" i="2"/>
  <c r="EQ80" i="2"/>
  <c r="EP80" i="2"/>
  <c r="EN80" i="2"/>
  <c r="EO80" i="2" s="1"/>
  <c r="EM80" i="2"/>
  <c r="EL80" i="2"/>
  <c r="EK80" i="2"/>
  <c r="EJ80" i="2"/>
  <c r="EI80" i="2"/>
  <c r="EH80" i="2"/>
  <c r="EG80" i="2"/>
  <c r="EF80" i="2"/>
  <c r="EE80" i="2"/>
  <c r="ED80" i="2"/>
  <c r="EC80" i="2"/>
  <c r="EA80" i="2"/>
  <c r="EB80" i="2" s="1"/>
  <c r="DZ80" i="2"/>
  <c r="DY80" i="2"/>
  <c r="DX80" i="2"/>
  <c r="DW80" i="2"/>
  <c r="DV80" i="2"/>
  <c r="DU80" i="2"/>
  <c r="DT80" i="2"/>
  <c r="DS80" i="2"/>
  <c r="DR80" i="2"/>
  <c r="DQ80" i="2"/>
  <c r="DP80" i="2"/>
  <c r="DN80" i="2"/>
  <c r="DO80" i="2" s="1"/>
  <c r="DM80" i="2"/>
  <c r="DL80" i="2"/>
  <c r="DK80" i="2"/>
  <c r="DJ80" i="2"/>
  <c r="DI80" i="2"/>
  <c r="DH80" i="2"/>
  <c r="DG80" i="2"/>
  <c r="DF80" i="2"/>
  <c r="DE80" i="2"/>
  <c r="DD80" i="2"/>
  <c r="DC80" i="2"/>
  <c r="DA80" i="2"/>
  <c r="DB80" i="2" s="1"/>
  <c r="CZ80" i="2"/>
  <c r="CY80" i="2"/>
  <c r="CX80" i="2"/>
  <c r="CW80" i="2"/>
  <c r="CV80" i="2"/>
  <c r="CU80" i="2"/>
  <c r="CT80" i="2"/>
  <c r="CS80" i="2"/>
  <c r="CR80" i="2"/>
  <c r="CQ80" i="2"/>
  <c r="CP80" i="2"/>
  <c r="CN80" i="2"/>
  <c r="CO80" i="2" s="1"/>
  <c r="CM80" i="2"/>
  <c r="CL80" i="2"/>
  <c r="CK80" i="2"/>
  <c r="CJ80" i="2"/>
  <c r="CI80" i="2"/>
  <c r="CH80" i="2"/>
  <c r="CG80" i="2"/>
  <c r="CF80" i="2"/>
  <c r="CE80" i="2"/>
  <c r="CD80" i="2"/>
  <c r="CC80" i="2"/>
  <c r="CA80" i="2"/>
  <c r="CB80" i="2" s="1"/>
  <c r="BZ80" i="2"/>
  <c r="BY80" i="2"/>
  <c r="BX80" i="2"/>
  <c r="BW80" i="2"/>
  <c r="BV80" i="2"/>
  <c r="BU80" i="2"/>
  <c r="BT80" i="2"/>
  <c r="BS80" i="2"/>
  <c r="BR80" i="2"/>
  <c r="BQ80" i="2"/>
  <c r="BP80" i="2"/>
  <c r="BO80" i="2"/>
  <c r="BN80" i="2"/>
  <c r="BM80" i="2"/>
  <c r="BL80" i="2"/>
  <c r="BK80" i="2"/>
  <c r="BJ80" i="2"/>
  <c r="BI80" i="2"/>
  <c r="BH80" i="2"/>
  <c r="BG80" i="2"/>
  <c r="BF80" i="2"/>
  <c r="BE80" i="2"/>
  <c r="BD80" i="2"/>
  <c r="BC80" i="2"/>
  <c r="BA80" i="2"/>
  <c r="BB80" i="2" s="1"/>
  <c r="AZ80" i="2"/>
  <c r="AY80" i="2"/>
  <c r="AX80" i="2"/>
  <c r="AW80" i="2"/>
  <c r="AV80" i="2"/>
  <c r="AU80" i="2"/>
  <c r="AT80" i="2"/>
  <c r="AS80" i="2"/>
  <c r="AR80" i="2"/>
  <c r="AQ80" i="2"/>
  <c r="AP80" i="2"/>
  <c r="AN80" i="2"/>
  <c r="AO80" i="2" s="1"/>
  <c r="AM80" i="2"/>
  <c r="AL80" i="2"/>
  <c r="AK80" i="2"/>
  <c r="AJ80" i="2"/>
  <c r="AI80" i="2"/>
  <c r="AH80" i="2"/>
  <c r="AG80" i="2"/>
  <c r="AF80" i="2"/>
  <c r="AE80" i="2"/>
  <c r="AD80" i="2"/>
  <c r="AC80" i="2"/>
  <c r="AA80" i="2"/>
  <c r="AB80" i="2" s="1"/>
  <c r="Z80" i="2"/>
  <c r="Y80" i="2"/>
  <c r="X80" i="2"/>
  <c r="W80" i="2"/>
  <c r="V80" i="2"/>
  <c r="U80" i="2"/>
  <c r="T80" i="2"/>
  <c r="S80" i="2"/>
  <c r="R80" i="2"/>
  <c r="Q80" i="2"/>
  <c r="P80" i="2"/>
  <c r="N80" i="2"/>
  <c r="O80" i="2" s="1"/>
  <c r="M80" i="2"/>
  <c r="L80" i="2"/>
  <c r="K80" i="2"/>
  <c r="J80" i="2"/>
  <c r="I80" i="2"/>
  <c r="H80" i="2"/>
  <c r="G80" i="2"/>
  <c r="F80" i="2"/>
  <c r="E80" i="2"/>
  <c r="D80" i="2"/>
  <c r="C80" i="2"/>
  <c r="FI79" i="2"/>
  <c r="FO79" i="2" s="1"/>
  <c r="FH79" i="2"/>
  <c r="FG79" i="2"/>
  <c r="FF79" i="2"/>
  <c r="FE79" i="2"/>
  <c r="FD79" i="2"/>
  <c r="FC79" i="2"/>
  <c r="FA79" i="2"/>
  <c r="FB79" i="2" s="1"/>
  <c r="EZ79" i="2"/>
  <c r="EY79" i="2"/>
  <c r="EX79" i="2"/>
  <c r="EW79" i="2"/>
  <c r="EV79" i="2"/>
  <c r="EU79" i="2"/>
  <c r="ET79" i="2"/>
  <c r="ES79" i="2"/>
  <c r="ER79" i="2"/>
  <c r="EQ79" i="2"/>
  <c r="EP79" i="2"/>
  <c r="EO79" i="2"/>
  <c r="EN79" i="2"/>
  <c r="EM79" i="2"/>
  <c r="EL79" i="2"/>
  <c r="EK79" i="2"/>
  <c r="EJ79" i="2"/>
  <c r="EI79" i="2"/>
  <c r="EH79" i="2"/>
  <c r="EG79" i="2"/>
  <c r="EF79" i="2"/>
  <c r="EE79" i="2"/>
  <c r="ED79" i="2"/>
  <c r="EC79" i="2"/>
  <c r="EA79" i="2"/>
  <c r="EB79" i="2" s="1"/>
  <c r="DZ79" i="2"/>
  <c r="DY79" i="2"/>
  <c r="DX79" i="2"/>
  <c r="DW79" i="2"/>
  <c r="DV79" i="2"/>
  <c r="DU79" i="2"/>
  <c r="DT79" i="2"/>
  <c r="DS79" i="2"/>
  <c r="DR79" i="2"/>
  <c r="DQ79" i="2"/>
  <c r="DP79" i="2"/>
  <c r="DN79" i="2"/>
  <c r="DO79" i="2" s="1"/>
  <c r="DM79" i="2"/>
  <c r="DL79" i="2"/>
  <c r="DK79" i="2"/>
  <c r="DJ79" i="2"/>
  <c r="DI79" i="2"/>
  <c r="DH79" i="2"/>
  <c r="DG79" i="2"/>
  <c r="DF79" i="2"/>
  <c r="DE79" i="2"/>
  <c r="DD79" i="2"/>
  <c r="DC79" i="2"/>
  <c r="DA79" i="2"/>
  <c r="DB79" i="2" s="1"/>
  <c r="CZ79" i="2"/>
  <c r="CY79" i="2"/>
  <c r="CX79" i="2"/>
  <c r="CW79" i="2"/>
  <c r="CV79" i="2"/>
  <c r="CU79" i="2"/>
  <c r="CT79" i="2"/>
  <c r="CS79" i="2"/>
  <c r="CR79" i="2"/>
  <c r="CQ79" i="2"/>
  <c r="CP79" i="2"/>
  <c r="CO79" i="2"/>
  <c r="CN79" i="2"/>
  <c r="CM79" i="2"/>
  <c r="CL79" i="2"/>
  <c r="CK79" i="2"/>
  <c r="CJ79" i="2"/>
  <c r="CI79" i="2"/>
  <c r="CH79" i="2"/>
  <c r="CG79" i="2"/>
  <c r="CF79" i="2"/>
  <c r="CE79" i="2"/>
  <c r="CD79" i="2"/>
  <c r="CC79" i="2"/>
  <c r="CA79" i="2"/>
  <c r="CB79" i="2" s="1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A79" i="2"/>
  <c r="BB79" i="2" s="1"/>
  <c r="AZ79" i="2"/>
  <c r="AY79" i="2"/>
  <c r="AX79" i="2"/>
  <c r="AW79" i="2"/>
  <c r="AV79" i="2"/>
  <c r="AU79" i="2"/>
  <c r="AT79" i="2"/>
  <c r="AS79" i="2"/>
  <c r="AR79" i="2"/>
  <c r="AQ79" i="2"/>
  <c r="AP79" i="2"/>
  <c r="AN79" i="2"/>
  <c r="AO79" i="2" s="1"/>
  <c r="AM79" i="2"/>
  <c r="AL79" i="2"/>
  <c r="AK79" i="2"/>
  <c r="AJ79" i="2"/>
  <c r="AI79" i="2"/>
  <c r="AH79" i="2"/>
  <c r="AG79" i="2"/>
  <c r="AF79" i="2"/>
  <c r="AE79" i="2"/>
  <c r="AD79" i="2"/>
  <c r="AC79" i="2"/>
  <c r="AA79" i="2"/>
  <c r="AB79" i="2" s="1"/>
  <c r="Z79" i="2"/>
  <c r="Y79" i="2"/>
  <c r="X79" i="2"/>
  <c r="W79" i="2"/>
  <c r="V79" i="2"/>
  <c r="U79" i="2"/>
  <c r="T79" i="2"/>
  <c r="S79" i="2"/>
  <c r="R79" i="2"/>
  <c r="Q79" i="2"/>
  <c r="P79" i="2"/>
  <c r="N79" i="2"/>
  <c r="O79" i="2" s="1"/>
  <c r="M79" i="2"/>
  <c r="L79" i="2"/>
  <c r="K79" i="2"/>
  <c r="J79" i="2"/>
  <c r="I79" i="2"/>
  <c r="H79" i="2"/>
  <c r="G79" i="2"/>
  <c r="F79" i="2"/>
  <c r="E79" i="2"/>
  <c r="D79" i="2"/>
  <c r="C79" i="2"/>
  <c r="FI78" i="2"/>
  <c r="FO78" i="2" s="1"/>
  <c r="FH78" i="2"/>
  <c r="FG78" i="2"/>
  <c r="FF78" i="2"/>
  <c r="FE78" i="2"/>
  <c r="FD78" i="2"/>
  <c r="FC78" i="2"/>
  <c r="FA78" i="2"/>
  <c r="FB78" i="2" s="1"/>
  <c r="EZ78" i="2"/>
  <c r="EY78" i="2"/>
  <c r="EX78" i="2"/>
  <c r="EW78" i="2"/>
  <c r="EV78" i="2"/>
  <c r="EU78" i="2"/>
  <c r="ET78" i="2"/>
  <c r="ES78" i="2"/>
  <c r="ER78" i="2"/>
  <c r="EQ78" i="2"/>
  <c r="EP78" i="2"/>
  <c r="EN78" i="2"/>
  <c r="EO78" i="2" s="1"/>
  <c r="EM78" i="2"/>
  <c r="EL78" i="2"/>
  <c r="EK78" i="2"/>
  <c r="EJ78" i="2"/>
  <c r="EI78" i="2"/>
  <c r="EH78" i="2"/>
  <c r="EG78" i="2"/>
  <c r="EF78" i="2"/>
  <c r="EE78" i="2"/>
  <c r="ED78" i="2"/>
  <c r="EC78" i="2"/>
  <c r="EA78" i="2"/>
  <c r="EB78" i="2" s="1"/>
  <c r="DZ78" i="2"/>
  <c r="DY78" i="2"/>
  <c r="DX78" i="2"/>
  <c r="DW78" i="2"/>
  <c r="DV78" i="2"/>
  <c r="DU78" i="2"/>
  <c r="DT78" i="2"/>
  <c r="DS78" i="2"/>
  <c r="DR78" i="2"/>
  <c r="DQ78" i="2"/>
  <c r="DP78" i="2"/>
  <c r="DO78" i="2"/>
  <c r="DN78" i="2"/>
  <c r="DM78" i="2"/>
  <c r="DL78" i="2"/>
  <c r="DK78" i="2"/>
  <c r="DJ78" i="2"/>
  <c r="DI78" i="2"/>
  <c r="DH78" i="2"/>
  <c r="DG78" i="2"/>
  <c r="DF78" i="2"/>
  <c r="DE78" i="2"/>
  <c r="DD78" i="2"/>
  <c r="DC78" i="2"/>
  <c r="DA78" i="2"/>
  <c r="DB78" i="2" s="1"/>
  <c r="CZ78" i="2"/>
  <c r="CY78" i="2"/>
  <c r="CX78" i="2"/>
  <c r="CW78" i="2"/>
  <c r="CV78" i="2"/>
  <c r="CU78" i="2"/>
  <c r="CT78" i="2"/>
  <c r="CS78" i="2"/>
  <c r="CR78" i="2"/>
  <c r="CQ78" i="2"/>
  <c r="CP78" i="2"/>
  <c r="CN78" i="2"/>
  <c r="CO78" i="2" s="1"/>
  <c r="CM78" i="2"/>
  <c r="CL78" i="2"/>
  <c r="CK78" i="2"/>
  <c r="CJ78" i="2"/>
  <c r="CI78" i="2"/>
  <c r="CH78" i="2"/>
  <c r="CG78" i="2"/>
  <c r="CF78" i="2"/>
  <c r="CE78" i="2"/>
  <c r="CD78" i="2"/>
  <c r="CC78" i="2"/>
  <c r="CA78" i="2"/>
  <c r="CB78" i="2" s="1"/>
  <c r="BZ78" i="2"/>
  <c r="BY78" i="2"/>
  <c r="BX78" i="2"/>
  <c r="BW78" i="2"/>
  <c r="BV78" i="2"/>
  <c r="BU78" i="2"/>
  <c r="BT78" i="2"/>
  <c r="BS78" i="2"/>
  <c r="BR78" i="2"/>
  <c r="BQ78" i="2"/>
  <c r="BP78" i="2"/>
  <c r="BN78" i="2"/>
  <c r="BO78" i="2" s="1"/>
  <c r="BM78" i="2"/>
  <c r="BL78" i="2"/>
  <c r="BK78" i="2"/>
  <c r="BJ78" i="2"/>
  <c r="BI78" i="2"/>
  <c r="BH78" i="2"/>
  <c r="BG78" i="2"/>
  <c r="BF78" i="2"/>
  <c r="BE78" i="2"/>
  <c r="BD78" i="2"/>
  <c r="BC78" i="2"/>
  <c r="BA78" i="2"/>
  <c r="BB78" i="2" s="1"/>
  <c r="AZ78" i="2"/>
  <c r="AY78" i="2"/>
  <c r="AX78" i="2"/>
  <c r="AW78" i="2"/>
  <c r="AV78" i="2"/>
  <c r="AU78" i="2"/>
  <c r="AT78" i="2"/>
  <c r="AS78" i="2"/>
  <c r="AR78" i="2"/>
  <c r="AQ78" i="2"/>
  <c r="AP78" i="2"/>
  <c r="AN78" i="2"/>
  <c r="AO78" i="2" s="1"/>
  <c r="AM78" i="2"/>
  <c r="AL78" i="2"/>
  <c r="AK78" i="2"/>
  <c r="AJ78" i="2"/>
  <c r="AI78" i="2"/>
  <c r="AH78" i="2"/>
  <c r="AG78" i="2"/>
  <c r="AF78" i="2"/>
  <c r="AE78" i="2"/>
  <c r="AD78" i="2"/>
  <c r="AC78" i="2"/>
  <c r="AA78" i="2"/>
  <c r="AB78" i="2" s="1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FI77" i="2"/>
  <c r="FH77" i="2"/>
  <c r="FG77" i="2"/>
  <c r="FF77" i="2"/>
  <c r="FE77" i="2"/>
  <c r="FD77" i="2"/>
  <c r="FD95" i="2" s="1"/>
  <c r="FC77" i="2"/>
  <c r="FB77" i="2"/>
  <c r="FA77" i="2"/>
  <c r="EZ77" i="2"/>
  <c r="EY77" i="2"/>
  <c r="EX77" i="2"/>
  <c r="EW77" i="2"/>
  <c r="EV77" i="2"/>
  <c r="EU77" i="2"/>
  <c r="EU95" i="2" s="1"/>
  <c r="ET77" i="2"/>
  <c r="ES77" i="2"/>
  <c r="ER77" i="2"/>
  <c r="ER95" i="2" s="1"/>
  <c r="EQ77" i="2"/>
  <c r="EP77" i="2"/>
  <c r="EO77" i="2"/>
  <c r="EN77" i="2"/>
  <c r="EM77" i="2"/>
  <c r="EL77" i="2"/>
  <c r="EK77" i="2"/>
  <c r="EJ77" i="2"/>
  <c r="EI77" i="2"/>
  <c r="EH77" i="2"/>
  <c r="EG77" i="2"/>
  <c r="EF77" i="2"/>
  <c r="EF95" i="2" s="1"/>
  <c r="EE77" i="2"/>
  <c r="ED77" i="2"/>
  <c r="ED95" i="2" s="1"/>
  <c r="EC77" i="2"/>
  <c r="EA77" i="2"/>
  <c r="DZ77" i="2"/>
  <c r="DY77" i="2"/>
  <c r="DX77" i="2"/>
  <c r="DW77" i="2"/>
  <c r="DV77" i="2"/>
  <c r="DU77" i="2"/>
  <c r="DT77" i="2"/>
  <c r="DS77" i="2"/>
  <c r="DR77" i="2"/>
  <c r="DQ77" i="2"/>
  <c r="DP77" i="2"/>
  <c r="DN77" i="2"/>
  <c r="DO77" i="2" s="1"/>
  <c r="DM77" i="2"/>
  <c r="DL77" i="2"/>
  <c r="DK77" i="2"/>
  <c r="DJ77" i="2"/>
  <c r="DJ95" i="2" s="1"/>
  <c r="DI77" i="2"/>
  <c r="DH77" i="2"/>
  <c r="DG77" i="2"/>
  <c r="DG95" i="2" s="1"/>
  <c r="DF77" i="2"/>
  <c r="DE77" i="2"/>
  <c r="DD77" i="2"/>
  <c r="DC77" i="2"/>
  <c r="DA77" i="2"/>
  <c r="DA95" i="2" s="1"/>
  <c r="CZ77" i="2"/>
  <c r="CY77" i="2"/>
  <c r="CX77" i="2"/>
  <c r="CW77" i="2"/>
  <c r="CV77" i="2"/>
  <c r="CU77" i="2"/>
  <c r="CT77" i="2"/>
  <c r="CS77" i="2"/>
  <c r="CR77" i="2"/>
  <c r="CQ77" i="2"/>
  <c r="CP77" i="2"/>
  <c r="CO77" i="2"/>
  <c r="CN77" i="2"/>
  <c r="CM77" i="2"/>
  <c r="CM95" i="2" s="1"/>
  <c r="CL77" i="2"/>
  <c r="CK77" i="2"/>
  <c r="CJ77" i="2"/>
  <c r="CJ95" i="2" s="1"/>
  <c r="CI77" i="2"/>
  <c r="CH77" i="2"/>
  <c r="CG77" i="2"/>
  <c r="CF77" i="2"/>
  <c r="CE77" i="2"/>
  <c r="CD77" i="2"/>
  <c r="CC77" i="2"/>
  <c r="CC95" i="2" s="1"/>
  <c r="CA77" i="2"/>
  <c r="BZ77" i="2"/>
  <c r="BY77" i="2"/>
  <c r="BX77" i="2"/>
  <c r="BW77" i="2"/>
  <c r="BV77" i="2"/>
  <c r="BU77" i="2"/>
  <c r="BT77" i="2"/>
  <c r="BS77" i="2"/>
  <c r="BR77" i="2"/>
  <c r="BQ77" i="2"/>
  <c r="BQ95" i="2" s="1"/>
  <c r="BP77" i="2"/>
  <c r="BN77" i="2"/>
  <c r="BN95" i="2" s="1"/>
  <c r="BM77" i="2"/>
  <c r="BL77" i="2"/>
  <c r="BK77" i="2"/>
  <c r="BJ77" i="2"/>
  <c r="BI77" i="2"/>
  <c r="BH77" i="2"/>
  <c r="BG77" i="2"/>
  <c r="BF77" i="2"/>
  <c r="BE77" i="2"/>
  <c r="BD77" i="2"/>
  <c r="BC77" i="2"/>
  <c r="BA77" i="2"/>
  <c r="AZ77" i="2"/>
  <c r="AY77" i="2"/>
  <c r="AX77" i="2"/>
  <c r="AX95" i="2" s="1"/>
  <c r="AW77" i="2"/>
  <c r="AV77" i="2"/>
  <c r="AU77" i="2"/>
  <c r="AT77" i="2"/>
  <c r="AS77" i="2"/>
  <c r="AR77" i="2"/>
  <c r="AQ77" i="2"/>
  <c r="AQ95" i="2" s="1"/>
  <c r="AP77" i="2"/>
  <c r="AN77" i="2"/>
  <c r="AO77" i="2" s="1"/>
  <c r="AM77" i="2"/>
  <c r="AL77" i="2"/>
  <c r="AL95" i="2" s="1"/>
  <c r="AK77" i="2"/>
  <c r="AJ77" i="2"/>
  <c r="AI77" i="2"/>
  <c r="AH77" i="2"/>
  <c r="AG77" i="2"/>
  <c r="AF77" i="2"/>
  <c r="AE77" i="2"/>
  <c r="AE95" i="2" s="1"/>
  <c r="AD77" i="2"/>
  <c r="AC77" i="2"/>
  <c r="AA77" i="2"/>
  <c r="AB77" i="2" s="1"/>
  <c r="Z77" i="2"/>
  <c r="Z95" i="2" s="1"/>
  <c r="Y77" i="2"/>
  <c r="X77" i="2"/>
  <c r="W77" i="2"/>
  <c r="V77" i="2"/>
  <c r="U77" i="2"/>
  <c r="T77" i="2"/>
  <c r="S77" i="2"/>
  <c r="R77" i="2"/>
  <c r="Q77" i="2"/>
  <c r="P77" i="2"/>
  <c r="N77" i="2"/>
  <c r="M77" i="2"/>
  <c r="M95" i="2" s="1"/>
  <c r="L77" i="2"/>
  <c r="K77" i="2"/>
  <c r="J77" i="2"/>
  <c r="I77" i="2"/>
  <c r="H77" i="2"/>
  <c r="H95" i="2" s="1"/>
  <c r="G77" i="2"/>
  <c r="F77" i="2"/>
  <c r="E77" i="2"/>
  <c r="D77" i="2"/>
  <c r="C77" i="2"/>
  <c r="FN70" i="2"/>
  <c r="FM70" i="2"/>
  <c r="FL70" i="2"/>
  <c r="FK70" i="2"/>
  <c r="FJ70" i="2"/>
  <c r="FI69" i="2"/>
  <c r="FO69" i="2" s="1"/>
  <c r="FH69" i="2"/>
  <c r="FG69" i="2"/>
  <c r="FF69" i="2"/>
  <c r="FE69" i="2"/>
  <c r="FD69" i="2"/>
  <c r="FC69" i="2"/>
  <c r="FB69" i="2"/>
  <c r="FA69" i="2"/>
  <c r="EZ69" i="2"/>
  <c r="EY69" i="2"/>
  <c r="EX69" i="2"/>
  <c r="EW69" i="2"/>
  <c r="EV69" i="2"/>
  <c r="EU69" i="2"/>
  <c r="ET69" i="2"/>
  <c r="ES69" i="2"/>
  <c r="ER69" i="2"/>
  <c r="EQ69" i="2"/>
  <c r="EP69" i="2"/>
  <c r="EN69" i="2"/>
  <c r="EO69" i="2" s="1"/>
  <c r="EM69" i="2"/>
  <c r="EL69" i="2"/>
  <c r="EK69" i="2"/>
  <c r="EJ69" i="2"/>
  <c r="EI69" i="2"/>
  <c r="EH69" i="2"/>
  <c r="EG69" i="2"/>
  <c r="EF69" i="2"/>
  <c r="EE69" i="2"/>
  <c r="ED69" i="2"/>
  <c r="EC69" i="2"/>
  <c r="EA69" i="2"/>
  <c r="EB69" i="2" s="1"/>
  <c r="DZ69" i="2"/>
  <c r="DY69" i="2"/>
  <c r="DX69" i="2"/>
  <c r="DW69" i="2"/>
  <c r="DV69" i="2"/>
  <c r="DU69" i="2"/>
  <c r="DT69" i="2"/>
  <c r="DS69" i="2"/>
  <c r="DR69" i="2"/>
  <c r="DQ69" i="2"/>
  <c r="DP69" i="2"/>
  <c r="DO69" i="2"/>
  <c r="DN69" i="2"/>
  <c r="DM69" i="2"/>
  <c r="DL69" i="2"/>
  <c r="DK69" i="2"/>
  <c r="DJ69" i="2"/>
  <c r="DI69" i="2"/>
  <c r="DH69" i="2"/>
  <c r="DG69" i="2"/>
  <c r="DF69" i="2"/>
  <c r="DE69" i="2"/>
  <c r="DD69" i="2"/>
  <c r="DC69" i="2"/>
  <c r="DA69" i="2"/>
  <c r="DB69" i="2" s="1"/>
  <c r="CZ69" i="2"/>
  <c r="CY69" i="2"/>
  <c r="CX69" i="2"/>
  <c r="CW69" i="2"/>
  <c r="CV69" i="2"/>
  <c r="CU69" i="2"/>
  <c r="CT69" i="2"/>
  <c r="CS69" i="2"/>
  <c r="CR69" i="2"/>
  <c r="CQ69" i="2"/>
  <c r="CP69" i="2"/>
  <c r="CN69" i="2"/>
  <c r="CO69" i="2" s="1"/>
  <c r="CM69" i="2"/>
  <c r="CL69" i="2"/>
  <c r="CK69" i="2"/>
  <c r="CJ69" i="2"/>
  <c r="CI69" i="2"/>
  <c r="CH69" i="2"/>
  <c r="CG69" i="2"/>
  <c r="CF69" i="2"/>
  <c r="CE69" i="2"/>
  <c r="CD69" i="2"/>
  <c r="CC69" i="2"/>
  <c r="CA69" i="2"/>
  <c r="CB69" i="2" s="1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A69" i="2"/>
  <c r="BB69" i="2" s="1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A69" i="2"/>
  <c r="AB69" i="2" s="1"/>
  <c r="Z69" i="2"/>
  <c r="Y69" i="2"/>
  <c r="X69" i="2"/>
  <c r="W69" i="2"/>
  <c r="V69" i="2"/>
  <c r="U69" i="2"/>
  <c r="T69" i="2"/>
  <c r="S69" i="2"/>
  <c r="R69" i="2"/>
  <c r="Q69" i="2"/>
  <c r="P69" i="2"/>
  <c r="N69" i="2"/>
  <c r="O69" i="2" s="1"/>
  <c r="M69" i="2"/>
  <c r="L69" i="2"/>
  <c r="K69" i="2"/>
  <c r="J69" i="2"/>
  <c r="I69" i="2"/>
  <c r="H69" i="2"/>
  <c r="G69" i="2"/>
  <c r="F69" i="2"/>
  <c r="E69" i="2"/>
  <c r="D69" i="2"/>
  <c r="C69" i="2"/>
  <c r="FO68" i="2"/>
  <c r="FI68" i="2"/>
  <c r="FH68" i="2"/>
  <c r="FG68" i="2"/>
  <c r="FF68" i="2"/>
  <c r="FE68" i="2"/>
  <c r="FD68" i="2"/>
  <c r="FC68" i="2"/>
  <c r="FA68" i="2"/>
  <c r="FB68" i="2" s="1"/>
  <c r="EZ68" i="2"/>
  <c r="EY68" i="2"/>
  <c r="EX68" i="2"/>
  <c r="EW68" i="2"/>
  <c r="EV68" i="2"/>
  <c r="EU68" i="2"/>
  <c r="ET68" i="2"/>
  <c r="ES68" i="2"/>
  <c r="ER68" i="2"/>
  <c r="EQ68" i="2"/>
  <c r="EP68" i="2"/>
  <c r="EN68" i="2"/>
  <c r="EO68" i="2" s="1"/>
  <c r="EM68" i="2"/>
  <c r="EL68" i="2"/>
  <c r="EK68" i="2"/>
  <c r="EJ68" i="2"/>
  <c r="EI68" i="2"/>
  <c r="EH68" i="2"/>
  <c r="EG68" i="2"/>
  <c r="EF68" i="2"/>
  <c r="EE68" i="2"/>
  <c r="ED68" i="2"/>
  <c r="EC68" i="2"/>
  <c r="EA68" i="2"/>
  <c r="EB68" i="2" s="1"/>
  <c r="DZ68" i="2"/>
  <c r="DY68" i="2"/>
  <c r="DX68" i="2"/>
  <c r="DW68" i="2"/>
  <c r="DV68" i="2"/>
  <c r="DU68" i="2"/>
  <c r="DT68" i="2"/>
  <c r="DS68" i="2"/>
  <c r="DR68" i="2"/>
  <c r="DQ68" i="2"/>
  <c r="DP68" i="2"/>
  <c r="DN68" i="2"/>
  <c r="DO68" i="2" s="1"/>
  <c r="DM68" i="2"/>
  <c r="DL68" i="2"/>
  <c r="DK68" i="2"/>
  <c r="DJ68" i="2"/>
  <c r="DI68" i="2"/>
  <c r="DH68" i="2"/>
  <c r="DG68" i="2"/>
  <c r="DF68" i="2"/>
  <c r="DE68" i="2"/>
  <c r="DD68" i="2"/>
  <c r="DC68" i="2"/>
  <c r="DB68" i="2"/>
  <c r="DA68" i="2"/>
  <c r="CZ68" i="2"/>
  <c r="CY68" i="2"/>
  <c r="CX68" i="2"/>
  <c r="CW68" i="2"/>
  <c r="CV68" i="2"/>
  <c r="CU68" i="2"/>
  <c r="CT68" i="2"/>
  <c r="CS68" i="2"/>
  <c r="CR68" i="2"/>
  <c r="CQ68" i="2"/>
  <c r="CP68" i="2"/>
  <c r="CN68" i="2"/>
  <c r="CO68" i="2" s="1"/>
  <c r="CM68" i="2"/>
  <c r="CL68" i="2"/>
  <c r="CK68" i="2"/>
  <c r="CJ68" i="2"/>
  <c r="CI68" i="2"/>
  <c r="CH68" i="2"/>
  <c r="CG68" i="2"/>
  <c r="CF68" i="2"/>
  <c r="CE68" i="2"/>
  <c r="CD68" i="2"/>
  <c r="CC68" i="2"/>
  <c r="CA68" i="2"/>
  <c r="CB68" i="2" s="1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A68" i="2"/>
  <c r="BB68" i="2" s="1"/>
  <c r="AZ68" i="2"/>
  <c r="AY68" i="2"/>
  <c r="AX68" i="2"/>
  <c r="AW68" i="2"/>
  <c r="AV68" i="2"/>
  <c r="AU68" i="2"/>
  <c r="AT68" i="2"/>
  <c r="AS68" i="2"/>
  <c r="AR68" i="2"/>
  <c r="AQ68" i="2"/>
  <c r="AP68" i="2"/>
  <c r="AN68" i="2"/>
  <c r="AO68" i="2" s="1"/>
  <c r="AM68" i="2"/>
  <c r="AL68" i="2"/>
  <c r="AK68" i="2"/>
  <c r="AJ68" i="2"/>
  <c r="AI68" i="2"/>
  <c r="AH68" i="2"/>
  <c r="AG68" i="2"/>
  <c r="AF68" i="2"/>
  <c r="AE68" i="2"/>
  <c r="AD68" i="2"/>
  <c r="AC68" i="2"/>
  <c r="AA68" i="2"/>
  <c r="AB68" i="2" s="1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FI67" i="2"/>
  <c r="FO67" i="2" s="1"/>
  <c r="FH67" i="2"/>
  <c r="FG67" i="2"/>
  <c r="FF67" i="2"/>
  <c r="FE67" i="2"/>
  <c r="FD67" i="2"/>
  <c r="FC67" i="2"/>
  <c r="FA67" i="2"/>
  <c r="FB67" i="2" s="1"/>
  <c r="EZ67" i="2"/>
  <c r="EY67" i="2"/>
  <c r="EX67" i="2"/>
  <c r="EW67" i="2"/>
  <c r="EV67" i="2"/>
  <c r="EU67" i="2"/>
  <c r="ET67" i="2"/>
  <c r="ES67" i="2"/>
  <c r="ER67" i="2"/>
  <c r="EQ67" i="2"/>
  <c r="EP67" i="2"/>
  <c r="EN67" i="2"/>
  <c r="EO67" i="2" s="1"/>
  <c r="EM67" i="2"/>
  <c r="EL67" i="2"/>
  <c r="EK67" i="2"/>
  <c r="EJ67" i="2"/>
  <c r="EI67" i="2"/>
  <c r="EH67" i="2"/>
  <c r="EG67" i="2"/>
  <c r="EF67" i="2"/>
  <c r="EE67" i="2"/>
  <c r="ED67" i="2"/>
  <c r="EC67" i="2"/>
  <c r="EA67" i="2"/>
  <c r="EB67" i="2" s="1"/>
  <c r="DZ67" i="2"/>
  <c r="DY67" i="2"/>
  <c r="DX67" i="2"/>
  <c r="DW67" i="2"/>
  <c r="DV67" i="2"/>
  <c r="DU67" i="2"/>
  <c r="DT67" i="2"/>
  <c r="DS67" i="2"/>
  <c r="DR67" i="2"/>
  <c r="DQ67" i="2"/>
  <c r="DP67" i="2"/>
  <c r="DO67" i="2"/>
  <c r="DN67" i="2"/>
  <c r="DM67" i="2"/>
  <c r="DL67" i="2"/>
  <c r="DK67" i="2"/>
  <c r="DJ67" i="2"/>
  <c r="DI67" i="2"/>
  <c r="DH67" i="2"/>
  <c r="DG67" i="2"/>
  <c r="DF67" i="2"/>
  <c r="DE67" i="2"/>
  <c r="DD67" i="2"/>
  <c r="DC67" i="2"/>
  <c r="DA67" i="2"/>
  <c r="DB67" i="2" s="1"/>
  <c r="CZ67" i="2"/>
  <c r="CY67" i="2"/>
  <c r="CX67" i="2"/>
  <c r="CW67" i="2"/>
  <c r="CV67" i="2"/>
  <c r="CU67" i="2"/>
  <c r="CT67" i="2"/>
  <c r="CS67" i="2"/>
  <c r="CR67" i="2"/>
  <c r="CQ67" i="2"/>
  <c r="CP67" i="2"/>
  <c r="CO67" i="2"/>
  <c r="CN67" i="2"/>
  <c r="CM67" i="2"/>
  <c r="CL67" i="2"/>
  <c r="CK67" i="2"/>
  <c r="CJ67" i="2"/>
  <c r="CI67" i="2"/>
  <c r="CH67" i="2"/>
  <c r="CG67" i="2"/>
  <c r="CF67" i="2"/>
  <c r="CE67" i="2"/>
  <c r="CD67" i="2"/>
  <c r="CC67" i="2"/>
  <c r="CA67" i="2"/>
  <c r="CB67" i="2" s="1"/>
  <c r="BZ67" i="2"/>
  <c r="BY67" i="2"/>
  <c r="BX67" i="2"/>
  <c r="BW67" i="2"/>
  <c r="BV67" i="2"/>
  <c r="BU67" i="2"/>
  <c r="BT67" i="2"/>
  <c r="BS67" i="2"/>
  <c r="BR67" i="2"/>
  <c r="BQ67" i="2"/>
  <c r="BP67" i="2"/>
  <c r="BN67" i="2"/>
  <c r="BO67" i="2" s="1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N67" i="2"/>
  <c r="AO67" i="2" s="1"/>
  <c r="AM67" i="2"/>
  <c r="AL67" i="2"/>
  <c r="AK67" i="2"/>
  <c r="AJ67" i="2"/>
  <c r="AI67" i="2"/>
  <c r="AH67" i="2"/>
  <c r="AG67" i="2"/>
  <c r="AF67" i="2"/>
  <c r="AE67" i="2"/>
  <c r="AD67" i="2"/>
  <c r="AC67" i="2"/>
  <c r="AA67" i="2"/>
  <c r="AB67" i="2" s="1"/>
  <c r="Z67" i="2"/>
  <c r="Y67" i="2"/>
  <c r="X67" i="2"/>
  <c r="W67" i="2"/>
  <c r="V67" i="2"/>
  <c r="U67" i="2"/>
  <c r="T67" i="2"/>
  <c r="S67" i="2"/>
  <c r="R67" i="2"/>
  <c r="Q67" i="2"/>
  <c r="P67" i="2"/>
  <c r="N67" i="2"/>
  <c r="O67" i="2" s="1"/>
  <c r="M67" i="2"/>
  <c r="L67" i="2"/>
  <c r="K67" i="2"/>
  <c r="J67" i="2"/>
  <c r="I67" i="2"/>
  <c r="H67" i="2"/>
  <c r="G67" i="2"/>
  <c r="F67" i="2"/>
  <c r="E67" i="2"/>
  <c r="D67" i="2"/>
  <c r="C67" i="2"/>
  <c r="FI66" i="2"/>
  <c r="FO66" i="2" s="1"/>
  <c r="FH66" i="2"/>
  <c r="FG66" i="2"/>
  <c r="FF66" i="2"/>
  <c r="FE66" i="2"/>
  <c r="FD66" i="2"/>
  <c r="FC66" i="2"/>
  <c r="FB66" i="2"/>
  <c r="FA66" i="2"/>
  <c r="EZ66" i="2"/>
  <c r="EY66" i="2"/>
  <c r="EX66" i="2"/>
  <c r="EW66" i="2"/>
  <c r="EV66" i="2"/>
  <c r="EU66" i="2"/>
  <c r="ET66" i="2"/>
  <c r="ES66" i="2"/>
  <c r="ER66" i="2"/>
  <c r="EQ66" i="2"/>
  <c r="EP66" i="2"/>
  <c r="EN66" i="2"/>
  <c r="EO66" i="2" s="1"/>
  <c r="EM66" i="2"/>
  <c r="EL66" i="2"/>
  <c r="EK66" i="2"/>
  <c r="EJ66" i="2"/>
  <c r="EI66" i="2"/>
  <c r="EH66" i="2"/>
  <c r="EG66" i="2"/>
  <c r="EF66" i="2"/>
  <c r="EE66" i="2"/>
  <c r="ED66" i="2"/>
  <c r="EC66" i="2"/>
  <c r="EA66" i="2"/>
  <c r="EB66" i="2" s="1"/>
  <c r="DZ66" i="2"/>
  <c r="DY66" i="2"/>
  <c r="DX66" i="2"/>
  <c r="DW66" i="2"/>
  <c r="DV66" i="2"/>
  <c r="DU66" i="2"/>
  <c r="DT66" i="2"/>
  <c r="DS66" i="2"/>
  <c r="DR66" i="2"/>
  <c r="DQ66" i="2"/>
  <c r="DP66" i="2"/>
  <c r="DO66" i="2"/>
  <c r="DN66" i="2"/>
  <c r="DM66" i="2"/>
  <c r="DL66" i="2"/>
  <c r="DK66" i="2"/>
  <c r="DJ66" i="2"/>
  <c r="DI66" i="2"/>
  <c r="DH66" i="2"/>
  <c r="DG66" i="2"/>
  <c r="DF66" i="2"/>
  <c r="DE66" i="2"/>
  <c r="DD66" i="2"/>
  <c r="DC66" i="2"/>
  <c r="DA66" i="2"/>
  <c r="DB66" i="2" s="1"/>
  <c r="CZ66" i="2"/>
  <c r="CY66" i="2"/>
  <c r="CX66" i="2"/>
  <c r="CW66" i="2"/>
  <c r="CV66" i="2"/>
  <c r="CU66" i="2"/>
  <c r="CT66" i="2"/>
  <c r="CS66" i="2"/>
  <c r="CR66" i="2"/>
  <c r="CQ66" i="2"/>
  <c r="CP66" i="2"/>
  <c r="CN66" i="2"/>
  <c r="CO66" i="2" s="1"/>
  <c r="CM66" i="2"/>
  <c r="CL66" i="2"/>
  <c r="CK66" i="2"/>
  <c r="CJ66" i="2"/>
  <c r="CI66" i="2"/>
  <c r="CH66" i="2"/>
  <c r="CG66" i="2"/>
  <c r="CF66" i="2"/>
  <c r="CE66" i="2"/>
  <c r="CD66" i="2"/>
  <c r="CC66" i="2"/>
  <c r="CA66" i="2"/>
  <c r="CB66" i="2" s="1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A66" i="2"/>
  <c r="BB66" i="2" s="1"/>
  <c r="AZ66" i="2"/>
  <c r="AY66" i="2"/>
  <c r="AX66" i="2"/>
  <c r="AW66" i="2"/>
  <c r="AV66" i="2"/>
  <c r="AU66" i="2"/>
  <c r="AT66" i="2"/>
  <c r="AS66" i="2"/>
  <c r="AR66" i="2"/>
  <c r="AQ66" i="2"/>
  <c r="AP66" i="2"/>
  <c r="AN66" i="2"/>
  <c r="AO66" i="2" s="1"/>
  <c r="AM66" i="2"/>
  <c r="AL66" i="2"/>
  <c r="AK66" i="2"/>
  <c r="AJ66" i="2"/>
  <c r="AI66" i="2"/>
  <c r="AH66" i="2"/>
  <c r="AG66" i="2"/>
  <c r="AF66" i="2"/>
  <c r="AE66" i="2"/>
  <c r="AD66" i="2"/>
  <c r="AC66" i="2"/>
  <c r="AA66" i="2"/>
  <c r="AB66" i="2" s="1"/>
  <c r="Z66" i="2"/>
  <c r="Y66" i="2"/>
  <c r="X66" i="2"/>
  <c r="W66" i="2"/>
  <c r="V66" i="2"/>
  <c r="U66" i="2"/>
  <c r="T66" i="2"/>
  <c r="S66" i="2"/>
  <c r="R66" i="2"/>
  <c r="Q66" i="2"/>
  <c r="P66" i="2"/>
  <c r="N66" i="2"/>
  <c r="O66" i="2" s="1"/>
  <c r="M66" i="2"/>
  <c r="L66" i="2"/>
  <c r="K66" i="2"/>
  <c r="J66" i="2"/>
  <c r="I66" i="2"/>
  <c r="H66" i="2"/>
  <c r="G66" i="2"/>
  <c r="F66" i="2"/>
  <c r="E66" i="2"/>
  <c r="D66" i="2"/>
  <c r="C66" i="2"/>
  <c r="FO65" i="2"/>
  <c r="FI65" i="2"/>
  <c r="FH65" i="2"/>
  <c r="FG65" i="2"/>
  <c r="FF65" i="2"/>
  <c r="FE65" i="2"/>
  <c r="FD65" i="2"/>
  <c r="FC65" i="2"/>
  <c r="FA65" i="2"/>
  <c r="FB65" i="2" s="1"/>
  <c r="EZ65" i="2"/>
  <c r="EY65" i="2"/>
  <c r="EX65" i="2"/>
  <c r="EW65" i="2"/>
  <c r="EV65" i="2"/>
  <c r="EU65" i="2"/>
  <c r="ET65" i="2"/>
  <c r="ES65" i="2"/>
  <c r="ER65" i="2"/>
  <c r="EQ65" i="2"/>
  <c r="EP65" i="2"/>
  <c r="EN65" i="2"/>
  <c r="EO65" i="2" s="1"/>
  <c r="EM65" i="2"/>
  <c r="EL65" i="2"/>
  <c r="EK65" i="2"/>
  <c r="EJ65" i="2"/>
  <c r="EI65" i="2"/>
  <c r="EH65" i="2"/>
  <c r="EG65" i="2"/>
  <c r="EF65" i="2"/>
  <c r="EE65" i="2"/>
  <c r="ED65" i="2"/>
  <c r="EC65" i="2"/>
  <c r="EB65" i="2"/>
  <c r="EA65" i="2"/>
  <c r="DZ65" i="2"/>
  <c r="DY65" i="2"/>
  <c r="DX65" i="2"/>
  <c r="DW65" i="2"/>
  <c r="DV65" i="2"/>
  <c r="DU65" i="2"/>
  <c r="DT65" i="2"/>
  <c r="DS65" i="2"/>
  <c r="DR65" i="2"/>
  <c r="DQ65" i="2"/>
  <c r="DP65" i="2"/>
  <c r="DN65" i="2"/>
  <c r="DO65" i="2" s="1"/>
  <c r="DM65" i="2"/>
  <c r="DL65" i="2"/>
  <c r="DK65" i="2"/>
  <c r="DJ65" i="2"/>
  <c r="DI65" i="2"/>
  <c r="DH65" i="2"/>
  <c r="DG65" i="2"/>
  <c r="DF65" i="2"/>
  <c r="DE65" i="2"/>
  <c r="DD65" i="2"/>
  <c r="DC65" i="2"/>
  <c r="DA65" i="2"/>
  <c r="DB65" i="2" s="1"/>
  <c r="CZ65" i="2"/>
  <c r="CY65" i="2"/>
  <c r="CX65" i="2"/>
  <c r="CW65" i="2"/>
  <c r="CV65" i="2"/>
  <c r="CU65" i="2"/>
  <c r="CT65" i="2"/>
  <c r="CS65" i="2"/>
  <c r="CR65" i="2"/>
  <c r="CQ65" i="2"/>
  <c r="CP65" i="2"/>
  <c r="CN65" i="2"/>
  <c r="CO65" i="2" s="1"/>
  <c r="CM65" i="2"/>
  <c r="CL65" i="2"/>
  <c r="CK65" i="2"/>
  <c r="CJ65" i="2"/>
  <c r="CI65" i="2"/>
  <c r="CH65" i="2"/>
  <c r="CG65" i="2"/>
  <c r="CF65" i="2"/>
  <c r="CE65" i="2"/>
  <c r="CD65" i="2"/>
  <c r="CC65" i="2"/>
  <c r="CA65" i="2"/>
  <c r="CB65" i="2" s="1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A65" i="2"/>
  <c r="BB65" i="2" s="1"/>
  <c r="AZ65" i="2"/>
  <c r="AY65" i="2"/>
  <c r="AX65" i="2"/>
  <c r="AW65" i="2"/>
  <c r="AV65" i="2"/>
  <c r="AU65" i="2"/>
  <c r="AT65" i="2"/>
  <c r="AS65" i="2"/>
  <c r="AR65" i="2"/>
  <c r="AQ65" i="2"/>
  <c r="AP65" i="2"/>
  <c r="AN65" i="2"/>
  <c r="AO65" i="2" s="1"/>
  <c r="AM65" i="2"/>
  <c r="AL65" i="2"/>
  <c r="AK65" i="2"/>
  <c r="AJ65" i="2"/>
  <c r="AI65" i="2"/>
  <c r="AH65" i="2"/>
  <c r="AG65" i="2"/>
  <c r="AF65" i="2"/>
  <c r="AE65" i="2"/>
  <c r="AD65" i="2"/>
  <c r="AC65" i="2"/>
  <c r="AA65" i="2"/>
  <c r="AB65" i="2" s="1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FI64" i="2"/>
  <c r="FO64" i="2" s="1"/>
  <c r="FH64" i="2"/>
  <c r="FG64" i="2"/>
  <c r="FF64" i="2"/>
  <c r="FE64" i="2"/>
  <c r="FD64" i="2"/>
  <c r="FC64" i="2"/>
  <c r="FA64" i="2"/>
  <c r="FB64" i="2" s="1"/>
  <c r="EZ64" i="2"/>
  <c r="EY64" i="2"/>
  <c r="EX64" i="2"/>
  <c r="EW64" i="2"/>
  <c r="EV64" i="2"/>
  <c r="EU64" i="2"/>
  <c r="ET64" i="2"/>
  <c r="ES64" i="2"/>
  <c r="ER64" i="2"/>
  <c r="EQ64" i="2"/>
  <c r="EP64" i="2"/>
  <c r="EO64" i="2"/>
  <c r="EN64" i="2"/>
  <c r="EM64" i="2"/>
  <c r="EL64" i="2"/>
  <c r="EK64" i="2"/>
  <c r="EJ64" i="2"/>
  <c r="EI64" i="2"/>
  <c r="EH64" i="2"/>
  <c r="EG64" i="2"/>
  <c r="EF64" i="2"/>
  <c r="EE64" i="2"/>
  <c r="ED64" i="2"/>
  <c r="EC64" i="2"/>
  <c r="EA64" i="2"/>
  <c r="EB64" i="2" s="1"/>
  <c r="DZ64" i="2"/>
  <c r="DY64" i="2"/>
  <c r="DX64" i="2"/>
  <c r="DW64" i="2"/>
  <c r="DV64" i="2"/>
  <c r="DU64" i="2"/>
  <c r="DT64" i="2"/>
  <c r="DS64" i="2"/>
  <c r="DR64" i="2"/>
  <c r="DQ64" i="2"/>
  <c r="DP64" i="2"/>
  <c r="DN64" i="2"/>
  <c r="DO64" i="2" s="1"/>
  <c r="DM64" i="2"/>
  <c r="DL64" i="2"/>
  <c r="DK64" i="2"/>
  <c r="DJ64" i="2"/>
  <c r="DI64" i="2"/>
  <c r="DH64" i="2"/>
  <c r="DG64" i="2"/>
  <c r="DF64" i="2"/>
  <c r="DE64" i="2"/>
  <c r="DD64" i="2"/>
  <c r="DC64" i="2"/>
  <c r="DA64" i="2"/>
  <c r="DB64" i="2" s="1"/>
  <c r="CZ64" i="2"/>
  <c r="CY64" i="2"/>
  <c r="CX64" i="2"/>
  <c r="CW64" i="2"/>
  <c r="CV64" i="2"/>
  <c r="CU64" i="2"/>
  <c r="CT64" i="2"/>
  <c r="CS64" i="2"/>
  <c r="CR64" i="2"/>
  <c r="CQ64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A64" i="2"/>
  <c r="CB64" i="2" s="1"/>
  <c r="BZ64" i="2"/>
  <c r="BY64" i="2"/>
  <c r="BX64" i="2"/>
  <c r="BW64" i="2"/>
  <c r="BV64" i="2"/>
  <c r="BU64" i="2"/>
  <c r="BT64" i="2"/>
  <c r="BS64" i="2"/>
  <c r="BR64" i="2"/>
  <c r="BQ64" i="2"/>
  <c r="BP64" i="2"/>
  <c r="BN64" i="2"/>
  <c r="BO64" i="2" s="1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N64" i="2"/>
  <c r="AO64" i="2" s="1"/>
  <c r="AM64" i="2"/>
  <c r="AL64" i="2"/>
  <c r="AK64" i="2"/>
  <c r="AJ64" i="2"/>
  <c r="AI64" i="2"/>
  <c r="AH64" i="2"/>
  <c r="AG64" i="2"/>
  <c r="AF64" i="2"/>
  <c r="AE64" i="2"/>
  <c r="AD64" i="2"/>
  <c r="AC64" i="2"/>
  <c r="AA64" i="2"/>
  <c r="AB64" i="2" s="1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FI63" i="2"/>
  <c r="FO63" i="2" s="1"/>
  <c r="FH63" i="2"/>
  <c r="FG63" i="2"/>
  <c r="FF63" i="2"/>
  <c r="FE63" i="2"/>
  <c r="FD63" i="2"/>
  <c r="FC63" i="2"/>
  <c r="FA63" i="2"/>
  <c r="FB63" i="2" s="1"/>
  <c r="EZ63" i="2"/>
  <c r="EY63" i="2"/>
  <c r="EX63" i="2"/>
  <c r="EW63" i="2"/>
  <c r="EV63" i="2"/>
  <c r="EU63" i="2"/>
  <c r="ET63" i="2"/>
  <c r="ES63" i="2"/>
  <c r="ER63" i="2"/>
  <c r="EQ63" i="2"/>
  <c r="EP63" i="2"/>
  <c r="EN63" i="2"/>
  <c r="EO63" i="2" s="1"/>
  <c r="EM63" i="2"/>
  <c r="EL63" i="2"/>
  <c r="EK63" i="2"/>
  <c r="EJ63" i="2"/>
  <c r="EI63" i="2"/>
  <c r="EH63" i="2"/>
  <c r="EG63" i="2"/>
  <c r="EF63" i="2"/>
  <c r="EE63" i="2"/>
  <c r="ED63" i="2"/>
  <c r="EC63" i="2"/>
  <c r="EA63" i="2"/>
  <c r="EB63" i="2" s="1"/>
  <c r="DZ63" i="2"/>
  <c r="DY63" i="2"/>
  <c r="DX63" i="2"/>
  <c r="DW63" i="2"/>
  <c r="DV63" i="2"/>
  <c r="DU63" i="2"/>
  <c r="DT63" i="2"/>
  <c r="DS63" i="2"/>
  <c r="DR63" i="2"/>
  <c r="DQ63" i="2"/>
  <c r="DP63" i="2"/>
  <c r="DO63" i="2"/>
  <c r="DN63" i="2"/>
  <c r="DM63" i="2"/>
  <c r="DL63" i="2"/>
  <c r="DK63" i="2"/>
  <c r="DJ63" i="2"/>
  <c r="DI63" i="2"/>
  <c r="DH63" i="2"/>
  <c r="DG63" i="2"/>
  <c r="DF63" i="2"/>
  <c r="DE63" i="2"/>
  <c r="DD63" i="2"/>
  <c r="DC63" i="2"/>
  <c r="DA63" i="2"/>
  <c r="DB63" i="2" s="1"/>
  <c r="CZ63" i="2"/>
  <c r="CY63" i="2"/>
  <c r="CX63" i="2"/>
  <c r="CW63" i="2"/>
  <c r="CV63" i="2"/>
  <c r="CU63" i="2"/>
  <c r="CT63" i="2"/>
  <c r="CS63" i="2"/>
  <c r="CR63" i="2"/>
  <c r="CQ63" i="2"/>
  <c r="CP63" i="2"/>
  <c r="CN63" i="2"/>
  <c r="CO63" i="2" s="1"/>
  <c r="CM63" i="2"/>
  <c r="CL63" i="2"/>
  <c r="CK63" i="2"/>
  <c r="CJ63" i="2"/>
  <c r="CI63" i="2"/>
  <c r="CH63" i="2"/>
  <c r="CG63" i="2"/>
  <c r="CF63" i="2"/>
  <c r="CE63" i="2"/>
  <c r="CD63" i="2"/>
  <c r="CC63" i="2"/>
  <c r="CA63" i="2"/>
  <c r="CB63" i="2" s="1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A63" i="2"/>
  <c r="BB63" i="2" s="1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N63" i="2"/>
  <c r="O63" i="2" s="1"/>
  <c r="M63" i="2"/>
  <c r="L63" i="2"/>
  <c r="K63" i="2"/>
  <c r="J63" i="2"/>
  <c r="I63" i="2"/>
  <c r="H63" i="2"/>
  <c r="G63" i="2"/>
  <c r="F63" i="2"/>
  <c r="E63" i="2"/>
  <c r="D63" i="2"/>
  <c r="C63" i="2"/>
  <c r="FI62" i="2"/>
  <c r="FO62" i="2" s="1"/>
  <c r="FH62" i="2"/>
  <c r="FG62" i="2"/>
  <c r="FF62" i="2"/>
  <c r="FE62" i="2"/>
  <c r="FD62" i="2"/>
  <c r="FC62" i="2"/>
  <c r="FA62" i="2"/>
  <c r="FB62" i="2" s="1"/>
  <c r="EZ62" i="2"/>
  <c r="EY62" i="2"/>
  <c r="EX62" i="2"/>
  <c r="EW62" i="2"/>
  <c r="EV62" i="2"/>
  <c r="EU62" i="2"/>
  <c r="ET62" i="2"/>
  <c r="ES62" i="2"/>
  <c r="ER62" i="2"/>
  <c r="EQ62" i="2"/>
  <c r="EP62" i="2"/>
  <c r="EN62" i="2"/>
  <c r="EO62" i="2" s="1"/>
  <c r="EM62" i="2"/>
  <c r="EL62" i="2"/>
  <c r="EK62" i="2"/>
  <c r="EJ62" i="2"/>
  <c r="EI62" i="2"/>
  <c r="EH62" i="2"/>
  <c r="EG62" i="2"/>
  <c r="EF62" i="2"/>
  <c r="EE62" i="2"/>
  <c r="ED62" i="2"/>
  <c r="EC62" i="2"/>
  <c r="EA62" i="2"/>
  <c r="EB62" i="2" s="1"/>
  <c r="DZ62" i="2"/>
  <c r="DY62" i="2"/>
  <c r="DX62" i="2"/>
  <c r="DW62" i="2"/>
  <c r="DV62" i="2"/>
  <c r="DU62" i="2"/>
  <c r="DT62" i="2"/>
  <c r="DS62" i="2"/>
  <c r="DR62" i="2"/>
  <c r="DQ62" i="2"/>
  <c r="DP62" i="2"/>
  <c r="DN62" i="2"/>
  <c r="DO62" i="2" s="1"/>
  <c r="DM62" i="2"/>
  <c r="DL62" i="2"/>
  <c r="DK62" i="2"/>
  <c r="DJ62" i="2"/>
  <c r="DI62" i="2"/>
  <c r="DH62" i="2"/>
  <c r="DG62" i="2"/>
  <c r="DF62" i="2"/>
  <c r="DE62" i="2"/>
  <c r="DD62" i="2"/>
  <c r="DC62" i="2"/>
  <c r="DB62" i="2"/>
  <c r="DA62" i="2"/>
  <c r="CZ62" i="2"/>
  <c r="CY62" i="2"/>
  <c r="CX62" i="2"/>
  <c r="CW62" i="2"/>
  <c r="CV62" i="2"/>
  <c r="CU62" i="2"/>
  <c r="CT62" i="2"/>
  <c r="CS62" i="2"/>
  <c r="CR62" i="2"/>
  <c r="CQ62" i="2"/>
  <c r="CP62" i="2"/>
  <c r="CN62" i="2"/>
  <c r="CO62" i="2" s="1"/>
  <c r="CM62" i="2"/>
  <c r="CL62" i="2"/>
  <c r="CK62" i="2"/>
  <c r="CJ62" i="2"/>
  <c r="CI62" i="2"/>
  <c r="CH62" i="2"/>
  <c r="CG62" i="2"/>
  <c r="CF62" i="2"/>
  <c r="CE62" i="2"/>
  <c r="CD62" i="2"/>
  <c r="CC62" i="2"/>
  <c r="CA62" i="2"/>
  <c r="CB62" i="2" s="1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A62" i="2"/>
  <c r="BB62" i="2" s="1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A62" i="2"/>
  <c r="AB62" i="2" s="1"/>
  <c r="Z62" i="2"/>
  <c r="Y62" i="2"/>
  <c r="X62" i="2"/>
  <c r="W62" i="2"/>
  <c r="V62" i="2"/>
  <c r="U62" i="2"/>
  <c r="T62" i="2"/>
  <c r="S62" i="2"/>
  <c r="R62" i="2"/>
  <c r="Q62" i="2"/>
  <c r="P62" i="2"/>
  <c r="N62" i="2"/>
  <c r="O62" i="2" s="1"/>
  <c r="M62" i="2"/>
  <c r="L62" i="2"/>
  <c r="K62" i="2"/>
  <c r="J62" i="2"/>
  <c r="I62" i="2"/>
  <c r="H62" i="2"/>
  <c r="G62" i="2"/>
  <c r="F62" i="2"/>
  <c r="E62" i="2"/>
  <c r="D62" i="2"/>
  <c r="C62" i="2"/>
  <c r="FI61" i="2"/>
  <c r="FH61" i="2"/>
  <c r="FG61" i="2"/>
  <c r="FF61" i="2"/>
  <c r="FE61" i="2"/>
  <c r="FD61" i="2"/>
  <c r="FC61" i="2"/>
  <c r="FA61" i="2"/>
  <c r="FB61" i="2" s="1"/>
  <c r="EZ61" i="2"/>
  <c r="EY61" i="2"/>
  <c r="EX61" i="2"/>
  <c r="EW61" i="2"/>
  <c r="EV61" i="2"/>
  <c r="EU61" i="2"/>
  <c r="ET61" i="2"/>
  <c r="ES61" i="2"/>
  <c r="ER61" i="2"/>
  <c r="EQ61" i="2"/>
  <c r="EP61" i="2"/>
  <c r="EN61" i="2"/>
  <c r="EO61" i="2" s="1"/>
  <c r="EM61" i="2"/>
  <c r="EL61" i="2"/>
  <c r="EK61" i="2"/>
  <c r="EJ61" i="2"/>
  <c r="EI61" i="2"/>
  <c r="EH61" i="2"/>
  <c r="EG61" i="2"/>
  <c r="EF61" i="2"/>
  <c r="EE61" i="2"/>
  <c r="ED61" i="2"/>
  <c r="EC61" i="2"/>
  <c r="EA61" i="2"/>
  <c r="EB61" i="2" s="1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DG61" i="2"/>
  <c r="DF61" i="2"/>
  <c r="DE61" i="2"/>
  <c r="DD61" i="2"/>
  <c r="DC61" i="2"/>
  <c r="DA61" i="2"/>
  <c r="DB61" i="2" s="1"/>
  <c r="CZ61" i="2"/>
  <c r="CY61" i="2"/>
  <c r="CX61" i="2"/>
  <c r="CW61" i="2"/>
  <c r="CV61" i="2"/>
  <c r="CU61" i="2"/>
  <c r="CT61" i="2"/>
  <c r="CS61" i="2"/>
  <c r="CR61" i="2"/>
  <c r="CQ61" i="2"/>
  <c r="CP61" i="2"/>
  <c r="CN61" i="2"/>
  <c r="CO61" i="2" s="1"/>
  <c r="CM61" i="2"/>
  <c r="CL61" i="2"/>
  <c r="CK61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N61" i="2"/>
  <c r="BO61" i="2" s="1"/>
  <c r="BM61" i="2"/>
  <c r="BL61" i="2"/>
  <c r="BK61" i="2"/>
  <c r="BJ61" i="2"/>
  <c r="BI61" i="2"/>
  <c r="BH61" i="2"/>
  <c r="BG61" i="2"/>
  <c r="BF61" i="2"/>
  <c r="BE61" i="2"/>
  <c r="BD61" i="2"/>
  <c r="BC61" i="2"/>
  <c r="BA61" i="2"/>
  <c r="BB61" i="2" s="1"/>
  <c r="AZ61" i="2"/>
  <c r="AY61" i="2"/>
  <c r="AX61" i="2"/>
  <c r="AW61" i="2"/>
  <c r="AV61" i="2"/>
  <c r="AU61" i="2"/>
  <c r="AT61" i="2"/>
  <c r="AS61" i="2"/>
  <c r="AR61" i="2"/>
  <c r="AQ61" i="2"/>
  <c r="AP61" i="2"/>
  <c r="AN61" i="2"/>
  <c r="AO61" i="2" s="1"/>
  <c r="AM61" i="2"/>
  <c r="AL61" i="2"/>
  <c r="AK61" i="2"/>
  <c r="AJ61" i="2"/>
  <c r="AI61" i="2"/>
  <c r="AH61" i="2"/>
  <c r="AG61" i="2"/>
  <c r="AF61" i="2"/>
  <c r="AE61" i="2"/>
  <c r="AD61" i="2"/>
  <c r="AC61" i="2"/>
  <c r="AA61" i="2"/>
  <c r="AB61" i="2" s="1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FI60" i="2"/>
  <c r="FO60" i="2" s="1"/>
  <c r="FH60" i="2"/>
  <c r="FG60" i="2"/>
  <c r="FF60" i="2"/>
  <c r="FE60" i="2"/>
  <c r="FD60" i="2"/>
  <c r="FC60" i="2"/>
  <c r="FA60" i="2"/>
  <c r="FB60" i="2" s="1"/>
  <c r="EZ60" i="2"/>
  <c r="EY60" i="2"/>
  <c r="EX60" i="2"/>
  <c r="EW60" i="2"/>
  <c r="EV60" i="2"/>
  <c r="EU60" i="2"/>
  <c r="ET60" i="2"/>
  <c r="ES60" i="2"/>
  <c r="ER60" i="2"/>
  <c r="EQ60" i="2"/>
  <c r="EP60" i="2"/>
  <c r="EN60" i="2"/>
  <c r="EO60" i="2" s="1"/>
  <c r="EM60" i="2"/>
  <c r="EL60" i="2"/>
  <c r="EK60" i="2"/>
  <c r="EJ60" i="2"/>
  <c r="EI60" i="2"/>
  <c r="EH60" i="2"/>
  <c r="EG60" i="2"/>
  <c r="EF60" i="2"/>
  <c r="EE60" i="2"/>
  <c r="ED60" i="2"/>
  <c r="EC60" i="2"/>
  <c r="EA60" i="2"/>
  <c r="EB60" i="2" s="1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DG60" i="2"/>
  <c r="DF60" i="2"/>
  <c r="DE60" i="2"/>
  <c r="DD60" i="2"/>
  <c r="DC60" i="2"/>
  <c r="DA60" i="2"/>
  <c r="DB60" i="2" s="1"/>
  <c r="CZ60" i="2"/>
  <c r="CY60" i="2"/>
  <c r="CX60" i="2"/>
  <c r="CW60" i="2"/>
  <c r="CV60" i="2"/>
  <c r="CU60" i="2"/>
  <c r="CT60" i="2"/>
  <c r="CS60" i="2"/>
  <c r="CR60" i="2"/>
  <c r="CQ60" i="2"/>
  <c r="CP60" i="2"/>
  <c r="CO60" i="2"/>
  <c r="CN60" i="2"/>
  <c r="CM60" i="2"/>
  <c r="CL60" i="2"/>
  <c r="CK60" i="2"/>
  <c r="CJ60" i="2"/>
  <c r="CI60" i="2"/>
  <c r="CH60" i="2"/>
  <c r="CG60" i="2"/>
  <c r="CF60" i="2"/>
  <c r="CE60" i="2"/>
  <c r="CD60" i="2"/>
  <c r="CC60" i="2"/>
  <c r="CA60" i="2"/>
  <c r="CB60" i="2" s="1"/>
  <c r="BZ60" i="2"/>
  <c r="BY60" i="2"/>
  <c r="BX60" i="2"/>
  <c r="BW60" i="2"/>
  <c r="BV60" i="2"/>
  <c r="BU60" i="2"/>
  <c r="BT60" i="2"/>
  <c r="BS60" i="2"/>
  <c r="BR60" i="2"/>
  <c r="BQ60" i="2"/>
  <c r="BP60" i="2"/>
  <c r="BN60" i="2"/>
  <c r="BO60" i="2" s="1"/>
  <c r="BM60" i="2"/>
  <c r="BL60" i="2"/>
  <c r="BK60" i="2"/>
  <c r="BJ60" i="2"/>
  <c r="BI60" i="2"/>
  <c r="BH60" i="2"/>
  <c r="BG60" i="2"/>
  <c r="BF60" i="2"/>
  <c r="BE60" i="2"/>
  <c r="BD60" i="2"/>
  <c r="BC60" i="2"/>
  <c r="BA60" i="2"/>
  <c r="BB60" i="2" s="1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N60" i="2"/>
  <c r="O60" i="2" s="1"/>
  <c r="M60" i="2"/>
  <c r="L60" i="2"/>
  <c r="K60" i="2"/>
  <c r="J60" i="2"/>
  <c r="I60" i="2"/>
  <c r="H60" i="2"/>
  <c r="G60" i="2"/>
  <c r="F60" i="2"/>
  <c r="E60" i="2"/>
  <c r="D60" i="2"/>
  <c r="C60" i="2"/>
  <c r="FO59" i="2"/>
  <c r="FI59" i="2"/>
  <c r="FH59" i="2"/>
  <c r="FG59" i="2"/>
  <c r="FF59" i="2"/>
  <c r="FE59" i="2"/>
  <c r="FD59" i="2"/>
  <c r="FC59" i="2"/>
  <c r="FA59" i="2"/>
  <c r="FB59" i="2" s="1"/>
  <c r="EZ59" i="2"/>
  <c r="EY59" i="2"/>
  <c r="EX59" i="2"/>
  <c r="EW59" i="2"/>
  <c r="EV59" i="2"/>
  <c r="EU59" i="2"/>
  <c r="ET59" i="2"/>
  <c r="ES59" i="2"/>
  <c r="ER59" i="2"/>
  <c r="EQ59" i="2"/>
  <c r="EP59" i="2"/>
  <c r="EN59" i="2"/>
  <c r="EO59" i="2" s="1"/>
  <c r="EM59" i="2"/>
  <c r="EL59" i="2"/>
  <c r="EK59" i="2"/>
  <c r="EJ59" i="2"/>
  <c r="EI59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N59" i="2"/>
  <c r="DO59" i="2" s="1"/>
  <c r="DM59" i="2"/>
  <c r="DL59" i="2"/>
  <c r="DK59" i="2"/>
  <c r="DJ59" i="2"/>
  <c r="DI59" i="2"/>
  <c r="DH59" i="2"/>
  <c r="DG59" i="2"/>
  <c r="DF59" i="2"/>
  <c r="DE59" i="2"/>
  <c r="DD59" i="2"/>
  <c r="DC59" i="2"/>
  <c r="DA59" i="2"/>
  <c r="DB59" i="2" s="1"/>
  <c r="CZ59" i="2"/>
  <c r="CY59" i="2"/>
  <c r="CX59" i="2"/>
  <c r="CW59" i="2"/>
  <c r="CV59" i="2"/>
  <c r="CU59" i="2"/>
  <c r="CT59" i="2"/>
  <c r="CS59" i="2"/>
  <c r="CR59" i="2"/>
  <c r="CQ59" i="2"/>
  <c r="CP59" i="2"/>
  <c r="CN59" i="2"/>
  <c r="CO59" i="2" s="1"/>
  <c r="CM59" i="2"/>
  <c r="CL59" i="2"/>
  <c r="CK59" i="2"/>
  <c r="CJ59" i="2"/>
  <c r="CI59" i="2"/>
  <c r="CH59" i="2"/>
  <c r="CG59" i="2"/>
  <c r="CF59" i="2"/>
  <c r="CE59" i="2"/>
  <c r="CD59" i="2"/>
  <c r="CC59" i="2"/>
  <c r="CA59" i="2"/>
  <c r="CB59" i="2" s="1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A59" i="2"/>
  <c r="BB59" i="2" s="1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A59" i="2"/>
  <c r="AB59" i="2" s="1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FI58" i="2"/>
  <c r="FO58" i="2" s="1"/>
  <c r="FH58" i="2"/>
  <c r="FG58" i="2"/>
  <c r="FF58" i="2"/>
  <c r="FE58" i="2"/>
  <c r="FD58" i="2"/>
  <c r="FC58" i="2"/>
  <c r="FA58" i="2"/>
  <c r="FB58" i="2" s="1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A58" i="2"/>
  <c r="EB58" i="2" s="1"/>
  <c r="DZ58" i="2"/>
  <c r="DY58" i="2"/>
  <c r="DX58" i="2"/>
  <c r="DW58" i="2"/>
  <c r="DV58" i="2"/>
  <c r="DU58" i="2"/>
  <c r="DT58" i="2"/>
  <c r="DS58" i="2"/>
  <c r="DR58" i="2"/>
  <c r="DQ58" i="2"/>
  <c r="DP58" i="2"/>
  <c r="DN58" i="2"/>
  <c r="DO58" i="2" s="1"/>
  <c r="DM58" i="2"/>
  <c r="DL58" i="2"/>
  <c r="DK58" i="2"/>
  <c r="DJ58" i="2"/>
  <c r="DI58" i="2"/>
  <c r="DH58" i="2"/>
  <c r="DG58" i="2"/>
  <c r="DF58" i="2"/>
  <c r="DE58" i="2"/>
  <c r="DD58" i="2"/>
  <c r="DC58" i="2"/>
  <c r="DA58" i="2"/>
  <c r="DB58" i="2" s="1"/>
  <c r="CZ58" i="2"/>
  <c r="CY58" i="2"/>
  <c r="CX58" i="2"/>
  <c r="CW58" i="2"/>
  <c r="CV58" i="2"/>
  <c r="CU58" i="2"/>
  <c r="CT58" i="2"/>
  <c r="CS58" i="2"/>
  <c r="CR58" i="2"/>
  <c r="CQ58" i="2"/>
  <c r="CP58" i="2"/>
  <c r="CO58" i="2"/>
  <c r="CN58" i="2"/>
  <c r="CM58" i="2"/>
  <c r="CL58" i="2"/>
  <c r="CK58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N58" i="2"/>
  <c r="BO58" i="2" s="1"/>
  <c r="BM58" i="2"/>
  <c r="BL58" i="2"/>
  <c r="BK58" i="2"/>
  <c r="BJ58" i="2"/>
  <c r="BI58" i="2"/>
  <c r="BH58" i="2"/>
  <c r="BG58" i="2"/>
  <c r="BF58" i="2"/>
  <c r="BE58" i="2"/>
  <c r="BD58" i="2"/>
  <c r="BC58" i="2"/>
  <c r="BA58" i="2"/>
  <c r="BB58" i="2" s="1"/>
  <c r="AZ58" i="2"/>
  <c r="AY58" i="2"/>
  <c r="AX58" i="2"/>
  <c r="AW58" i="2"/>
  <c r="AV58" i="2"/>
  <c r="AU58" i="2"/>
  <c r="AT58" i="2"/>
  <c r="AS58" i="2"/>
  <c r="AR58" i="2"/>
  <c r="AQ58" i="2"/>
  <c r="AP58" i="2"/>
  <c r="AN58" i="2"/>
  <c r="AO58" i="2" s="1"/>
  <c r="AM58" i="2"/>
  <c r="AL58" i="2"/>
  <c r="AK58" i="2"/>
  <c r="AJ58" i="2"/>
  <c r="AI58" i="2"/>
  <c r="AH58" i="2"/>
  <c r="AG58" i="2"/>
  <c r="AF58" i="2"/>
  <c r="AE58" i="2"/>
  <c r="AD58" i="2"/>
  <c r="AC58" i="2"/>
  <c r="AA58" i="2"/>
  <c r="AB58" i="2" s="1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FI57" i="2"/>
  <c r="FO57" i="2" s="1"/>
  <c r="FH57" i="2"/>
  <c r="FG57" i="2"/>
  <c r="FF57" i="2"/>
  <c r="FE57" i="2"/>
  <c r="FD57" i="2"/>
  <c r="FC57" i="2"/>
  <c r="FA57" i="2"/>
  <c r="FB57" i="2" s="1"/>
  <c r="EZ57" i="2"/>
  <c r="EY57" i="2"/>
  <c r="EX57" i="2"/>
  <c r="EW57" i="2"/>
  <c r="EV57" i="2"/>
  <c r="EU57" i="2"/>
  <c r="ET57" i="2"/>
  <c r="ES57" i="2"/>
  <c r="ER57" i="2"/>
  <c r="EQ57" i="2"/>
  <c r="EP57" i="2"/>
  <c r="EN57" i="2"/>
  <c r="EO57" i="2" s="1"/>
  <c r="EM57" i="2"/>
  <c r="EL57" i="2"/>
  <c r="EK57" i="2"/>
  <c r="EJ57" i="2"/>
  <c r="EI57" i="2"/>
  <c r="EH57" i="2"/>
  <c r="EG57" i="2"/>
  <c r="EF57" i="2"/>
  <c r="EE57" i="2"/>
  <c r="ED57" i="2"/>
  <c r="EC57" i="2"/>
  <c r="EA57" i="2"/>
  <c r="EB57" i="2" s="1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DG57" i="2"/>
  <c r="DF57" i="2"/>
  <c r="DE57" i="2"/>
  <c r="DD57" i="2"/>
  <c r="DC57" i="2"/>
  <c r="DA57" i="2"/>
  <c r="DB57" i="2" s="1"/>
  <c r="CZ57" i="2"/>
  <c r="CY57" i="2"/>
  <c r="CX57" i="2"/>
  <c r="CW57" i="2"/>
  <c r="CV57" i="2"/>
  <c r="CU57" i="2"/>
  <c r="CT57" i="2"/>
  <c r="CS57" i="2"/>
  <c r="CR57" i="2"/>
  <c r="CQ57" i="2"/>
  <c r="CP57" i="2"/>
  <c r="CO57" i="2"/>
  <c r="CN57" i="2"/>
  <c r="CM57" i="2"/>
  <c r="CL57" i="2"/>
  <c r="CK57" i="2"/>
  <c r="CJ57" i="2"/>
  <c r="CI57" i="2"/>
  <c r="CH57" i="2"/>
  <c r="CG57" i="2"/>
  <c r="CF57" i="2"/>
  <c r="CE57" i="2"/>
  <c r="CD57" i="2"/>
  <c r="CC57" i="2"/>
  <c r="CA57" i="2"/>
  <c r="CB57" i="2" s="1"/>
  <c r="BZ57" i="2"/>
  <c r="BY57" i="2"/>
  <c r="BX57" i="2"/>
  <c r="BW57" i="2"/>
  <c r="BV57" i="2"/>
  <c r="BU57" i="2"/>
  <c r="BT57" i="2"/>
  <c r="BS57" i="2"/>
  <c r="BR57" i="2"/>
  <c r="BQ57" i="2"/>
  <c r="BP57" i="2"/>
  <c r="BN57" i="2"/>
  <c r="BO57" i="2" s="1"/>
  <c r="BM57" i="2"/>
  <c r="BL57" i="2"/>
  <c r="BK57" i="2"/>
  <c r="BJ57" i="2"/>
  <c r="BI57" i="2"/>
  <c r="BH57" i="2"/>
  <c r="BG57" i="2"/>
  <c r="BF57" i="2"/>
  <c r="BE57" i="2"/>
  <c r="BD57" i="2"/>
  <c r="BC57" i="2"/>
  <c r="BA57" i="2"/>
  <c r="BB57" i="2" s="1"/>
  <c r="AZ57" i="2"/>
  <c r="AY57" i="2"/>
  <c r="AX57" i="2"/>
  <c r="AW57" i="2"/>
  <c r="AV57" i="2"/>
  <c r="AU57" i="2"/>
  <c r="AT57" i="2"/>
  <c r="AS57" i="2"/>
  <c r="AR57" i="2"/>
  <c r="AQ57" i="2"/>
  <c r="AP57" i="2"/>
  <c r="AN57" i="2"/>
  <c r="AO57" i="2" s="1"/>
  <c r="AM57" i="2"/>
  <c r="AL57" i="2"/>
  <c r="AK57" i="2"/>
  <c r="AJ57" i="2"/>
  <c r="AI57" i="2"/>
  <c r="AH57" i="2"/>
  <c r="AG57" i="2"/>
  <c r="AF57" i="2"/>
  <c r="AE57" i="2"/>
  <c r="AD57" i="2"/>
  <c r="AC57" i="2"/>
  <c r="AA57" i="2"/>
  <c r="AB57" i="2" s="1"/>
  <c r="Z57" i="2"/>
  <c r="Y57" i="2"/>
  <c r="X57" i="2"/>
  <c r="W57" i="2"/>
  <c r="V57" i="2"/>
  <c r="U57" i="2"/>
  <c r="T57" i="2"/>
  <c r="S57" i="2"/>
  <c r="R57" i="2"/>
  <c r="Q57" i="2"/>
  <c r="P57" i="2"/>
  <c r="N57" i="2"/>
  <c r="O57" i="2" s="1"/>
  <c r="M57" i="2"/>
  <c r="L57" i="2"/>
  <c r="K57" i="2"/>
  <c r="J57" i="2"/>
  <c r="I57" i="2"/>
  <c r="H57" i="2"/>
  <c r="G57" i="2"/>
  <c r="F57" i="2"/>
  <c r="E57" i="2"/>
  <c r="D57" i="2"/>
  <c r="C57" i="2"/>
  <c r="FO56" i="2"/>
  <c r="FI56" i="2"/>
  <c r="FH56" i="2"/>
  <c r="FG56" i="2"/>
  <c r="FF56" i="2"/>
  <c r="FE56" i="2"/>
  <c r="FD56" i="2"/>
  <c r="FC56" i="2"/>
  <c r="FA56" i="2"/>
  <c r="FB56" i="2" s="1"/>
  <c r="EZ56" i="2"/>
  <c r="EY56" i="2"/>
  <c r="EX56" i="2"/>
  <c r="EW56" i="2"/>
  <c r="EV56" i="2"/>
  <c r="EU56" i="2"/>
  <c r="ET56" i="2"/>
  <c r="ES56" i="2"/>
  <c r="ER56" i="2"/>
  <c r="EQ56" i="2"/>
  <c r="EP56" i="2"/>
  <c r="EN56" i="2"/>
  <c r="EO56" i="2" s="1"/>
  <c r="EM56" i="2"/>
  <c r="EL56" i="2"/>
  <c r="EK56" i="2"/>
  <c r="EJ56" i="2"/>
  <c r="EI56" i="2"/>
  <c r="EH56" i="2"/>
  <c r="EG56" i="2"/>
  <c r="EF56" i="2"/>
  <c r="EE56" i="2"/>
  <c r="ED56" i="2"/>
  <c r="EC56" i="2"/>
  <c r="EA56" i="2"/>
  <c r="EB56" i="2" s="1"/>
  <c r="DZ56" i="2"/>
  <c r="DY56" i="2"/>
  <c r="DX56" i="2"/>
  <c r="DW56" i="2"/>
  <c r="DV56" i="2"/>
  <c r="DU56" i="2"/>
  <c r="DT56" i="2"/>
  <c r="DS56" i="2"/>
  <c r="DR56" i="2"/>
  <c r="DQ56" i="2"/>
  <c r="DP56" i="2"/>
  <c r="DN56" i="2"/>
  <c r="DO56" i="2" s="1"/>
  <c r="DM56" i="2"/>
  <c r="DL56" i="2"/>
  <c r="DK56" i="2"/>
  <c r="DJ56" i="2"/>
  <c r="DI56" i="2"/>
  <c r="DH56" i="2"/>
  <c r="DG56" i="2"/>
  <c r="DF56" i="2"/>
  <c r="DE56" i="2"/>
  <c r="DD56" i="2"/>
  <c r="DC56" i="2"/>
  <c r="DB56" i="2"/>
  <c r="DA56" i="2"/>
  <c r="CZ56" i="2"/>
  <c r="CY56" i="2"/>
  <c r="CX56" i="2"/>
  <c r="CW56" i="2"/>
  <c r="CV56" i="2"/>
  <c r="CU56" i="2"/>
  <c r="CT56" i="2"/>
  <c r="CS56" i="2"/>
  <c r="CR56" i="2"/>
  <c r="CQ56" i="2"/>
  <c r="CP56" i="2"/>
  <c r="CN56" i="2"/>
  <c r="CO56" i="2" s="1"/>
  <c r="CM56" i="2"/>
  <c r="CL56" i="2"/>
  <c r="CK56" i="2"/>
  <c r="CJ56" i="2"/>
  <c r="CI56" i="2"/>
  <c r="CH56" i="2"/>
  <c r="CG56" i="2"/>
  <c r="CF56" i="2"/>
  <c r="CE56" i="2"/>
  <c r="CD56" i="2"/>
  <c r="CC56" i="2"/>
  <c r="CA56" i="2"/>
  <c r="CB56" i="2" s="1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A56" i="2"/>
  <c r="BB56" i="2" s="1"/>
  <c r="AZ56" i="2"/>
  <c r="AY56" i="2"/>
  <c r="AX56" i="2"/>
  <c r="AW56" i="2"/>
  <c r="AV56" i="2"/>
  <c r="AU56" i="2"/>
  <c r="AT56" i="2"/>
  <c r="AS56" i="2"/>
  <c r="AR56" i="2"/>
  <c r="AQ56" i="2"/>
  <c r="AP56" i="2"/>
  <c r="AN56" i="2"/>
  <c r="AO56" i="2" s="1"/>
  <c r="AM56" i="2"/>
  <c r="AL56" i="2"/>
  <c r="AK56" i="2"/>
  <c r="AJ56" i="2"/>
  <c r="AI56" i="2"/>
  <c r="AH56" i="2"/>
  <c r="AG56" i="2"/>
  <c r="AF56" i="2"/>
  <c r="AE56" i="2"/>
  <c r="AD56" i="2"/>
  <c r="AC56" i="2"/>
  <c r="AA56" i="2"/>
  <c r="AB56" i="2" s="1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FI55" i="2"/>
  <c r="FO55" i="2" s="1"/>
  <c r="FH55" i="2"/>
  <c r="FG55" i="2"/>
  <c r="FF55" i="2"/>
  <c r="FE55" i="2"/>
  <c r="FD55" i="2"/>
  <c r="FC55" i="2"/>
  <c r="FA55" i="2"/>
  <c r="FB55" i="2" s="1"/>
  <c r="EZ55" i="2"/>
  <c r="EY55" i="2"/>
  <c r="EX55" i="2"/>
  <c r="EW55" i="2"/>
  <c r="EV55" i="2"/>
  <c r="EU55" i="2"/>
  <c r="ET55" i="2"/>
  <c r="ES55" i="2"/>
  <c r="ER55" i="2"/>
  <c r="EQ55" i="2"/>
  <c r="EP55" i="2"/>
  <c r="EN55" i="2"/>
  <c r="EO55" i="2" s="1"/>
  <c r="EM55" i="2"/>
  <c r="EL55" i="2"/>
  <c r="EK55" i="2"/>
  <c r="EJ55" i="2"/>
  <c r="EI55" i="2"/>
  <c r="EH55" i="2"/>
  <c r="EG55" i="2"/>
  <c r="EF55" i="2"/>
  <c r="EE55" i="2"/>
  <c r="ED55" i="2"/>
  <c r="EC55" i="2"/>
  <c r="EA55" i="2"/>
  <c r="EB55" i="2" s="1"/>
  <c r="DZ55" i="2"/>
  <c r="DY55" i="2"/>
  <c r="DX55" i="2"/>
  <c r="DW55" i="2"/>
  <c r="DV55" i="2"/>
  <c r="DU55" i="2"/>
  <c r="DT55" i="2"/>
  <c r="DS55" i="2"/>
  <c r="DR55" i="2"/>
  <c r="DQ55" i="2"/>
  <c r="DP55" i="2"/>
  <c r="DO55" i="2"/>
  <c r="DN55" i="2"/>
  <c r="DM55" i="2"/>
  <c r="DL55" i="2"/>
  <c r="DK55" i="2"/>
  <c r="DJ55" i="2"/>
  <c r="DI55" i="2"/>
  <c r="DH55" i="2"/>
  <c r="DG55" i="2"/>
  <c r="DF55" i="2"/>
  <c r="DE55" i="2"/>
  <c r="DD55" i="2"/>
  <c r="DC55" i="2"/>
  <c r="DA55" i="2"/>
  <c r="DB55" i="2" s="1"/>
  <c r="CZ55" i="2"/>
  <c r="CY55" i="2"/>
  <c r="CX55" i="2"/>
  <c r="CW55" i="2"/>
  <c r="CV55" i="2"/>
  <c r="CU55" i="2"/>
  <c r="CT55" i="2"/>
  <c r="CS55" i="2"/>
  <c r="CR55" i="2"/>
  <c r="CQ55" i="2"/>
  <c r="CP55" i="2"/>
  <c r="CO55" i="2"/>
  <c r="CN55" i="2"/>
  <c r="CM55" i="2"/>
  <c r="CL55" i="2"/>
  <c r="CK55" i="2"/>
  <c r="CJ55" i="2"/>
  <c r="CI55" i="2"/>
  <c r="CH55" i="2"/>
  <c r="CG55" i="2"/>
  <c r="CF55" i="2"/>
  <c r="CE55" i="2"/>
  <c r="CD55" i="2"/>
  <c r="CC55" i="2"/>
  <c r="CA55" i="2"/>
  <c r="CB55" i="2" s="1"/>
  <c r="BZ55" i="2"/>
  <c r="BY55" i="2"/>
  <c r="BX55" i="2"/>
  <c r="BW55" i="2"/>
  <c r="BV55" i="2"/>
  <c r="BU55" i="2"/>
  <c r="BT55" i="2"/>
  <c r="BS55" i="2"/>
  <c r="BR55" i="2"/>
  <c r="BQ55" i="2"/>
  <c r="BP55" i="2"/>
  <c r="BN55" i="2"/>
  <c r="BO55" i="2" s="1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N55" i="2"/>
  <c r="AO55" i="2" s="1"/>
  <c r="AM55" i="2"/>
  <c r="AL55" i="2"/>
  <c r="AK55" i="2"/>
  <c r="AJ55" i="2"/>
  <c r="AI55" i="2"/>
  <c r="AH55" i="2"/>
  <c r="AG55" i="2"/>
  <c r="AF55" i="2"/>
  <c r="AE55" i="2"/>
  <c r="AD55" i="2"/>
  <c r="AC55" i="2"/>
  <c r="AA55" i="2"/>
  <c r="AB55" i="2" s="1"/>
  <c r="Z55" i="2"/>
  <c r="Y55" i="2"/>
  <c r="X55" i="2"/>
  <c r="W55" i="2"/>
  <c r="V55" i="2"/>
  <c r="U55" i="2"/>
  <c r="T55" i="2"/>
  <c r="S55" i="2"/>
  <c r="R55" i="2"/>
  <c r="Q55" i="2"/>
  <c r="P55" i="2"/>
  <c r="N55" i="2"/>
  <c r="O55" i="2" s="1"/>
  <c r="M55" i="2"/>
  <c r="L55" i="2"/>
  <c r="K55" i="2"/>
  <c r="J55" i="2"/>
  <c r="I55" i="2"/>
  <c r="H55" i="2"/>
  <c r="G55" i="2"/>
  <c r="F55" i="2"/>
  <c r="E55" i="2"/>
  <c r="D55" i="2"/>
  <c r="C55" i="2"/>
  <c r="FI54" i="2"/>
  <c r="FO54" i="2" s="1"/>
  <c r="FH54" i="2"/>
  <c r="FG54" i="2"/>
  <c r="FF54" i="2"/>
  <c r="FE54" i="2"/>
  <c r="FD54" i="2"/>
  <c r="FC54" i="2"/>
  <c r="FB54" i="2"/>
  <c r="FA54" i="2"/>
  <c r="EZ54" i="2"/>
  <c r="EY54" i="2"/>
  <c r="EX54" i="2"/>
  <c r="EW54" i="2"/>
  <c r="EV54" i="2"/>
  <c r="EU54" i="2"/>
  <c r="ET54" i="2"/>
  <c r="ES54" i="2"/>
  <c r="ER54" i="2"/>
  <c r="EQ54" i="2"/>
  <c r="EP54" i="2"/>
  <c r="EN54" i="2"/>
  <c r="EO54" i="2" s="1"/>
  <c r="EM54" i="2"/>
  <c r="EL54" i="2"/>
  <c r="EK54" i="2"/>
  <c r="EJ54" i="2"/>
  <c r="EI54" i="2"/>
  <c r="EH54" i="2"/>
  <c r="EG54" i="2"/>
  <c r="EF54" i="2"/>
  <c r="EE54" i="2"/>
  <c r="ED54" i="2"/>
  <c r="EC54" i="2"/>
  <c r="EA54" i="2"/>
  <c r="EB54" i="2" s="1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DG54" i="2"/>
  <c r="DF54" i="2"/>
  <c r="DE54" i="2"/>
  <c r="DD54" i="2"/>
  <c r="DC54" i="2"/>
  <c r="DA54" i="2"/>
  <c r="DB54" i="2" s="1"/>
  <c r="CZ54" i="2"/>
  <c r="CY54" i="2"/>
  <c r="CX54" i="2"/>
  <c r="CW54" i="2"/>
  <c r="CV54" i="2"/>
  <c r="CU54" i="2"/>
  <c r="CT54" i="2"/>
  <c r="CS54" i="2"/>
  <c r="CR54" i="2"/>
  <c r="CQ54" i="2"/>
  <c r="CP54" i="2"/>
  <c r="CN54" i="2"/>
  <c r="CO54" i="2" s="1"/>
  <c r="CM54" i="2"/>
  <c r="CL54" i="2"/>
  <c r="CK54" i="2"/>
  <c r="CJ54" i="2"/>
  <c r="CI54" i="2"/>
  <c r="CH54" i="2"/>
  <c r="CG54" i="2"/>
  <c r="CF54" i="2"/>
  <c r="CE54" i="2"/>
  <c r="CD54" i="2"/>
  <c r="CC54" i="2"/>
  <c r="CA54" i="2"/>
  <c r="CB54" i="2" s="1"/>
  <c r="BZ54" i="2"/>
  <c r="BY54" i="2"/>
  <c r="BX54" i="2"/>
  <c r="BW54" i="2"/>
  <c r="BV54" i="2"/>
  <c r="BU54" i="2"/>
  <c r="BT54" i="2"/>
  <c r="BS54" i="2"/>
  <c r="BR54" i="2"/>
  <c r="BQ54" i="2"/>
  <c r="BP54" i="2"/>
  <c r="BN54" i="2"/>
  <c r="BO54" i="2" s="1"/>
  <c r="BM54" i="2"/>
  <c r="BL54" i="2"/>
  <c r="BK54" i="2"/>
  <c r="BJ54" i="2"/>
  <c r="BI54" i="2"/>
  <c r="BH54" i="2"/>
  <c r="BG54" i="2"/>
  <c r="BF54" i="2"/>
  <c r="BE54" i="2"/>
  <c r="BD54" i="2"/>
  <c r="BC54" i="2"/>
  <c r="BA54" i="2"/>
  <c r="BB54" i="2" s="1"/>
  <c r="AZ54" i="2"/>
  <c r="AY54" i="2"/>
  <c r="AX54" i="2"/>
  <c r="AW54" i="2"/>
  <c r="AV54" i="2"/>
  <c r="AU54" i="2"/>
  <c r="AT54" i="2"/>
  <c r="AS54" i="2"/>
  <c r="AR54" i="2"/>
  <c r="AQ54" i="2"/>
  <c r="AP54" i="2"/>
  <c r="AN54" i="2"/>
  <c r="AO54" i="2" s="1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N54" i="2"/>
  <c r="O54" i="2" s="1"/>
  <c r="M54" i="2"/>
  <c r="L54" i="2"/>
  <c r="K54" i="2"/>
  <c r="J54" i="2"/>
  <c r="I54" i="2"/>
  <c r="H54" i="2"/>
  <c r="G54" i="2"/>
  <c r="F54" i="2"/>
  <c r="E54" i="2"/>
  <c r="D54" i="2"/>
  <c r="C54" i="2"/>
  <c r="FI53" i="2"/>
  <c r="FO53" i="2" s="1"/>
  <c r="FH53" i="2"/>
  <c r="FG53" i="2"/>
  <c r="FF53" i="2"/>
  <c r="FE53" i="2"/>
  <c r="FD53" i="2"/>
  <c r="FC53" i="2"/>
  <c r="FA53" i="2"/>
  <c r="FB53" i="2" s="1"/>
  <c r="EZ53" i="2"/>
  <c r="EY53" i="2"/>
  <c r="EX53" i="2"/>
  <c r="EW53" i="2"/>
  <c r="EV53" i="2"/>
  <c r="EU53" i="2"/>
  <c r="ET53" i="2"/>
  <c r="ES53" i="2"/>
  <c r="ER53" i="2"/>
  <c r="EQ53" i="2"/>
  <c r="EP53" i="2"/>
  <c r="EO53" i="2"/>
  <c r="EN53" i="2"/>
  <c r="EM53" i="2"/>
  <c r="EL53" i="2"/>
  <c r="EK53" i="2"/>
  <c r="EJ53" i="2"/>
  <c r="EI53" i="2"/>
  <c r="EH53" i="2"/>
  <c r="EG53" i="2"/>
  <c r="EF53" i="2"/>
  <c r="EE53" i="2"/>
  <c r="ED53" i="2"/>
  <c r="EC53" i="2"/>
  <c r="EA53" i="2"/>
  <c r="EB53" i="2" s="1"/>
  <c r="DZ53" i="2"/>
  <c r="DY53" i="2"/>
  <c r="DX53" i="2"/>
  <c r="DW53" i="2"/>
  <c r="DV53" i="2"/>
  <c r="DU53" i="2"/>
  <c r="DT53" i="2"/>
  <c r="DS53" i="2"/>
  <c r="DR53" i="2"/>
  <c r="DQ53" i="2"/>
  <c r="DP53" i="2"/>
  <c r="DN53" i="2"/>
  <c r="DO53" i="2" s="1"/>
  <c r="DM53" i="2"/>
  <c r="DL53" i="2"/>
  <c r="DK53" i="2"/>
  <c r="DJ53" i="2"/>
  <c r="DI53" i="2"/>
  <c r="DH53" i="2"/>
  <c r="DG53" i="2"/>
  <c r="DF53" i="2"/>
  <c r="DE53" i="2"/>
  <c r="DD53" i="2"/>
  <c r="DC53" i="2"/>
  <c r="DA53" i="2"/>
  <c r="DB53" i="2" s="1"/>
  <c r="CZ53" i="2"/>
  <c r="CY53" i="2"/>
  <c r="CX53" i="2"/>
  <c r="CW53" i="2"/>
  <c r="CV53" i="2"/>
  <c r="CU53" i="2"/>
  <c r="CT53" i="2"/>
  <c r="CS53" i="2"/>
  <c r="CR53" i="2"/>
  <c r="CQ53" i="2"/>
  <c r="CP53" i="2"/>
  <c r="CO53" i="2"/>
  <c r="CN53" i="2"/>
  <c r="CM53" i="2"/>
  <c r="CL53" i="2"/>
  <c r="CK53" i="2"/>
  <c r="CJ53" i="2"/>
  <c r="CI53" i="2"/>
  <c r="CH53" i="2"/>
  <c r="CG53" i="2"/>
  <c r="CF53" i="2"/>
  <c r="CE53" i="2"/>
  <c r="CD53" i="2"/>
  <c r="CC53" i="2"/>
  <c r="CA53" i="2"/>
  <c r="CB53" i="2" s="1"/>
  <c r="BZ53" i="2"/>
  <c r="BY53" i="2"/>
  <c r="BX53" i="2"/>
  <c r="BW53" i="2"/>
  <c r="BV53" i="2"/>
  <c r="BU53" i="2"/>
  <c r="BT53" i="2"/>
  <c r="BS53" i="2"/>
  <c r="BR53" i="2"/>
  <c r="BQ53" i="2"/>
  <c r="BP53" i="2"/>
  <c r="BN53" i="2"/>
  <c r="BO53" i="2" s="1"/>
  <c r="BM53" i="2"/>
  <c r="BL53" i="2"/>
  <c r="BK53" i="2"/>
  <c r="BJ53" i="2"/>
  <c r="BI53" i="2"/>
  <c r="BH53" i="2"/>
  <c r="BG53" i="2"/>
  <c r="BF53" i="2"/>
  <c r="BE53" i="2"/>
  <c r="BD53" i="2"/>
  <c r="BC53" i="2"/>
  <c r="BA53" i="2"/>
  <c r="BB53" i="2" s="1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A53" i="2"/>
  <c r="AB53" i="2" s="1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FI52" i="2"/>
  <c r="FO52" i="2" s="1"/>
  <c r="FH52" i="2"/>
  <c r="FH70" i="2" s="1"/>
  <c r="FG52" i="2"/>
  <c r="FF52" i="2"/>
  <c r="FF70" i="2" s="1"/>
  <c r="FE52" i="2"/>
  <c r="FD52" i="2"/>
  <c r="FD70" i="2" s="1"/>
  <c r="FC52" i="2"/>
  <c r="FC70" i="2" s="1"/>
  <c r="FA52" i="2"/>
  <c r="FB52" i="2" s="1"/>
  <c r="EZ52" i="2"/>
  <c r="EZ70" i="2" s="1"/>
  <c r="EY52" i="2"/>
  <c r="EY70" i="2" s="1"/>
  <c r="EX52" i="2"/>
  <c r="EW52" i="2"/>
  <c r="EW70" i="2" s="1"/>
  <c r="EV52" i="2"/>
  <c r="EU52" i="2"/>
  <c r="ET52" i="2"/>
  <c r="ET70" i="2" s="1"/>
  <c r="ES52" i="2"/>
  <c r="ER52" i="2"/>
  <c r="EQ52" i="2"/>
  <c r="EQ70" i="2" s="1"/>
  <c r="EP52" i="2"/>
  <c r="EN52" i="2"/>
  <c r="EN70" i="2" s="1"/>
  <c r="EM52" i="2"/>
  <c r="EM70" i="2" s="1"/>
  <c r="EL52" i="2"/>
  <c r="EK52" i="2"/>
  <c r="EK70" i="2" s="1"/>
  <c r="EJ52" i="2"/>
  <c r="EI52" i="2"/>
  <c r="EH52" i="2"/>
  <c r="EH70" i="2" s="1"/>
  <c r="EG52" i="2"/>
  <c r="EF52" i="2"/>
  <c r="EE52" i="2"/>
  <c r="ED52" i="2"/>
  <c r="EC52" i="2"/>
  <c r="EA52" i="2"/>
  <c r="EB52" i="2" s="1"/>
  <c r="DZ52" i="2"/>
  <c r="DZ70" i="2" s="1"/>
  <c r="DY52" i="2"/>
  <c r="DY70" i="2" s="1"/>
  <c r="DX52" i="2"/>
  <c r="DX70" i="2" s="1"/>
  <c r="DW52" i="2"/>
  <c r="DV52" i="2"/>
  <c r="DV70" i="2" s="1"/>
  <c r="DU52" i="2"/>
  <c r="DU70" i="2" s="1"/>
  <c r="DT52" i="2"/>
  <c r="DS52" i="2"/>
  <c r="DR52" i="2"/>
  <c r="DQ52" i="2"/>
  <c r="DP52" i="2"/>
  <c r="DO52" i="2"/>
  <c r="DN52" i="2"/>
  <c r="DN70" i="2" s="1"/>
  <c r="DM52" i="2"/>
  <c r="DM70" i="2" s="1"/>
  <c r="DL52" i="2"/>
  <c r="DL70" i="2" s="1"/>
  <c r="DK52" i="2"/>
  <c r="DJ52" i="2"/>
  <c r="DI52" i="2"/>
  <c r="DI70" i="2" s="1"/>
  <c r="DH52" i="2"/>
  <c r="DG52" i="2"/>
  <c r="DG70" i="2" s="1"/>
  <c r="DF52" i="2"/>
  <c r="DE52" i="2"/>
  <c r="DD52" i="2"/>
  <c r="DC52" i="2"/>
  <c r="DA52" i="2"/>
  <c r="CZ52" i="2"/>
  <c r="CZ70" i="2" s="1"/>
  <c r="CY52" i="2"/>
  <c r="CX52" i="2"/>
  <c r="CW52" i="2"/>
  <c r="CV52" i="2"/>
  <c r="CV70" i="2" s="1"/>
  <c r="CU52" i="2"/>
  <c r="CT52" i="2"/>
  <c r="CS52" i="2"/>
  <c r="CR52" i="2"/>
  <c r="CQ52" i="2"/>
  <c r="CP52" i="2"/>
  <c r="CN52" i="2"/>
  <c r="CN70" i="2" s="1"/>
  <c r="CM52" i="2"/>
  <c r="CL52" i="2"/>
  <c r="CK52" i="2"/>
  <c r="CJ52" i="2"/>
  <c r="CJ70" i="2" s="1"/>
  <c r="CI52" i="2"/>
  <c r="CH52" i="2"/>
  <c r="CG52" i="2"/>
  <c r="CF52" i="2"/>
  <c r="CE52" i="2"/>
  <c r="CD52" i="2"/>
  <c r="CD70" i="2" s="1"/>
  <c r="CC52" i="2"/>
  <c r="CC70" i="2" s="1"/>
  <c r="CB52" i="2"/>
  <c r="CA52" i="2"/>
  <c r="BZ52" i="2"/>
  <c r="BY52" i="2"/>
  <c r="BX52" i="2"/>
  <c r="BX70" i="2" s="1"/>
  <c r="BW52" i="2"/>
  <c r="BW70" i="2" s="1"/>
  <c r="BV52" i="2"/>
  <c r="BU52" i="2"/>
  <c r="BT52" i="2"/>
  <c r="BS52" i="2"/>
  <c r="BR52" i="2"/>
  <c r="BR70" i="2" s="1"/>
  <c r="BQ52" i="2"/>
  <c r="BQ70" i="2" s="1"/>
  <c r="BP52" i="2"/>
  <c r="BP70" i="2" s="1"/>
  <c r="BN52" i="2"/>
  <c r="BO52" i="2" s="1"/>
  <c r="BM52" i="2"/>
  <c r="BL52" i="2"/>
  <c r="BK52" i="2"/>
  <c r="BK70" i="2" s="1"/>
  <c r="BJ52" i="2"/>
  <c r="BI52" i="2"/>
  <c r="BH52" i="2"/>
  <c r="BG52" i="2"/>
  <c r="BF52" i="2"/>
  <c r="BF70" i="2" s="1"/>
  <c r="BE52" i="2"/>
  <c r="BD52" i="2"/>
  <c r="BD70" i="2" s="1"/>
  <c r="BC52" i="2"/>
  <c r="BB52" i="2"/>
  <c r="BA52" i="2"/>
  <c r="AZ52" i="2"/>
  <c r="AY52" i="2"/>
  <c r="AY70" i="2" s="1"/>
  <c r="AX52" i="2"/>
  <c r="AW52" i="2"/>
  <c r="AV52" i="2"/>
  <c r="AU52" i="2"/>
  <c r="AT52" i="2"/>
  <c r="AS52" i="2"/>
  <c r="AS70" i="2" s="1"/>
  <c r="AR52" i="2"/>
  <c r="AR70" i="2" s="1"/>
  <c r="AQ52" i="2"/>
  <c r="AP52" i="2"/>
  <c r="AN52" i="2"/>
  <c r="AO52" i="2" s="1"/>
  <c r="AM52" i="2"/>
  <c r="AM70" i="2" s="1"/>
  <c r="AL52" i="2"/>
  <c r="AK52" i="2"/>
  <c r="AJ52" i="2"/>
  <c r="AI52" i="2"/>
  <c r="AH52" i="2"/>
  <c r="AG52" i="2"/>
  <c r="AG70" i="2" s="1"/>
  <c r="AF52" i="2"/>
  <c r="AF70" i="2" s="1"/>
  <c r="AE52" i="2"/>
  <c r="AD52" i="2"/>
  <c r="AD70" i="2" s="1"/>
  <c r="AC52" i="2"/>
  <c r="AA52" i="2"/>
  <c r="AB52" i="2" s="1"/>
  <c r="Z52" i="2"/>
  <c r="Z70" i="2" s="1"/>
  <c r="Y52" i="2"/>
  <c r="X52" i="2"/>
  <c r="W52" i="2"/>
  <c r="V52" i="2"/>
  <c r="U52" i="2"/>
  <c r="U70" i="2" s="1"/>
  <c r="T52" i="2"/>
  <c r="T70" i="2" s="1"/>
  <c r="S52" i="2"/>
  <c r="S70" i="2" s="1"/>
  <c r="R52" i="2"/>
  <c r="R70" i="2" s="1"/>
  <c r="Q52" i="2"/>
  <c r="P52" i="2"/>
  <c r="N52" i="2"/>
  <c r="N70" i="2" s="1"/>
  <c r="M52" i="2"/>
  <c r="L52" i="2"/>
  <c r="K52" i="2"/>
  <c r="J52" i="2"/>
  <c r="I52" i="2"/>
  <c r="I70" i="2" s="1"/>
  <c r="H52" i="2"/>
  <c r="H70" i="2" s="1"/>
  <c r="G52" i="2"/>
  <c r="G70" i="2" s="1"/>
  <c r="F52" i="2"/>
  <c r="E52" i="2"/>
  <c r="D52" i="2"/>
  <c r="C52" i="2"/>
  <c r="FN48" i="2"/>
  <c r="FM48" i="2"/>
  <c r="FL48" i="2"/>
  <c r="FK48" i="2"/>
  <c r="FJ48" i="2"/>
  <c r="FI47" i="2"/>
  <c r="FO47" i="2" s="1"/>
  <c r="FH47" i="2"/>
  <c r="FG47" i="2"/>
  <c r="FF47" i="2"/>
  <c r="FE47" i="2"/>
  <c r="FD47" i="2"/>
  <c r="FC47" i="2"/>
  <c r="FA47" i="2"/>
  <c r="FB47" i="2" s="1"/>
  <c r="EZ47" i="2"/>
  <c r="EY47" i="2"/>
  <c r="EX47" i="2"/>
  <c r="EW47" i="2"/>
  <c r="EV47" i="2"/>
  <c r="EU47" i="2"/>
  <c r="ET47" i="2"/>
  <c r="ES47" i="2"/>
  <c r="ER47" i="2"/>
  <c r="EQ47" i="2"/>
  <c r="EP47" i="2"/>
  <c r="EN47" i="2"/>
  <c r="EO47" i="2" s="1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N47" i="2"/>
  <c r="DO47" i="2" s="1"/>
  <c r="DM47" i="2"/>
  <c r="DL47" i="2"/>
  <c r="DK47" i="2"/>
  <c r="DJ47" i="2"/>
  <c r="DI47" i="2"/>
  <c r="DH47" i="2"/>
  <c r="DG47" i="2"/>
  <c r="DF47" i="2"/>
  <c r="DE47" i="2"/>
  <c r="DD47" i="2"/>
  <c r="DC47" i="2"/>
  <c r="DB47" i="2"/>
  <c r="DA47" i="2"/>
  <c r="CZ47" i="2"/>
  <c r="CY47" i="2"/>
  <c r="CX47" i="2"/>
  <c r="CW47" i="2"/>
  <c r="CV47" i="2"/>
  <c r="CU47" i="2"/>
  <c r="CT47" i="2"/>
  <c r="CS47" i="2"/>
  <c r="CR47" i="2"/>
  <c r="CQ47" i="2"/>
  <c r="CP47" i="2"/>
  <c r="CN47" i="2"/>
  <c r="CO47" i="2" s="1"/>
  <c r="CM47" i="2"/>
  <c r="CL47" i="2"/>
  <c r="CK47" i="2"/>
  <c r="CJ47" i="2"/>
  <c r="CI47" i="2"/>
  <c r="CH47" i="2"/>
  <c r="CG47" i="2"/>
  <c r="CF47" i="2"/>
  <c r="CE47" i="2"/>
  <c r="CD47" i="2"/>
  <c r="CC47" i="2"/>
  <c r="CA47" i="2"/>
  <c r="CB47" i="2" s="1"/>
  <c r="BZ47" i="2"/>
  <c r="BY47" i="2"/>
  <c r="BX47" i="2"/>
  <c r="BW47" i="2"/>
  <c r="BV47" i="2"/>
  <c r="BU47" i="2"/>
  <c r="BT47" i="2"/>
  <c r="BS47" i="2"/>
  <c r="BR47" i="2"/>
  <c r="BQ47" i="2"/>
  <c r="BP47" i="2"/>
  <c r="BN47" i="2"/>
  <c r="BO47" i="2" s="1"/>
  <c r="BM47" i="2"/>
  <c r="BL47" i="2"/>
  <c r="BK47" i="2"/>
  <c r="BJ47" i="2"/>
  <c r="BI47" i="2"/>
  <c r="BH47" i="2"/>
  <c r="BG47" i="2"/>
  <c r="BF47" i="2"/>
  <c r="BE47" i="2"/>
  <c r="BD47" i="2"/>
  <c r="BC47" i="2"/>
  <c r="BA47" i="2"/>
  <c r="BB47" i="2" s="1"/>
  <c r="AZ47" i="2"/>
  <c r="AY47" i="2"/>
  <c r="AX47" i="2"/>
  <c r="AW47" i="2"/>
  <c r="AV47" i="2"/>
  <c r="AU47" i="2"/>
  <c r="AT47" i="2"/>
  <c r="AS47" i="2"/>
  <c r="AR47" i="2"/>
  <c r="AQ47" i="2"/>
  <c r="AP47" i="2"/>
  <c r="AN47" i="2"/>
  <c r="AO47" i="2" s="1"/>
  <c r="AM47" i="2"/>
  <c r="AL47" i="2"/>
  <c r="AK47" i="2"/>
  <c r="AJ47" i="2"/>
  <c r="AI47" i="2"/>
  <c r="AH47" i="2"/>
  <c r="AG47" i="2"/>
  <c r="AF47" i="2"/>
  <c r="AE47" i="2"/>
  <c r="AD47" i="2"/>
  <c r="AC47" i="2"/>
  <c r="AA47" i="2"/>
  <c r="AB47" i="2" s="1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FI46" i="2"/>
  <c r="FO46" i="2" s="1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A46" i="2"/>
  <c r="EB46" i="2" s="1"/>
  <c r="DZ46" i="2"/>
  <c r="DY46" i="2"/>
  <c r="DX46" i="2"/>
  <c r="DW46" i="2"/>
  <c r="DV46" i="2"/>
  <c r="DU46" i="2"/>
  <c r="DT46" i="2"/>
  <c r="DS46" i="2"/>
  <c r="DR46" i="2"/>
  <c r="DQ46" i="2"/>
  <c r="DP46" i="2"/>
  <c r="DN46" i="2"/>
  <c r="DO46" i="2" s="1"/>
  <c r="DM46" i="2"/>
  <c r="DL46" i="2"/>
  <c r="DK46" i="2"/>
  <c r="DJ46" i="2"/>
  <c r="DI46" i="2"/>
  <c r="DH46" i="2"/>
  <c r="DG46" i="2"/>
  <c r="DF46" i="2"/>
  <c r="DE46" i="2"/>
  <c r="DD46" i="2"/>
  <c r="DC46" i="2"/>
  <c r="DB46" i="2"/>
  <c r="DA46" i="2"/>
  <c r="CZ46" i="2"/>
  <c r="CY46" i="2"/>
  <c r="CX46" i="2"/>
  <c r="CW46" i="2"/>
  <c r="CV46" i="2"/>
  <c r="CU46" i="2"/>
  <c r="CT46" i="2"/>
  <c r="CS46" i="2"/>
  <c r="CR46" i="2"/>
  <c r="CQ46" i="2"/>
  <c r="CP46" i="2"/>
  <c r="CN46" i="2"/>
  <c r="CO46" i="2" s="1"/>
  <c r="CM46" i="2"/>
  <c r="CL46" i="2"/>
  <c r="CK46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N46" i="2"/>
  <c r="BO46" i="2" s="1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N46" i="2"/>
  <c r="AO46" i="2" s="1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N46" i="2"/>
  <c r="O46" i="2" s="1"/>
  <c r="M46" i="2"/>
  <c r="L46" i="2"/>
  <c r="K46" i="2"/>
  <c r="J46" i="2"/>
  <c r="I46" i="2"/>
  <c r="H46" i="2"/>
  <c r="G46" i="2"/>
  <c r="F46" i="2"/>
  <c r="E46" i="2"/>
  <c r="D46" i="2"/>
  <c r="C46" i="2"/>
  <c r="FO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N45" i="2"/>
  <c r="EO45" i="2" s="1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N45" i="2"/>
  <c r="DO45" i="2" s="1"/>
  <c r="DM45" i="2"/>
  <c r="DL45" i="2"/>
  <c r="DK45" i="2"/>
  <c r="DJ45" i="2"/>
  <c r="DI45" i="2"/>
  <c r="DH45" i="2"/>
  <c r="DG45" i="2"/>
  <c r="DF45" i="2"/>
  <c r="DE45" i="2"/>
  <c r="DD45" i="2"/>
  <c r="DC45" i="2"/>
  <c r="DA45" i="2"/>
  <c r="DB45" i="2" s="1"/>
  <c r="CZ45" i="2"/>
  <c r="CY45" i="2"/>
  <c r="CX45" i="2"/>
  <c r="CW45" i="2"/>
  <c r="CV45" i="2"/>
  <c r="CU45" i="2"/>
  <c r="CT45" i="2"/>
  <c r="CS45" i="2"/>
  <c r="CR45" i="2"/>
  <c r="CQ45" i="2"/>
  <c r="CP45" i="2"/>
  <c r="CO45" i="2"/>
  <c r="CN45" i="2"/>
  <c r="CM45" i="2"/>
  <c r="CL45" i="2"/>
  <c r="CK45" i="2"/>
  <c r="CJ45" i="2"/>
  <c r="CI45" i="2"/>
  <c r="CH45" i="2"/>
  <c r="CG45" i="2"/>
  <c r="CF45" i="2"/>
  <c r="CE45" i="2"/>
  <c r="CD45" i="2"/>
  <c r="CC45" i="2"/>
  <c r="CA45" i="2"/>
  <c r="CB45" i="2" s="1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N45" i="2"/>
  <c r="AO45" i="2" s="1"/>
  <c r="AM45" i="2"/>
  <c r="AL45" i="2"/>
  <c r="AK45" i="2"/>
  <c r="AJ45" i="2"/>
  <c r="AI45" i="2"/>
  <c r="AH45" i="2"/>
  <c r="AG45" i="2"/>
  <c r="AF45" i="2"/>
  <c r="AE45" i="2"/>
  <c r="AD45" i="2"/>
  <c r="AC45" i="2"/>
  <c r="AA45" i="2"/>
  <c r="AB45" i="2" s="1"/>
  <c r="Z45" i="2"/>
  <c r="Y45" i="2"/>
  <c r="X45" i="2"/>
  <c r="W45" i="2"/>
  <c r="V45" i="2"/>
  <c r="U45" i="2"/>
  <c r="T45" i="2"/>
  <c r="S45" i="2"/>
  <c r="R45" i="2"/>
  <c r="Q45" i="2"/>
  <c r="P45" i="2"/>
  <c r="N45" i="2"/>
  <c r="O45" i="2" s="1"/>
  <c r="M45" i="2"/>
  <c r="L45" i="2"/>
  <c r="K45" i="2"/>
  <c r="J45" i="2"/>
  <c r="I45" i="2"/>
  <c r="H45" i="2"/>
  <c r="G45" i="2"/>
  <c r="F45" i="2"/>
  <c r="E45" i="2"/>
  <c r="D45" i="2"/>
  <c r="C45" i="2"/>
  <c r="FO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N44" i="2"/>
  <c r="EO44" i="2" s="1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N44" i="2"/>
  <c r="DO44" i="2" s="1"/>
  <c r="DM44" i="2"/>
  <c r="DL44" i="2"/>
  <c r="DK44" i="2"/>
  <c r="DJ44" i="2"/>
  <c r="DI44" i="2"/>
  <c r="DH44" i="2"/>
  <c r="DG44" i="2"/>
  <c r="DF44" i="2"/>
  <c r="DE44" i="2"/>
  <c r="DD44" i="2"/>
  <c r="DC44" i="2"/>
  <c r="DA44" i="2"/>
  <c r="DB44" i="2" s="1"/>
  <c r="CZ44" i="2"/>
  <c r="CY44" i="2"/>
  <c r="CX44" i="2"/>
  <c r="CW44" i="2"/>
  <c r="CV44" i="2"/>
  <c r="CU44" i="2"/>
  <c r="CT44" i="2"/>
  <c r="CS44" i="2"/>
  <c r="CR44" i="2"/>
  <c r="CQ44" i="2"/>
  <c r="CP44" i="2"/>
  <c r="CN44" i="2"/>
  <c r="CO44" i="2" s="1"/>
  <c r="CM44" i="2"/>
  <c r="CL44" i="2"/>
  <c r="CK44" i="2"/>
  <c r="CJ44" i="2"/>
  <c r="CI44" i="2"/>
  <c r="CH44" i="2"/>
  <c r="CG44" i="2"/>
  <c r="CF44" i="2"/>
  <c r="CE44" i="2"/>
  <c r="CD44" i="2"/>
  <c r="CC44" i="2"/>
  <c r="CA44" i="2"/>
  <c r="CB44" i="2" s="1"/>
  <c r="BZ44" i="2"/>
  <c r="BY44" i="2"/>
  <c r="BX44" i="2"/>
  <c r="BW44" i="2"/>
  <c r="BV44" i="2"/>
  <c r="BU44" i="2"/>
  <c r="BT44" i="2"/>
  <c r="BS44" i="2"/>
  <c r="BR44" i="2"/>
  <c r="BQ44" i="2"/>
  <c r="BP44" i="2"/>
  <c r="BN44" i="2"/>
  <c r="BO44" i="2" s="1"/>
  <c r="BM44" i="2"/>
  <c r="BL44" i="2"/>
  <c r="BK44" i="2"/>
  <c r="BJ44" i="2"/>
  <c r="BI44" i="2"/>
  <c r="BH44" i="2"/>
  <c r="BG44" i="2"/>
  <c r="BF44" i="2"/>
  <c r="BE44" i="2"/>
  <c r="BD44" i="2"/>
  <c r="BC44" i="2"/>
  <c r="BA44" i="2"/>
  <c r="BB44" i="2" s="1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A44" i="2"/>
  <c r="AB44" i="2" s="1"/>
  <c r="Z44" i="2"/>
  <c r="Y44" i="2"/>
  <c r="X44" i="2"/>
  <c r="W44" i="2"/>
  <c r="V44" i="2"/>
  <c r="U44" i="2"/>
  <c r="T44" i="2"/>
  <c r="S44" i="2"/>
  <c r="R44" i="2"/>
  <c r="Q44" i="2"/>
  <c r="P44" i="2"/>
  <c r="N44" i="2"/>
  <c r="O44" i="2" s="1"/>
  <c r="M44" i="2"/>
  <c r="L44" i="2"/>
  <c r="K44" i="2"/>
  <c r="J44" i="2"/>
  <c r="I44" i="2"/>
  <c r="H44" i="2"/>
  <c r="G44" i="2"/>
  <c r="F44" i="2"/>
  <c r="E44" i="2"/>
  <c r="D44" i="2"/>
  <c r="C44" i="2"/>
  <c r="FI43" i="2"/>
  <c r="FO43" i="2" s="1"/>
  <c r="FH43" i="2"/>
  <c r="FG43" i="2"/>
  <c r="FF43" i="2"/>
  <c r="FE43" i="2"/>
  <c r="FD43" i="2"/>
  <c r="FC43" i="2"/>
  <c r="FA43" i="2"/>
  <c r="FB43" i="2" s="1"/>
  <c r="EZ43" i="2"/>
  <c r="EY43" i="2"/>
  <c r="EX43" i="2"/>
  <c r="EW43" i="2"/>
  <c r="EV43" i="2"/>
  <c r="EU43" i="2"/>
  <c r="ET43" i="2"/>
  <c r="ES43" i="2"/>
  <c r="ER43" i="2"/>
  <c r="EQ43" i="2"/>
  <c r="EP43" i="2"/>
  <c r="EN43" i="2"/>
  <c r="EO43" i="2" s="1"/>
  <c r="EM43" i="2"/>
  <c r="EL43" i="2"/>
  <c r="EK43" i="2"/>
  <c r="EJ43" i="2"/>
  <c r="EI43" i="2"/>
  <c r="EH43" i="2"/>
  <c r="EG43" i="2"/>
  <c r="EF43" i="2"/>
  <c r="EE43" i="2"/>
  <c r="ED43" i="2"/>
  <c r="EC43" i="2"/>
  <c r="EA43" i="2"/>
  <c r="EB43" i="2" s="1"/>
  <c r="DZ43" i="2"/>
  <c r="DY43" i="2"/>
  <c r="DX43" i="2"/>
  <c r="DW43" i="2"/>
  <c r="DV43" i="2"/>
  <c r="DU43" i="2"/>
  <c r="DT43" i="2"/>
  <c r="DS43" i="2"/>
  <c r="DR43" i="2"/>
  <c r="DQ43" i="2"/>
  <c r="DP43" i="2"/>
  <c r="DN43" i="2"/>
  <c r="DO43" i="2" s="1"/>
  <c r="DM43" i="2"/>
  <c r="DL43" i="2"/>
  <c r="DK43" i="2"/>
  <c r="DJ43" i="2"/>
  <c r="DI43" i="2"/>
  <c r="DH43" i="2"/>
  <c r="DG43" i="2"/>
  <c r="DF43" i="2"/>
  <c r="DE43" i="2"/>
  <c r="DD43" i="2"/>
  <c r="DC43" i="2"/>
  <c r="DB43" i="2"/>
  <c r="DA43" i="2"/>
  <c r="CZ43" i="2"/>
  <c r="CY43" i="2"/>
  <c r="CX43" i="2"/>
  <c r="CW43" i="2"/>
  <c r="CV43" i="2"/>
  <c r="CU43" i="2"/>
  <c r="CT43" i="2"/>
  <c r="CS43" i="2"/>
  <c r="CR43" i="2"/>
  <c r="CQ43" i="2"/>
  <c r="CP43" i="2"/>
  <c r="CN43" i="2"/>
  <c r="CO43" i="2" s="1"/>
  <c r="CM43" i="2"/>
  <c r="CL43" i="2"/>
  <c r="CK43" i="2"/>
  <c r="CJ43" i="2"/>
  <c r="CI43" i="2"/>
  <c r="CH43" i="2"/>
  <c r="CG43" i="2"/>
  <c r="CF43" i="2"/>
  <c r="CE43" i="2"/>
  <c r="CD43" i="2"/>
  <c r="CC43" i="2"/>
  <c r="CA43" i="2"/>
  <c r="CB43" i="2" s="1"/>
  <c r="BZ43" i="2"/>
  <c r="BY43" i="2"/>
  <c r="BX43" i="2"/>
  <c r="BW43" i="2"/>
  <c r="BV43" i="2"/>
  <c r="BU43" i="2"/>
  <c r="BT43" i="2"/>
  <c r="BS43" i="2"/>
  <c r="BR43" i="2"/>
  <c r="BQ43" i="2"/>
  <c r="BP43" i="2"/>
  <c r="BN43" i="2"/>
  <c r="BO43" i="2" s="1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N43" i="2"/>
  <c r="AO43" i="2" s="1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N43" i="2"/>
  <c r="O43" i="2" s="1"/>
  <c r="M43" i="2"/>
  <c r="L43" i="2"/>
  <c r="K43" i="2"/>
  <c r="J43" i="2"/>
  <c r="I43" i="2"/>
  <c r="H43" i="2"/>
  <c r="G43" i="2"/>
  <c r="F43" i="2"/>
  <c r="E43" i="2"/>
  <c r="D43" i="2"/>
  <c r="C43" i="2"/>
  <c r="FI42" i="2"/>
  <c r="FO42" i="2" s="1"/>
  <c r="FH42" i="2"/>
  <c r="FG42" i="2"/>
  <c r="FF42" i="2"/>
  <c r="FE42" i="2"/>
  <c r="FD42" i="2"/>
  <c r="FC42" i="2"/>
  <c r="FA42" i="2"/>
  <c r="FB42" i="2" s="1"/>
  <c r="EZ42" i="2"/>
  <c r="EY42" i="2"/>
  <c r="EX42" i="2"/>
  <c r="EW42" i="2"/>
  <c r="EV42" i="2"/>
  <c r="EU42" i="2"/>
  <c r="ET42" i="2"/>
  <c r="ES42" i="2"/>
  <c r="ER42" i="2"/>
  <c r="EQ42" i="2"/>
  <c r="EP42" i="2"/>
  <c r="EN42" i="2"/>
  <c r="EO42" i="2" s="1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N42" i="2"/>
  <c r="DO42" i="2" s="1"/>
  <c r="DM42" i="2"/>
  <c r="DL42" i="2"/>
  <c r="DK42" i="2"/>
  <c r="DJ42" i="2"/>
  <c r="DI42" i="2"/>
  <c r="DH42" i="2"/>
  <c r="DG42" i="2"/>
  <c r="DF42" i="2"/>
  <c r="DE42" i="2"/>
  <c r="DD42" i="2"/>
  <c r="DC42" i="2"/>
  <c r="DA42" i="2"/>
  <c r="DB42" i="2" s="1"/>
  <c r="CZ42" i="2"/>
  <c r="CY42" i="2"/>
  <c r="CX42" i="2"/>
  <c r="CW42" i="2"/>
  <c r="CV42" i="2"/>
  <c r="CU42" i="2"/>
  <c r="CT42" i="2"/>
  <c r="CS42" i="2"/>
  <c r="CR42" i="2"/>
  <c r="CQ42" i="2"/>
  <c r="CP42" i="2"/>
  <c r="CO42" i="2"/>
  <c r="CN42" i="2"/>
  <c r="CM42" i="2"/>
  <c r="CL42" i="2"/>
  <c r="CK42" i="2"/>
  <c r="CJ42" i="2"/>
  <c r="CI42" i="2"/>
  <c r="CH42" i="2"/>
  <c r="CG42" i="2"/>
  <c r="CF42" i="2"/>
  <c r="CE42" i="2"/>
  <c r="CD42" i="2"/>
  <c r="CC42" i="2"/>
  <c r="CA42" i="2"/>
  <c r="CB42" i="2" s="1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N42" i="2"/>
  <c r="AO42" i="2" s="1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N42" i="2"/>
  <c r="O42" i="2" s="1"/>
  <c r="M42" i="2"/>
  <c r="L42" i="2"/>
  <c r="K42" i="2"/>
  <c r="J42" i="2"/>
  <c r="I42" i="2"/>
  <c r="H42" i="2"/>
  <c r="G42" i="2"/>
  <c r="F42" i="2"/>
  <c r="E42" i="2"/>
  <c r="D42" i="2"/>
  <c r="C42" i="2"/>
  <c r="FI41" i="2"/>
  <c r="FO41" i="2" s="1"/>
  <c r="FH41" i="2"/>
  <c r="FG41" i="2"/>
  <c r="FF41" i="2"/>
  <c r="FE41" i="2"/>
  <c r="FD41" i="2"/>
  <c r="FC41" i="2"/>
  <c r="FA41" i="2"/>
  <c r="FB41" i="2" s="1"/>
  <c r="EZ41" i="2"/>
  <c r="EY41" i="2"/>
  <c r="EX41" i="2"/>
  <c r="EW41" i="2"/>
  <c r="EV41" i="2"/>
  <c r="EU41" i="2"/>
  <c r="ET41" i="2"/>
  <c r="ES41" i="2"/>
  <c r="ER41" i="2"/>
  <c r="EQ41" i="2"/>
  <c r="EP41" i="2"/>
  <c r="EN41" i="2"/>
  <c r="EO41" i="2" s="1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N41" i="2"/>
  <c r="DO41" i="2" s="1"/>
  <c r="DM41" i="2"/>
  <c r="DL41" i="2"/>
  <c r="DK41" i="2"/>
  <c r="DJ41" i="2"/>
  <c r="DI41" i="2"/>
  <c r="DH41" i="2"/>
  <c r="DG41" i="2"/>
  <c r="DF41" i="2"/>
  <c r="DE41" i="2"/>
  <c r="DD41" i="2"/>
  <c r="DC41" i="2"/>
  <c r="DB41" i="2"/>
  <c r="DA41" i="2"/>
  <c r="CZ41" i="2"/>
  <c r="CY41" i="2"/>
  <c r="CX41" i="2"/>
  <c r="CW41" i="2"/>
  <c r="CV41" i="2"/>
  <c r="CU41" i="2"/>
  <c r="CT41" i="2"/>
  <c r="CS41" i="2"/>
  <c r="CR41" i="2"/>
  <c r="CQ41" i="2"/>
  <c r="CP41" i="2"/>
  <c r="CN41" i="2"/>
  <c r="CO41" i="2" s="1"/>
  <c r="CM41" i="2"/>
  <c r="CL41" i="2"/>
  <c r="CK41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N41" i="2"/>
  <c r="BO41" i="2" s="1"/>
  <c r="BM41" i="2"/>
  <c r="BL41" i="2"/>
  <c r="BK41" i="2"/>
  <c r="BJ41" i="2"/>
  <c r="BI41" i="2"/>
  <c r="BH41" i="2"/>
  <c r="BG41" i="2"/>
  <c r="BF41" i="2"/>
  <c r="BE41" i="2"/>
  <c r="BD41" i="2"/>
  <c r="BC41" i="2"/>
  <c r="BA41" i="2"/>
  <c r="BB41" i="2" s="1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A41" i="2"/>
  <c r="AB41" i="2" s="1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FI40" i="2"/>
  <c r="FO40" i="2" s="1"/>
  <c r="FH40" i="2"/>
  <c r="FG40" i="2"/>
  <c r="FF40" i="2"/>
  <c r="FE40" i="2"/>
  <c r="FD40" i="2"/>
  <c r="FC40" i="2"/>
  <c r="FA40" i="2"/>
  <c r="FB40" i="2" s="1"/>
  <c r="EZ40" i="2"/>
  <c r="EY40" i="2"/>
  <c r="EX40" i="2"/>
  <c r="EW40" i="2"/>
  <c r="EV40" i="2"/>
  <c r="EU40" i="2"/>
  <c r="ET40" i="2"/>
  <c r="ES40" i="2"/>
  <c r="ER40" i="2"/>
  <c r="EQ40" i="2"/>
  <c r="EP40" i="2"/>
  <c r="EO40" i="2"/>
  <c r="EN40" i="2"/>
  <c r="EM40" i="2"/>
  <c r="EL40" i="2"/>
  <c r="EK40" i="2"/>
  <c r="EJ40" i="2"/>
  <c r="EI40" i="2"/>
  <c r="EH40" i="2"/>
  <c r="EG40" i="2"/>
  <c r="EF40" i="2"/>
  <c r="EE40" i="2"/>
  <c r="ED40" i="2"/>
  <c r="EC40" i="2"/>
  <c r="EA40" i="2"/>
  <c r="EB40" i="2" s="1"/>
  <c r="DZ40" i="2"/>
  <c r="DY40" i="2"/>
  <c r="DX40" i="2"/>
  <c r="DW40" i="2"/>
  <c r="DV40" i="2"/>
  <c r="DU40" i="2"/>
  <c r="DT40" i="2"/>
  <c r="DS40" i="2"/>
  <c r="DR40" i="2"/>
  <c r="DQ40" i="2"/>
  <c r="DP40" i="2"/>
  <c r="DN40" i="2"/>
  <c r="DO40" i="2" s="1"/>
  <c r="DM40" i="2"/>
  <c r="DL40" i="2"/>
  <c r="DK40" i="2"/>
  <c r="DJ40" i="2"/>
  <c r="DI40" i="2"/>
  <c r="DH40" i="2"/>
  <c r="DG40" i="2"/>
  <c r="DF40" i="2"/>
  <c r="DE40" i="2"/>
  <c r="DD40" i="2"/>
  <c r="DC40" i="2"/>
  <c r="DB40" i="2"/>
  <c r="DA40" i="2"/>
  <c r="CZ40" i="2"/>
  <c r="CY40" i="2"/>
  <c r="CX40" i="2"/>
  <c r="CW40" i="2"/>
  <c r="CV40" i="2"/>
  <c r="CU40" i="2"/>
  <c r="CT40" i="2"/>
  <c r="CS40" i="2"/>
  <c r="CR40" i="2"/>
  <c r="CQ40" i="2"/>
  <c r="CP40" i="2"/>
  <c r="CN40" i="2"/>
  <c r="CO40" i="2" s="1"/>
  <c r="CM40" i="2"/>
  <c r="CL40" i="2"/>
  <c r="CK40" i="2"/>
  <c r="CJ40" i="2"/>
  <c r="CI40" i="2"/>
  <c r="CH40" i="2"/>
  <c r="CG40" i="2"/>
  <c r="CF40" i="2"/>
  <c r="CE40" i="2"/>
  <c r="CD40" i="2"/>
  <c r="CC40" i="2"/>
  <c r="CA40" i="2"/>
  <c r="CB40" i="2" s="1"/>
  <c r="BZ40" i="2"/>
  <c r="BY40" i="2"/>
  <c r="BX40" i="2"/>
  <c r="BW40" i="2"/>
  <c r="BV40" i="2"/>
  <c r="BU40" i="2"/>
  <c r="BT40" i="2"/>
  <c r="BS40" i="2"/>
  <c r="BR40" i="2"/>
  <c r="BQ40" i="2"/>
  <c r="BP40" i="2"/>
  <c r="BN40" i="2"/>
  <c r="BO40" i="2" s="1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N40" i="2"/>
  <c r="AO40" i="2" s="1"/>
  <c r="AM40" i="2"/>
  <c r="AL40" i="2"/>
  <c r="AK40" i="2"/>
  <c r="AJ40" i="2"/>
  <c r="AI40" i="2"/>
  <c r="AH40" i="2"/>
  <c r="AG40" i="2"/>
  <c r="AF40" i="2"/>
  <c r="AE40" i="2"/>
  <c r="AD40" i="2"/>
  <c r="AC40" i="2"/>
  <c r="AA40" i="2"/>
  <c r="AB40" i="2" s="1"/>
  <c r="Z40" i="2"/>
  <c r="Y40" i="2"/>
  <c r="X40" i="2"/>
  <c r="W40" i="2"/>
  <c r="V40" i="2"/>
  <c r="U40" i="2"/>
  <c r="T40" i="2"/>
  <c r="S40" i="2"/>
  <c r="R40" i="2"/>
  <c r="Q40" i="2"/>
  <c r="P40" i="2"/>
  <c r="N40" i="2"/>
  <c r="O40" i="2" s="1"/>
  <c r="M40" i="2"/>
  <c r="L40" i="2"/>
  <c r="K40" i="2"/>
  <c r="J40" i="2"/>
  <c r="I40" i="2"/>
  <c r="H40" i="2"/>
  <c r="G40" i="2"/>
  <c r="F40" i="2"/>
  <c r="E40" i="2"/>
  <c r="D40" i="2"/>
  <c r="C40" i="2"/>
  <c r="FI39" i="2"/>
  <c r="FO39" i="2" s="1"/>
  <c r="FH39" i="2"/>
  <c r="FG39" i="2"/>
  <c r="FF39" i="2"/>
  <c r="FE39" i="2"/>
  <c r="FD39" i="2"/>
  <c r="FC39" i="2"/>
  <c r="FA39" i="2"/>
  <c r="FB39" i="2" s="1"/>
  <c r="EZ39" i="2"/>
  <c r="EY39" i="2"/>
  <c r="EX39" i="2"/>
  <c r="EW39" i="2"/>
  <c r="EV39" i="2"/>
  <c r="EU39" i="2"/>
  <c r="ET39" i="2"/>
  <c r="ES39" i="2"/>
  <c r="ER39" i="2"/>
  <c r="EQ39" i="2"/>
  <c r="EP39" i="2"/>
  <c r="EN39" i="2"/>
  <c r="EO39" i="2" s="1"/>
  <c r="EM39" i="2"/>
  <c r="EL39" i="2"/>
  <c r="EK39" i="2"/>
  <c r="EJ39" i="2"/>
  <c r="EI39" i="2"/>
  <c r="EH39" i="2"/>
  <c r="EG39" i="2"/>
  <c r="EF39" i="2"/>
  <c r="EE39" i="2"/>
  <c r="ED39" i="2"/>
  <c r="EC39" i="2"/>
  <c r="EA39" i="2"/>
  <c r="EB39" i="2" s="1"/>
  <c r="DZ39" i="2"/>
  <c r="DY39" i="2"/>
  <c r="DX39" i="2"/>
  <c r="DW39" i="2"/>
  <c r="DV39" i="2"/>
  <c r="DU39" i="2"/>
  <c r="DT39" i="2"/>
  <c r="DS39" i="2"/>
  <c r="DR39" i="2"/>
  <c r="DQ39" i="2"/>
  <c r="DP39" i="2"/>
  <c r="DN39" i="2"/>
  <c r="DO39" i="2" s="1"/>
  <c r="DM39" i="2"/>
  <c r="DL39" i="2"/>
  <c r="DK39" i="2"/>
  <c r="DJ39" i="2"/>
  <c r="DI39" i="2"/>
  <c r="DH39" i="2"/>
  <c r="DG39" i="2"/>
  <c r="DF39" i="2"/>
  <c r="DE39" i="2"/>
  <c r="DD39" i="2"/>
  <c r="DC39" i="2"/>
  <c r="DA39" i="2"/>
  <c r="DB39" i="2" s="1"/>
  <c r="CZ39" i="2"/>
  <c r="CY39" i="2"/>
  <c r="CX39" i="2"/>
  <c r="CW39" i="2"/>
  <c r="CV39" i="2"/>
  <c r="CU39" i="2"/>
  <c r="CT39" i="2"/>
  <c r="CS39" i="2"/>
  <c r="CR39" i="2"/>
  <c r="CQ39" i="2"/>
  <c r="CP39" i="2"/>
  <c r="CN39" i="2"/>
  <c r="CO39" i="2" s="1"/>
  <c r="CM39" i="2"/>
  <c r="CL39" i="2"/>
  <c r="CK39" i="2"/>
  <c r="CJ39" i="2"/>
  <c r="CI39" i="2"/>
  <c r="CH39" i="2"/>
  <c r="CG39" i="2"/>
  <c r="CF39" i="2"/>
  <c r="CE39" i="2"/>
  <c r="CD39" i="2"/>
  <c r="CC39" i="2"/>
  <c r="CA39" i="2"/>
  <c r="CB39" i="2" s="1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N39" i="2"/>
  <c r="AO39" i="2" s="1"/>
  <c r="AM39" i="2"/>
  <c r="AL39" i="2"/>
  <c r="AK39" i="2"/>
  <c r="AJ39" i="2"/>
  <c r="AI39" i="2"/>
  <c r="AH39" i="2"/>
  <c r="AG39" i="2"/>
  <c r="AF39" i="2"/>
  <c r="AE39" i="2"/>
  <c r="AD39" i="2"/>
  <c r="AC39" i="2"/>
  <c r="AA39" i="2"/>
  <c r="AB39" i="2" s="1"/>
  <c r="Z39" i="2"/>
  <c r="Y39" i="2"/>
  <c r="X39" i="2"/>
  <c r="W39" i="2"/>
  <c r="V39" i="2"/>
  <c r="U39" i="2"/>
  <c r="T39" i="2"/>
  <c r="S39" i="2"/>
  <c r="R39" i="2"/>
  <c r="Q39" i="2"/>
  <c r="P39" i="2"/>
  <c r="N39" i="2"/>
  <c r="O39" i="2" s="1"/>
  <c r="M39" i="2"/>
  <c r="L39" i="2"/>
  <c r="K39" i="2"/>
  <c r="J39" i="2"/>
  <c r="I39" i="2"/>
  <c r="H39" i="2"/>
  <c r="G39" i="2"/>
  <c r="F39" i="2"/>
  <c r="E39" i="2"/>
  <c r="D39" i="2"/>
  <c r="C39" i="2"/>
  <c r="FO38" i="2"/>
  <c r="FI38" i="2"/>
  <c r="FH38" i="2"/>
  <c r="FG38" i="2"/>
  <c r="FF38" i="2"/>
  <c r="FE38" i="2"/>
  <c r="FD38" i="2"/>
  <c r="FC38" i="2"/>
  <c r="FB38" i="2"/>
  <c r="FA38" i="2"/>
  <c r="EZ38" i="2"/>
  <c r="EY38" i="2"/>
  <c r="EX38" i="2"/>
  <c r="EW38" i="2"/>
  <c r="EV38" i="2"/>
  <c r="EU38" i="2"/>
  <c r="ET38" i="2"/>
  <c r="ES38" i="2"/>
  <c r="ER38" i="2"/>
  <c r="EQ38" i="2"/>
  <c r="EP38" i="2"/>
  <c r="EN38" i="2"/>
  <c r="EO38" i="2" s="1"/>
  <c r="EM38" i="2"/>
  <c r="EL38" i="2"/>
  <c r="EK38" i="2"/>
  <c r="EJ38" i="2"/>
  <c r="EI38" i="2"/>
  <c r="EH38" i="2"/>
  <c r="EG38" i="2"/>
  <c r="EF38" i="2"/>
  <c r="EE38" i="2"/>
  <c r="ED38" i="2"/>
  <c r="EC38" i="2"/>
  <c r="EA38" i="2"/>
  <c r="EB38" i="2" s="1"/>
  <c r="DZ38" i="2"/>
  <c r="DY38" i="2"/>
  <c r="DX38" i="2"/>
  <c r="DW38" i="2"/>
  <c r="DV38" i="2"/>
  <c r="DU38" i="2"/>
  <c r="DT38" i="2"/>
  <c r="DS38" i="2"/>
  <c r="DR38" i="2"/>
  <c r="DQ38" i="2"/>
  <c r="DP38" i="2"/>
  <c r="DN38" i="2"/>
  <c r="DO38" i="2" s="1"/>
  <c r="DM38" i="2"/>
  <c r="DL38" i="2"/>
  <c r="DK38" i="2"/>
  <c r="DJ38" i="2"/>
  <c r="DI38" i="2"/>
  <c r="DH38" i="2"/>
  <c r="DG38" i="2"/>
  <c r="DF38" i="2"/>
  <c r="DE38" i="2"/>
  <c r="DD38" i="2"/>
  <c r="DC38" i="2"/>
  <c r="DA38" i="2"/>
  <c r="DB38" i="2" s="1"/>
  <c r="CZ38" i="2"/>
  <c r="CY38" i="2"/>
  <c r="CX38" i="2"/>
  <c r="CW38" i="2"/>
  <c r="CV38" i="2"/>
  <c r="CU38" i="2"/>
  <c r="CT38" i="2"/>
  <c r="CS38" i="2"/>
  <c r="CR38" i="2"/>
  <c r="CQ38" i="2"/>
  <c r="CP38" i="2"/>
  <c r="CN38" i="2"/>
  <c r="CO38" i="2" s="1"/>
  <c r="CM38" i="2"/>
  <c r="CL38" i="2"/>
  <c r="CK38" i="2"/>
  <c r="CJ38" i="2"/>
  <c r="CI38" i="2"/>
  <c r="CH38" i="2"/>
  <c r="CG38" i="2"/>
  <c r="CF38" i="2"/>
  <c r="CE38" i="2"/>
  <c r="CD38" i="2"/>
  <c r="CC38" i="2"/>
  <c r="CA38" i="2"/>
  <c r="CB38" i="2" s="1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A38" i="2"/>
  <c r="BB38" i="2" s="1"/>
  <c r="AZ38" i="2"/>
  <c r="AY38" i="2"/>
  <c r="AX38" i="2"/>
  <c r="AW38" i="2"/>
  <c r="AV38" i="2"/>
  <c r="AU38" i="2"/>
  <c r="AT38" i="2"/>
  <c r="AS38" i="2"/>
  <c r="AR38" i="2"/>
  <c r="AQ38" i="2"/>
  <c r="AP38" i="2"/>
  <c r="AN38" i="2"/>
  <c r="AO38" i="2" s="1"/>
  <c r="AM38" i="2"/>
  <c r="AL38" i="2"/>
  <c r="AK38" i="2"/>
  <c r="AJ38" i="2"/>
  <c r="AI38" i="2"/>
  <c r="AH38" i="2"/>
  <c r="AG38" i="2"/>
  <c r="AF38" i="2"/>
  <c r="AE38" i="2"/>
  <c r="AD38" i="2"/>
  <c r="AC38" i="2"/>
  <c r="AA38" i="2"/>
  <c r="AB38" i="2" s="1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FO37" i="2"/>
  <c r="FI37" i="2"/>
  <c r="FH37" i="2"/>
  <c r="FG37" i="2"/>
  <c r="FF37" i="2"/>
  <c r="FE37" i="2"/>
  <c r="FD37" i="2"/>
  <c r="FC37" i="2"/>
  <c r="FA37" i="2"/>
  <c r="FB37" i="2" s="1"/>
  <c r="EZ37" i="2"/>
  <c r="EY37" i="2"/>
  <c r="EX37" i="2"/>
  <c r="EW37" i="2"/>
  <c r="EV37" i="2"/>
  <c r="EU37" i="2"/>
  <c r="ET37" i="2"/>
  <c r="ES37" i="2"/>
  <c r="ER37" i="2"/>
  <c r="EQ37" i="2"/>
  <c r="EP37" i="2"/>
  <c r="EN37" i="2"/>
  <c r="EO37" i="2" s="1"/>
  <c r="EM37" i="2"/>
  <c r="EL37" i="2"/>
  <c r="EK37" i="2"/>
  <c r="EJ37" i="2"/>
  <c r="EI37" i="2"/>
  <c r="EH37" i="2"/>
  <c r="EG37" i="2"/>
  <c r="EF37" i="2"/>
  <c r="EE37" i="2"/>
  <c r="ED37" i="2"/>
  <c r="EC37" i="2"/>
  <c r="EA37" i="2"/>
  <c r="EB37" i="2" s="1"/>
  <c r="DZ37" i="2"/>
  <c r="DY37" i="2"/>
  <c r="DX37" i="2"/>
  <c r="DW37" i="2"/>
  <c r="DV37" i="2"/>
  <c r="DU37" i="2"/>
  <c r="DT37" i="2"/>
  <c r="DS37" i="2"/>
  <c r="DR37" i="2"/>
  <c r="DQ37" i="2"/>
  <c r="DP37" i="2"/>
  <c r="DO37" i="2"/>
  <c r="DN37" i="2"/>
  <c r="DM37" i="2"/>
  <c r="DL37" i="2"/>
  <c r="DK37" i="2"/>
  <c r="DJ37" i="2"/>
  <c r="DI37" i="2"/>
  <c r="DH37" i="2"/>
  <c r="DG37" i="2"/>
  <c r="DF37" i="2"/>
  <c r="DE37" i="2"/>
  <c r="DD37" i="2"/>
  <c r="DC37" i="2"/>
  <c r="DA37" i="2"/>
  <c r="DB37" i="2" s="1"/>
  <c r="CZ37" i="2"/>
  <c r="CY37" i="2"/>
  <c r="CX37" i="2"/>
  <c r="CW37" i="2"/>
  <c r="CV37" i="2"/>
  <c r="CU37" i="2"/>
  <c r="CT37" i="2"/>
  <c r="CS37" i="2"/>
  <c r="CR37" i="2"/>
  <c r="CQ37" i="2"/>
  <c r="CP37" i="2"/>
  <c r="CN37" i="2"/>
  <c r="CO37" i="2" s="1"/>
  <c r="CM37" i="2"/>
  <c r="CL37" i="2"/>
  <c r="CK37" i="2"/>
  <c r="CJ37" i="2"/>
  <c r="CI37" i="2"/>
  <c r="CH37" i="2"/>
  <c r="CG37" i="2"/>
  <c r="CF37" i="2"/>
  <c r="CE37" i="2"/>
  <c r="CD37" i="2"/>
  <c r="CC37" i="2"/>
  <c r="CA37" i="2"/>
  <c r="CB37" i="2" s="1"/>
  <c r="BZ37" i="2"/>
  <c r="BY37" i="2"/>
  <c r="BX37" i="2"/>
  <c r="BW37" i="2"/>
  <c r="BV37" i="2"/>
  <c r="BU37" i="2"/>
  <c r="BT37" i="2"/>
  <c r="BS37" i="2"/>
  <c r="BR37" i="2"/>
  <c r="BQ37" i="2"/>
  <c r="BP37" i="2"/>
  <c r="BN37" i="2"/>
  <c r="BO37" i="2" s="1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N37" i="2"/>
  <c r="AO37" i="2" s="1"/>
  <c r="AM37" i="2"/>
  <c r="AL37" i="2"/>
  <c r="AK37" i="2"/>
  <c r="AJ37" i="2"/>
  <c r="AI37" i="2"/>
  <c r="AH37" i="2"/>
  <c r="AG37" i="2"/>
  <c r="AF37" i="2"/>
  <c r="AE37" i="2"/>
  <c r="AD37" i="2"/>
  <c r="AC37" i="2"/>
  <c r="AA37" i="2"/>
  <c r="AB37" i="2" s="1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FI36" i="2"/>
  <c r="FO36" i="2" s="1"/>
  <c r="FH36" i="2"/>
  <c r="FG36" i="2"/>
  <c r="FF36" i="2"/>
  <c r="FE36" i="2"/>
  <c r="FD36" i="2"/>
  <c r="FC36" i="2"/>
  <c r="FB36" i="2"/>
  <c r="FA36" i="2"/>
  <c r="EZ36" i="2"/>
  <c r="EY36" i="2"/>
  <c r="EX36" i="2"/>
  <c r="EW36" i="2"/>
  <c r="EV36" i="2"/>
  <c r="EU36" i="2"/>
  <c r="ET36" i="2"/>
  <c r="ES36" i="2"/>
  <c r="ER36" i="2"/>
  <c r="EQ36" i="2"/>
  <c r="EP36" i="2"/>
  <c r="EN36" i="2"/>
  <c r="EO36" i="2" s="1"/>
  <c r="EM36" i="2"/>
  <c r="EL36" i="2"/>
  <c r="EK36" i="2"/>
  <c r="EJ36" i="2"/>
  <c r="EI36" i="2"/>
  <c r="EH36" i="2"/>
  <c r="EG36" i="2"/>
  <c r="EF36" i="2"/>
  <c r="EE36" i="2"/>
  <c r="ED36" i="2"/>
  <c r="EC36" i="2"/>
  <c r="EA36" i="2"/>
  <c r="EB36" i="2" s="1"/>
  <c r="DZ36" i="2"/>
  <c r="DY36" i="2"/>
  <c r="DX36" i="2"/>
  <c r="DW36" i="2"/>
  <c r="DV36" i="2"/>
  <c r="DU36" i="2"/>
  <c r="DT36" i="2"/>
  <c r="DS36" i="2"/>
  <c r="DR36" i="2"/>
  <c r="DQ36" i="2"/>
  <c r="DP36" i="2"/>
  <c r="DO36" i="2"/>
  <c r="DN36" i="2"/>
  <c r="DM36" i="2"/>
  <c r="DL36" i="2"/>
  <c r="DK36" i="2"/>
  <c r="DJ36" i="2"/>
  <c r="DI36" i="2"/>
  <c r="DH36" i="2"/>
  <c r="DG36" i="2"/>
  <c r="DF36" i="2"/>
  <c r="DE36" i="2"/>
  <c r="DD36" i="2"/>
  <c r="DC36" i="2"/>
  <c r="DA36" i="2"/>
  <c r="DB36" i="2" s="1"/>
  <c r="CZ36" i="2"/>
  <c r="CY36" i="2"/>
  <c r="CX36" i="2"/>
  <c r="CW36" i="2"/>
  <c r="CV36" i="2"/>
  <c r="CU36" i="2"/>
  <c r="CT36" i="2"/>
  <c r="CS36" i="2"/>
  <c r="CR36" i="2"/>
  <c r="CQ36" i="2"/>
  <c r="CP36" i="2"/>
  <c r="CN36" i="2"/>
  <c r="CO36" i="2" s="1"/>
  <c r="CM36" i="2"/>
  <c r="CL36" i="2"/>
  <c r="CK36" i="2"/>
  <c r="CJ36" i="2"/>
  <c r="CI36" i="2"/>
  <c r="CH36" i="2"/>
  <c r="CG36" i="2"/>
  <c r="CF36" i="2"/>
  <c r="CE36" i="2"/>
  <c r="CD36" i="2"/>
  <c r="CC36" i="2"/>
  <c r="CA36" i="2"/>
  <c r="CB36" i="2" s="1"/>
  <c r="BZ36" i="2"/>
  <c r="BY36" i="2"/>
  <c r="BX36" i="2"/>
  <c r="BW36" i="2"/>
  <c r="BV36" i="2"/>
  <c r="BU36" i="2"/>
  <c r="BT36" i="2"/>
  <c r="BS36" i="2"/>
  <c r="BR36" i="2"/>
  <c r="BQ36" i="2"/>
  <c r="BP36" i="2"/>
  <c r="BN36" i="2"/>
  <c r="BO36" i="2" s="1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N36" i="2"/>
  <c r="AO36" i="2" s="1"/>
  <c r="AM36" i="2"/>
  <c r="AL36" i="2"/>
  <c r="AK36" i="2"/>
  <c r="AJ36" i="2"/>
  <c r="AI36" i="2"/>
  <c r="AH36" i="2"/>
  <c r="AG36" i="2"/>
  <c r="AF36" i="2"/>
  <c r="AE36" i="2"/>
  <c r="AD36" i="2"/>
  <c r="AC36" i="2"/>
  <c r="AA36" i="2"/>
  <c r="AB36" i="2" s="1"/>
  <c r="Z36" i="2"/>
  <c r="Y36" i="2"/>
  <c r="X36" i="2"/>
  <c r="W36" i="2"/>
  <c r="V36" i="2"/>
  <c r="U36" i="2"/>
  <c r="T36" i="2"/>
  <c r="S36" i="2"/>
  <c r="R36" i="2"/>
  <c r="Q36" i="2"/>
  <c r="P36" i="2"/>
  <c r="N36" i="2"/>
  <c r="O36" i="2" s="1"/>
  <c r="M36" i="2"/>
  <c r="L36" i="2"/>
  <c r="K36" i="2"/>
  <c r="J36" i="2"/>
  <c r="I36" i="2"/>
  <c r="H36" i="2"/>
  <c r="G36" i="2"/>
  <c r="F36" i="2"/>
  <c r="E36" i="2"/>
  <c r="D36" i="2"/>
  <c r="C36" i="2"/>
  <c r="FO35" i="2"/>
  <c r="FI35" i="2"/>
  <c r="FH35" i="2"/>
  <c r="FG35" i="2"/>
  <c r="FF35" i="2"/>
  <c r="FE35" i="2"/>
  <c r="FD35" i="2"/>
  <c r="FC35" i="2"/>
  <c r="FB35" i="2"/>
  <c r="FA35" i="2"/>
  <c r="EZ35" i="2"/>
  <c r="EY35" i="2"/>
  <c r="EX35" i="2"/>
  <c r="EW35" i="2"/>
  <c r="EV35" i="2"/>
  <c r="EU35" i="2"/>
  <c r="ET35" i="2"/>
  <c r="ES35" i="2"/>
  <c r="ER35" i="2"/>
  <c r="EQ35" i="2"/>
  <c r="EP35" i="2"/>
  <c r="EN35" i="2"/>
  <c r="EO35" i="2" s="1"/>
  <c r="EM35" i="2"/>
  <c r="EL35" i="2"/>
  <c r="EK35" i="2"/>
  <c r="EJ35" i="2"/>
  <c r="EI35" i="2"/>
  <c r="EH35" i="2"/>
  <c r="EG35" i="2"/>
  <c r="EF35" i="2"/>
  <c r="EE35" i="2"/>
  <c r="ED35" i="2"/>
  <c r="EC35" i="2"/>
  <c r="EA35" i="2"/>
  <c r="EB35" i="2" s="1"/>
  <c r="DZ35" i="2"/>
  <c r="DY35" i="2"/>
  <c r="DX35" i="2"/>
  <c r="DW35" i="2"/>
  <c r="DV35" i="2"/>
  <c r="DU35" i="2"/>
  <c r="DT35" i="2"/>
  <c r="DS35" i="2"/>
  <c r="DR35" i="2"/>
  <c r="DQ35" i="2"/>
  <c r="DP35" i="2"/>
  <c r="DN35" i="2"/>
  <c r="DO35" i="2" s="1"/>
  <c r="DM35" i="2"/>
  <c r="DL35" i="2"/>
  <c r="DK35" i="2"/>
  <c r="DJ35" i="2"/>
  <c r="DI35" i="2"/>
  <c r="DH35" i="2"/>
  <c r="DG35" i="2"/>
  <c r="DF35" i="2"/>
  <c r="DE35" i="2"/>
  <c r="DD35" i="2"/>
  <c r="DC35" i="2"/>
  <c r="DB35" i="2"/>
  <c r="DA35" i="2"/>
  <c r="CZ35" i="2"/>
  <c r="CY35" i="2"/>
  <c r="CX35" i="2"/>
  <c r="CW35" i="2"/>
  <c r="CV35" i="2"/>
  <c r="CU35" i="2"/>
  <c r="CT35" i="2"/>
  <c r="CS35" i="2"/>
  <c r="CR35" i="2"/>
  <c r="CQ35" i="2"/>
  <c r="CP35" i="2"/>
  <c r="CN35" i="2"/>
  <c r="CO35" i="2" s="1"/>
  <c r="CM35" i="2"/>
  <c r="CL35" i="2"/>
  <c r="CK35" i="2"/>
  <c r="CJ35" i="2"/>
  <c r="CI35" i="2"/>
  <c r="CH35" i="2"/>
  <c r="CG35" i="2"/>
  <c r="CF35" i="2"/>
  <c r="CE35" i="2"/>
  <c r="CD35" i="2"/>
  <c r="CC35" i="2"/>
  <c r="CA35" i="2"/>
  <c r="CB35" i="2" s="1"/>
  <c r="BZ35" i="2"/>
  <c r="BY35" i="2"/>
  <c r="BX35" i="2"/>
  <c r="BW35" i="2"/>
  <c r="BV35" i="2"/>
  <c r="BU35" i="2"/>
  <c r="BT35" i="2"/>
  <c r="BS35" i="2"/>
  <c r="BR35" i="2"/>
  <c r="BQ35" i="2"/>
  <c r="BP35" i="2"/>
  <c r="BN35" i="2"/>
  <c r="BO35" i="2" s="1"/>
  <c r="BM35" i="2"/>
  <c r="BL35" i="2"/>
  <c r="BK35" i="2"/>
  <c r="BJ35" i="2"/>
  <c r="BI35" i="2"/>
  <c r="BH35" i="2"/>
  <c r="BG35" i="2"/>
  <c r="BF35" i="2"/>
  <c r="BE35" i="2"/>
  <c r="BD35" i="2"/>
  <c r="BC35" i="2"/>
  <c r="BA35" i="2"/>
  <c r="BB35" i="2" s="1"/>
  <c r="AZ35" i="2"/>
  <c r="AY35" i="2"/>
  <c r="AX35" i="2"/>
  <c r="AW35" i="2"/>
  <c r="AV35" i="2"/>
  <c r="AU35" i="2"/>
  <c r="AT35" i="2"/>
  <c r="AS35" i="2"/>
  <c r="AR35" i="2"/>
  <c r="AQ35" i="2"/>
  <c r="AP35" i="2"/>
  <c r="AN35" i="2"/>
  <c r="AO35" i="2" s="1"/>
  <c r="AM35" i="2"/>
  <c r="AL35" i="2"/>
  <c r="AK35" i="2"/>
  <c r="AJ35" i="2"/>
  <c r="AI35" i="2"/>
  <c r="AH35" i="2"/>
  <c r="AG35" i="2"/>
  <c r="AF35" i="2"/>
  <c r="AE35" i="2"/>
  <c r="AD35" i="2"/>
  <c r="AC35" i="2"/>
  <c r="AA35" i="2"/>
  <c r="AB35" i="2" s="1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FO34" i="2"/>
  <c r="FI34" i="2"/>
  <c r="FH34" i="2"/>
  <c r="FG34" i="2"/>
  <c r="FF34" i="2"/>
  <c r="FE34" i="2"/>
  <c r="FD34" i="2"/>
  <c r="FC34" i="2"/>
  <c r="FA34" i="2"/>
  <c r="FB34" i="2" s="1"/>
  <c r="EZ34" i="2"/>
  <c r="EY34" i="2"/>
  <c r="EX34" i="2"/>
  <c r="EW34" i="2"/>
  <c r="EV34" i="2"/>
  <c r="EU34" i="2"/>
  <c r="ET34" i="2"/>
  <c r="ES34" i="2"/>
  <c r="ER34" i="2"/>
  <c r="EQ34" i="2"/>
  <c r="EP34" i="2"/>
  <c r="EN34" i="2"/>
  <c r="EO34" i="2" s="1"/>
  <c r="EM34" i="2"/>
  <c r="EL34" i="2"/>
  <c r="EK34" i="2"/>
  <c r="EJ34" i="2"/>
  <c r="EI34" i="2"/>
  <c r="EH34" i="2"/>
  <c r="EG34" i="2"/>
  <c r="EF34" i="2"/>
  <c r="EE34" i="2"/>
  <c r="ED34" i="2"/>
  <c r="EC34" i="2"/>
  <c r="EA34" i="2"/>
  <c r="EB34" i="2" s="1"/>
  <c r="DZ34" i="2"/>
  <c r="DY34" i="2"/>
  <c r="DX34" i="2"/>
  <c r="DW34" i="2"/>
  <c r="DV34" i="2"/>
  <c r="DU34" i="2"/>
  <c r="DT34" i="2"/>
  <c r="DS34" i="2"/>
  <c r="DR34" i="2"/>
  <c r="DQ34" i="2"/>
  <c r="DP34" i="2"/>
  <c r="DO34" i="2"/>
  <c r="DN34" i="2"/>
  <c r="DM34" i="2"/>
  <c r="DL34" i="2"/>
  <c r="DK34" i="2"/>
  <c r="DJ34" i="2"/>
  <c r="DI34" i="2"/>
  <c r="DH34" i="2"/>
  <c r="DG34" i="2"/>
  <c r="DF34" i="2"/>
  <c r="DE34" i="2"/>
  <c r="DD34" i="2"/>
  <c r="DC34" i="2"/>
  <c r="DB34" i="2"/>
  <c r="DA34" i="2"/>
  <c r="CZ34" i="2"/>
  <c r="CY34" i="2"/>
  <c r="CX34" i="2"/>
  <c r="CW34" i="2"/>
  <c r="CV34" i="2"/>
  <c r="CU34" i="2"/>
  <c r="CT34" i="2"/>
  <c r="CS34" i="2"/>
  <c r="CR34" i="2"/>
  <c r="CQ34" i="2"/>
  <c r="CP34" i="2"/>
  <c r="CN34" i="2"/>
  <c r="CO34" i="2" s="1"/>
  <c r="CM34" i="2"/>
  <c r="CL34" i="2"/>
  <c r="CK34" i="2"/>
  <c r="CJ34" i="2"/>
  <c r="CI34" i="2"/>
  <c r="CH34" i="2"/>
  <c r="CG34" i="2"/>
  <c r="CF34" i="2"/>
  <c r="CE34" i="2"/>
  <c r="CD34" i="2"/>
  <c r="CC34" i="2"/>
  <c r="CA34" i="2"/>
  <c r="CB34" i="2" s="1"/>
  <c r="BZ34" i="2"/>
  <c r="BY34" i="2"/>
  <c r="BX34" i="2"/>
  <c r="BW34" i="2"/>
  <c r="BV34" i="2"/>
  <c r="BU34" i="2"/>
  <c r="BT34" i="2"/>
  <c r="BS34" i="2"/>
  <c r="BR34" i="2"/>
  <c r="BQ34" i="2"/>
  <c r="BP34" i="2"/>
  <c r="BN34" i="2"/>
  <c r="BO34" i="2" s="1"/>
  <c r="BM34" i="2"/>
  <c r="BL34" i="2"/>
  <c r="BK34" i="2"/>
  <c r="BJ34" i="2"/>
  <c r="BI34" i="2"/>
  <c r="BH34" i="2"/>
  <c r="BG34" i="2"/>
  <c r="BF34" i="2"/>
  <c r="BE34" i="2"/>
  <c r="BD34" i="2"/>
  <c r="BC34" i="2"/>
  <c r="BA34" i="2"/>
  <c r="BB34" i="2" s="1"/>
  <c r="AZ34" i="2"/>
  <c r="AY34" i="2"/>
  <c r="AX34" i="2"/>
  <c r="AW34" i="2"/>
  <c r="AV34" i="2"/>
  <c r="AU34" i="2"/>
  <c r="AT34" i="2"/>
  <c r="AS34" i="2"/>
  <c r="AR34" i="2"/>
  <c r="AQ34" i="2"/>
  <c r="AP34" i="2"/>
  <c r="AN34" i="2"/>
  <c r="AO34" i="2" s="1"/>
  <c r="AM34" i="2"/>
  <c r="AL34" i="2"/>
  <c r="AK34" i="2"/>
  <c r="AJ34" i="2"/>
  <c r="AI34" i="2"/>
  <c r="AH34" i="2"/>
  <c r="AG34" i="2"/>
  <c r="AF34" i="2"/>
  <c r="AE34" i="2"/>
  <c r="AD34" i="2"/>
  <c r="AC34" i="2"/>
  <c r="AA34" i="2"/>
  <c r="AB34" i="2" s="1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FI33" i="2"/>
  <c r="FO33" i="2" s="1"/>
  <c r="FH33" i="2"/>
  <c r="FG33" i="2"/>
  <c r="FF33" i="2"/>
  <c r="FE33" i="2"/>
  <c r="FD33" i="2"/>
  <c r="FC33" i="2"/>
  <c r="FA33" i="2"/>
  <c r="FB33" i="2" s="1"/>
  <c r="EZ33" i="2"/>
  <c r="EY33" i="2"/>
  <c r="EX33" i="2"/>
  <c r="EW33" i="2"/>
  <c r="EV33" i="2"/>
  <c r="EU33" i="2"/>
  <c r="ET33" i="2"/>
  <c r="ES33" i="2"/>
  <c r="ER33" i="2"/>
  <c r="EQ33" i="2"/>
  <c r="EP33" i="2"/>
  <c r="EN33" i="2"/>
  <c r="EO33" i="2" s="1"/>
  <c r="EM33" i="2"/>
  <c r="EL33" i="2"/>
  <c r="EK33" i="2"/>
  <c r="EJ33" i="2"/>
  <c r="EI33" i="2"/>
  <c r="EH33" i="2"/>
  <c r="EG33" i="2"/>
  <c r="EF33" i="2"/>
  <c r="EE33" i="2"/>
  <c r="ED33" i="2"/>
  <c r="EC33" i="2"/>
  <c r="EA33" i="2"/>
  <c r="EB33" i="2" s="1"/>
  <c r="DZ33" i="2"/>
  <c r="DY33" i="2"/>
  <c r="DX33" i="2"/>
  <c r="DW33" i="2"/>
  <c r="DV33" i="2"/>
  <c r="DU33" i="2"/>
  <c r="DT33" i="2"/>
  <c r="DS33" i="2"/>
  <c r="DR33" i="2"/>
  <c r="DQ33" i="2"/>
  <c r="DP33" i="2"/>
  <c r="DO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A33" i="2"/>
  <c r="DB33" i="2" s="1"/>
  <c r="CZ33" i="2"/>
  <c r="CY33" i="2"/>
  <c r="CX33" i="2"/>
  <c r="CW33" i="2"/>
  <c r="CV33" i="2"/>
  <c r="CU33" i="2"/>
  <c r="CT33" i="2"/>
  <c r="CS33" i="2"/>
  <c r="CR33" i="2"/>
  <c r="CQ33" i="2"/>
  <c r="CP33" i="2"/>
  <c r="CN33" i="2"/>
  <c r="CO33" i="2" s="1"/>
  <c r="CM33" i="2"/>
  <c r="CL33" i="2"/>
  <c r="CK33" i="2"/>
  <c r="CJ33" i="2"/>
  <c r="CI33" i="2"/>
  <c r="CH33" i="2"/>
  <c r="CG33" i="2"/>
  <c r="CF33" i="2"/>
  <c r="CE33" i="2"/>
  <c r="CD33" i="2"/>
  <c r="CC33" i="2"/>
  <c r="CA33" i="2"/>
  <c r="CB33" i="2" s="1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A33" i="2"/>
  <c r="BB33" i="2" s="1"/>
  <c r="AZ33" i="2"/>
  <c r="AY33" i="2"/>
  <c r="AX33" i="2"/>
  <c r="AW33" i="2"/>
  <c r="AV33" i="2"/>
  <c r="AU33" i="2"/>
  <c r="AT33" i="2"/>
  <c r="AS33" i="2"/>
  <c r="AR33" i="2"/>
  <c r="AQ33" i="2"/>
  <c r="AP33" i="2"/>
  <c r="AN33" i="2"/>
  <c r="AO33" i="2" s="1"/>
  <c r="AM33" i="2"/>
  <c r="AL33" i="2"/>
  <c r="AK33" i="2"/>
  <c r="AJ33" i="2"/>
  <c r="AI33" i="2"/>
  <c r="AH33" i="2"/>
  <c r="AG33" i="2"/>
  <c r="AF33" i="2"/>
  <c r="AE33" i="2"/>
  <c r="AD33" i="2"/>
  <c r="AC33" i="2"/>
  <c r="AA33" i="2"/>
  <c r="AB33" i="2" s="1"/>
  <c r="Z33" i="2"/>
  <c r="Y33" i="2"/>
  <c r="X33" i="2"/>
  <c r="W33" i="2"/>
  <c r="V33" i="2"/>
  <c r="U33" i="2"/>
  <c r="T33" i="2"/>
  <c r="S33" i="2"/>
  <c r="R33" i="2"/>
  <c r="Q33" i="2"/>
  <c r="P33" i="2"/>
  <c r="N33" i="2"/>
  <c r="O33" i="2" s="1"/>
  <c r="M33" i="2"/>
  <c r="L33" i="2"/>
  <c r="K33" i="2"/>
  <c r="J33" i="2"/>
  <c r="I33" i="2"/>
  <c r="H33" i="2"/>
  <c r="G33" i="2"/>
  <c r="F33" i="2"/>
  <c r="E33" i="2"/>
  <c r="D33" i="2"/>
  <c r="C33" i="2"/>
  <c r="FO32" i="2"/>
  <c r="FI32" i="2"/>
  <c r="FH32" i="2"/>
  <c r="FG32" i="2"/>
  <c r="FF32" i="2"/>
  <c r="FE32" i="2"/>
  <c r="FD32" i="2"/>
  <c r="FC32" i="2"/>
  <c r="FA32" i="2"/>
  <c r="FB32" i="2" s="1"/>
  <c r="EZ32" i="2"/>
  <c r="EY32" i="2"/>
  <c r="EX32" i="2"/>
  <c r="EW32" i="2"/>
  <c r="EV32" i="2"/>
  <c r="EU32" i="2"/>
  <c r="ET32" i="2"/>
  <c r="ES32" i="2"/>
  <c r="ER32" i="2"/>
  <c r="EQ32" i="2"/>
  <c r="EP32" i="2"/>
  <c r="EN32" i="2"/>
  <c r="EO32" i="2" s="1"/>
  <c r="EM32" i="2"/>
  <c r="EL32" i="2"/>
  <c r="EK32" i="2"/>
  <c r="EJ32" i="2"/>
  <c r="EI32" i="2"/>
  <c r="EH32" i="2"/>
  <c r="EG32" i="2"/>
  <c r="EF32" i="2"/>
  <c r="EE32" i="2"/>
  <c r="ED32" i="2"/>
  <c r="EC32" i="2"/>
  <c r="EA32" i="2"/>
  <c r="EB32" i="2" s="1"/>
  <c r="DZ32" i="2"/>
  <c r="DY32" i="2"/>
  <c r="DX32" i="2"/>
  <c r="DW32" i="2"/>
  <c r="DV32" i="2"/>
  <c r="DU32" i="2"/>
  <c r="DT32" i="2"/>
  <c r="DS32" i="2"/>
  <c r="DR32" i="2"/>
  <c r="DQ32" i="2"/>
  <c r="DP32" i="2"/>
  <c r="DN32" i="2"/>
  <c r="DO32" i="2" s="1"/>
  <c r="DM32" i="2"/>
  <c r="DL32" i="2"/>
  <c r="DK32" i="2"/>
  <c r="DJ32" i="2"/>
  <c r="DI32" i="2"/>
  <c r="DH32" i="2"/>
  <c r="DG32" i="2"/>
  <c r="DF32" i="2"/>
  <c r="DE32" i="2"/>
  <c r="DD32" i="2"/>
  <c r="DC32" i="2"/>
  <c r="DB32" i="2"/>
  <c r="DA32" i="2"/>
  <c r="CZ32" i="2"/>
  <c r="CY32" i="2"/>
  <c r="CX32" i="2"/>
  <c r="CW32" i="2"/>
  <c r="CV32" i="2"/>
  <c r="CU32" i="2"/>
  <c r="CT32" i="2"/>
  <c r="CS32" i="2"/>
  <c r="CR32" i="2"/>
  <c r="CQ32" i="2"/>
  <c r="CP32" i="2"/>
  <c r="CN32" i="2"/>
  <c r="CO32" i="2" s="1"/>
  <c r="CM32" i="2"/>
  <c r="CL32" i="2"/>
  <c r="CK32" i="2"/>
  <c r="CJ32" i="2"/>
  <c r="CI32" i="2"/>
  <c r="CH32" i="2"/>
  <c r="CG32" i="2"/>
  <c r="CF32" i="2"/>
  <c r="CE32" i="2"/>
  <c r="CD32" i="2"/>
  <c r="CC32" i="2"/>
  <c r="CA32" i="2"/>
  <c r="CB32" i="2" s="1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A32" i="2"/>
  <c r="BB32" i="2" s="1"/>
  <c r="AZ32" i="2"/>
  <c r="AY32" i="2"/>
  <c r="AX32" i="2"/>
  <c r="AW32" i="2"/>
  <c r="AV32" i="2"/>
  <c r="AU32" i="2"/>
  <c r="AT32" i="2"/>
  <c r="AS32" i="2"/>
  <c r="AR32" i="2"/>
  <c r="AQ32" i="2"/>
  <c r="AP32" i="2"/>
  <c r="AN32" i="2"/>
  <c r="AO32" i="2" s="1"/>
  <c r="AM32" i="2"/>
  <c r="AL32" i="2"/>
  <c r="AK32" i="2"/>
  <c r="AJ32" i="2"/>
  <c r="AI32" i="2"/>
  <c r="AH32" i="2"/>
  <c r="AG32" i="2"/>
  <c r="AF32" i="2"/>
  <c r="AE32" i="2"/>
  <c r="AD32" i="2"/>
  <c r="AC32" i="2"/>
  <c r="AA32" i="2"/>
  <c r="AB32" i="2" s="1"/>
  <c r="Z32" i="2"/>
  <c r="Y32" i="2"/>
  <c r="X32" i="2"/>
  <c r="W32" i="2"/>
  <c r="V32" i="2"/>
  <c r="U32" i="2"/>
  <c r="T32" i="2"/>
  <c r="S32" i="2"/>
  <c r="R32" i="2"/>
  <c r="Q32" i="2"/>
  <c r="P32" i="2"/>
  <c r="N32" i="2"/>
  <c r="O32" i="2" s="1"/>
  <c r="M32" i="2"/>
  <c r="L32" i="2"/>
  <c r="K32" i="2"/>
  <c r="J32" i="2"/>
  <c r="I32" i="2"/>
  <c r="H32" i="2"/>
  <c r="G32" i="2"/>
  <c r="F32" i="2"/>
  <c r="E32" i="2"/>
  <c r="D32" i="2"/>
  <c r="C32" i="2"/>
  <c r="FO31" i="2"/>
  <c r="FI31" i="2"/>
  <c r="FH31" i="2"/>
  <c r="FG31" i="2"/>
  <c r="FF31" i="2"/>
  <c r="FE31" i="2"/>
  <c r="FD31" i="2"/>
  <c r="FC31" i="2"/>
  <c r="FA31" i="2"/>
  <c r="FB31" i="2" s="1"/>
  <c r="EZ31" i="2"/>
  <c r="EY31" i="2"/>
  <c r="EX31" i="2"/>
  <c r="EW31" i="2"/>
  <c r="EV31" i="2"/>
  <c r="EU31" i="2"/>
  <c r="ET31" i="2"/>
  <c r="ES31" i="2"/>
  <c r="ER31" i="2"/>
  <c r="EQ31" i="2"/>
  <c r="EP31" i="2"/>
  <c r="EN31" i="2"/>
  <c r="EO31" i="2" s="1"/>
  <c r="EM31" i="2"/>
  <c r="EL31" i="2"/>
  <c r="EK31" i="2"/>
  <c r="EJ31" i="2"/>
  <c r="EI31" i="2"/>
  <c r="EH31" i="2"/>
  <c r="EG31" i="2"/>
  <c r="EF31" i="2"/>
  <c r="EE31" i="2"/>
  <c r="ED31" i="2"/>
  <c r="EC31" i="2"/>
  <c r="EA31" i="2"/>
  <c r="EB31" i="2" s="1"/>
  <c r="DZ31" i="2"/>
  <c r="DY31" i="2"/>
  <c r="DX31" i="2"/>
  <c r="DW31" i="2"/>
  <c r="DV31" i="2"/>
  <c r="DU31" i="2"/>
  <c r="DT31" i="2"/>
  <c r="DS31" i="2"/>
  <c r="DR31" i="2"/>
  <c r="DQ31" i="2"/>
  <c r="DP31" i="2"/>
  <c r="DN31" i="2"/>
  <c r="DO31" i="2" s="1"/>
  <c r="DM31" i="2"/>
  <c r="DL31" i="2"/>
  <c r="DK31" i="2"/>
  <c r="DJ31" i="2"/>
  <c r="DI31" i="2"/>
  <c r="DH31" i="2"/>
  <c r="DG31" i="2"/>
  <c r="DF31" i="2"/>
  <c r="DE31" i="2"/>
  <c r="DD31" i="2"/>
  <c r="DC31" i="2"/>
  <c r="DB31" i="2"/>
  <c r="DA31" i="2"/>
  <c r="CZ31" i="2"/>
  <c r="CY31" i="2"/>
  <c r="CX31" i="2"/>
  <c r="CW31" i="2"/>
  <c r="CV31" i="2"/>
  <c r="CU31" i="2"/>
  <c r="CT31" i="2"/>
  <c r="CS31" i="2"/>
  <c r="CR31" i="2"/>
  <c r="CQ31" i="2"/>
  <c r="CP31" i="2"/>
  <c r="CN31" i="2"/>
  <c r="CO31" i="2" s="1"/>
  <c r="CM31" i="2"/>
  <c r="CL31" i="2"/>
  <c r="CK31" i="2"/>
  <c r="CJ31" i="2"/>
  <c r="CI31" i="2"/>
  <c r="CH31" i="2"/>
  <c r="CG31" i="2"/>
  <c r="CF31" i="2"/>
  <c r="CE31" i="2"/>
  <c r="CD31" i="2"/>
  <c r="CC31" i="2"/>
  <c r="CA31" i="2"/>
  <c r="CB31" i="2" s="1"/>
  <c r="BZ31" i="2"/>
  <c r="BY31" i="2"/>
  <c r="BX31" i="2"/>
  <c r="BW31" i="2"/>
  <c r="BV31" i="2"/>
  <c r="BU31" i="2"/>
  <c r="BT31" i="2"/>
  <c r="BS31" i="2"/>
  <c r="BR31" i="2"/>
  <c r="BQ31" i="2"/>
  <c r="BP31" i="2"/>
  <c r="BN31" i="2"/>
  <c r="BO31" i="2" s="1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N31" i="2"/>
  <c r="AO31" i="2" s="1"/>
  <c r="AM31" i="2"/>
  <c r="AL31" i="2"/>
  <c r="AK31" i="2"/>
  <c r="AJ31" i="2"/>
  <c r="AI31" i="2"/>
  <c r="AH31" i="2"/>
  <c r="AG31" i="2"/>
  <c r="AF31" i="2"/>
  <c r="AE31" i="2"/>
  <c r="AD31" i="2"/>
  <c r="AC31" i="2"/>
  <c r="AA31" i="2"/>
  <c r="AB31" i="2" s="1"/>
  <c r="Z31" i="2"/>
  <c r="Y31" i="2"/>
  <c r="X31" i="2"/>
  <c r="W31" i="2"/>
  <c r="V31" i="2"/>
  <c r="U31" i="2"/>
  <c r="T31" i="2"/>
  <c r="S31" i="2"/>
  <c r="R31" i="2"/>
  <c r="Q31" i="2"/>
  <c r="P31" i="2"/>
  <c r="N31" i="2"/>
  <c r="O31" i="2" s="1"/>
  <c r="M31" i="2"/>
  <c r="L31" i="2"/>
  <c r="K31" i="2"/>
  <c r="J31" i="2"/>
  <c r="I31" i="2"/>
  <c r="H31" i="2"/>
  <c r="G31" i="2"/>
  <c r="F31" i="2"/>
  <c r="E31" i="2"/>
  <c r="D31" i="2"/>
  <c r="C31" i="2"/>
  <c r="FI30" i="2"/>
  <c r="FO30" i="2" s="1"/>
  <c r="FH30" i="2"/>
  <c r="FG30" i="2"/>
  <c r="FF30" i="2"/>
  <c r="FE30" i="2"/>
  <c r="FD30" i="2"/>
  <c r="FC30" i="2"/>
  <c r="FA30" i="2"/>
  <c r="FB30" i="2" s="1"/>
  <c r="EZ30" i="2"/>
  <c r="EY30" i="2"/>
  <c r="EX30" i="2"/>
  <c r="EW30" i="2"/>
  <c r="EW48" i="2" s="1"/>
  <c r="EV30" i="2"/>
  <c r="EU30" i="2"/>
  <c r="ET30" i="2"/>
  <c r="ES30" i="2"/>
  <c r="ER30" i="2"/>
  <c r="EQ30" i="2"/>
  <c r="EP30" i="2"/>
  <c r="EN30" i="2"/>
  <c r="EM30" i="2"/>
  <c r="EL30" i="2"/>
  <c r="EK30" i="2"/>
  <c r="EK48" i="2" s="1"/>
  <c r="EJ30" i="2"/>
  <c r="EI30" i="2"/>
  <c r="EH30" i="2"/>
  <c r="EG30" i="2"/>
  <c r="EF30" i="2"/>
  <c r="EE30" i="2"/>
  <c r="ED30" i="2"/>
  <c r="ED48" i="2" s="1"/>
  <c r="EC30" i="2"/>
  <c r="EA30" i="2"/>
  <c r="DZ30" i="2"/>
  <c r="DZ48" i="2" s="1"/>
  <c r="DY30" i="2"/>
  <c r="DY48" i="2" s="1"/>
  <c r="DX30" i="2"/>
  <c r="DX48" i="2" s="1"/>
  <c r="DW30" i="2"/>
  <c r="DV30" i="2"/>
  <c r="DU30" i="2"/>
  <c r="DT30" i="2"/>
  <c r="DT48" i="2" s="1"/>
  <c r="DS30" i="2"/>
  <c r="DR30" i="2"/>
  <c r="DR48" i="2" s="1"/>
  <c r="DQ30" i="2"/>
  <c r="DP30" i="2"/>
  <c r="DN30" i="2"/>
  <c r="DO30" i="2" s="1"/>
  <c r="DM30" i="2"/>
  <c r="DM48" i="2" s="1"/>
  <c r="DL30" i="2"/>
  <c r="DK30" i="2"/>
  <c r="DJ30" i="2"/>
  <c r="DI30" i="2"/>
  <c r="DI48" i="2" s="1"/>
  <c r="DH30" i="2"/>
  <c r="DH48" i="2" s="1"/>
  <c r="DG30" i="2"/>
  <c r="DF30" i="2"/>
  <c r="DF48" i="2" s="1"/>
  <c r="DE30" i="2"/>
  <c r="DD30" i="2"/>
  <c r="DC30" i="2"/>
  <c r="DA30" i="2"/>
  <c r="DB30" i="2" s="1"/>
  <c r="CZ30" i="2"/>
  <c r="CY30" i="2"/>
  <c r="CY48" i="2" s="1"/>
  <c r="CX30" i="2"/>
  <c r="CW30" i="2"/>
  <c r="CW48" i="2" s="1"/>
  <c r="CV30" i="2"/>
  <c r="CV48" i="2" s="1"/>
  <c r="CU30" i="2"/>
  <c r="CT30" i="2"/>
  <c r="CS30" i="2"/>
  <c r="CR30" i="2"/>
  <c r="CQ30" i="2"/>
  <c r="CP30" i="2"/>
  <c r="CN30" i="2"/>
  <c r="CN48" i="2" s="1"/>
  <c r="CM30" i="2"/>
  <c r="CM48" i="2" s="1"/>
  <c r="CL30" i="2"/>
  <c r="CK30" i="2"/>
  <c r="CJ30" i="2"/>
  <c r="CJ48" i="2" s="1"/>
  <c r="CI30" i="2"/>
  <c r="CH30" i="2"/>
  <c r="CH48" i="2" s="1"/>
  <c r="CG30" i="2"/>
  <c r="CF30" i="2"/>
  <c r="CE30" i="2"/>
  <c r="CD30" i="2"/>
  <c r="CC30" i="2"/>
  <c r="CC48" i="2" s="1"/>
  <c r="CA30" i="2"/>
  <c r="BZ30" i="2"/>
  <c r="BY30" i="2"/>
  <c r="BX30" i="2"/>
  <c r="BW30" i="2"/>
  <c r="BV30" i="2"/>
  <c r="BU30" i="2"/>
  <c r="BT30" i="2"/>
  <c r="BS30" i="2"/>
  <c r="BR30" i="2"/>
  <c r="BQ30" i="2"/>
  <c r="BQ48" i="2" s="1"/>
  <c r="BP30" i="2"/>
  <c r="BP48" i="2" s="1"/>
  <c r="BO30" i="2"/>
  <c r="BN30" i="2"/>
  <c r="BM30" i="2"/>
  <c r="BL30" i="2"/>
  <c r="BK30" i="2"/>
  <c r="BJ30" i="2"/>
  <c r="BI30" i="2"/>
  <c r="BH30" i="2"/>
  <c r="BG30" i="2"/>
  <c r="BF30" i="2"/>
  <c r="BF48" i="2" s="1"/>
  <c r="BE30" i="2"/>
  <c r="BE48" i="2" s="1"/>
  <c r="BD30" i="2"/>
  <c r="BC30" i="2"/>
  <c r="BB30" i="2"/>
  <c r="BA30" i="2"/>
  <c r="AZ30" i="2"/>
  <c r="AZ48" i="2" s="1"/>
  <c r="AY30" i="2"/>
  <c r="AX30" i="2"/>
  <c r="AW30" i="2"/>
  <c r="AV30" i="2"/>
  <c r="AU30" i="2"/>
  <c r="AT30" i="2"/>
  <c r="AS30" i="2"/>
  <c r="AS48" i="2" s="1"/>
  <c r="AR30" i="2"/>
  <c r="AQ30" i="2"/>
  <c r="AP30" i="2"/>
  <c r="AN30" i="2"/>
  <c r="AN48" i="2" s="1"/>
  <c r="AM30" i="2"/>
  <c r="AL30" i="2"/>
  <c r="AK30" i="2"/>
  <c r="AJ30" i="2"/>
  <c r="AI30" i="2"/>
  <c r="AH30" i="2"/>
  <c r="AG30" i="2"/>
  <c r="AG48" i="2" s="1"/>
  <c r="AF30" i="2"/>
  <c r="AF48" i="2" s="1"/>
  <c r="AE30" i="2"/>
  <c r="AD30" i="2"/>
  <c r="AC30" i="2"/>
  <c r="AA30" i="2"/>
  <c r="Z30" i="2"/>
  <c r="Y30" i="2"/>
  <c r="X30" i="2"/>
  <c r="W30" i="2"/>
  <c r="V30" i="2"/>
  <c r="U30" i="2"/>
  <c r="U48" i="2" s="1"/>
  <c r="T30" i="2"/>
  <c r="S30" i="2"/>
  <c r="S48" i="2" s="1"/>
  <c r="R30" i="2"/>
  <c r="Q30" i="2"/>
  <c r="P30" i="2"/>
  <c r="P48" i="2" s="1"/>
  <c r="N30" i="2"/>
  <c r="M30" i="2"/>
  <c r="L30" i="2"/>
  <c r="K30" i="2"/>
  <c r="J30" i="2"/>
  <c r="J48" i="2" s="1"/>
  <c r="I30" i="2"/>
  <c r="I48" i="2" s="1"/>
  <c r="H30" i="2"/>
  <c r="G30" i="2"/>
  <c r="G48" i="2" s="1"/>
  <c r="F30" i="2"/>
  <c r="E30" i="2"/>
  <c r="D30" i="2"/>
  <c r="D48" i="2" s="1"/>
  <c r="C30" i="2"/>
  <c r="FN26" i="2"/>
  <c r="FM26" i="2"/>
  <c r="FL26" i="2"/>
  <c r="FK26" i="2"/>
  <c r="FJ26" i="2"/>
  <c r="FI25" i="2"/>
  <c r="FO25" i="2" s="1"/>
  <c r="FH25" i="2"/>
  <c r="FG25" i="2"/>
  <c r="FF25" i="2"/>
  <c r="FE25" i="2"/>
  <c r="FD25" i="2"/>
  <c r="FC25" i="2"/>
  <c r="FA25" i="2"/>
  <c r="FB25" i="2" s="1"/>
  <c r="EZ25" i="2"/>
  <c r="EY25" i="2"/>
  <c r="EX25" i="2"/>
  <c r="EW25" i="2"/>
  <c r="EV25" i="2"/>
  <c r="EU25" i="2"/>
  <c r="ET25" i="2"/>
  <c r="ES25" i="2"/>
  <c r="ER25" i="2"/>
  <c r="EQ25" i="2"/>
  <c r="EP25" i="2"/>
  <c r="EN25" i="2"/>
  <c r="EO25" i="2" s="1"/>
  <c r="EM25" i="2"/>
  <c r="EL25" i="2"/>
  <c r="EK25" i="2"/>
  <c r="EJ25" i="2"/>
  <c r="EI25" i="2"/>
  <c r="EH25" i="2"/>
  <c r="EG25" i="2"/>
  <c r="EF25" i="2"/>
  <c r="EE25" i="2"/>
  <c r="ED25" i="2"/>
  <c r="EC25" i="2"/>
  <c r="EA25" i="2"/>
  <c r="EB25" i="2" s="1"/>
  <c r="DZ25" i="2"/>
  <c r="DY25" i="2"/>
  <c r="DX25" i="2"/>
  <c r="DW25" i="2"/>
  <c r="DV25" i="2"/>
  <c r="DU25" i="2"/>
  <c r="DT25" i="2"/>
  <c r="DS25" i="2"/>
  <c r="DR25" i="2"/>
  <c r="DQ25" i="2"/>
  <c r="DP25" i="2"/>
  <c r="DO25" i="2"/>
  <c r="DN25" i="2"/>
  <c r="DM25" i="2"/>
  <c r="DL25" i="2"/>
  <c r="DK25" i="2"/>
  <c r="DJ25" i="2"/>
  <c r="DI25" i="2"/>
  <c r="DH25" i="2"/>
  <c r="DG25" i="2"/>
  <c r="DF25" i="2"/>
  <c r="DE25" i="2"/>
  <c r="DD25" i="2"/>
  <c r="DC25" i="2"/>
  <c r="DA25" i="2"/>
  <c r="DB25" i="2" s="1"/>
  <c r="CZ25" i="2"/>
  <c r="CY25" i="2"/>
  <c r="CX25" i="2"/>
  <c r="CW25" i="2"/>
  <c r="CV25" i="2"/>
  <c r="CU25" i="2"/>
  <c r="CT25" i="2"/>
  <c r="CS25" i="2"/>
  <c r="CR25" i="2"/>
  <c r="CQ25" i="2"/>
  <c r="CP25" i="2"/>
  <c r="CN25" i="2"/>
  <c r="CO25" i="2" s="1"/>
  <c r="CM25" i="2"/>
  <c r="CL25" i="2"/>
  <c r="CK25" i="2"/>
  <c r="CJ25" i="2"/>
  <c r="CI25" i="2"/>
  <c r="CH25" i="2"/>
  <c r="CG25" i="2"/>
  <c r="CF25" i="2"/>
  <c r="CE25" i="2"/>
  <c r="CD25" i="2"/>
  <c r="CC25" i="2"/>
  <c r="CA25" i="2"/>
  <c r="CB25" i="2" s="1"/>
  <c r="BZ25" i="2"/>
  <c r="BY25" i="2"/>
  <c r="BX25" i="2"/>
  <c r="BW25" i="2"/>
  <c r="BV25" i="2"/>
  <c r="BU25" i="2"/>
  <c r="BT25" i="2"/>
  <c r="BS25" i="2"/>
  <c r="BR25" i="2"/>
  <c r="BQ25" i="2"/>
  <c r="BP25" i="2"/>
  <c r="BN25" i="2"/>
  <c r="BO25" i="2" s="1"/>
  <c r="BM25" i="2"/>
  <c r="BL25" i="2"/>
  <c r="BK25" i="2"/>
  <c r="BJ25" i="2"/>
  <c r="BI25" i="2"/>
  <c r="BH25" i="2"/>
  <c r="BG25" i="2"/>
  <c r="BF25" i="2"/>
  <c r="BE25" i="2"/>
  <c r="BD25" i="2"/>
  <c r="BC25" i="2"/>
  <c r="BA25" i="2"/>
  <c r="BB25" i="2" s="1"/>
  <c r="AZ25" i="2"/>
  <c r="AY25" i="2"/>
  <c r="AX25" i="2"/>
  <c r="AW25" i="2"/>
  <c r="AV25" i="2"/>
  <c r="AU25" i="2"/>
  <c r="AT25" i="2"/>
  <c r="AS25" i="2"/>
  <c r="AR25" i="2"/>
  <c r="AQ25" i="2"/>
  <c r="AP25" i="2"/>
  <c r="AN25" i="2"/>
  <c r="AO25" i="2" s="1"/>
  <c r="AM25" i="2"/>
  <c r="AL25" i="2"/>
  <c r="AK25" i="2"/>
  <c r="AJ25" i="2"/>
  <c r="AI25" i="2"/>
  <c r="AH25" i="2"/>
  <c r="AG25" i="2"/>
  <c r="AF25" i="2"/>
  <c r="AE25" i="2"/>
  <c r="AD25" i="2"/>
  <c r="AC25" i="2"/>
  <c r="AA25" i="2"/>
  <c r="AB25" i="2" s="1"/>
  <c r="Z25" i="2"/>
  <c r="Y25" i="2"/>
  <c r="X25" i="2"/>
  <c r="W25" i="2"/>
  <c r="V25" i="2"/>
  <c r="U25" i="2"/>
  <c r="T25" i="2"/>
  <c r="S25" i="2"/>
  <c r="R25" i="2"/>
  <c r="Q25" i="2"/>
  <c r="P25" i="2"/>
  <c r="N25" i="2"/>
  <c r="O25" i="2" s="1"/>
  <c r="M25" i="2"/>
  <c r="L25" i="2"/>
  <c r="K25" i="2"/>
  <c r="J25" i="2"/>
  <c r="I25" i="2"/>
  <c r="H25" i="2"/>
  <c r="G25" i="2"/>
  <c r="F25" i="2"/>
  <c r="E25" i="2"/>
  <c r="D25" i="2"/>
  <c r="C25" i="2"/>
  <c r="FI24" i="2"/>
  <c r="FO24" i="2" s="1"/>
  <c r="FH24" i="2"/>
  <c r="FG24" i="2"/>
  <c r="FF24" i="2"/>
  <c r="FE24" i="2"/>
  <c r="FD24" i="2"/>
  <c r="FC24" i="2"/>
  <c r="FA24" i="2"/>
  <c r="FB24" i="2" s="1"/>
  <c r="EZ24" i="2"/>
  <c r="EY24" i="2"/>
  <c r="EX24" i="2"/>
  <c r="EW24" i="2"/>
  <c r="EV24" i="2"/>
  <c r="EU24" i="2"/>
  <c r="ET24" i="2"/>
  <c r="ES24" i="2"/>
  <c r="ER24" i="2"/>
  <c r="EQ24" i="2"/>
  <c r="EP24" i="2"/>
  <c r="EN24" i="2"/>
  <c r="EO24" i="2" s="1"/>
  <c r="EM24" i="2"/>
  <c r="EL24" i="2"/>
  <c r="EK24" i="2"/>
  <c r="EJ24" i="2"/>
  <c r="EI24" i="2"/>
  <c r="EH24" i="2"/>
  <c r="EG24" i="2"/>
  <c r="EF24" i="2"/>
  <c r="EE24" i="2"/>
  <c r="ED24" i="2"/>
  <c r="EC24" i="2"/>
  <c r="EB24" i="2"/>
  <c r="EA24" i="2"/>
  <c r="DZ24" i="2"/>
  <c r="DY24" i="2"/>
  <c r="DX24" i="2"/>
  <c r="DW24" i="2"/>
  <c r="DV24" i="2"/>
  <c r="DU24" i="2"/>
  <c r="DT24" i="2"/>
  <c r="DS24" i="2"/>
  <c r="DR24" i="2"/>
  <c r="DQ24" i="2"/>
  <c r="DP24" i="2"/>
  <c r="DN24" i="2"/>
  <c r="DO24" i="2" s="1"/>
  <c r="DM24" i="2"/>
  <c r="DL24" i="2"/>
  <c r="DK24" i="2"/>
  <c r="DJ24" i="2"/>
  <c r="DI24" i="2"/>
  <c r="DH24" i="2"/>
  <c r="DG24" i="2"/>
  <c r="DF24" i="2"/>
  <c r="DE24" i="2"/>
  <c r="DD24" i="2"/>
  <c r="DC24" i="2"/>
  <c r="DA24" i="2"/>
  <c r="DB24" i="2" s="1"/>
  <c r="CZ24" i="2"/>
  <c r="CY24" i="2"/>
  <c r="CX24" i="2"/>
  <c r="CW24" i="2"/>
  <c r="CV24" i="2"/>
  <c r="CU24" i="2"/>
  <c r="CT24" i="2"/>
  <c r="CS24" i="2"/>
  <c r="CR24" i="2"/>
  <c r="CQ24" i="2"/>
  <c r="CP24" i="2"/>
  <c r="CN24" i="2"/>
  <c r="CO24" i="2" s="1"/>
  <c r="CM24" i="2"/>
  <c r="CL24" i="2"/>
  <c r="CK24" i="2"/>
  <c r="CJ24" i="2"/>
  <c r="CI24" i="2"/>
  <c r="CH24" i="2"/>
  <c r="CG24" i="2"/>
  <c r="CF24" i="2"/>
  <c r="CE24" i="2"/>
  <c r="CD24" i="2"/>
  <c r="CC24" i="2"/>
  <c r="CA24" i="2"/>
  <c r="CB24" i="2" s="1"/>
  <c r="BZ24" i="2"/>
  <c r="BY24" i="2"/>
  <c r="BX24" i="2"/>
  <c r="BW24" i="2"/>
  <c r="BV24" i="2"/>
  <c r="BU24" i="2"/>
  <c r="BT24" i="2"/>
  <c r="BS24" i="2"/>
  <c r="BR24" i="2"/>
  <c r="BQ24" i="2"/>
  <c r="BP24" i="2"/>
  <c r="BN24" i="2"/>
  <c r="BO24" i="2" s="1"/>
  <c r="BM24" i="2"/>
  <c r="BL24" i="2"/>
  <c r="BK24" i="2"/>
  <c r="BJ24" i="2"/>
  <c r="BI24" i="2"/>
  <c r="BH24" i="2"/>
  <c r="BG24" i="2"/>
  <c r="BF24" i="2"/>
  <c r="BE24" i="2"/>
  <c r="BD24" i="2"/>
  <c r="BC24" i="2"/>
  <c r="BA24" i="2"/>
  <c r="BB24" i="2" s="1"/>
  <c r="AZ24" i="2"/>
  <c r="AY24" i="2"/>
  <c r="AX24" i="2"/>
  <c r="AW24" i="2"/>
  <c r="AV24" i="2"/>
  <c r="AU24" i="2"/>
  <c r="AT24" i="2"/>
  <c r="AS24" i="2"/>
  <c r="AR24" i="2"/>
  <c r="AQ24" i="2"/>
  <c r="AP24" i="2"/>
  <c r="AN24" i="2"/>
  <c r="AO24" i="2" s="1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N24" i="2"/>
  <c r="O24" i="2" s="1"/>
  <c r="M24" i="2"/>
  <c r="L24" i="2"/>
  <c r="K24" i="2"/>
  <c r="J24" i="2"/>
  <c r="I24" i="2"/>
  <c r="H24" i="2"/>
  <c r="G24" i="2"/>
  <c r="F24" i="2"/>
  <c r="E24" i="2"/>
  <c r="D24" i="2"/>
  <c r="C24" i="2"/>
  <c r="FI23" i="2"/>
  <c r="FO23" i="2" s="1"/>
  <c r="FH23" i="2"/>
  <c r="FG23" i="2"/>
  <c r="FF23" i="2"/>
  <c r="FE23" i="2"/>
  <c r="FD23" i="2"/>
  <c r="FC23" i="2"/>
  <c r="FA23" i="2"/>
  <c r="FB23" i="2" s="1"/>
  <c r="EZ23" i="2"/>
  <c r="EY23" i="2"/>
  <c r="EX23" i="2"/>
  <c r="EW23" i="2"/>
  <c r="EV23" i="2"/>
  <c r="EU23" i="2"/>
  <c r="ET23" i="2"/>
  <c r="ES23" i="2"/>
  <c r="ER23" i="2"/>
  <c r="EQ23" i="2"/>
  <c r="EP23" i="2"/>
  <c r="EN23" i="2"/>
  <c r="EO23" i="2" s="1"/>
  <c r="EM23" i="2"/>
  <c r="EL23" i="2"/>
  <c r="EK23" i="2"/>
  <c r="EJ23" i="2"/>
  <c r="EI23" i="2"/>
  <c r="EH23" i="2"/>
  <c r="EG23" i="2"/>
  <c r="EF23" i="2"/>
  <c r="EE23" i="2"/>
  <c r="ED23" i="2"/>
  <c r="EC23" i="2"/>
  <c r="EA23" i="2"/>
  <c r="EB23" i="2" s="1"/>
  <c r="DZ23" i="2"/>
  <c r="DY23" i="2"/>
  <c r="DX23" i="2"/>
  <c r="DW23" i="2"/>
  <c r="DV23" i="2"/>
  <c r="DU23" i="2"/>
  <c r="DT23" i="2"/>
  <c r="DS23" i="2"/>
  <c r="DR23" i="2"/>
  <c r="DQ23" i="2"/>
  <c r="DP23" i="2"/>
  <c r="DN23" i="2"/>
  <c r="DO23" i="2" s="1"/>
  <c r="DM23" i="2"/>
  <c r="DL23" i="2"/>
  <c r="DK23" i="2"/>
  <c r="DJ23" i="2"/>
  <c r="DI23" i="2"/>
  <c r="DH23" i="2"/>
  <c r="DG23" i="2"/>
  <c r="DF23" i="2"/>
  <c r="DE23" i="2"/>
  <c r="DD23" i="2"/>
  <c r="DC23" i="2"/>
  <c r="DA23" i="2"/>
  <c r="DB23" i="2" s="1"/>
  <c r="CZ23" i="2"/>
  <c r="CY23" i="2"/>
  <c r="CX23" i="2"/>
  <c r="CW23" i="2"/>
  <c r="CV23" i="2"/>
  <c r="CU23" i="2"/>
  <c r="CT23" i="2"/>
  <c r="CS23" i="2"/>
  <c r="CR23" i="2"/>
  <c r="CQ23" i="2"/>
  <c r="CP23" i="2"/>
  <c r="CN23" i="2"/>
  <c r="CO23" i="2" s="1"/>
  <c r="CM23" i="2"/>
  <c r="CL23" i="2"/>
  <c r="CK23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N23" i="2"/>
  <c r="BO23" i="2" s="1"/>
  <c r="BM23" i="2"/>
  <c r="BL23" i="2"/>
  <c r="BK23" i="2"/>
  <c r="BJ23" i="2"/>
  <c r="BI23" i="2"/>
  <c r="BH23" i="2"/>
  <c r="BG23" i="2"/>
  <c r="BF23" i="2"/>
  <c r="BE23" i="2"/>
  <c r="BD23" i="2"/>
  <c r="BC23" i="2"/>
  <c r="BA23" i="2"/>
  <c r="BB23" i="2" s="1"/>
  <c r="AZ23" i="2"/>
  <c r="AY23" i="2"/>
  <c r="AX23" i="2"/>
  <c r="AW23" i="2"/>
  <c r="AV23" i="2"/>
  <c r="AU23" i="2"/>
  <c r="AT23" i="2"/>
  <c r="AS23" i="2"/>
  <c r="AR23" i="2"/>
  <c r="AQ23" i="2"/>
  <c r="AP23" i="2"/>
  <c r="AN23" i="2"/>
  <c r="AO23" i="2" s="1"/>
  <c r="AM23" i="2"/>
  <c r="AL23" i="2"/>
  <c r="AK23" i="2"/>
  <c r="AJ23" i="2"/>
  <c r="AI23" i="2"/>
  <c r="AH23" i="2"/>
  <c r="AG23" i="2"/>
  <c r="AF23" i="2"/>
  <c r="AE23" i="2"/>
  <c r="AD23" i="2"/>
  <c r="AC23" i="2"/>
  <c r="AA23" i="2"/>
  <c r="AB23" i="2" s="1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FI22" i="2"/>
  <c r="FO22" i="2" s="1"/>
  <c r="FH22" i="2"/>
  <c r="FG22" i="2"/>
  <c r="FF22" i="2"/>
  <c r="FE22" i="2"/>
  <c r="FD22" i="2"/>
  <c r="FC22" i="2"/>
  <c r="FA22" i="2"/>
  <c r="FB22" i="2" s="1"/>
  <c r="EZ22" i="2"/>
  <c r="EY22" i="2"/>
  <c r="EX22" i="2"/>
  <c r="EW22" i="2"/>
  <c r="EV22" i="2"/>
  <c r="EU22" i="2"/>
  <c r="ET22" i="2"/>
  <c r="ES22" i="2"/>
  <c r="ER22" i="2"/>
  <c r="EQ22" i="2"/>
  <c r="EP22" i="2"/>
  <c r="EN22" i="2"/>
  <c r="EO22" i="2" s="1"/>
  <c r="EM22" i="2"/>
  <c r="EL22" i="2"/>
  <c r="EK22" i="2"/>
  <c r="EJ22" i="2"/>
  <c r="EI22" i="2"/>
  <c r="EH22" i="2"/>
  <c r="EG22" i="2"/>
  <c r="EF22" i="2"/>
  <c r="EE22" i="2"/>
  <c r="ED22" i="2"/>
  <c r="EC22" i="2"/>
  <c r="EA22" i="2"/>
  <c r="EB22" i="2" s="1"/>
  <c r="DZ22" i="2"/>
  <c r="DY22" i="2"/>
  <c r="DX22" i="2"/>
  <c r="DW22" i="2"/>
  <c r="DV22" i="2"/>
  <c r="DU22" i="2"/>
  <c r="DT22" i="2"/>
  <c r="DS22" i="2"/>
  <c r="DR22" i="2"/>
  <c r="DQ22" i="2"/>
  <c r="DP22" i="2"/>
  <c r="DO22" i="2"/>
  <c r="DN22" i="2"/>
  <c r="DM22" i="2"/>
  <c r="DL22" i="2"/>
  <c r="DK22" i="2"/>
  <c r="DJ22" i="2"/>
  <c r="DI22" i="2"/>
  <c r="DH22" i="2"/>
  <c r="DG22" i="2"/>
  <c r="DF22" i="2"/>
  <c r="DE22" i="2"/>
  <c r="DD22" i="2"/>
  <c r="DC22" i="2"/>
  <c r="DA22" i="2"/>
  <c r="DB22" i="2" s="1"/>
  <c r="CZ22" i="2"/>
  <c r="CY22" i="2"/>
  <c r="CX22" i="2"/>
  <c r="CW22" i="2"/>
  <c r="CV22" i="2"/>
  <c r="CU22" i="2"/>
  <c r="CT22" i="2"/>
  <c r="CS22" i="2"/>
  <c r="CR22" i="2"/>
  <c r="CQ22" i="2"/>
  <c r="CP22" i="2"/>
  <c r="CN22" i="2"/>
  <c r="CO22" i="2" s="1"/>
  <c r="CM22" i="2"/>
  <c r="CL22" i="2"/>
  <c r="CK22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N22" i="2"/>
  <c r="BO22" i="2" s="1"/>
  <c r="BM22" i="2"/>
  <c r="BL22" i="2"/>
  <c r="BK22" i="2"/>
  <c r="BJ22" i="2"/>
  <c r="BI22" i="2"/>
  <c r="BH22" i="2"/>
  <c r="BG22" i="2"/>
  <c r="BF22" i="2"/>
  <c r="BE22" i="2"/>
  <c r="BD22" i="2"/>
  <c r="BC22" i="2"/>
  <c r="BA22" i="2"/>
  <c r="BB22" i="2" s="1"/>
  <c r="AZ22" i="2"/>
  <c r="AY22" i="2"/>
  <c r="AX22" i="2"/>
  <c r="AW22" i="2"/>
  <c r="AV22" i="2"/>
  <c r="AU22" i="2"/>
  <c r="AT22" i="2"/>
  <c r="AS22" i="2"/>
  <c r="AR22" i="2"/>
  <c r="AQ22" i="2"/>
  <c r="AP22" i="2"/>
  <c r="AN22" i="2"/>
  <c r="AO22" i="2" s="1"/>
  <c r="AM22" i="2"/>
  <c r="AL22" i="2"/>
  <c r="AK22" i="2"/>
  <c r="AJ22" i="2"/>
  <c r="AI22" i="2"/>
  <c r="AH22" i="2"/>
  <c r="AG22" i="2"/>
  <c r="AF22" i="2"/>
  <c r="AE22" i="2"/>
  <c r="AD22" i="2"/>
  <c r="AC22" i="2"/>
  <c r="AA22" i="2"/>
  <c r="AB22" i="2" s="1"/>
  <c r="Z22" i="2"/>
  <c r="Y22" i="2"/>
  <c r="X22" i="2"/>
  <c r="W22" i="2"/>
  <c r="V22" i="2"/>
  <c r="U22" i="2"/>
  <c r="T22" i="2"/>
  <c r="S22" i="2"/>
  <c r="R22" i="2"/>
  <c r="Q22" i="2"/>
  <c r="P22" i="2"/>
  <c r="N22" i="2"/>
  <c r="O22" i="2" s="1"/>
  <c r="M22" i="2"/>
  <c r="L22" i="2"/>
  <c r="K22" i="2"/>
  <c r="J22" i="2"/>
  <c r="I22" i="2"/>
  <c r="H22" i="2"/>
  <c r="G22" i="2"/>
  <c r="F22" i="2"/>
  <c r="E22" i="2"/>
  <c r="D22" i="2"/>
  <c r="C22" i="2"/>
  <c r="FI21" i="2"/>
  <c r="FO21" i="2" s="1"/>
  <c r="FH21" i="2"/>
  <c r="FG21" i="2"/>
  <c r="FF21" i="2"/>
  <c r="FE21" i="2"/>
  <c r="FD21" i="2"/>
  <c r="FC21" i="2"/>
  <c r="FA21" i="2"/>
  <c r="FB21" i="2" s="1"/>
  <c r="EZ21" i="2"/>
  <c r="EY21" i="2"/>
  <c r="EX21" i="2"/>
  <c r="EW21" i="2"/>
  <c r="EV21" i="2"/>
  <c r="EU21" i="2"/>
  <c r="ET21" i="2"/>
  <c r="ES21" i="2"/>
  <c r="ER21" i="2"/>
  <c r="EQ21" i="2"/>
  <c r="EP21" i="2"/>
  <c r="EN21" i="2"/>
  <c r="EO21" i="2" s="1"/>
  <c r="EM21" i="2"/>
  <c r="EL21" i="2"/>
  <c r="EK21" i="2"/>
  <c r="EJ21" i="2"/>
  <c r="EI21" i="2"/>
  <c r="EH21" i="2"/>
  <c r="EG21" i="2"/>
  <c r="EF21" i="2"/>
  <c r="EE21" i="2"/>
  <c r="ED21" i="2"/>
  <c r="EC21" i="2"/>
  <c r="EA21" i="2"/>
  <c r="EB21" i="2" s="1"/>
  <c r="DZ21" i="2"/>
  <c r="DY21" i="2"/>
  <c r="DX21" i="2"/>
  <c r="DW21" i="2"/>
  <c r="DV21" i="2"/>
  <c r="DU21" i="2"/>
  <c r="DT21" i="2"/>
  <c r="DS21" i="2"/>
  <c r="DR21" i="2"/>
  <c r="DQ21" i="2"/>
  <c r="DP21" i="2"/>
  <c r="DN21" i="2"/>
  <c r="DO21" i="2" s="1"/>
  <c r="DM21" i="2"/>
  <c r="DL21" i="2"/>
  <c r="DK21" i="2"/>
  <c r="DJ21" i="2"/>
  <c r="DI21" i="2"/>
  <c r="DH21" i="2"/>
  <c r="DG21" i="2"/>
  <c r="DF21" i="2"/>
  <c r="DE21" i="2"/>
  <c r="DD21" i="2"/>
  <c r="DC21" i="2"/>
  <c r="DA21" i="2"/>
  <c r="DB21" i="2" s="1"/>
  <c r="CZ21" i="2"/>
  <c r="CY21" i="2"/>
  <c r="CX21" i="2"/>
  <c r="CW21" i="2"/>
  <c r="CV21" i="2"/>
  <c r="CU21" i="2"/>
  <c r="CT21" i="2"/>
  <c r="CS21" i="2"/>
  <c r="CR21" i="2"/>
  <c r="CQ21" i="2"/>
  <c r="CP21" i="2"/>
  <c r="CN21" i="2"/>
  <c r="CO21" i="2" s="1"/>
  <c r="CM21" i="2"/>
  <c r="CL21" i="2"/>
  <c r="CK21" i="2"/>
  <c r="CJ21" i="2"/>
  <c r="CI21" i="2"/>
  <c r="CH21" i="2"/>
  <c r="CG21" i="2"/>
  <c r="CF21" i="2"/>
  <c r="CE21" i="2"/>
  <c r="CD21" i="2"/>
  <c r="CC21" i="2"/>
  <c r="CA21" i="2"/>
  <c r="CB21" i="2" s="1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A21" i="2"/>
  <c r="BB21" i="2" s="1"/>
  <c r="AZ21" i="2"/>
  <c r="AY21" i="2"/>
  <c r="AX21" i="2"/>
  <c r="AW21" i="2"/>
  <c r="AV21" i="2"/>
  <c r="AU21" i="2"/>
  <c r="AT21" i="2"/>
  <c r="AS21" i="2"/>
  <c r="AR21" i="2"/>
  <c r="AQ21" i="2"/>
  <c r="AP21" i="2"/>
  <c r="AN21" i="2"/>
  <c r="AO21" i="2" s="1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N21" i="2"/>
  <c r="O21" i="2" s="1"/>
  <c r="M21" i="2"/>
  <c r="L21" i="2"/>
  <c r="K21" i="2"/>
  <c r="J21" i="2"/>
  <c r="I21" i="2"/>
  <c r="H21" i="2"/>
  <c r="G21" i="2"/>
  <c r="F21" i="2"/>
  <c r="E21" i="2"/>
  <c r="D21" i="2"/>
  <c r="C21" i="2"/>
  <c r="FI20" i="2"/>
  <c r="FO20" i="2" s="1"/>
  <c r="FH20" i="2"/>
  <c r="FG20" i="2"/>
  <c r="FF20" i="2"/>
  <c r="FE20" i="2"/>
  <c r="FD20" i="2"/>
  <c r="FC20" i="2"/>
  <c r="FA20" i="2"/>
  <c r="FB20" i="2" s="1"/>
  <c r="EZ20" i="2"/>
  <c r="EY20" i="2"/>
  <c r="EX20" i="2"/>
  <c r="EW20" i="2"/>
  <c r="EV20" i="2"/>
  <c r="EU20" i="2"/>
  <c r="ET20" i="2"/>
  <c r="ES20" i="2"/>
  <c r="ER20" i="2"/>
  <c r="EQ20" i="2"/>
  <c r="EP20" i="2"/>
  <c r="EN20" i="2"/>
  <c r="EO20" i="2" s="1"/>
  <c r="EM20" i="2"/>
  <c r="EL20" i="2"/>
  <c r="EK20" i="2"/>
  <c r="EJ20" i="2"/>
  <c r="EI20" i="2"/>
  <c r="EH20" i="2"/>
  <c r="EG20" i="2"/>
  <c r="EF20" i="2"/>
  <c r="EE20" i="2"/>
  <c r="ED20" i="2"/>
  <c r="EC20" i="2"/>
  <c r="EA20" i="2"/>
  <c r="EB20" i="2" s="1"/>
  <c r="DZ20" i="2"/>
  <c r="DY20" i="2"/>
  <c r="DX20" i="2"/>
  <c r="DW20" i="2"/>
  <c r="DV20" i="2"/>
  <c r="DU20" i="2"/>
  <c r="DT20" i="2"/>
  <c r="DS20" i="2"/>
  <c r="DR20" i="2"/>
  <c r="DQ20" i="2"/>
  <c r="DP20" i="2"/>
  <c r="DN20" i="2"/>
  <c r="DO20" i="2" s="1"/>
  <c r="DM20" i="2"/>
  <c r="DL20" i="2"/>
  <c r="DK20" i="2"/>
  <c r="DJ20" i="2"/>
  <c r="DI20" i="2"/>
  <c r="DH20" i="2"/>
  <c r="DG20" i="2"/>
  <c r="DF20" i="2"/>
  <c r="DE20" i="2"/>
  <c r="DD20" i="2"/>
  <c r="DC20" i="2"/>
  <c r="DA20" i="2"/>
  <c r="DB20" i="2" s="1"/>
  <c r="CZ20" i="2"/>
  <c r="CY20" i="2"/>
  <c r="CX20" i="2"/>
  <c r="CW20" i="2"/>
  <c r="CV20" i="2"/>
  <c r="CU20" i="2"/>
  <c r="CT20" i="2"/>
  <c r="CS20" i="2"/>
  <c r="CR20" i="2"/>
  <c r="CQ20" i="2"/>
  <c r="CP20" i="2"/>
  <c r="CN20" i="2"/>
  <c r="CO20" i="2" s="1"/>
  <c r="CM20" i="2"/>
  <c r="CL20" i="2"/>
  <c r="CK20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N20" i="2"/>
  <c r="BO20" i="2" s="1"/>
  <c r="BM20" i="2"/>
  <c r="BL20" i="2"/>
  <c r="BK20" i="2"/>
  <c r="BJ20" i="2"/>
  <c r="BI20" i="2"/>
  <c r="BH20" i="2"/>
  <c r="BG20" i="2"/>
  <c r="BF20" i="2"/>
  <c r="BE20" i="2"/>
  <c r="BD20" i="2"/>
  <c r="BC20" i="2"/>
  <c r="BA20" i="2"/>
  <c r="BB20" i="2" s="1"/>
  <c r="AZ20" i="2"/>
  <c r="AY20" i="2"/>
  <c r="AX20" i="2"/>
  <c r="AW20" i="2"/>
  <c r="AV20" i="2"/>
  <c r="AU20" i="2"/>
  <c r="AT20" i="2"/>
  <c r="AS20" i="2"/>
  <c r="AR20" i="2"/>
  <c r="AQ20" i="2"/>
  <c r="AP20" i="2"/>
  <c r="AN20" i="2"/>
  <c r="AO20" i="2" s="1"/>
  <c r="AM20" i="2"/>
  <c r="AL20" i="2"/>
  <c r="AK20" i="2"/>
  <c r="AJ20" i="2"/>
  <c r="AI20" i="2"/>
  <c r="AH20" i="2"/>
  <c r="AG20" i="2"/>
  <c r="AF20" i="2"/>
  <c r="AE20" i="2"/>
  <c r="AD20" i="2"/>
  <c r="AC20" i="2"/>
  <c r="AA20" i="2"/>
  <c r="AB20" i="2" s="1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FI19" i="2"/>
  <c r="FO19" i="2" s="1"/>
  <c r="FH19" i="2"/>
  <c r="FG19" i="2"/>
  <c r="FF19" i="2"/>
  <c r="FE19" i="2"/>
  <c r="FD19" i="2"/>
  <c r="FC19" i="2"/>
  <c r="FA19" i="2"/>
  <c r="FB19" i="2" s="1"/>
  <c r="EZ19" i="2"/>
  <c r="EY19" i="2"/>
  <c r="EX19" i="2"/>
  <c r="EW19" i="2"/>
  <c r="EV19" i="2"/>
  <c r="EU19" i="2"/>
  <c r="ET19" i="2"/>
  <c r="ES19" i="2"/>
  <c r="ER19" i="2"/>
  <c r="EQ19" i="2"/>
  <c r="EP19" i="2"/>
  <c r="EN19" i="2"/>
  <c r="EO19" i="2" s="1"/>
  <c r="EM19" i="2"/>
  <c r="EL19" i="2"/>
  <c r="EK19" i="2"/>
  <c r="EJ19" i="2"/>
  <c r="EI19" i="2"/>
  <c r="EH19" i="2"/>
  <c r="EG19" i="2"/>
  <c r="EF19" i="2"/>
  <c r="EE19" i="2"/>
  <c r="ED19" i="2"/>
  <c r="EC19" i="2"/>
  <c r="EA19" i="2"/>
  <c r="EB19" i="2" s="1"/>
  <c r="DZ19" i="2"/>
  <c r="DY19" i="2"/>
  <c r="DX19" i="2"/>
  <c r="DW19" i="2"/>
  <c r="DV19" i="2"/>
  <c r="DU19" i="2"/>
  <c r="DT19" i="2"/>
  <c r="DS19" i="2"/>
  <c r="DR19" i="2"/>
  <c r="DQ19" i="2"/>
  <c r="DP19" i="2"/>
  <c r="DN19" i="2"/>
  <c r="DO19" i="2" s="1"/>
  <c r="DM19" i="2"/>
  <c r="DL19" i="2"/>
  <c r="DK19" i="2"/>
  <c r="DJ19" i="2"/>
  <c r="DI19" i="2"/>
  <c r="DH19" i="2"/>
  <c r="DG19" i="2"/>
  <c r="DF19" i="2"/>
  <c r="DE19" i="2"/>
  <c r="DD19" i="2"/>
  <c r="DC19" i="2"/>
  <c r="DA19" i="2"/>
  <c r="DB19" i="2" s="1"/>
  <c r="CZ19" i="2"/>
  <c r="CY19" i="2"/>
  <c r="CX19" i="2"/>
  <c r="CW19" i="2"/>
  <c r="CV19" i="2"/>
  <c r="CU19" i="2"/>
  <c r="CT19" i="2"/>
  <c r="CS19" i="2"/>
  <c r="CR19" i="2"/>
  <c r="CQ19" i="2"/>
  <c r="CP19" i="2"/>
  <c r="CN19" i="2"/>
  <c r="CO19" i="2" s="1"/>
  <c r="CM19" i="2"/>
  <c r="CL19" i="2"/>
  <c r="CK19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N19" i="2"/>
  <c r="BO19" i="2" s="1"/>
  <c r="BM19" i="2"/>
  <c r="BL19" i="2"/>
  <c r="BK19" i="2"/>
  <c r="BJ19" i="2"/>
  <c r="BI19" i="2"/>
  <c r="BH19" i="2"/>
  <c r="BG19" i="2"/>
  <c r="BF19" i="2"/>
  <c r="BE19" i="2"/>
  <c r="BD19" i="2"/>
  <c r="BC19" i="2"/>
  <c r="BA19" i="2"/>
  <c r="BB19" i="2" s="1"/>
  <c r="AZ19" i="2"/>
  <c r="AY19" i="2"/>
  <c r="AX19" i="2"/>
  <c r="AW19" i="2"/>
  <c r="AV19" i="2"/>
  <c r="AU19" i="2"/>
  <c r="AT19" i="2"/>
  <c r="AS19" i="2"/>
  <c r="AR19" i="2"/>
  <c r="AQ19" i="2"/>
  <c r="AP19" i="2"/>
  <c r="AN19" i="2"/>
  <c r="AO19" i="2" s="1"/>
  <c r="AM19" i="2"/>
  <c r="AL19" i="2"/>
  <c r="AK19" i="2"/>
  <c r="AJ19" i="2"/>
  <c r="AI19" i="2"/>
  <c r="AH19" i="2"/>
  <c r="AG19" i="2"/>
  <c r="AF19" i="2"/>
  <c r="AE19" i="2"/>
  <c r="AD19" i="2"/>
  <c r="AC19" i="2"/>
  <c r="AA19" i="2"/>
  <c r="AB19" i="2" s="1"/>
  <c r="Z19" i="2"/>
  <c r="Y19" i="2"/>
  <c r="X19" i="2"/>
  <c r="W19" i="2"/>
  <c r="V19" i="2"/>
  <c r="U19" i="2"/>
  <c r="T19" i="2"/>
  <c r="S19" i="2"/>
  <c r="R19" i="2"/>
  <c r="Q19" i="2"/>
  <c r="P19" i="2"/>
  <c r="N19" i="2"/>
  <c r="O19" i="2" s="1"/>
  <c r="M19" i="2"/>
  <c r="L19" i="2"/>
  <c r="K19" i="2"/>
  <c r="J19" i="2"/>
  <c r="I19" i="2"/>
  <c r="H19" i="2"/>
  <c r="G19" i="2"/>
  <c r="F19" i="2"/>
  <c r="E19" i="2"/>
  <c r="D19" i="2"/>
  <c r="C19" i="2"/>
  <c r="FO18" i="2"/>
  <c r="FI18" i="2"/>
  <c r="FH18" i="2"/>
  <c r="FG18" i="2"/>
  <c r="FF18" i="2"/>
  <c r="FE18" i="2"/>
  <c r="FD18" i="2"/>
  <c r="FC18" i="2"/>
  <c r="FA18" i="2"/>
  <c r="FB18" i="2" s="1"/>
  <c r="EZ18" i="2"/>
  <c r="EY18" i="2"/>
  <c r="EX18" i="2"/>
  <c r="EW18" i="2"/>
  <c r="EV18" i="2"/>
  <c r="EU18" i="2"/>
  <c r="ET18" i="2"/>
  <c r="ES18" i="2"/>
  <c r="ER18" i="2"/>
  <c r="EQ18" i="2"/>
  <c r="EP18" i="2"/>
  <c r="EN18" i="2"/>
  <c r="EO18" i="2" s="1"/>
  <c r="EM18" i="2"/>
  <c r="EL18" i="2"/>
  <c r="EK18" i="2"/>
  <c r="EJ18" i="2"/>
  <c r="EI18" i="2"/>
  <c r="EH18" i="2"/>
  <c r="EG18" i="2"/>
  <c r="EF18" i="2"/>
  <c r="EE18" i="2"/>
  <c r="ED18" i="2"/>
  <c r="EC18" i="2"/>
  <c r="EA18" i="2"/>
  <c r="EB18" i="2" s="1"/>
  <c r="DZ18" i="2"/>
  <c r="DY18" i="2"/>
  <c r="DX18" i="2"/>
  <c r="DW18" i="2"/>
  <c r="DV18" i="2"/>
  <c r="DU18" i="2"/>
  <c r="DT18" i="2"/>
  <c r="DS18" i="2"/>
  <c r="DR18" i="2"/>
  <c r="DQ18" i="2"/>
  <c r="DP18" i="2"/>
  <c r="DO18" i="2"/>
  <c r="DN18" i="2"/>
  <c r="DM18" i="2"/>
  <c r="DL18" i="2"/>
  <c r="DK18" i="2"/>
  <c r="DJ18" i="2"/>
  <c r="DI18" i="2"/>
  <c r="DH18" i="2"/>
  <c r="DG18" i="2"/>
  <c r="DF18" i="2"/>
  <c r="DE18" i="2"/>
  <c r="DD18" i="2"/>
  <c r="DC18" i="2"/>
  <c r="DA18" i="2"/>
  <c r="DB18" i="2" s="1"/>
  <c r="CZ18" i="2"/>
  <c r="CY18" i="2"/>
  <c r="CX18" i="2"/>
  <c r="CW18" i="2"/>
  <c r="CV18" i="2"/>
  <c r="CU18" i="2"/>
  <c r="CT18" i="2"/>
  <c r="CS18" i="2"/>
  <c r="CR18" i="2"/>
  <c r="CQ18" i="2"/>
  <c r="CP18" i="2"/>
  <c r="CN18" i="2"/>
  <c r="CO18" i="2" s="1"/>
  <c r="CM18" i="2"/>
  <c r="CL18" i="2"/>
  <c r="CK18" i="2"/>
  <c r="CJ18" i="2"/>
  <c r="CI18" i="2"/>
  <c r="CH18" i="2"/>
  <c r="CG18" i="2"/>
  <c r="CF18" i="2"/>
  <c r="CE18" i="2"/>
  <c r="CD18" i="2"/>
  <c r="CC18" i="2"/>
  <c r="CA18" i="2"/>
  <c r="CB18" i="2" s="1"/>
  <c r="BZ18" i="2"/>
  <c r="BY18" i="2"/>
  <c r="BX18" i="2"/>
  <c r="BW18" i="2"/>
  <c r="BV18" i="2"/>
  <c r="BU18" i="2"/>
  <c r="BT18" i="2"/>
  <c r="BS18" i="2"/>
  <c r="BR18" i="2"/>
  <c r="BQ18" i="2"/>
  <c r="BP18" i="2"/>
  <c r="BN18" i="2"/>
  <c r="BO18" i="2" s="1"/>
  <c r="BM18" i="2"/>
  <c r="BL18" i="2"/>
  <c r="BK18" i="2"/>
  <c r="BJ18" i="2"/>
  <c r="BI18" i="2"/>
  <c r="BH18" i="2"/>
  <c r="BG18" i="2"/>
  <c r="BF18" i="2"/>
  <c r="BE18" i="2"/>
  <c r="BD18" i="2"/>
  <c r="BC18" i="2"/>
  <c r="BA18" i="2"/>
  <c r="BB18" i="2" s="1"/>
  <c r="AZ18" i="2"/>
  <c r="AY18" i="2"/>
  <c r="AX18" i="2"/>
  <c r="AW18" i="2"/>
  <c r="AV18" i="2"/>
  <c r="AU18" i="2"/>
  <c r="AT18" i="2"/>
  <c r="AS18" i="2"/>
  <c r="AR18" i="2"/>
  <c r="AQ18" i="2"/>
  <c r="AP18" i="2"/>
  <c r="AN18" i="2"/>
  <c r="AO18" i="2" s="1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N18" i="2"/>
  <c r="O18" i="2" s="1"/>
  <c r="M18" i="2"/>
  <c r="L18" i="2"/>
  <c r="K18" i="2"/>
  <c r="J18" i="2"/>
  <c r="I18" i="2"/>
  <c r="H18" i="2"/>
  <c r="G18" i="2"/>
  <c r="F18" i="2"/>
  <c r="E18" i="2"/>
  <c r="D18" i="2"/>
  <c r="C18" i="2"/>
  <c r="FI17" i="2"/>
  <c r="FO17" i="2" s="1"/>
  <c r="FH17" i="2"/>
  <c r="FG17" i="2"/>
  <c r="FF17" i="2"/>
  <c r="FE17" i="2"/>
  <c r="FD17" i="2"/>
  <c r="FC17" i="2"/>
  <c r="FA17" i="2"/>
  <c r="FB17" i="2" s="1"/>
  <c r="EZ17" i="2"/>
  <c r="EY17" i="2"/>
  <c r="EX17" i="2"/>
  <c r="EW17" i="2"/>
  <c r="EV17" i="2"/>
  <c r="EU17" i="2"/>
  <c r="ET17" i="2"/>
  <c r="ES17" i="2"/>
  <c r="ER17" i="2"/>
  <c r="EQ17" i="2"/>
  <c r="EP17" i="2"/>
  <c r="EN17" i="2"/>
  <c r="EO17" i="2" s="1"/>
  <c r="EM17" i="2"/>
  <c r="EL17" i="2"/>
  <c r="EK17" i="2"/>
  <c r="EJ17" i="2"/>
  <c r="EI17" i="2"/>
  <c r="EH17" i="2"/>
  <c r="EG17" i="2"/>
  <c r="EF17" i="2"/>
  <c r="EE17" i="2"/>
  <c r="ED17" i="2"/>
  <c r="EC17" i="2"/>
  <c r="EA17" i="2"/>
  <c r="EB17" i="2" s="1"/>
  <c r="DZ17" i="2"/>
  <c r="DY17" i="2"/>
  <c r="DX17" i="2"/>
  <c r="DW17" i="2"/>
  <c r="DV17" i="2"/>
  <c r="DU17" i="2"/>
  <c r="DT17" i="2"/>
  <c r="DS17" i="2"/>
  <c r="DR17" i="2"/>
  <c r="DQ17" i="2"/>
  <c r="DP17" i="2"/>
  <c r="DN17" i="2"/>
  <c r="DO17" i="2" s="1"/>
  <c r="DM17" i="2"/>
  <c r="DL17" i="2"/>
  <c r="DK17" i="2"/>
  <c r="DJ17" i="2"/>
  <c r="DI17" i="2"/>
  <c r="DH17" i="2"/>
  <c r="DG17" i="2"/>
  <c r="DF17" i="2"/>
  <c r="DE17" i="2"/>
  <c r="DD17" i="2"/>
  <c r="DC17" i="2"/>
  <c r="DA17" i="2"/>
  <c r="DB17" i="2" s="1"/>
  <c r="CZ17" i="2"/>
  <c r="CY17" i="2"/>
  <c r="CX17" i="2"/>
  <c r="CW17" i="2"/>
  <c r="CV17" i="2"/>
  <c r="CU17" i="2"/>
  <c r="CT17" i="2"/>
  <c r="CS17" i="2"/>
  <c r="CR17" i="2"/>
  <c r="CQ17" i="2"/>
  <c r="CP17" i="2"/>
  <c r="CN17" i="2"/>
  <c r="CO17" i="2" s="1"/>
  <c r="CM17" i="2"/>
  <c r="CL17" i="2"/>
  <c r="CK17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N17" i="2"/>
  <c r="BO17" i="2" s="1"/>
  <c r="BM17" i="2"/>
  <c r="BL17" i="2"/>
  <c r="BK17" i="2"/>
  <c r="BJ17" i="2"/>
  <c r="BI17" i="2"/>
  <c r="BH17" i="2"/>
  <c r="BG17" i="2"/>
  <c r="BF17" i="2"/>
  <c r="BE17" i="2"/>
  <c r="BD17" i="2"/>
  <c r="BC17" i="2"/>
  <c r="BA17" i="2"/>
  <c r="BB17" i="2" s="1"/>
  <c r="AZ17" i="2"/>
  <c r="AY17" i="2"/>
  <c r="AX17" i="2"/>
  <c r="AW17" i="2"/>
  <c r="AV17" i="2"/>
  <c r="AU17" i="2"/>
  <c r="AT17" i="2"/>
  <c r="AS17" i="2"/>
  <c r="AR17" i="2"/>
  <c r="AQ17" i="2"/>
  <c r="AP17" i="2"/>
  <c r="AN17" i="2"/>
  <c r="AO17" i="2" s="1"/>
  <c r="AM17" i="2"/>
  <c r="AL17" i="2"/>
  <c r="AK17" i="2"/>
  <c r="AJ17" i="2"/>
  <c r="AI17" i="2"/>
  <c r="AH17" i="2"/>
  <c r="AG17" i="2"/>
  <c r="AF17" i="2"/>
  <c r="AE17" i="2"/>
  <c r="AD17" i="2"/>
  <c r="AC17" i="2"/>
  <c r="AA17" i="2"/>
  <c r="AB17" i="2" s="1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FI16" i="2"/>
  <c r="FO16" i="2" s="1"/>
  <c r="FH16" i="2"/>
  <c r="FG16" i="2"/>
  <c r="FF16" i="2"/>
  <c r="FE16" i="2"/>
  <c r="FD16" i="2"/>
  <c r="FC16" i="2"/>
  <c r="FA16" i="2"/>
  <c r="FB16" i="2" s="1"/>
  <c r="EZ16" i="2"/>
  <c r="EY16" i="2"/>
  <c r="EX16" i="2"/>
  <c r="EW16" i="2"/>
  <c r="EV16" i="2"/>
  <c r="EU16" i="2"/>
  <c r="ET16" i="2"/>
  <c r="ES16" i="2"/>
  <c r="ER16" i="2"/>
  <c r="EQ16" i="2"/>
  <c r="EP16" i="2"/>
  <c r="EN16" i="2"/>
  <c r="EO16" i="2" s="1"/>
  <c r="EM16" i="2"/>
  <c r="EL16" i="2"/>
  <c r="EK16" i="2"/>
  <c r="EJ16" i="2"/>
  <c r="EI16" i="2"/>
  <c r="EH16" i="2"/>
  <c r="EG16" i="2"/>
  <c r="EF16" i="2"/>
  <c r="EE16" i="2"/>
  <c r="ED16" i="2"/>
  <c r="EC16" i="2"/>
  <c r="EA16" i="2"/>
  <c r="EB16" i="2" s="1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DG16" i="2"/>
  <c r="DF16" i="2"/>
  <c r="DE16" i="2"/>
  <c r="DD16" i="2"/>
  <c r="DC16" i="2"/>
  <c r="DA16" i="2"/>
  <c r="DB16" i="2" s="1"/>
  <c r="CZ16" i="2"/>
  <c r="CY16" i="2"/>
  <c r="CX16" i="2"/>
  <c r="CW16" i="2"/>
  <c r="CV16" i="2"/>
  <c r="CU16" i="2"/>
  <c r="CT16" i="2"/>
  <c r="CS16" i="2"/>
  <c r="CR16" i="2"/>
  <c r="CQ16" i="2"/>
  <c r="CP16" i="2"/>
  <c r="CN16" i="2"/>
  <c r="CO16" i="2" s="1"/>
  <c r="CM16" i="2"/>
  <c r="CL16" i="2"/>
  <c r="CK16" i="2"/>
  <c r="CJ16" i="2"/>
  <c r="CI16" i="2"/>
  <c r="CH16" i="2"/>
  <c r="CG16" i="2"/>
  <c r="CF16" i="2"/>
  <c r="CE16" i="2"/>
  <c r="CD16" i="2"/>
  <c r="CC16" i="2"/>
  <c r="CA16" i="2"/>
  <c r="CB16" i="2" s="1"/>
  <c r="BZ16" i="2"/>
  <c r="BY16" i="2"/>
  <c r="BX16" i="2"/>
  <c r="BW16" i="2"/>
  <c r="BV16" i="2"/>
  <c r="BU16" i="2"/>
  <c r="BT16" i="2"/>
  <c r="BS16" i="2"/>
  <c r="BR16" i="2"/>
  <c r="BQ16" i="2"/>
  <c r="BP16" i="2"/>
  <c r="BN16" i="2"/>
  <c r="BO16" i="2" s="1"/>
  <c r="BM16" i="2"/>
  <c r="BL16" i="2"/>
  <c r="BK16" i="2"/>
  <c r="BJ16" i="2"/>
  <c r="BI16" i="2"/>
  <c r="BH16" i="2"/>
  <c r="BG16" i="2"/>
  <c r="BF16" i="2"/>
  <c r="BE16" i="2"/>
  <c r="BD16" i="2"/>
  <c r="BC16" i="2"/>
  <c r="BA16" i="2"/>
  <c r="BB16" i="2" s="1"/>
  <c r="AZ16" i="2"/>
  <c r="AY16" i="2"/>
  <c r="AX16" i="2"/>
  <c r="AW16" i="2"/>
  <c r="AV16" i="2"/>
  <c r="AU16" i="2"/>
  <c r="AT16" i="2"/>
  <c r="AS16" i="2"/>
  <c r="AR16" i="2"/>
  <c r="AQ16" i="2"/>
  <c r="AP16" i="2"/>
  <c r="AN16" i="2"/>
  <c r="AO16" i="2" s="1"/>
  <c r="AM16" i="2"/>
  <c r="AL16" i="2"/>
  <c r="AK16" i="2"/>
  <c r="AJ16" i="2"/>
  <c r="AI16" i="2"/>
  <c r="AH16" i="2"/>
  <c r="AG16" i="2"/>
  <c r="AF16" i="2"/>
  <c r="AE16" i="2"/>
  <c r="AD16" i="2"/>
  <c r="AC16" i="2"/>
  <c r="AA16" i="2"/>
  <c r="AB16" i="2" s="1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FI15" i="2"/>
  <c r="FO15" i="2" s="1"/>
  <c r="FH15" i="2"/>
  <c r="FG15" i="2"/>
  <c r="FF15" i="2"/>
  <c r="FE15" i="2"/>
  <c r="FD15" i="2"/>
  <c r="FC15" i="2"/>
  <c r="FA15" i="2"/>
  <c r="FB15" i="2" s="1"/>
  <c r="EZ15" i="2"/>
  <c r="EY15" i="2"/>
  <c r="EX15" i="2"/>
  <c r="EW15" i="2"/>
  <c r="EV15" i="2"/>
  <c r="EU15" i="2"/>
  <c r="ET15" i="2"/>
  <c r="ES15" i="2"/>
  <c r="ER15" i="2"/>
  <c r="EQ15" i="2"/>
  <c r="EP15" i="2"/>
  <c r="EN15" i="2"/>
  <c r="EO15" i="2" s="1"/>
  <c r="EM15" i="2"/>
  <c r="EL15" i="2"/>
  <c r="EK15" i="2"/>
  <c r="EJ15" i="2"/>
  <c r="EI15" i="2"/>
  <c r="EH15" i="2"/>
  <c r="EG15" i="2"/>
  <c r="EF15" i="2"/>
  <c r="EE15" i="2"/>
  <c r="ED15" i="2"/>
  <c r="EC15" i="2"/>
  <c r="EB15" i="2"/>
  <c r="EA15" i="2"/>
  <c r="DZ15" i="2"/>
  <c r="DY15" i="2"/>
  <c r="DX15" i="2"/>
  <c r="DW15" i="2"/>
  <c r="DV15" i="2"/>
  <c r="DU15" i="2"/>
  <c r="DT15" i="2"/>
  <c r="DS15" i="2"/>
  <c r="DR15" i="2"/>
  <c r="DQ15" i="2"/>
  <c r="DP15" i="2"/>
  <c r="DN15" i="2"/>
  <c r="DO15" i="2" s="1"/>
  <c r="DM15" i="2"/>
  <c r="DL15" i="2"/>
  <c r="DK15" i="2"/>
  <c r="DJ15" i="2"/>
  <c r="DI15" i="2"/>
  <c r="DH15" i="2"/>
  <c r="DG15" i="2"/>
  <c r="DF15" i="2"/>
  <c r="DE15" i="2"/>
  <c r="DD15" i="2"/>
  <c r="DC15" i="2"/>
  <c r="DA15" i="2"/>
  <c r="DB15" i="2" s="1"/>
  <c r="CZ15" i="2"/>
  <c r="CY15" i="2"/>
  <c r="CX15" i="2"/>
  <c r="CW15" i="2"/>
  <c r="CV15" i="2"/>
  <c r="CU15" i="2"/>
  <c r="CT15" i="2"/>
  <c r="CS15" i="2"/>
  <c r="CR15" i="2"/>
  <c r="CQ15" i="2"/>
  <c r="CP15" i="2"/>
  <c r="CN15" i="2"/>
  <c r="CO15" i="2" s="1"/>
  <c r="CM15" i="2"/>
  <c r="CL15" i="2"/>
  <c r="CK15" i="2"/>
  <c r="CJ15" i="2"/>
  <c r="CI15" i="2"/>
  <c r="CH15" i="2"/>
  <c r="CG15" i="2"/>
  <c r="CF15" i="2"/>
  <c r="CE15" i="2"/>
  <c r="CD15" i="2"/>
  <c r="CC15" i="2"/>
  <c r="CA15" i="2"/>
  <c r="CB15" i="2" s="1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A15" i="2"/>
  <c r="BB15" i="2" s="1"/>
  <c r="AZ15" i="2"/>
  <c r="AY15" i="2"/>
  <c r="AX15" i="2"/>
  <c r="AW15" i="2"/>
  <c r="AV15" i="2"/>
  <c r="AU15" i="2"/>
  <c r="AT15" i="2"/>
  <c r="AS15" i="2"/>
  <c r="AR15" i="2"/>
  <c r="AQ15" i="2"/>
  <c r="AP15" i="2"/>
  <c r="AN15" i="2"/>
  <c r="AO15" i="2" s="1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N15" i="2"/>
  <c r="O15" i="2" s="1"/>
  <c r="M15" i="2"/>
  <c r="L15" i="2"/>
  <c r="K15" i="2"/>
  <c r="J15" i="2"/>
  <c r="I15" i="2"/>
  <c r="H15" i="2"/>
  <c r="G15" i="2"/>
  <c r="F15" i="2"/>
  <c r="E15" i="2"/>
  <c r="D15" i="2"/>
  <c r="C15" i="2"/>
  <c r="FI14" i="2"/>
  <c r="FO14" i="2" s="1"/>
  <c r="FH14" i="2"/>
  <c r="FG14" i="2"/>
  <c r="FF14" i="2"/>
  <c r="FE14" i="2"/>
  <c r="FD14" i="2"/>
  <c r="FC14" i="2"/>
  <c r="FA14" i="2"/>
  <c r="FB14" i="2" s="1"/>
  <c r="EZ14" i="2"/>
  <c r="EY14" i="2"/>
  <c r="EX14" i="2"/>
  <c r="EW14" i="2"/>
  <c r="EV14" i="2"/>
  <c r="EU14" i="2"/>
  <c r="ET14" i="2"/>
  <c r="ES14" i="2"/>
  <c r="ER14" i="2"/>
  <c r="EQ14" i="2"/>
  <c r="EP14" i="2"/>
  <c r="EN14" i="2"/>
  <c r="EO14" i="2" s="1"/>
  <c r="EM14" i="2"/>
  <c r="EL14" i="2"/>
  <c r="EK14" i="2"/>
  <c r="EJ14" i="2"/>
  <c r="EI14" i="2"/>
  <c r="EH14" i="2"/>
  <c r="EG14" i="2"/>
  <c r="EF14" i="2"/>
  <c r="EE14" i="2"/>
  <c r="ED14" i="2"/>
  <c r="EC14" i="2"/>
  <c r="EB14" i="2"/>
  <c r="EA14" i="2"/>
  <c r="DZ14" i="2"/>
  <c r="DY14" i="2"/>
  <c r="DX14" i="2"/>
  <c r="DW14" i="2"/>
  <c r="DV14" i="2"/>
  <c r="DU14" i="2"/>
  <c r="DT14" i="2"/>
  <c r="DS14" i="2"/>
  <c r="DR14" i="2"/>
  <c r="DQ14" i="2"/>
  <c r="DP14" i="2"/>
  <c r="DN14" i="2"/>
  <c r="DO14" i="2" s="1"/>
  <c r="DM14" i="2"/>
  <c r="DL14" i="2"/>
  <c r="DK14" i="2"/>
  <c r="DJ14" i="2"/>
  <c r="DI14" i="2"/>
  <c r="DH14" i="2"/>
  <c r="DG14" i="2"/>
  <c r="DF14" i="2"/>
  <c r="DE14" i="2"/>
  <c r="DD14" i="2"/>
  <c r="DC14" i="2"/>
  <c r="DA14" i="2"/>
  <c r="DB14" i="2" s="1"/>
  <c r="CZ14" i="2"/>
  <c r="CY14" i="2"/>
  <c r="CX14" i="2"/>
  <c r="CW14" i="2"/>
  <c r="CV14" i="2"/>
  <c r="CU14" i="2"/>
  <c r="CT14" i="2"/>
  <c r="CS14" i="2"/>
  <c r="CR14" i="2"/>
  <c r="CQ14" i="2"/>
  <c r="CP14" i="2"/>
  <c r="CN14" i="2"/>
  <c r="CO14" i="2" s="1"/>
  <c r="CM14" i="2"/>
  <c r="CL14" i="2"/>
  <c r="CK14" i="2"/>
  <c r="CJ14" i="2"/>
  <c r="CI14" i="2"/>
  <c r="CH14" i="2"/>
  <c r="CG14" i="2"/>
  <c r="CF14" i="2"/>
  <c r="CE14" i="2"/>
  <c r="CD14" i="2"/>
  <c r="CC14" i="2"/>
  <c r="CA14" i="2"/>
  <c r="CB14" i="2" s="1"/>
  <c r="BZ14" i="2"/>
  <c r="BY14" i="2"/>
  <c r="BX14" i="2"/>
  <c r="BW14" i="2"/>
  <c r="BV14" i="2"/>
  <c r="BU14" i="2"/>
  <c r="BT14" i="2"/>
  <c r="BS14" i="2"/>
  <c r="BR14" i="2"/>
  <c r="BQ14" i="2"/>
  <c r="BP14" i="2"/>
  <c r="BN14" i="2"/>
  <c r="BO14" i="2" s="1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N14" i="2"/>
  <c r="AO14" i="2" s="1"/>
  <c r="AM14" i="2"/>
  <c r="AL14" i="2"/>
  <c r="AK14" i="2"/>
  <c r="AJ14" i="2"/>
  <c r="AI14" i="2"/>
  <c r="AH14" i="2"/>
  <c r="AG14" i="2"/>
  <c r="AF14" i="2"/>
  <c r="AE14" i="2"/>
  <c r="AD14" i="2"/>
  <c r="AC14" i="2"/>
  <c r="AA14" i="2"/>
  <c r="AB14" i="2" s="1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FI13" i="2"/>
  <c r="FO13" i="2" s="1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N13" i="2"/>
  <c r="EO13" i="2" s="1"/>
  <c r="EM13" i="2"/>
  <c r="EL13" i="2"/>
  <c r="EK13" i="2"/>
  <c r="EJ13" i="2"/>
  <c r="EI13" i="2"/>
  <c r="EH13" i="2"/>
  <c r="EG13" i="2"/>
  <c r="EF13" i="2"/>
  <c r="EE13" i="2"/>
  <c r="ED13" i="2"/>
  <c r="EC13" i="2"/>
  <c r="EA13" i="2"/>
  <c r="EB13" i="2" s="1"/>
  <c r="DZ13" i="2"/>
  <c r="DY13" i="2"/>
  <c r="DX13" i="2"/>
  <c r="DW13" i="2"/>
  <c r="DV13" i="2"/>
  <c r="DU13" i="2"/>
  <c r="DT13" i="2"/>
  <c r="DS13" i="2"/>
  <c r="DR13" i="2"/>
  <c r="DQ13" i="2"/>
  <c r="DP13" i="2"/>
  <c r="DN13" i="2"/>
  <c r="DO13" i="2" s="1"/>
  <c r="DM13" i="2"/>
  <c r="DL13" i="2"/>
  <c r="DK13" i="2"/>
  <c r="DJ13" i="2"/>
  <c r="DI13" i="2"/>
  <c r="DH13" i="2"/>
  <c r="DG13" i="2"/>
  <c r="DF13" i="2"/>
  <c r="DE13" i="2"/>
  <c r="DD13" i="2"/>
  <c r="DC13" i="2"/>
  <c r="DA13" i="2"/>
  <c r="DB13" i="2" s="1"/>
  <c r="CZ13" i="2"/>
  <c r="CY13" i="2"/>
  <c r="CX13" i="2"/>
  <c r="CW13" i="2"/>
  <c r="CV13" i="2"/>
  <c r="CU13" i="2"/>
  <c r="CT13" i="2"/>
  <c r="CS13" i="2"/>
  <c r="CR13" i="2"/>
  <c r="CQ13" i="2"/>
  <c r="CP13" i="2"/>
  <c r="CN13" i="2"/>
  <c r="CO13" i="2" s="1"/>
  <c r="CM13" i="2"/>
  <c r="CL13" i="2"/>
  <c r="CK13" i="2"/>
  <c r="CJ13" i="2"/>
  <c r="CI13" i="2"/>
  <c r="CH13" i="2"/>
  <c r="CG13" i="2"/>
  <c r="CF13" i="2"/>
  <c r="CE13" i="2"/>
  <c r="CD13" i="2"/>
  <c r="CC13" i="2"/>
  <c r="CA13" i="2"/>
  <c r="CB13" i="2" s="1"/>
  <c r="BZ13" i="2"/>
  <c r="BY13" i="2"/>
  <c r="BX13" i="2"/>
  <c r="BW13" i="2"/>
  <c r="BV13" i="2"/>
  <c r="BU13" i="2"/>
  <c r="BT13" i="2"/>
  <c r="BS13" i="2"/>
  <c r="BR13" i="2"/>
  <c r="BQ13" i="2"/>
  <c r="BP13" i="2"/>
  <c r="BN13" i="2"/>
  <c r="BO13" i="2" s="1"/>
  <c r="BM13" i="2"/>
  <c r="BL13" i="2"/>
  <c r="BK13" i="2"/>
  <c r="BJ13" i="2"/>
  <c r="BI13" i="2"/>
  <c r="BH13" i="2"/>
  <c r="BG13" i="2"/>
  <c r="BF13" i="2"/>
  <c r="BE13" i="2"/>
  <c r="BD13" i="2"/>
  <c r="BC13" i="2"/>
  <c r="BA13" i="2"/>
  <c r="BB13" i="2" s="1"/>
  <c r="AZ13" i="2"/>
  <c r="AY13" i="2"/>
  <c r="AX13" i="2"/>
  <c r="AW13" i="2"/>
  <c r="AV13" i="2"/>
  <c r="AU13" i="2"/>
  <c r="AT13" i="2"/>
  <c r="AS13" i="2"/>
  <c r="AR13" i="2"/>
  <c r="AQ13" i="2"/>
  <c r="AP13" i="2"/>
  <c r="AN13" i="2"/>
  <c r="AO13" i="2" s="1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FO12" i="2"/>
  <c r="FI12" i="2"/>
  <c r="FH12" i="2"/>
  <c r="FG12" i="2"/>
  <c r="FF12" i="2"/>
  <c r="FE12" i="2"/>
  <c r="FD12" i="2"/>
  <c r="FC12" i="2"/>
  <c r="FA12" i="2"/>
  <c r="FB12" i="2" s="1"/>
  <c r="EZ12" i="2"/>
  <c r="EY12" i="2"/>
  <c r="EX12" i="2"/>
  <c r="EW12" i="2"/>
  <c r="EV12" i="2"/>
  <c r="EU12" i="2"/>
  <c r="ET12" i="2"/>
  <c r="ES12" i="2"/>
  <c r="ER12" i="2"/>
  <c r="EQ12" i="2"/>
  <c r="EP12" i="2"/>
  <c r="EN12" i="2"/>
  <c r="EO12" i="2" s="1"/>
  <c r="EM12" i="2"/>
  <c r="EL12" i="2"/>
  <c r="EK12" i="2"/>
  <c r="EJ12" i="2"/>
  <c r="EI12" i="2"/>
  <c r="EH12" i="2"/>
  <c r="EG12" i="2"/>
  <c r="EF12" i="2"/>
  <c r="EE12" i="2"/>
  <c r="ED12" i="2"/>
  <c r="EC12" i="2"/>
  <c r="EA12" i="2"/>
  <c r="EB12" i="2" s="1"/>
  <c r="DZ12" i="2"/>
  <c r="DY12" i="2"/>
  <c r="DX12" i="2"/>
  <c r="DW12" i="2"/>
  <c r="DV12" i="2"/>
  <c r="DU12" i="2"/>
  <c r="DT12" i="2"/>
  <c r="DS12" i="2"/>
  <c r="DR12" i="2"/>
  <c r="DQ12" i="2"/>
  <c r="DP12" i="2"/>
  <c r="DN12" i="2"/>
  <c r="DO12" i="2" s="1"/>
  <c r="DM12" i="2"/>
  <c r="DL12" i="2"/>
  <c r="DK12" i="2"/>
  <c r="DJ12" i="2"/>
  <c r="DI12" i="2"/>
  <c r="DH12" i="2"/>
  <c r="DG12" i="2"/>
  <c r="DF12" i="2"/>
  <c r="DE12" i="2"/>
  <c r="DD12" i="2"/>
  <c r="DC12" i="2"/>
  <c r="DA12" i="2"/>
  <c r="DB12" i="2" s="1"/>
  <c r="CZ12" i="2"/>
  <c r="CY12" i="2"/>
  <c r="CX12" i="2"/>
  <c r="CW12" i="2"/>
  <c r="CV12" i="2"/>
  <c r="CU12" i="2"/>
  <c r="CT12" i="2"/>
  <c r="CS12" i="2"/>
  <c r="CR12" i="2"/>
  <c r="CQ12" i="2"/>
  <c r="CP12" i="2"/>
  <c r="CN12" i="2"/>
  <c r="CO12" i="2" s="1"/>
  <c r="CM12" i="2"/>
  <c r="CL12" i="2"/>
  <c r="CK12" i="2"/>
  <c r="CJ12" i="2"/>
  <c r="CI12" i="2"/>
  <c r="CH12" i="2"/>
  <c r="CG12" i="2"/>
  <c r="CF12" i="2"/>
  <c r="CE12" i="2"/>
  <c r="CD12" i="2"/>
  <c r="CC12" i="2"/>
  <c r="CA12" i="2"/>
  <c r="CB12" i="2" s="1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A12" i="2"/>
  <c r="BB12" i="2" s="1"/>
  <c r="AZ12" i="2"/>
  <c r="AY12" i="2"/>
  <c r="AX12" i="2"/>
  <c r="AW12" i="2"/>
  <c r="AV12" i="2"/>
  <c r="AU12" i="2"/>
  <c r="AT12" i="2"/>
  <c r="AS12" i="2"/>
  <c r="AR12" i="2"/>
  <c r="AQ12" i="2"/>
  <c r="AP12" i="2"/>
  <c r="AN12" i="2"/>
  <c r="AO12" i="2" s="1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N12" i="2"/>
  <c r="O12" i="2" s="1"/>
  <c r="M12" i="2"/>
  <c r="L12" i="2"/>
  <c r="K12" i="2"/>
  <c r="J12" i="2"/>
  <c r="I12" i="2"/>
  <c r="H12" i="2"/>
  <c r="G12" i="2"/>
  <c r="F12" i="2"/>
  <c r="E12" i="2"/>
  <c r="D12" i="2"/>
  <c r="C12" i="2"/>
  <c r="FI11" i="2"/>
  <c r="FO11" i="2" s="1"/>
  <c r="FH11" i="2"/>
  <c r="FG11" i="2"/>
  <c r="FF11" i="2"/>
  <c r="FE11" i="2"/>
  <c r="FD11" i="2"/>
  <c r="FC11" i="2"/>
  <c r="FA11" i="2"/>
  <c r="FB11" i="2" s="1"/>
  <c r="EZ11" i="2"/>
  <c r="EY11" i="2"/>
  <c r="EX11" i="2"/>
  <c r="EW11" i="2"/>
  <c r="EV11" i="2"/>
  <c r="EU11" i="2"/>
  <c r="ET11" i="2"/>
  <c r="ES11" i="2"/>
  <c r="ER11" i="2"/>
  <c r="EQ11" i="2"/>
  <c r="EP11" i="2"/>
  <c r="EN11" i="2"/>
  <c r="EO11" i="2" s="1"/>
  <c r="EM11" i="2"/>
  <c r="EL11" i="2"/>
  <c r="EK11" i="2"/>
  <c r="EJ11" i="2"/>
  <c r="EI11" i="2"/>
  <c r="EH11" i="2"/>
  <c r="EG11" i="2"/>
  <c r="EF11" i="2"/>
  <c r="EE11" i="2"/>
  <c r="ED11" i="2"/>
  <c r="EC11" i="2"/>
  <c r="EA11" i="2"/>
  <c r="EB11" i="2" s="1"/>
  <c r="DZ11" i="2"/>
  <c r="DY11" i="2"/>
  <c r="DX11" i="2"/>
  <c r="DW11" i="2"/>
  <c r="DV11" i="2"/>
  <c r="DU11" i="2"/>
  <c r="DT11" i="2"/>
  <c r="DS11" i="2"/>
  <c r="DR11" i="2"/>
  <c r="DQ11" i="2"/>
  <c r="DP11" i="2"/>
  <c r="DN11" i="2"/>
  <c r="DO11" i="2" s="1"/>
  <c r="DM11" i="2"/>
  <c r="DL11" i="2"/>
  <c r="DK11" i="2"/>
  <c r="DJ11" i="2"/>
  <c r="DI11" i="2"/>
  <c r="DH11" i="2"/>
  <c r="DG11" i="2"/>
  <c r="DF11" i="2"/>
  <c r="DE11" i="2"/>
  <c r="DD11" i="2"/>
  <c r="DC11" i="2"/>
  <c r="DA11" i="2"/>
  <c r="DB11" i="2" s="1"/>
  <c r="CZ11" i="2"/>
  <c r="CY11" i="2"/>
  <c r="CX11" i="2"/>
  <c r="CW11" i="2"/>
  <c r="CV11" i="2"/>
  <c r="CU11" i="2"/>
  <c r="CT11" i="2"/>
  <c r="CS11" i="2"/>
  <c r="CR11" i="2"/>
  <c r="CQ11" i="2"/>
  <c r="CP11" i="2"/>
  <c r="CN11" i="2"/>
  <c r="CO11" i="2" s="1"/>
  <c r="CM11" i="2"/>
  <c r="CL11" i="2"/>
  <c r="CK11" i="2"/>
  <c r="CJ11" i="2"/>
  <c r="CI11" i="2"/>
  <c r="CH11" i="2"/>
  <c r="CG11" i="2"/>
  <c r="CF11" i="2"/>
  <c r="CE11" i="2"/>
  <c r="CD11" i="2"/>
  <c r="CC11" i="2"/>
  <c r="CA11" i="2"/>
  <c r="CB11" i="2" s="1"/>
  <c r="BZ11" i="2"/>
  <c r="BY11" i="2"/>
  <c r="BX11" i="2"/>
  <c r="BW11" i="2"/>
  <c r="BV11" i="2"/>
  <c r="BU11" i="2"/>
  <c r="BT11" i="2"/>
  <c r="BS11" i="2"/>
  <c r="BR11" i="2"/>
  <c r="BQ11" i="2"/>
  <c r="BP11" i="2"/>
  <c r="BN11" i="2"/>
  <c r="BO11" i="2" s="1"/>
  <c r="BM11" i="2"/>
  <c r="BL11" i="2"/>
  <c r="BK11" i="2"/>
  <c r="BJ11" i="2"/>
  <c r="BI11" i="2"/>
  <c r="BH11" i="2"/>
  <c r="BG11" i="2"/>
  <c r="BF11" i="2"/>
  <c r="BE11" i="2"/>
  <c r="BD11" i="2"/>
  <c r="BC11" i="2"/>
  <c r="BA11" i="2"/>
  <c r="BB11" i="2" s="1"/>
  <c r="AZ11" i="2"/>
  <c r="AY11" i="2"/>
  <c r="AX11" i="2"/>
  <c r="AW11" i="2"/>
  <c r="AV11" i="2"/>
  <c r="AU11" i="2"/>
  <c r="AT11" i="2"/>
  <c r="AS11" i="2"/>
  <c r="AR11" i="2"/>
  <c r="AQ11" i="2"/>
  <c r="AP11" i="2"/>
  <c r="AN11" i="2"/>
  <c r="AO11" i="2" s="1"/>
  <c r="AM11" i="2"/>
  <c r="AL11" i="2"/>
  <c r="AK11" i="2"/>
  <c r="AJ11" i="2"/>
  <c r="AI11" i="2"/>
  <c r="AH11" i="2"/>
  <c r="AG11" i="2"/>
  <c r="AF11" i="2"/>
  <c r="AE11" i="2"/>
  <c r="AD11" i="2"/>
  <c r="AC11" i="2"/>
  <c r="AA11" i="2"/>
  <c r="AB11" i="2" s="1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FI10" i="2"/>
  <c r="FO10" i="2" s="1"/>
  <c r="FH10" i="2"/>
  <c r="FG10" i="2"/>
  <c r="FF10" i="2"/>
  <c r="FE10" i="2"/>
  <c r="FD10" i="2"/>
  <c r="FC10" i="2"/>
  <c r="FA10" i="2"/>
  <c r="FB10" i="2" s="1"/>
  <c r="EZ10" i="2"/>
  <c r="EY10" i="2"/>
  <c r="EX10" i="2"/>
  <c r="EW10" i="2"/>
  <c r="EV10" i="2"/>
  <c r="EU10" i="2"/>
  <c r="ET10" i="2"/>
  <c r="ES10" i="2"/>
  <c r="ER10" i="2"/>
  <c r="EQ10" i="2"/>
  <c r="EP10" i="2"/>
  <c r="EN10" i="2"/>
  <c r="EO10" i="2" s="1"/>
  <c r="EM10" i="2"/>
  <c r="EL10" i="2"/>
  <c r="EK10" i="2"/>
  <c r="EJ10" i="2"/>
  <c r="EI10" i="2"/>
  <c r="EH10" i="2"/>
  <c r="EG10" i="2"/>
  <c r="EF10" i="2"/>
  <c r="EE10" i="2"/>
  <c r="ED10" i="2"/>
  <c r="EC10" i="2"/>
  <c r="EA10" i="2"/>
  <c r="EB10" i="2" s="1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A10" i="2"/>
  <c r="DB10" i="2" s="1"/>
  <c r="CZ10" i="2"/>
  <c r="CY10" i="2"/>
  <c r="CX10" i="2"/>
  <c r="CW10" i="2"/>
  <c r="CV10" i="2"/>
  <c r="CU10" i="2"/>
  <c r="CT10" i="2"/>
  <c r="CS10" i="2"/>
  <c r="CR10" i="2"/>
  <c r="CQ10" i="2"/>
  <c r="CP10" i="2"/>
  <c r="CN10" i="2"/>
  <c r="CO10" i="2" s="1"/>
  <c r="CM10" i="2"/>
  <c r="CL10" i="2"/>
  <c r="CK10" i="2"/>
  <c r="CJ10" i="2"/>
  <c r="CI10" i="2"/>
  <c r="CH10" i="2"/>
  <c r="CG10" i="2"/>
  <c r="CF10" i="2"/>
  <c r="CE10" i="2"/>
  <c r="CD10" i="2"/>
  <c r="CC10" i="2"/>
  <c r="CA10" i="2"/>
  <c r="CB10" i="2" s="1"/>
  <c r="BZ10" i="2"/>
  <c r="BY10" i="2"/>
  <c r="BX10" i="2"/>
  <c r="BW10" i="2"/>
  <c r="BV10" i="2"/>
  <c r="BU10" i="2"/>
  <c r="BT10" i="2"/>
  <c r="BS10" i="2"/>
  <c r="BR10" i="2"/>
  <c r="BQ10" i="2"/>
  <c r="BP10" i="2"/>
  <c r="BN10" i="2"/>
  <c r="BO10" i="2" s="1"/>
  <c r="BM10" i="2"/>
  <c r="BL10" i="2"/>
  <c r="BK10" i="2"/>
  <c r="BJ10" i="2"/>
  <c r="BI10" i="2"/>
  <c r="BH10" i="2"/>
  <c r="BG10" i="2"/>
  <c r="BF10" i="2"/>
  <c r="BE10" i="2"/>
  <c r="BD10" i="2"/>
  <c r="BC10" i="2"/>
  <c r="BA10" i="2"/>
  <c r="BB10" i="2" s="1"/>
  <c r="AZ10" i="2"/>
  <c r="AY10" i="2"/>
  <c r="AX10" i="2"/>
  <c r="AW10" i="2"/>
  <c r="AV10" i="2"/>
  <c r="AU10" i="2"/>
  <c r="AT10" i="2"/>
  <c r="AS10" i="2"/>
  <c r="AR10" i="2"/>
  <c r="AQ10" i="2"/>
  <c r="AP10" i="2"/>
  <c r="AN10" i="2"/>
  <c r="AO10" i="2" s="1"/>
  <c r="AM10" i="2"/>
  <c r="AL10" i="2"/>
  <c r="AK10" i="2"/>
  <c r="AJ10" i="2"/>
  <c r="AI10" i="2"/>
  <c r="AH10" i="2"/>
  <c r="AG10" i="2"/>
  <c r="AF10" i="2"/>
  <c r="AE10" i="2"/>
  <c r="AD10" i="2"/>
  <c r="AC10" i="2"/>
  <c r="AA10" i="2"/>
  <c r="AB10" i="2" s="1"/>
  <c r="Z10" i="2"/>
  <c r="Y10" i="2"/>
  <c r="X10" i="2"/>
  <c r="W10" i="2"/>
  <c r="V10" i="2"/>
  <c r="U10" i="2"/>
  <c r="T10" i="2"/>
  <c r="S10" i="2"/>
  <c r="R10" i="2"/>
  <c r="Q10" i="2"/>
  <c r="P10" i="2"/>
  <c r="N10" i="2"/>
  <c r="O10" i="2" s="1"/>
  <c r="M10" i="2"/>
  <c r="L10" i="2"/>
  <c r="K10" i="2"/>
  <c r="J10" i="2"/>
  <c r="I10" i="2"/>
  <c r="H10" i="2"/>
  <c r="G10" i="2"/>
  <c r="F10" i="2"/>
  <c r="E10" i="2"/>
  <c r="D10" i="2"/>
  <c r="C10" i="2"/>
  <c r="FI9" i="2"/>
  <c r="FO9" i="2" s="1"/>
  <c r="FH9" i="2"/>
  <c r="FG9" i="2"/>
  <c r="FF9" i="2"/>
  <c r="FE9" i="2"/>
  <c r="FD9" i="2"/>
  <c r="FC9" i="2"/>
  <c r="FA9" i="2"/>
  <c r="FB9" i="2" s="1"/>
  <c r="EZ9" i="2"/>
  <c r="EY9" i="2"/>
  <c r="EX9" i="2"/>
  <c r="EW9" i="2"/>
  <c r="EV9" i="2"/>
  <c r="EU9" i="2"/>
  <c r="ET9" i="2"/>
  <c r="ES9" i="2"/>
  <c r="ER9" i="2"/>
  <c r="EQ9" i="2"/>
  <c r="EP9" i="2"/>
  <c r="EN9" i="2"/>
  <c r="EO9" i="2" s="1"/>
  <c r="EM9" i="2"/>
  <c r="EL9" i="2"/>
  <c r="EK9" i="2"/>
  <c r="EJ9" i="2"/>
  <c r="EI9" i="2"/>
  <c r="EH9" i="2"/>
  <c r="EG9" i="2"/>
  <c r="EF9" i="2"/>
  <c r="EE9" i="2"/>
  <c r="ED9" i="2"/>
  <c r="EC9" i="2"/>
  <c r="EA9" i="2"/>
  <c r="EB9" i="2" s="1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A9" i="2"/>
  <c r="DB9" i="2" s="1"/>
  <c r="CZ9" i="2"/>
  <c r="CY9" i="2"/>
  <c r="CX9" i="2"/>
  <c r="CW9" i="2"/>
  <c r="CV9" i="2"/>
  <c r="CU9" i="2"/>
  <c r="CT9" i="2"/>
  <c r="CS9" i="2"/>
  <c r="CR9" i="2"/>
  <c r="CQ9" i="2"/>
  <c r="CP9" i="2"/>
  <c r="CN9" i="2"/>
  <c r="CO9" i="2" s="1"/>
  <c r="CM9" i="2"/>
  <c r="CL9" i="2"/>
  <c r="CK9" i="2"/>
  <c r="CJ9" i="2"/>
  <c r="CI9" i="2"/>
  <c r="CH9" i="2"/>
  <c r="CG9" i="2"/>
  <c r="CF9" i="2"/>
  <c r="CE9" i="2"/>
  <c r="CD9" i="2"/>
  <c r="CC9" i="2"/>
  <c r="CA9" i="2"/>
  <c r="CB9" i="2" s="1"/>
  <c r="BZ9" i="2"/>
  <c r="BY9" i="2"/>
  <c r="BX9" i="2"/>
  <c r="BW9" i="2"/>
  <c r="BV9" i="2"/>
  <c r="BU9" i="2"/>
  <c r="BT9" i="2"/>
  <c r="BS9" i="2"/>
  <c r="BR9" i="2"/>
  <c r="BQ9" i="2"/>
  <c r="BP9" i="2"/>
  <c r="BN9" i="2"/>
  <c r="BO9" i="2" s="1"/>
  <c r="BM9" i="2"/>
  <c r="BL9" i="2"/>
  <c r="BK9" i="2"/>
  <c r="BJ9" i="2"/>
  <c r="BI9" i="2"/>
  <c r="BH9" i="2"/>
  <c r="BG9" i="2"/>
  <c r="BF9" i="2"/>
  <c r="BE9" i="2"/>
  <c r="BD9" i="2"/>
  <c r="BC9" i="2"/>
  <c r="BA9" i="2"/>
  <c r="BB9" i="2" s="1"/>
  <c r="AZ9" i="2"/>
  <c r="AY9" i="2"/>
  <c r="AX9" i="2"/>
  <c r="AW9" i="2"/>
  <c r="AV9" i="2"/>
  <c r="AU9" i="2"/>
  <c r="AT9" i="2"/>
  <c r="AS9" i="2"/>
  <c r="AR9" i="2"/>
  <c r="AQ9" i="2"/>
  <c r="AP9" i="2"/>
  <c r="AN9" i="2"/>
  <c r="AO9" i="2" s="1"/>
  <c r="AM9" i="2"/>
  <c r="AL9" i="2"/>
  <c r="AK9" i="2"/>
  <c r="AJ9" i="2"/>
  <c r="AI9" i="2"/>
  <c r="AH9" i="2"/>
  <c r="AG9" i="2"/>
  <c r="AF9" i="2"/>
  <c r="AE9" i="2"/>
  <c r="AD9" i="2"/>
  <c r="AC9" i="2"/>
  <c r="AA9" i="2"/>
  <c r="AB9" i="2" s="1"/>
  <c r="Z9" i="2"/>
  <c r="Y9" i="2"/>
  <c r="X9" i="2"/>
  <c r="W9" i="2"/>
  <c r="V9" i="2"/>
  <c r="U9" i="2"/>
  <c r="T9" i="2"/>
  <c r="S9" i="2"/>
  <c r="R9" i="2"/>
  <c r="Q9" i="2"/>
  <c r="P9" i="2"/>
  <c r="N9" i="2"/>
  <c r="O9" i="2" s="1"/>
  <c r="M9" i="2"/>
  <c r="L9" i="2"/>
  <c r="K9" i="2"/>
  <c r="J9" i="2"/>
  <c r="I9" i="2"/>
  <c r="H9" i="2"/>
  <c r="G9" i="2"/>
  <c r="F9" i="2"/>
  <c r="E9" i="2"/>
  <c r="D9" i="2"/>
  <c r="C9" i="2"/>
  <c r="FI8" i="2"/>
  <c r="FI26" i="2" s="1"/>
  <c r="FH8" i="2"/>
  <c r="FH26" i="2" s="1"/>
  <c r="FG8" i="2"/>
  <c r="FF8" i="2"/>
  <c r="FF26" i="2" s="1"/>
  <c r="FE8" i="2"/>
  <c r="FE26" i="2" s="1"/>
  <c r="FD8" i="2"/>
  <c r="FD26" i="2" s="1"/>
  <c r="FC8" i="2"/>
  <c r="FA8" i="2"/>
  <c r="FB8" i="2" s="1"/>
  <c r="EZ8" i="2"/>
  <c r="EY8" i="2"/>
  <c r="EX8" i="2"/>
  <c r="EW8" i="2"/>
  <c r="EW26" i="2" s="1"/>
  <c r="EV8" i="2"/>
  <c r="EV26" i="2" s="1"/>
  <c r="EU8" i="2"/>
  <c r="EU26" i="2" s="1"/>
  <c r="ET8" i="2"/>
  <c r="ET26" i="2" s="1"/>
  <c r="ES8" i="2"/>
  <c r="ES26" i="2" s="1"/>
  <c r="ER8" i="2"/>
  <c r="EQ8" i="2"/>
  <c r="EQ26" i="2" s="1"/>
  <c r="EP8" i="2"/>
  <c r="EP26" i="2" s="1"/>
  <c r="EN8" i="2"/>
  <c r="EO8" i="2" s="1"/>
  <c r="EO26" i="2" s="1"/>
  <c r="EM8" i="2"/>
  <c r="EL8" i="2"/>
  <c r="EL26" i="2" s="1"/>
  <c r="EK8" i="2"/>
  <c r="EJ8" i="2"/>
  <c r="EJ26" i="2" s="1"/>
  <c r="EI8" i="2"/>
  <c r="EH8" i="2"/>
  <c r="EH26" i="2" s="1"/>
  <c r="EG8" i="2"/>
  <c r="EG26" i="2" s="1"/>
  <c r="EF8" i="2"/>
  <c r="EE8" i="2"/>
  <c r="EE26" i="2" s="1"/>
  <c r="ED8" i="2"/>
  <c r="ED26" i="2" s="1"/>
  <c r="EC8" i="2"/>
  <c r="EC26" i="2" s="1"/>
  <c r="EA8" i="2"/>
  <c r="EA26" i="2" s="1"/>
  <c r="DZ8" i="2"/>
  <c r="DZ26" i="2" s="1"/>
  <c r="DY8" i="2"/>
  <c r="DY26" i="2" s="1"/>
  <c r="DX8" i="2"/>
  <c r="DX26" i="2" s="1"/>
  <c r="DW8" i="2"/>
  <c r="DV8" i="2"/>
  <c r="DV26" i="2" s="1"/>
  <c r="DU8" i="2"/>
  <c r="DU26" i="2" s="1"/>
  <c r="DT8" i="2"/>
  <c r="DS8" i="2"/>
  <c r="DS26" i="2" s="1"/>
  <c r="DR8" i="2"/>
  <c r="DR26" i="2" s="1"/>
  <c r="DQ8" i="2"/>
  <c r="DQ26" i="2" s="1"/>
  <c r="DP8" i="2"/>
  <c r="DP26" i="2" s="1"/>
  <c r="DN8" i="2"/>
  <c r="DO8" i="2" s="1"/>
  <c r="DM8" i="2"/>
  <c r="DM26" i="2" s="1"/>
  <c r="DL8" i="2"/>
  <c r="DK8" i="2"/>
  <c r="DJ8" i="2"/>
  <c r="DJ26" i="2" s="1"/>
  <c r="DI8" i="2"/>
  <c r="DI26" i="2" s="1"/>
  <c r="DH8" i="2"/>
  <c r="DG8" i="2"/>
  <c r="DG26" i="2" s="1"/>
  <c r="DF8" i="2"/>
  <c r="DF26" i="2" s="1"/>
  <c r="DE8" i="2"/>
  <c r="DE26" i="2" s="1"/>
  <c r="DD8" i="2"/>
  <c r="DC8" i="2"/>
  <c r="DC26" i="2" s="1"/>
  <c r="DA8" i="2"/>
  <c r="DA26" i="2" s="1"/>
  <c r="CZ8" i="2"/>
  <c r="CZ26" i="2" s="1"/>
  <c r="CY8" i="2"/>
  <c r="CX8" i="2"/>
  <c r="CX26" i="2" s="1"/>
  <c r="CW8" i="2"/>
  <c r="CW26" i="2" s="1"/>
  <c r="CV8" i="2"/>
  <c r="CU8" i="2"/>
  <c r="CU26" i="2" s="1"/>
  <c r="CT8" i="2"/>
  <c r="CT26" i="2" s="1"/>
  <c r="CS8" i="2"/>
  <c r="CS26" i="2" s="1"/>
  <c r="CR8" i="2"/>
  <c r="CR26" i="2" s="1"/>
  <c r="CQ8" i="2"/>
  <c r="CP8" i="2"/>
  <c r="CP26" i="2" s="1"/>
  <c r="CN8" i="2"/>
  <c r="CM8" i="2"/>
  <c r="CL8" i="2"/>
  <c r="CK8" i="2"/>
  <c r="CK26" i="2" s="1"/>
  <c r="CJ8" i="2"/>
  <c r="CI8" i="2"/>
  <c r="CI26" i="2" s="1"/>
  <c r="CH8" i="2"/>
  <c r="CH26" i="2" s="1"/>
  <c r="CG8" i="2"/>
  <c r="CG26" i="2" s="1"/>
  <c r="CF8" i="2"/>
  <c r="CE8" i="2"/>
  <c r="CE26" i="2" s="1"/>
  <c r="CD8" i="2"/>
  <c r="CD26" i="2" s="1"/>
  <c r="CC8" i="2"/>
  <c r="CC26" i="2" s="1"/>
  <c r="CA8" i="2"/>
  <c r="CB8" i="2" s="1"/>
  <c r="BZ8" i="2"/>
  <c r="BZ26" i="2" s="1"/>
  <c r="BY8" i="2"/>
  <c r="BY26" i="2" s="1"/>
  <c r="BX8" i="2"/>
  <c r="BW8" i="2"/>
  <c r="BW26" i="2" s="1"/>
  <c r="BV8" i="2"/>
  <c r="BV26" i="2" s="1"/>
  <c r="BU8" i="2"/>
  <c r="BU26" i="2" s="1"/>
  <c r="BT8" i="2"/>
  <c r="BS8" i="2"/>
  <c r="BS26" i="2" s="1"/>
  <c r="BR8" i="2"/>
  <c r="BR26" i="2" s="1"/>
  <c r="BQ8" i="2"/>
  <c r="BQ26" i="2" s="1"/>
  <c r="BP8" i="2"/>
  <c r="BP26" i="2" s="1"/>
  <c r="BO8" i="2"/>
  <c r="BN8" i="2"/>
  <c r="BN26" i="2" s="1"/>
  <c r="BM8" i="2"/>
  <c r="BM26" i="2" s="1"/>
  <c r="BL8" i="2"/>
  <c r="BK8" i="2"/>
  <c r="BK26" i="2" s="1"/>
  <c r="BJ8" i="2"/>
  <c r="BJ26" i="2" s="1"/>
  <c r="BI8" i="2"/>
  <c r="BI26" i="2" s="1"/>
  <c r="BH8" i="2"/>
  <c r="BG8" i="2"/>
  <c r="BG26" i="2" s="1"/>
  <c r="BF8" i="2"/>
  <c r="BF26" i="2" s="1"/>
  <c r="BE8" i="2"/>
  <c r="BE26" i="2" s="1"/>
  <c r="BD8" i="2"/>
  <c r="BD26" i="2" s="1"/>
  <c r="BC8" i="2"/>
  <c r="BA8" i="2"/>
  <c r="BB8" i="2" s="1"/>
  <c r="AZ8" i="2"/>
  <c r="AY8" i="2"/>
  <c r="AY26" i="2" s="1"/>
  <c r="AX8" i="2"/>
  <c r="AX26" i="2" s="1"/>
  <c r="AW8" i="2"/>
  <c r="AW26" i="2" s="1"/>
  <c r="AV8" i="2"/>
  <c r="AU8" i="2"/>
  <c r="AT8" i="2"/>
  <c r="AT26" i="2" s="1"/>
  <c r="AS8" i="2"/>
  <c r="AS26" i="2" s="1"/>
  <c r="AR8" i="2"/>
  <c r="AR26" i="2" s="1"/>
  <c r="AQ8" i="2"/>
  <c r="AQ26" i="2" s="1"/>
  <c r="AP8" i="2"/>
  <c r="AP26" i="2" s="1"/>
  <c r="AN8" i="2"/>
  <c r="AO8" i="2" s="1"/>
  <c r="AM8" i="2"/>
  <c r="AM26" i="2" s="1"/>
  <c r="AL8" i="2"/>
  <c r="AL26" i="2" s="1"/>
  <c r="AK8" i="2"/>
  <c r="AK26" i="2" s="1"/>
  <c r="AJ8" i="2"/>
  <c r="AI8" i="2"/>
  <c r="AH8" i="2"/>
  <c r="AH26" i="2" s="1"/>
  <c r="AG8" i="2"/>
  <c r="AG26" i="2" s="1"/>
  <c r="AF8" i="2"/>
  <c r="AF26" i="2" s="1"/>
  <c r="AE8" i="2"/>
  <c r="AE26" i="2" s="1"/>
  <c r="AD8" i="2"/>
  <c r="AD26" i="2" s="1"/>
  <c r="AC8" i="2"/>
  <c r="AC26" i="2" s="1"/>
  <c r="AA8" i="2"/>
  <c r="AB8" i="2" s="1"/>
  <c r="Z8" i="2"/>
  <c r="Z26" i="2" s="1"/>
  <c r="Y8" i="2"/>
  <c r="Y26" i="2" s="1"/>
  <c r="X8" i="2"/>
  <c r="W8" i="2"/>
  <c r="V8" i="2"/>
  <c r="V26" i="2" s="1"/>
  <c r="U8" i="2"/>
  <c r="U26" i="2" s="1"/>
  <c r="T8" i="2"/>
  <c r="T26" i="2" s="1"/>
  <c r="S8" i="2"/>
  <c r="R8" i="2"/>
  <c r="R26" i="2" s="1"/>
  <c r="Q8" i="2"/>
  <c r="Q26" i="2" s="1"/>
  <c r="P8" i="2"/>
  <c r="N8" i="2"/>
  <c r="N26" i="2" s="1"/>
  <c r="M8" i="2"/>
  <c r="M26" i="2" s="1"/>
  <c r="L8" i="2"/>
  <c r="K8" i="2"/>
  <c r="J8" i="2"/>
  <c r="J26" i="2" s="1"/>
  <c r="I8" i="2"/>
  <c r="I26" i="2" s="1"/>
  <c r="H8" i="2"/>
  <c r="H26" i="2" s="1"/>
  <c r="G8" i="2"/>
  <c r="F8" i="2"/>
  <c r="F26" i="2" s="1"/>
  <c r="E8" i="2"/>
  <c r="E26" i="2" s="1"/>
  <c r="D8" i="2"/>
  <c r="C8" i="2"/>
  <c r="C26" i="2" s="1"/>
  <c r="FN208" i="1"/>
  <c r="FM208" i="1"/>
  <c r="FL208" i="1"/>
  <c r="FK208" i="1"/>
  <c r="FJ208" i="1"/>
  <c r="FI208" i="1"/>
  <c r="FH208" i="1"/>
  <c r="FG208" i="1"/>
  <c r="FF208" i="1"/>
  <c r="FE208" i="1"/>
  <c r="FD208" i="1"/>
  <c r="FC208" i="1"/>
  <c r="FA208" i="1"/>
  <c r="EZ208" i="1"/>
  <c r="EY208" i="1"/>
  <c r="EX208" i="1"/>
  <c r="EW208" i="1"/>
  <c r="EV208" i="1"/>
  <c r="EU208" i="1"/>
  <c r="ET208" i="1"/>
  <c r="ES208" i="1"/>
  <c r="ER208" i="1"/>
  <c r="EQ208" i="1"/>
  <c r="EP208" i="1"/>
  <c r="EN208" i="1"/>
  <c r="EM208" i="1"/>
  <c r="EL208" i="1"/>
  <c r="EK208" i="1"/>
  <c r="EJ208" i="1"/>
  <c r="EI208" i="1"/>
  <c r="EH208" i="1"/>
  <c r="EG208" i="1"/>
  <c r="EF208" i="1"/>
  <c r="EE208" i="1"/>
  <c r="ED208" i="1"/>
  <c r="EC208" i="1"/>
  <c r="EA208" i="1"/>
  <c r="DZ208" i="1"/>
  <c r="DY208" i="1"/>
  <c r="DX208" i="1"/>
  <c r="DW208" i="1"/>
  <c r="DV208" i="1"/>
  <c r="DU208" i="1"/>
  <c r="DT208" i="1"/>
  <c r="DS208" i="1"/>
  <c r="DR208" i="1"/>
  <c r="DQ208" i="1"/>
  <c r="DP208" i="1"/>
  <c r="DN208" i="1"/>
  <c r="DM208" i="1"/>
  <c r="DL208" i="1"/>
  <c r="DK208" i="1"/>
  <c r="DJ208" i="1"/>
  <c r="DI208" i="1"/>
  <c r="DH208" i="1"/>
  <c r="DG208" i="1"/>
  <c r="DF208" i="1"/>
  <c r="DE208" i="1"/>
  <c r="DD208" i="1"/>
  <c r="DC208" i="1"/>
  <c r="DA208" i="1"/>
  <c r="CZ208" i="1"/>
  <c r="CY208" i="1"/>
  <c r="CX208" i="1"/>
  <c r="CW208" i="1"/>
  <c r="CV208" i="1"/>
  <c r="CU208" i="1"/>
  <c r="CT208" i="1"/>
  <c r="CS208" i="1"/>
  <c r="CR208" i="1"/>
  <c r="CQ208" i="1"/>
  <c r="CP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A208" i="1"/>
  <c r="BZ208" i="1"/>
  <c r="BY208" i="1"/>
  <c r="BX208" i="1"/>
  <c r="BW208" i="1"/>
  <c r="BV208" i="1"/>
  <c r="BU208" i="1"/>
  <c r="BT208" i="1"/>
  <c r="BS208" i="1"/>
  <c r="BR208" i="1"/>
  <c r="BQ208" i="1"/>
  <c r="BP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FO207" i="1"/>
  <c r="FB207" i="1"/>
  <c r="EO207" i="1"/>
  <c r="D39" i="3" s="1" a="1"/>
  <c r="D39" i="3" s="1"/>
  <c r="EB207" i="1"/>
  <c r="DO207" i="1"/>
  <c r="DB207" i="1"/>
  <c r="CO207" i="1"/>
  <c r="CB207" i="1"/>
  <c r="BO207" i="1"/>
  <c r="BB207" i="1"/>
  <c r="AO207" i="1"/>
  <c r="AB207" i="1"/>
  <c r="O207" i="1"/>
  <c r="FO206" i="1"/>
  <c r="FB206" i="1"/>
  <c r="EO206" i="1"/>
  <c r="D38" i="3" s="1" a="1"/>
  <c r="D38" i="3" s="1"/>
  <c r="EB206" i="1"/>
  <c r="DO206" i="1"/>
  <c r="DB206" i="1"/>
  <c r="CO206" i="1"/>
  <c r="CB206" i="1"/>
  <c r="BO206" i="1"/>
  <c r="BB206" i="1"/>
  <c r="AO206" i="1"/>
  <c r="AB206" i="1"/>
  <c r="O206" i="1"/>
  <c r="FO205" i="1"/>
  <c r="FB205" i="1"/>
  <c r="EO205" i="1"/>
  <c r="D37" i="3" s="1" a="1"/>
  <c r="D37" i="3" s="1"/>
  <c r="EB205" i="1"/>
  <c r="DO205" i="1"/>
  <c r="DB205" i="1"/>
  <c r="CO205" i="1"/>
  <c r="CB205" i="1"/>
  <c r="BO205" i="1"/>
  <c r="BB205" i="1"/>
  <c r="AO205" i="1"/>
  <c r="AB205" i="1"/>
  <c r="O205" i="1"/>
  <c r="FO204" i="1"/>
  <c r="FB204" i="1"/>
  <c r="EO204" i="1"/>
  <c r="D36" i="3" s="1" a="1"/>
  <c r="D36" i="3" s="1"/>
  <c r="EB204" i="1"/>
  <c r="DO204" i="1"/>
  <c r="DB204" i="1"/>
  <c r="CO204" i="1"/>
  <c r="CB204" i="1"/>
  <c r="BO204" i="1"/>
  <c r="BB204" i="1"/>
  <c r="AO204" i="1"/>
  <c r="AB204" i="1"/>
  <c r="O204" i="1"/>
  <c r="FO203" i="1"/>
  <c r="FB203" i="1"/>
  <c r="EO203" i="1"/>
  <c r="D35" i="3" s="1" a="1"/>
  <c r="D35" i="3" s="1"/>
  <c r="EB203" i="1"/>
  <c r="DO203" i="1"/>
  <c r="DB203" i="1"/>
  <c r="CO203" i="1"/>
  <c r="CB203" i="1"/>
  <c r="BO203" i="1"/>
  <c r="BB203" i="1"/>
  <c r="AO203" i="1"/>
  <c r="AB203" i="1"/>
  <c r="O203" i="1"/>
  <c r="FO202" i="1"/>
  <c r="FB202" i="1"/>
  <c r="EO202" i="1"/>
  <c r="D34" i="3" s="1" a="1"/>
  <c r="D34" i="3" s="1"/>
  <c r="EB202" i="1"/>
  <c r="DO202" i="1"/>
  <c r="DB202" i="1"/>
  <c r="CO202" i="1"/>
  <c r="CB202" i="1"/>
  <c r="BO202" i="1"/>
  <c r="BB202" i="1"/>
  <c r="AO202" i="1"/>
  <c r="AB202" i="1"/>
  <c r="O202" i="1"/>
  <c r="FO201" i="1"/>
  <c r="FB201" i="1"/>
  <c r="EO201" i="1"/>
  <c r="D33" i="3" s="1" a="1"/>
  <c r="D33" i="3" s="1"/>
  <c r="EB201" i="1"/>
  <c r="DO201" i="1"/>
  <c r="DB201" i="1"/>
  <c r="CO201" i="1"/>
  <c r="CB201" i="1"/>
  <c r="BO201" i="1"/>
  <c r="BB201" i="1"/>
  <c r="AO201" i="1"/>
  <c r="AB201" i="1"/>
  <c r="O201" i="1"/>
  <c r="FO200" i="1"/>
  <c r="FB200" i="1"/>
  <c r="EO200" i="1"/>
  <c r="D32" i="3" s="1" a="1"/>
  <c r="D32" i="3" s="1"/>
  <c r="EB200" i="1"/>
  <c r="DO200" i="1"/>
  <c r="DB200" i="1"/>
  <c r="CO200" i="1"/>
  <c r="CB200" i="1"/>
  <c r="BO200" i="1"/>
  <c r="BB200" i="1"/>
  <c r="AO200" i="1"/>
  <c r="AB200" i="1"/>
  <c r="O200" i="1"/>
  <c r="FO199" i="1"/>
  <c r="FB199" i="1"/>
  <c r="EO199" i="1"/>
  <c r="D31" i="3" s="1" a="1"/>
  <c r="D31" i="3" s="1"/>
  <c r="EB199" i="1"/>
  <c r="DO199" i="1"/>
  <c r="DB199" i="1"/>
  <c r="CO199" i="1"/>
  <c r="CB199" i="1"/>
  <c r="BO199" i="1"/>
  <c r="BB199" i="1"/>
  <c r="AO199" i="1"/>
  <c r="AB199" i="1"/>
  <c r="O199" i="1"/>
  <c r="FO198" i="1"/>
  <c r="FB198" i="1"/>
  <c r="EO198" i="1"/>
  <c r="D30" i="3" s="1" a="1"/>
  <c r="D30" i="3" s="1"/>
  <c r="EB198" i="1"/>
  <c r="DO198" i="1"/>
  <c r="DB198" i="1"/>
  <c r="CO198" i="1"/>
  <c r="CB198" i="1"/>
  <c r="BO198" i="1"/>
  <c r="BB198" i="1"/>
  <c r="AO198" i="1"/>
  <c r="AB198" i="1"/>
  <c r="O198" i="1"/>
  <c r="FO197" i="1"/>
  <c r="FB197" i="1"/>
  <c r="EO197" i="1"/>
  <c r="D29" i="3" s="1" a="1"/>
  <c r="D29" i="3" s="1"/>
  <c r="EB197" i="1"/>
  <c r="DO197" i="1"/>
  <c r="DB197" i="1"/>
  <c r="CO197" i="1"/>
  <c r="CB197" i="1"/>
  <c r="BO197" i="1"/>
  <c r="BB197" i="1"/>
  <c r="AO197" i="1"/>
  <c r="AB197" i="1"/>
  <c r="O197" i="1"/>
  <c r="FO196" i="1"/>
  <c r="FB196" i="1"/>
  <c r="EO196" i="1"/>
  <c r="D28" i="3" s="1" a="1"/>
  <c r="D28" i="3" s="1"/>
  <c r="EB196" i="1"/>
  <c r="DO196" i="1"/>
  <c r="DB196" i="1"/>
  <c r="CO196" i="1"/>
  <c r="CB196" i="1"/>
  <c r="BO196" i="1"/>
  <c r="BB196" i="1"/>
  <c r="AO196" i="1"/>
  <c r="AB196" i="1"/>
  <c r="O196" i="1"/>
  <c r="FO195" i="1"/>
  <c r="FB195" i="1"/>
  <c r="EO195" i="1"/>
  <c r="D27" i="3" s="1" a="1"/>
  <c r="D27" i="3" s="1"/>
  <c r="EB195" i="1"/>
  <c r="DO195" i="1"/>
  <c r="DB195" i="1"/>
  <c r="CO195" i="1"/>
  <c r="CB195" i="1"/>
  <c r="BO195" i="1"/>
  <c r="BB195" i="1"/>
  <c r="AO195" i="1"/>
  <c r="AB195" i="1"/>
  <c r="O195" i="1"/>
  <c r="FO194" i="1"/>
  <c r="FB194" i="1"/>
  <c r="EO194" i="1"/>
  <c r="D26" i="3" s="1" a="1"/>
  <c r="D26" i="3" s="1"/>
  <c r="EB194" i="1"/>
  <c r="DO194" i="1"/>
  <c r="DB194" i="1"/>
  <c r="CO194" i="1"/>
  <c r="CB194" i="1"/>
  <c r="BO194" i="1"/>
  <c r="BB194" i="1"/>
  <c r="AO194" i="1"/>
  <c r="AB194" i="1"/>
  <c r="O194" i="1"/>
  <c r="FO193" i="1"/>
  <c r="FB193" i="1"/>
  <c r="EO193" i="1"/>
  <c r="D25" i="3" s="1" a="1"/>
  <c r="D25" i="3" s="1"/>
  <c r="EB193" i="1"/>
  <c r="DO193" i="1"/>
  <c r="DB193" i="1"/>
  <c r="CO193" i="1"/>
  <c r="CB193" i="1"/>
  <c r="BO193" i="1"/>
  <c r="BB193" i="1"/>
  <c r="AO193" i="1"/>
  <c r="AB193" i="1"/>
  <c r="O193" i="1"/>
  <c r="FO192" i="1"/>
  <c r="FB192" i="1"/>
  <c r="EO192" i="1"/>
  <c r="D24" i="3" s="1" a="1"/>
  <c r="D24" i="3" s="1"/>
  <c r="EB192" i="1"/>
  <c r="DO192" i="1"/>
  <c r="DB192" i="1"/>
  <c r="CO192" i="1"/>
  <c r="CB192" i="1"/>
  <c r="BO192" i="1"/>
  <c r="BB192" i="1"/>
  <c r="AO192" i="1"/>
  <c r="AB192" i="1"/>
  <c r="O192" i="1"/>
  <c r="FO191" i="1"/>
  <c r="FB191" i="1"/>
  <c r="EO191" i="1"/>
  <c r="D23" i="3" s="1" a="1"/>
  <c r="D23" i="3" s="1"/>
  <c r="EB191" i="1"/>
  <c r="DO191" i="1"/>
  <c r="DB191" i="1"/>
  <c r="CO191" i="1"/>
  <c r="CB191" i="1"/>
  <c r="BO191" i="1"/>
  <c r="BB191" i="1"/>
  <c r="AO191" i="1"/>
  <c r="AB191" i="1"/>
  <c r="O191" i="1"/>
  <c r="FO190" i="1"/>
  <c r="FO208" i="1" s="1"/>
  <c r="FB190" i="1"/>
  <c r="EO190" i="1"/>
  <c r="D22" i="3" s="1" a="1"/>
  <c r="D22" i="3" s="1"/>
  <c r="EB190" i="1"/>
  <c r="DO190" i="1"/>
  <c r="DB190" i="1"/>
  <c r="CO190" i="1"/>
  <c r="CB190" i="1"/>
  <c r="BO190" i="1"/>
  <c r="BB190" i="1"/>
  <c r="BB208" i="1" s="1"/>
  <c r="AO190" i="1"/>
  <c r="AB190" i="1"/>
  <c r="O190" i="1"/>
  <c r="O208" i="1" s="1"/>
  <c r="FN186" i="1"/>
  <c r="FM186" i="1"/>
  <c r="FL186" i="1"/>
  <c r="FK186" i="1"/>
  <c r="FJ186" i="1"/>
  <c r="FI186" i="1"/>
  <c r="FH186" i="1"/>
  <c r="FG186" i="1"/>
  <c r="FF186" i="1"/>
  <c r="FE186" i="1"/>
  <c r="FD186" i="1"/>
  <c r="FC186" i="1"/>
  <c r="FA186" i="1"/>
  <c r="EZ186" i="1"/>
  <c r="EY186" i="1"/>
  <c r="EX186" i="1"/>
  <c r="EW186" i="1"/>
  <c r="EV186" i="1"/>
  <c r="EU186" i="1"/>
  <c r="ET186" i="1"/>
  <c r="ES186" i="1"/>
  <c r="ER186" i="1"/>
  <c r="EQ186" i="1"/>
  <c r="EP186" i="1"/>
  <c r="EN186" i="1"/>
  <c r="EM186" i="1"/>
  <c r="EL186" i="1"/>
  <c r="EK186" i="1"/>
  <c r="EJ186" i="1"/>
  <c r="EI186" i="1"/>
  <c r="EH186" i="1"/>
  <c r="EG186" i="1"/>
  <c r="EF186" i="1"/>
  <c r="EE186" i="1"/>
  <c r="ED186" i="1"/>
  <c r="EC186" i="1"/>
  <c r="EA186" i="1"/>
  <c r="DZ186" i="1"/>
  <c r="DY186" i="1"/>
  <c r="DX186" i="1"/>
  <c r="DW186" i="1"/>
  <c r="DV186" i="1"/>
  <c r="DU186" i="1"/>
  <c r="DT186" i="1"/>
  <c r="DS186" i="1"/>
  <c r="DR186" i="1"/>
  <c r="DQ186" i="1"/>
  <c r="DP186" i="1"/>
  <c r="DN186" i="1"/>
  <c r="DM186" i="1"/>
  <c r="DL186" i="1"/>
  <c r="DK186" i="1"/>
  <c r="DJ186" i="1"/>
  <c r="DI186" i="1"/>
  <c r="DH186" i="1"/>
  <c r="DG186" i="1"/>
  <c r="DF186" i="1"/>
  <c r="DE186" i="1"/>
  <c r="DD186" i="1"/>
  <c r="DC186" i="1"/>
  <c r="DA186" i="1"/>
  <c r="CZ186" i="1"/>
  <c r="CY186" i="1"/>
  <c r="CX186" i="1"/>
  <c r="CW186" i="1"/>
  <c r="CV186" i="1"/>
  <c r="CU186" i="1"/>
  <c r="CT186" i="1"/>
  <c r="CS186" i="1"/>
  <c r="CR186" i="1"/>
  <c r="CQ186" i="1"/>
  <c r="CP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A186" i="1"/>
  <c r="BZ186" i="1"/>
  <c r="BY186" i="1"/>
  <c r="BX186" i="1"/>
  <c r="BW186" i="1"/>
  <c r="BV186" i="1"/>
  <c r="BU186" i="1"/>
  <c r="BT186" i="1"/>
  <c r="BS186" i="1"/>
  <c r="BR186" i="1"/>
  <c r="BQ186" i="1"/>
  <c r="BP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FO185" i="1"/>
  <c r="FB185" i="1"/>
  <c r="EO185" i="1"/>
  <c r="C39" i="3" s="1" a="1"/>
  <c r="C39" i="3" s="1"/>
  <c r="EB185" i="1"/>
  <c r="DO185" i="1"/>
  <c r="DB185" i="1"/>
  <c r="CO185" i="1"/>
  <c r="CB185" i="1"/>
  <c r="BO185" i="1"/>
  <c r="BB185" i="1"/>
  <c r="AO185" i="1"/>
  <c r="AB185" i="1"/>
  <c r="O185" i="1"/>
  <c r="FO184" i="1"/>
  <c r="FB184" i="1"/>
  <c r="EO184" i="1"/>
  <c r="C38" i="3" s="1" a="1"/>
  <c r="C38" i="3" s="1"/>
  <c r="EB184" i="1"/>
  <c r="DO184" i="1"/>
  <c r="DB184" i="1"/>
  <c r="CO184" i="1"/>
  <c r="CB184" i="1"/>
  <c r="BO184" i="1"/>
  <c r="BB184" i="1"/>
  <c r="AO184" i="1"/>
  <c r="AB184" i="1"/>
  <c r="O184" i="1"/>
  <c r="FO183" i="1"/>
  <c r="FB183" i="1"/>
  <c r="EO183" i="1"/>
  <c r="C37" i="3" s="1" a="1"/>
  <c r="C37" i="3" s="1"/>
  <c r="EB183" i="1"/>
  <c r="DO183" i="1"/>
  <c r="DB183" i="1"/>
  <c r="CO183" i="1"/>
  <c r="CB183" i="1"/>
  <c r="BO183" i="1"/>
  <c r="BB183" i="1"/>
  <c r="AO183" i="1"/>
  <c r="AB183" i="1"/>
  <c r="O183" i="1"/>
  <c r="FO182" i="1"/>
  <c r="FB182" i="1"/>
  <c r="EO182" i="1"/>
  <c r="C36" i="3" s="1" a="1"/>
  <c r="C36" i="3" s="1"/>
  <c r="EB182" i="1"/>
  <c r="DO182" i="1"/>
  <c r="DB182" i="1"/>
  <c r="CO182" i="1"/>
  <c r="CB182" i="1"/>
  <c r="BO182" i="1"/>
  <c r="BB182" i="1"/>
  <c r="AO182" i="1"/>
  <c r="AB182" i="1"/>
  <c r="O182" i="1"/>
  <c r="FO181" i="1"/>
  <c r="FB181" i="1"/>
  <c r="EO181" i="1"/>
  <c r="C35" i="3" s="1" a="1"/>
  <c r="C35" i="3" s="1"/>
  <c r="EB181" i="1"/>
  <c r="DO181" i="1"/>
  <c r="DB181" i="1"/>
  <c r="CO181" i="1"/>
  <c r="CB181" i="1"/>
  <c r="BO181" i="1"/>
  <c r="BB181" i="1"/>
  <c r="AO181" i="1"/>
  <c r="AB181" i="1"/>
  <c r="O181" i="1"/>
  <c r="FO180" i="1"/>
  <c r="FB180" i="1"/>
  <c r="EO180" i="1"/>
  <c r="C34" i="3" s="1" a="1"/>
  <c r="C34" i="3" s="1"/>
  <c r="EB180" i="1"/>
  <c r="DO180" i="1"/>
  <c r="DB180" i="1"/>
  <c r="CO180" i="1"/>
  <c r="CB180" i="1"/>
  <c r="BO180" i="1"/>
  <c r="BB180" i="1"/>
  <c r="AO180" i="1"/>
  <c r="AB180" i="1"/>
  <c r="O180" i="1"/>
  <c r="FO179" i="1"/>
  <c r="FB179" i="1"/>
  <c r="EO179" i="1"/>
  <c r="C33" i="3" s="1" a="1"/>
  <c r="C33" i="3" s="1"/>
  <c r="EB179" i="1"/>
  <c r="DO179" i="1"/>
  <c r="DB179" i="1"/>
  <c r="CO179" i="1"/>
  <c r="CB179" i="1"/>
  <c r="BO179" i="1"/>
  <c r="BB179" i="1"/>
  <c r="AO179" i="1"/>
  <c r="AB179" i="1"/>
  <c r="O179" i="1"/>
  <c r="FO178" i="1"/>
  <c r="FB178" i="1"/>
  <c r="EO178" i="1"/>
  <c r="C32" i="3" s="1" a="1"/>
  <c r="C32" i="3" s="1"/>
  <c r="EB178" i="1"/>
  <c r="DO178" i="1"/>
  <c r="DB178" i="1"/>
  <c r="CO178" i="1"/>
  <c r="CB178" i="1"/>
  <c r="BO178" i="1"/>
  <c r="BB178" i="1"/>
  <c r="AO178" i="1"/>
  <c r="AB178" i="1"/>
  <c r="O178" i="1"/>
  <c r="FO177" i="1"/>
  <c r="FB177" i="1"/>
  <c r="EO177" i="1"/>
  <c r="C31" i="3" s="1" a="1"/>
  <c r="C31" i="3" s="1"/>
  <c r="EB177" i="1"/>
  <c r="DO177" i="1"/>
  <c r="DB177" i="1"/>
  <c r="CO177" i="1"/>
  <c r="CB177" i="1"/>
  <c r="BO177" i="1"/>
  <c r="BB177" i="1"/>
  <c r="AO177" i="1"/>
  <c r="AB177" i="1"/>
  <c r="O177" i="1"/>
  <c r="FO176" i="1"/>
  <c r="FB176" i="1"/>
  <c r="EO176" i="1"/>
  <c r="C30" i="3" s="1" a="1"/>
  <c r="C30" i="3" s="1"/>
  <c r="EB176" i="1"/>
  <c r="DO176" i="1"/>
  <c r="DB176" i="1"/>
  <c r="CO176" i="1"/>
  <c r="CB176" i="1"/>
  <c r="BO176" i="1"/>
  <c r="BB176" i="1"/>
  <c r="AO176" i="1"/>
  <c r="AB176" i="1"/>
  <c r="O176" i="1"/>
  <c r="FO175" i="1"/>
  <c r="FB175" i="1"/>
  <c r="EO175" i="1"/>
  <c r="C29" i="3" s="1" a="1"/>
  <c r="C29" i="3" s="1"/>
  <c r="EB175" i="1"/>
  <c r="DO175" i="1"/>
  <c r="DB175" i="1"/>
  <c r="CO175" i="1"/>
  <c r="CB175" i="1"/>
  <c r="BO175" i="1"/>
  <c r="BB175" i="1"/>
  <c r="AO175" i="1"/>
  <c r="AB175" i="1"/>
  <c r="O175" i="1"/>
  <c r="FO174" i="1"/>
  <c r="FB174" i="1"/>
  <c r="EO174" i="1"/>
  <c r="C28" i="3" s="1" a="1"/>
  <c r="C28" i="3" s="1"/>
  <c r="EB174" i="1"/>
  <c r="DO174" i="1"/>
  <c r="DB174" i="1"/>
  <c r="CO174" i="1"/>
  <c r="CB174" i="1"/>
  <c r="BO174" i="1"/>
  <c r="BB174" i="1"/>
  <c r="AO174" i="1"/>
  <c r="AB174" i="1"/>
  <c r="O174" i="1"/>
  <c r="FO173" i="1"/>
  <c r="FB173" i="1"/>
  <c r="EO173" i="1"/>
  <c r="C27" i="3" s="1" a="1"/>
  <c r="C27" i="3" s="1"/>
  <c r="EB173" i="1"/>
  <c r="DO173" i="1"/>
  <c r="DB173" i="1"/>
  <c r="CO173" i="1"/>
  <c r="CB173" i="1"/>
  <c r="BO173" i="1"/>
  <c r="BB173" i="1"/>
  <c r="AO173" i="1"/>
  <c r="AB173" i="1"/>
  <c r="O173" i="1"/>
  <c r="FO172" i="1"/>
  <c r="FB172" i="1"/>
  <c r="EO172" i="1"/>
  <c r="C26" i="3" s="1" a="1"/>
  <c r="C26" i="3" s="1"/>
  <c r="EB172" i="1"/>
  <c r="DO172" i="1"/>
  <c r="DB172" i="1"/>
  <c r="CO172" i="1"/>
  <c r="CB172" i="1"/>
  <c r="BO172" i="1"/>
  <c r="BB172" i="1"/>
  <c r="AO172" i="1"/>
  <c r="AB172" i="1"/>
  <c r="O172" i="1"/>
  <c r="FO171" i="1"/>
  <c r="FB171" i="1"/>
  <c r="EO171" i="1"/>
  <c r="C25" i="3" s="1" a="1"/>
  <c r="C25" i="3" s="1"/>
  <c r="EB171" i="1"/>
  <c r="DO171" i="1"/>
  <c r="DB171" i="1"/>
  <c r="CO171" i="1"/>
  <c r="CB171" i="1"/>
  <c r="BO171" i="1"/>
  <c r="BB171" i="1"/>
  <c r="AO171" i="1"/>
  <c r="AB171" i="1"/>
  <c r="O171" i="1"/>
  <c r="FO170" i="1"/>
  <c r="FB170" i="1"/>
  <c r="EO170" i="1"/>
  <c r="C24" i="3" s="1" a="1"/>
  <c r="C24" i="3" s="1"/>
  <c r="EB170" i="1"/>
  <c r="DO170" i="1"/>
  <c r="DB170" i="1"/>
  <c r="CO170" i="1"/>
  <c r="CB170" i="1"/>
  <c r="BO170" i="1"/>
  <c r="BB170" i="1"/>
  <c r="AO170" i="1"/>
  <c r="AB170" i="1"/>
  <c r="O170" i="1"/>
  <c r="FO169" i="1"/>
  <c r="FB169" i="1"/>
  <c r="EO169" i="1"/>
  <c r="C23" i="3" s="1" a="1"/>
  <c r="C23" i="3" s="1"/>
  <c r="EB169" i="1"/>
  <c r="DO169" i="1"/>
  <c r="DB169" i="1"/>
  <c r="CO169" i="1"/>
  <c r="CB169" i="1"/>
  <c r="BO169" i="1"/>
  <c r="BB169" i="1"/>
  <c r="AO169" i="1"/>
  <c r="AB169" i="1"/>
  <c r="O169" i="1"/>
  <c r="FO168" i="1"/>
  <c r="FB168" i="1"/>
  <c r="EO168" i="1"/>
  <c r="C22" i="3" s="1" a="1"/>
  <c r="C22" i="3" s="1"/>
  <c r="EB168" i="1"/>
  <c r="DO168" i="1"/>
  <c r="DB168" i="1"/>
  <c r="CO168" i="1"/>
  <c r="CB168" i="1"/>
  <c r="BO168" i="1"/>
  <c r="BB168" i="1"/>
  <c r="AO168" i="1"/>
  <c r="AB168" i="1"/>
  <c r="O168" i="1"/>
  <c r="FN164" i="1"/>
  <c r="FM164" i="1"/>
  <c r="FL164" i="1"/>
  <c r="FK164" i="1"/>
  <c r="FJ164" i="1"/>
  <c r="FI164" i="1"/>
  <c r="FH164" i="1"/>
  <c r="FG164" i="1"/>
  <c r="FF164" i="1"/>
  <c r="FE164" i="1"/>
  <c r="FD164" i="1"/>
  <c r="FC164" i="1"/>
  <c r="FA164" i="1"/>
  <c r="EZ164" i="1"/>
  <c r="EY164" i="1"/>
  <c r="EX164" i="1"/>
  <c r="EW164" i="1"/>
  <c r="EV164" i="1"/>
  <c r="EU164" i="1"/>
  <c r="ET164" i="1"/>
  <c r="ES164" i="1"/>
  <c r="ER164" i="1"/>
  <c r="EQ164" i="1"/>
  <c r="EP164" i="1"/>
  <c r="EN164" i="1"/>
  <c r="EM164" i="1"/>
  <c r="EL164" i="1"/>
  <c r="EK164" i="1"/>
  <c r="EJ164" i="1"/>
  <c r="EI164" i="1"/>
  <c r="EH164" i="1"/>
  <c r="EG164" i="1"/>
  <c r="EF164" i="1"/>
  <c r="EE164" i="1"/>
  <c r="ED164" i="1"/>
  <c r="EC164" i="1"/>
  <c r="EA164" i="1"/>
  <c r="DZ164" i="1"/>
  <c r="DY164" i="1"/>
  <c r="DX164" i="1"/>
  <c r="DW164" i="1"/>
  <c r="DV164" i="1"/>
  <c r="DU164" i="1"/>
  <c r="DT164" i="1"/>
  <c r="DS164" i="1"/>
  <c r="DR164" i="1"/>
  <c r="DQ164" i="1"/>
  <c r="DP164" i="1"/>
  <c r="DN164" i="1"/>
  <c r="DM164" i="1"/>
  <c r="DL164" i="1"/>
  <c r="DK164" i="1"/>
  <c r="DJ164" i="1"/>
  <c r="DI164" i="1"/>
  <c r="DH164" i="1"/>
  <c r="DG164" i="1"/>
  <c r="DF164" i="1"/>
  <c r="DE164" i="1"/>
  <c r="DD164" i="1"/>
  <c r="DC164" i="1"/>
  <c r="DA164" i="1"/>
  <c r="CZ164" i="1"/>
  <c r="CY164" i="1"/>
  <c r="CX164" i="1"/>
  <c r="CW164" i="1"/>
  <c r="CV164" i="1"/>
  <c r="CU164" i="1"/>
  <c r="CT164" i="1"/>
  <c r="CS164" i="1"/>
  <c r="CR164" i="1"/>
  <c r="CQ164" i="1"/>
  <c r="CP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FO163" i="1"/>
  <c r="FB163" i="1"/>
  <c r="EO163" i="1"/>
  <c r="EB163" i="1"/>
  <c r="DO163" i="1"/>
  <c r="DB163" i="1"/>
  <c r="CO163" i="1"/>
  <c r="CB163" i="1"/>
  <c r="BO163" i="1"/>
  <c r="BB163" i="1"/>
  <c r="AO163" i="1"/>
  <c r="AB163" i="1"/>
  <c r="O163" i="1"/>
  <c r="FO162" i="1"/>
  <c r="FB162" i="1"/>
  <c r="EO162" i="1"/>
  <c r="EB162" i="1"/>
  <c r="DO162" i="1"/>
  <c r="DB162" i="1"/>
  <c r="CO162" i="1"/>
  <c r="CB162" i="1"/>
  <c r="BO162" i="1"/>
  <c r="BB162" i="1"/>
  <c r="AO162" i="1"/>
  <c r="AB162" i="1"/>
  <c r="O162" i="1"/>
  <c r="FO161" i="1"/>
  <c r="FB161" i="1"/>
  <c r="EO161" i="1"/>
  <c r="EB161" i="1"/>
  <c r="DO161" i="1"/>
  <c r="DB161" i="1"/>
  <c r="CO161" i="1"/>
  <c r="CB161" i="1"/>
  <c r="BO161" i="1"/>
  <c r="BB161" i="1"/>
  <c r="AO161" i="1"/>
  <c r="AB161" i="1"/>
  <c r="O161" i="1"/>
  <c r="FO160" i="1"/>
  <c r="FB160" i="1"/>
  <c r="EO160" i="1"/>
  <c r="EB160" i="1"/>
  <c r="DO160" i="1"/>
  <c r="DB160" i="1"/>
  <c r="CO160" i="1"/>
  <c r="CB160" i="1"/>
  <c r="BO160" i="1"/>
  <c r="BB160" i="1"/>
  <c r="AO160" i="1"/>
  <c r="AB160" i="1"/>
  <c r="O160" i="1"/>
  <c r="FO159" i="1"/>
  <c r="FB159" i="1"/>
  <c r="EO159" i="1"/>
  <c r="EB159" i="1"/>
  <c r="DO159" i="1"/>
  <c r="DB159" i="1"/>
  <c r="CO159" i="1"/>
  <c r="CB159" i="1"/>
  <c r="BO159" i="1"/>
  <c r="BB159" i="1"/>
  <c r="AO159" i="1"/>
  <c r="AB159" i="1"/>
  <c r="O159" i="1"/>
  <c r="FO158" i="1"/>
  <c r="FB158" i="1"/>
  <c r="EO158" i="1"/>
  <c r="EB158" i="1"/>
  <c r="DO158" i="1"/>
  <c r="DB158" i="1"/>
  <c r="CO158" i="1"/>
  <c r="CB158" i="1"/>
  <c r="BO158" i="1"/>
  <c r="BB158" i="1"/>
  <c r="AO158" i="1"/>
  <c r="AB158" i="1"/>
  <c r="O158" i="1"/>
  <c r="FO157" i="1"/>
  <c r="FB157" i="1"/>
  <c r="EO157" i="1"/>
  <c r="EB157" i="1"/>
  <c r="DO157" i="1"/>
  <c r="DB157" i="1"/>
  <c r="CO157" i="1"/>
  <c r="CB157" i="1"/>
  <c r="BO157" i="1"/>
  <c r="BB157" i="1"/>
  <c r="AO157" i="1"/>
  <c r="AB157" i="1"/>
  <c r="O157" i="1"/>
  <c r="FO156" i="1"/>
  <c r="FB156" i="1"/>
  <c r="EO156" i="1"/>
  <c r="EB156" i="1"/>
  <c r="DO156" i="1"/>
  <c r="DB156" i="1"/>
  <c r="CO156" i="1"/>
  <c r="CB156" i="1"/>
  <c r="BO156" i="1"/>
  <c r="BB156" i="1"/>
  <c r="AO156" i="1"/>
  <c r="AB156" i="1"/>
  <c r="O156" i="1"/>
  <c r="FO155" i="1"/>
  <c r="FB155" i="1"/>
  <c r="EO155" i="1"/>
  <c r="EB155" i="1"/>
  <c r="DO155" i="1"/>
  <c r="DB155" i="1"/>
  <c r="CO155" i="1"/>
  <c r="CB155" i="1"/>
  <c r="BO155" i="1"/>
  <c r="BB155" i="1"/>
  <c r="AO155" i="1"/>
  <c r="AB155" i="1"/>
  <c r="O155" i="1"/>
  <c r="FO154" i="1"/>
  <c r="FB154" i="1"/>
  <c r="EO154" i="1"/>
  <c r="EB154" i="1"/>
  <c r="DO154" i="1"/>
  <c r="DB154" i="1"/>
  <c r="CO154" i="1"/>
  <c r="CB154" i="1"/>
  <c r="BO154" i="1"/>
  <c r="BB154" i="1"/>
  <c r="AO154" i="1"/>
  <c r="AB154" i="1"/>
  <c r="O154" i="1"/>
  <c r="FO153" i="1"/>
  <c r="FB153" i="1"/>
  <c r="EO153" i="1"/>
  <c r="EB153" i="1"/>
  <c r="DO153" i="1"/>
  <c r="DB153" i="1"/>
  <c r="CO153" i="1"/>
  <c r="CB153" i="1"/>
  <c r="BO153" i="1"/>
  <c r="BB153" i="1"/>
  <c r="AO153" i="1"/>
  <c r="AB153" i="1"/>
  <c r="O153" i="1"/>
  <c r="FO152" i="1"/>
  <c r="FB152" i="1"/>
  <c r="EO152" i="1"/>
  <c r="EB152" i="1"/>
  <c r="DO152" i="1"/>
  <c r="DB152" i="1"/>
  <c r="CO152" i="1"/>
  <c r="CB152" i="1"/>
  <c r="BO152" i="1"/>
  <c r="BB152" i="1"/>
  <c r="AO152" i="1"/>
  <c r="AB152" i="1"/>
  <c r="O152" i="1"/>
  <c r="FO151" i="1"/>
  <c r="FB151" i="1"/>
  <c r="EO151" i="1"/>
  <c r="EB151" i="1"/>
  <c r="DO151" i="1"/>
  <c r="DB151" i="1"/>
  <c r="CO151" i="1"/>
  <c r="CB151" i="1"/>
  <c r="BO151" i="1"/>
  <c r="BB151" i="1"/>
  <c r="AO151" i="1"/>
  <c r="AB151" i="1"/>
  <c r="O151" i="1"/>
  <c r="FO150" i="1"/>
  <c r="FB150" i="1"/>
  <c r="EO150" i="1"/>
  <c r="EB150" i="1"/>
  <c r="DO150" i="1"/>
  <c r="DB150" i="1"/>
  <c r="CO150" i="1"/>
  <c r="CB150" i="1"/>
  <c r="BO150" i="1"/>
  <c r="BB150" i="1"/>
  <c r="AO150" i="1"/>
  <c r="AB150" i="1"/>
  <c r="O150" i="1"/>
  <c r="FO149" i="1"/>
  <c r="FB149" i="1"/>
  <c r="EO149" i="1"/>
  <c r="EB149" i="1"/>
  <c r="DO149" i="1"/>
  <c r="DB149" i="1"/>
  <c r="CO149" i="1"/>
  <c r="CB149" i="1"/>
  <c r="BO149" i="1"/>
  <c r="BB149" i="1"/>
  <c r="AO149" i="1"/>
  <c r="AB149" i="1"/>
  <c r="O149" i="1"/>
  <c r="FO148" i="1"/>
  <c r="FB148" i="1"/>
  <c r="EO148" i="1"/>
  <c r="EB148" i="1"/>
  <c r="DO148" i="1"/>
  <c r="DB148" i="1"/>
  <c r="CO148" i="1"/>
  <c r="CB148" i="1"/>
  <c r="BO148" i="1"/>
  <c r="BB148" i="1"/>
  <c r="AO148" i="1"/>
  <c r="AB148" i="1"/>
  <c r="O148" i="1"/>
  <c r="FO147" i="1"/>
  <c r="FB147" i="1"/>
  <c r="EO147" i="1"/>
  <c r="EB147" i="1"/>
  <c r="DO147" i="1"/>
  <c r="DB147" i="1"/>
  <c r="CO147" i="1"/>
  <c r="CB147" i="1"/>
  <c r="BO147" i="1"/>
  <c r="BB147" i="1"/>
  <c r="AO147" i="1"/>
  <c r="AB147" i="1"/>
  <c r="O147" i="1"/>
  <c r="FO146" i="1"/>
  <c r="FB146" i="1"/>
  <c r="EO146" i="1"/>
  <c r="EB146" i="1"/>
  <c r="DO146" i="1"/>
  <c r="DB146" i="1"/>
  <c r="CO146" i="1"/>
  <c r="CB146" i="1"/>
  <c r="BO146" i="1"/>
  <c r="BB146" i="1"/>
  <c r="AO146" i="1"/>
  <c r="AB146" i="1"/>
  <c r="O146" i="1"/>
  <c r="FN139" i="1"/>
  <c r="FM139" i="1"/>
  <c r="FL139" i="1"/>
  <c r="FK139" i="1"/>
  <c r="FJ139" i="1"/>
  <c r="FI139" i="1"/>
  <c r="FH139" i="1"/>
  <c r="FG139" i="1"/>
  <c r="FF139" i="1"/>
  <c r="FE139" i="1"/>
  <c r="FD139" i="1"/>
  <c r="FC139" i="1"/>
  <c r="FA139" i="1"/>
  <c r="EZ139" i="1"/>
  <c r="EY139" i="1"/>
  <c r="EX139" i="1"/>
  <c r="EW139" i="1"/>
  <c r="EV139" i="1"/>
  <c r="EU139" i="1"/>
  <c r="ET139" i="1"/>
  <c r="ES139" i="1"/>
  <c r="ER139" i="1"/>
  <c r="EQ139" i="1"/>
  <c r="EP139" i="1"/>
  <c r="EN139" i="1"/>
  <c r="EM139" i="1"/>
  <c r="EL139" i="1"/>
  <c r="EK139" i="1"/>
  <c r="EJ139" i="1"/>
  <c r="EI139" i="1"/>
  <c r="EH139" i="1"/>
  <c r="EG139" i="1"/>
  <c r="EF139" i="1"/>
  <c r="EE139" i="1"/>
  <c r="ED139" i="1"/>
  <c r="EC139" i="1"/>
  <c r="EA139" i="1"/>
  <c r="DZ139" i="1"/>
  <c r="DY139" i="1"/>
  <c r="DX139" i="1"/>
  <c r="DW139" i="1"/>
  <c r="DV139" i="1"/>
  <c r="DU139" i="1"/>
  <c r="DT139" i="1"/>
  <c r="DS139" i="1"/>
  <c r="DR139" i="1"/>
  <c r="DQ139" i="1"/>
  <c r="DP139" i="1"/>
  <c r="DN139" i="1"/>
  <c r="DM139" i="1"/>
  <c r="DL139" i="1"/>
  <c r="DK139" i="1"/>
  <c r="DJ139" i="1"/>
  <c r="DI139" i="1"/>
  <c r="DH139" i="1"/>
  <c r="DG139" i="1"/>
  <c r="DF139" i="1"/>
  <c r="DE139" i="1"/>
  <c r="DD139" i="1"/>
  <c r="DC139" i="1"/>
  <c r="DA139" i="1"/>
  <c r="CZ139" i="1"/>
  <c r="CY139" i="1"/>
  <c r="CX139" i="1"/>
  <c r="CW139" i="1"/>
  <c r="CV139" i="1"/>
  <c r="CU139" i="1"/>
  <c r="CT139" i="1"/>
  <c r="CS139" i="1"/>
  <c r="CR139" i="1"/>
  <c r="CQ139" i="1"/>
  <c r="CP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FO138" i="1"/>
  <c r="FB138" i="1"/>
  <c r="EO138" i="1"/>
  <c r="H39" i="3" s="1" a="1"/>
  <c r="H39" i="3" s="1"/>
  <c r="EB138" i="1"/>
  <c r="DO138" i="1"/>
  <c r="DB138" i="1"/>
  <c r="CO138" i="1"/>
  <c r="CB138" i="1"/>
  <c r="BO138" i="1"/>
  <c r="BB138" i="1"/>
  <c r="AO138" i="1"/>
  <c r="AB138" i="1"/>
  <c r="O138" i="1"/>
  <c r="FO137" i="1"/>
  <c r="FB137" i="1"/>
  <c r="EO137" i="1"/>
  <c r="H38" i="3" s="1" a="1"/>
  <c r="H38" i="3" s="1"/>
  <c r="EB137" i="1"/>
  <c r="DO137" i="1"/>
  <c r="DB137" i="1"/>
  <c r="CO137" i="1"/>
  <c r="CB137" i="1"/>
  <c r="BO137" i="1"/>
  <c r="BB137" i="1"/>
  <c r="AO137" i="1"/>
  <c r="AB137" i="1"/>
  <c r="O137" i="1"/>
  <c r="FO136" i="1"/>
  <c r="FB136" i="1"/>
  <c r="EO136" i="1"/>
  <c r="H37" i="3" s="1" a="1"/>
  <c r="H37" i="3" s="1"/>
  <c r="EB136" i="1"/>
  <c r="DO136" i="1"/>
  <c r="DB136" i="1"/>
  <c r="CO136" i="1"/>
  <c r="CB136" i="1"/>
  <c r="BO136" i="1"/>
  <c r="BB136" i="1"/>
  <c r="AO136" i="1"/>
  <c r="AB136" i="1"/>
  <c r="O136" i="1"/>
  <c r="FO135" i="1"/>
  <c r="FB135" i="1"/>
  <c r="EO135" i="1"/>
  <c r="H36" i="3" s="1" a="1"/>
  <c r="H36" i="3" s="1"/>
  <c r="EB135" i="1"/>
  <c r="DO135" i="1"/>
  <c r="DB135" i="1"/>
  <c r="CO135" i="1"/>
  <c r="CB135" i="1"/>
  <c r="BO135" i="1"/>
  <c r="BB135" i="1"/>
  <c r="AO135" i="1"/>
  <c r="AB135" i="1"/>
  <c r="O135" i="1"/>
  <c r="FO134" i="1"/>
  <c r="FB134" i="1"/>
  <c r="EO134" i="1"/>
  <c r="H35" i="3" s="1" a="1"/>
  <c r="H35" i="3" s="1"/>
  <c r="EB134" i="1"/>
  <c r="DO134" i="1"/>
  <c r="DB134" i="1"/>
  <c r="CO134" i="1"/>
  <c r="CB134" i="1"/>
  <c r="BO134" i="1"/>
  <c r="BB134" i="1"/>
  <c r="AO134" i="1"/>
  <c r="AB134" i="1"/>
  <c r="O134" i="1"/>
  <c r="FO133" i="1"/>
  <c r="FB133" i="1"/>
  <c r="EO133" i="1"/>
  <c r="H34" i="3" s="1" a="1"/>
  <c r="H34" i="3" s="1"/>
  <c r="EB133" i="1"/>
  <c r="DO133" i="1"/>
  <c r="DB133" i="1"/>
  <c r="CO133" i="1"/>
  <c r="CB133" i="1"/>
  <c r="BO133" i="1"/>
  <c r="BB133" i="1"/>
  <c r="AO133" i="1"/>
  <c r="AB133" i="1"/>
  <c r="O133" i="1"/>
  <c r="FO132" i="1"/>
  <c r="FB132" i="1"/>
  <c r="EO132" i="1"/>
  <c r="H33" i="3" s="1" a="1"/>
  <c r="H33" i="3" s="1"/>
  <c r="EB132" i="1"/>
  <c r="DO132" i="1"/>
  <c r="DB132" i="1"/>
  <c r="CO132" i="1"/>
  <c r="CB132" i="1"/>
  <c r="BO132" i="1"/>
  <c r="BB132" i="1"/>
  <c r="AO132" i="1"/>
  <c r="AB132" i="1"/>
  <c r="O132" i="1"/>
  <c r="FO131" i="1"/>
  <c r="FB131" i="1"/>
  <c r="EO131" i="1"/>
  <c r="H32" i="3" s="1" a="1"/>
  <c r="H32" i="3" s="1"/>
  <c r="EB131" i="1"/>
  <c r="DO131" i="1"/>
  <c r="DB131" i="1"/>
  <c r="CO131" i="1"/>
  <c r="CB131" i="1"/>
  <c r="BO131" i="1"/>
  <c r="BB131" i="1"/>
  <c r="AO131" i="1"/>
  <c r="AB131" i="1"/>
  <c r="O131" i="1"/>
  <c r="FO130" i="1"/>
  <c r="FB130" i="1"/>
  <c r="EO130" i="1"/>
  <c r="H31" i="3" s="1" a="1"/>
  <c r="H31" i="3" s="1"/>
  <c r="EB130" i="1"/>
  <c r="DO130" i="1"/>
  <c r="DB130" i="1"/>
  <c r="CO130" i="1"/>
  <c r="CB130" i="1"/>
  <c r="BO130" i="1"/>
  <c r="BB130" i="1"/>
  <c r="AO130" i="1"/>
  <c r="AB130" i="1"/>
  <c r="O130" i="1"/>
  <c r="FO129" i="1"/>
  <c r="FB129" i="1"/>
  <c r="EO129" i="1"/>
  <c r="H30" i="3" s="1" a="1"/>
  <c r="H30" i="3" s="1"/>
  <c r="EB129" i="1"/>
  <c r="DO129" i="1"/>
  <c r="DB129" i="1"/>
  <c r="CO129" i="1"/>
  <c r="CB129" i="1"/>
  <c r="BO129" i="1"/>
  <c r="BB129" i="1"/>
  <c r="AO129" i="1"/>
  <c r="AB129" i="1"/>
  <c r="O129" i="1"/>
  <c r="FO128" i="1"/>
  <c r="FB128" i="1"/>
  <c r="EO128" i="1"/>
  <c r="H29" i="3" s="1" a="1"/>
  <c r="H29" i="3" s="1"/>
  <c r="EB128" i="1"/>
  <c r="DO128" i="1"/>
  <c r="DB128" i="1"/>
  <c r="CO128" i="1"/>
  <c r="CB128" i="1"/>
  <c r="BO128" i="1"/>
  <c r="BB128" i="1"/>
  <c r="AO128" i="1"/>
  <c r="AB128" i="1"/>
  <c r="O128" i="1"/>
  <c r="FO127" i="1"/>
  <c r="FB127" i="1"/>
  <c r="EO127" i="1"/>
  <c r="H28" i="3" s="1" a="1"/>
  <c r="H28" i="3" s="1"/>
  <c r="EB127" i="1"/>
  <c r="DO127" i="1"/>
  <c r="DB127" i="1"/>
  <c r="CO127" i="1"/>
  <c r="CB127" i="1"/>
  <c r="BO127" i="1"/>
  <c r="BB127" i="1"/>
  <c r="AO127" i="1"/>
  <c r="AB127" i="1"/>
  <c r="O127" i="1"/>
  <c r="FO126" i="1"/>
  <c r="FB126" i="1"/>
  <c r="FB139" i="1" s="1"/>
  <c r="EO126" i="1"/>
  <c r="H27" i="3" s="1" a="1"/>
  <c r="H27" i="3" s="1"/>
  <c r="EB126" i="1"/>
  <c r="DO126" i="1"/>
  <c r="DB126" i="1"/>
  <c r="CO126" i="1"/>
  <c r="CB126" i="1"/>
  <c r="BO126" i="1"/>
  <c r="BB126" i="1"/>
  <c r="AO126" i="1"/>
  <c r="AB126" i="1"/>
  <c r="O126" i="1"/>
  <c r="FO125" i="1"/>
  <c r="FB125" i="1"/>
  <c r="EO125" i="1"/>
  <c r="H26" i="3" s="1" a="1"/>
  <c r="H26" i="3" s="1"/>
  <c r="EB125" i="1"/>
  <c r="DO125" i="1"/>
  <c r="DB125" i="1"/>
  <c r="CO125" i="1"/>
  <c r="CB125" i="1"/>
  <c r="BO125" i="1"/>
  <c r="BB125" i="1"/>
  <c r="AO125" i="1"/>
  <c r="AB125" i="1"/>
  <c r="O125" i="1"/>
  <c r="FO124" i="1"/>
  <c r="FB124" i="1"/>
  <c r="EO124" i="1"/>
  <c r="H25" i="3" s="1" a="1"/>
  <c r="H25" i="3" s="1"/>
  <c r="EB124" i="1"/>
  <c r="DO124" i="1"/>
  <c r="DB124" i="1"/>
  <c r="CO124" i="1"/>
  <c r="CB124" i="1"/>
  <c r="BO124" i="1"/>
  <c r="BB124" i="1"/>
  <c r="AO124" i="1"/>
  <c r="AB124" i="1"/>
  <c r="O124" i="1"/>
  <c r="FO123" i="1"/>
  <c r="FB123" i="1"/>
  <c r="EO123" i="1"/>
  <c r="H24" i="3" s="1" a="1"/>
  <c r="H24" i="3" s="1"/>
  <c r="EB123" i="1"/>
  <c r="DO123" i="1"/>
  <c r="DB123" i="1"/>
  <c r="CO123" i="1"/>
  <c r="CB123" i="1"/>
  <c r="BO123" i="1"/>
  <c r="BB123" i="1"/>
  <c r="AO123" i="1"/>
  <c r="AO139" i="1" s="1"/>
  <c r="AB123" i="1"/>
  <c r="O123" i="1"/>
  <c r="FO122" i="1"/>
  <c r="FB122" i="1"/>
  <c r="EO122" i="1"/>
  <c r="H23" i="3" s="1" a="1"/>
  <c r="H23" i="3" s="1"/>
  <c r="EB122" i="1"/>
  <c r="DO122" i="1"/>
  <c r="DB122" i="1"/>
  <c r="CO122" i="1"/>
  <c r="CB122" i="1"/>
  <c r="BO122" i="1"/>
  <c r="BB122" i="1"/>
  <c r="BB139" i="1" s="1"/>
  <c r="AO122" i="1"/>
  <c r="AB122" i="1"/>
  <c r="O122" i="1"/>
  <c r="FO121" i="1"/>
  <c r="FB121" i="1"/>
  <c r="EO121" i="1"/>
  <c r="H22" i="3" s="1" a="1"/>
  <c r="H22" i="3" s="1"/>
  <c r="EB121" i="1"/>
  <c r="DO121" i="1"/>
  <c r="DB121" i="1"/>
  <c r="CO121" i="1"/>
  <c r="CB121" i="1"/>
  <c r="BO121" i="1"/>
  <c r="BO139" i="1" s="1"/>
  <c r="BB121" i="1"/>
  <c r="AO121" i="1"/>
  <c r="AB121" i="1"/>
  <c r="O121" i="1"/>
  <c r="FN117" i="1"/>
  <c r="FM117" i="1"/>
  <c r="FL117" i="1"/>
  <c r="FK117" i="1"/>
  <c r="FJ117" i="1"/>
  <c r="FI117" i="1"/>
  <c r="FH117" i="1"/>
  <c r="FG117" i="1"/>
  <c r="FF117" i="1"/>
  <c r="FE117" i="1"/>
  <c r="FD117" i="1"/>
  <c r="FC117" i="1"/>
  <c r="FA117" i="1"/>
  <c r="EZ117" i="1"/>
  <c r="EY117" i="1"/>
  <c r="EX117" i="1"/>
  <c r="EW117" i="1"/>
  <c r="EV117" i="1"/>
  <c r="EU117" i="1"/>
  <c r="ET117" i="1"/>
  <c r="ES117" i="1"/>
  <c r="ER117" i="1"/>
  <c r="EQ117" i="1"/>
  <c r="EP117" i="1"/>
  <c r="EN117" i="1"/>
  <c r="EM117" i="1"/>
  <c r="EL117" i="1"/>
  <c r="EK117" i="1"/>
  <c r="EJ117" i="1"/>
  <c r="EI117" i="1"/>
  <c r="EH117" i="1"/>
  <c r="EG117" i="1"/>
  <c r="EF117" i="1"/>
  <c r="EE117" i="1"/>
  <c r="ED117" i="1"/>
  <c r="EC117" i="1"/>
  <c r="EA117" i="1"/>
  <c r="DZ117" i="1"/>
  <c r="DY117" i="1"/>
  <c r="DX117" i="1"/>
  <c r="DW117" i="1"/>
  <c r="DV117" i="1"/>
  <c r="DU117" i="1"/>
  <c r="DT117" i="1"/>
  <c r="DS117" i="1"/>
  <c r="DR117" i="1"/>
  <c r="DQ117" i="1"/>
  <c r="DP117" i="1"/>
  <c r="DN117" i="1"/>
  <c r="DM117" i="1"/>
  <c r="DL117" i="1"/>
  <c r="DK117" i="1"/>
  <c r="DJ117" i="1"/>
  <c r="DI117" i="1"/>
  <c r="DH117" i="1"/>
  <c r="DG117" i="1"/>
  <c r="DF117" i="1"/>
  <c r="DE117" i="1"/>
  <c r="DD117" i="1"/>
  <c r="DC117" i="1"/>
  <c r="DA117" i="1"/>
  <c r="CZ117" i="1"/>
  <c r="CY117" i="1"/>
  <c r="CX117" i="1"/>
  <c r="CW117" i="1"/>
  <c r="CV117" i="1"/>
  <c r="CU117" i="1"/>
  <c r="CT117" i="1"/>
  <c r="CS117" i="1"/>
  <c r="CR117" i="1"/>
  <c r="CQ117" i="1"/>
  <c r="CP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FO116" i="1"/>
  <c r="FB116" i="1"/>
  <c r="EO116" i="1"/>
  <c r="G39" i="3" s="1" a="1"/>
  <c r="G39" i="3" s="1"/>
  <c r="EB116" i="1"/>
  <c r="DO116" i="1"/>
  <c r="DB116" i="1"/>
  <c r="CO116" i="1"/>
  <c r="CB116" i="1"/>
  <c r="BO116" i="1"/>
  <c r="BB116" i="1"/>
  <c r="AO116" i="1"/>
  <c r="AB116" i="1"/>
  <c r="O116" i="1"/>
  <c r="FO115" i="1"/>
  <c r="FB115" i="1"/>
  <c r="EO115" i="1"/>
  <c r="G38" i="3" s="1" a="1"/>
  <c r="G38" i="3" s="1"/>
  <c r="EB115" i="1"/>
  <c r="DO115" i="1"/>
  <c r="DB115" i="1"/>
  <c r="CO115" i="1"/>
  <c r="CB115" i="1"/>
  <c r="BO115" i="1"/>
  <c r="BB115" i="1"/>
  <c r="AO115" i="1"/>
  <c r="AB115" i="1"/>
  <c r="O115" i="1"/>
  <c r="FO114" i="1"/>
  <c r="FB114" i="1"/>
  <c r="EO114" i="1"/>
  <c r="G37" i="3" s="1" a="1"/>
  <c r="G37" i="3" s="1"/>
  <c r="EB114" i="1"/>
  <c r="DO114" i="1"/>
  <c r="DB114" i="1"/>
  <c r="CO114" i="1"/>
  <c r="CB114" i="1"/>
  <c r="BO114" i="1"/>
  <c r="BB114" i="1"/>
  <c r="AO114" i="1"/>
  <c r="AB114" i="1"/>
  <c r="O114" i="1"/>
  <c r="FO113" i="1"/>
  <c r="FB113" i="1"/>
  <c r="EO113" i="1"/>
  <c r="G36" i="3" s="1" a="1"/>
  <c r="G36" i="3" s="1"/>
  <c r="EB113" i="1"/>
  <c r="DO113" i="1"/>
  <c r="DB113" i="1"/>
  <c r="CO113" i="1"/>
  <c r="CB113" i="1"/>
  <c r="BO113" i="1"/>
  <c r="BB113" i="1"/>
  <c r="AO113" i="1"/>
  <c r="AB113" i="1"/>
  <c r="O113" i="1"/>
  <c r="FO112" i="1"/>
  <c r="FB112" i="1"/>
  <c r="EO112" i="1"/>
  <c r="G35" i="3" s="1" a="1"/>
  <c r="G35" i="3" s="1"/>
  <c r="EB112" i="1"/>
  <c r="DO112" i="1"/>
  <c r="DB112" i="1"/>
  <c r="CO112" i="1"/>
  <c r="CB112" i="1"/>
  <c r="BO112" i="1"/>
  <c r="BB112" i="1"/>
  <c r="AO112" i="1"/>
  <c r="AB112" i="1"/>
  <c r="O112" i="1"/>
  <c r="FO111" i="1"/>
  <c r="FB111" i="1"/>
  <c r="EO111" i="1"/>
  <c r="G34" i="3" s="1" a="1"/>
  <c r="G34" i="3" s="1"/>
  <c r="EB111" i="1"/>
  <c r="DO111" i="1"/>
  <c r="DB111" i="1"/>
  <c r="CO111" i="1"/>
  <c r="CB111" i="1"/>
  <c r="BO111" i="1"/>
  <c r="BB111" i="1"/>
  <c r="AO111" i="1"/>
  <c r="AB111" i="1"/>
  <c r="O111" i="1"/>
  <c r="FO110" i="1"/>
  <c r="FB110" i="1"/>
  <c r="EO110" i="1"/>
  <c r="G33" i="3" s="1" a="1"/>
  <c r="G33" i="3" s="1"/>
  <c r="EB110" i="1"/>
  <c r="DO110" i="1"/>
  <c r="DB110" i="1"/>
  <c r="CO110" i="1"/>
  <c r="CB110" i="1"/>
  <c r="BO110" i="1"/>
  <c r="BB110" i="1"/>
  <c r="AO110" i="1"/>
  <c r="AB110" i="1"/>
  <c r="O110" i="1"/>
  <c r="FO109" i="1"/>
  <c r="FB109" i="1"/>
  <c r="EO109" i="1"/>
  <c r="G32" i="3" s="1" a="1"/>
  <c r="G32" i="3" s="1"/>
  <c r="EB109" i="1"/>
  <c r="DO109" i="1"/>
  <c r="DB109" i="1"/>
  <c r="CO109" i="1"/>
  <c r="CB109" i="1"/>
  <c r="BO109" i="1"/>
  <c r="BB109" i="1"/>
  <c r="AO109" i="1"/>
  <c r="AB109" i="1"/>
  <c r="O109" i="1"/>
  <c r="FO108" i="1"/>
  <c r="FB108" i="1"/>
  <c r="EO108" i="1"/>
  <c r="G31" i="3" s="1" a="1"/>
  <c r="G31" i="3" s="1"/>
  <c r="EB108" i="1"/>
  <c r="DO108" i="1"/>
  <c r="DB108" i="1"/>
  <c r="CO108" i="1"/>
  <c r="CB108" i="1"/>
  <c r="BO108" i="1"/>
  <c r="BB108" i="1"/>
  <c r="AO108" i="1"/>
  <c r="AB108" i="1"/>
  <c r="O108" i="1"/>
  <c r="FO107" i="1"/>
  <c r="FB107" i="1"/>
  <c r="EO107" i="1"/>
  <c r="G30" i="3" s="1" a="1"/>
  <c r="G30" i="3" s="1"/>
  <c r="EB107" i="1"/>
  <c r="DO107" i="1"/>
  <c r="DB107" i="1"/>
  <c r="CO107" i="1"/>
  <c r="CB107" i="1"/>
  <c r="BO107" i="1"/>
  <c r="BB107" i="1"/>
  <c r="AO107" i="1"/>
  <c r="AB107" i="1"/>
  <c r="O107" i="1"/>
  <c r="FO106" i="1"/>
  <c r="FB106" i="1"/>
  <c r="EO106" i="1"/>
  <c r="G29" i="3" s="1" a="1"/>
  <c r="G29" i="3" s="1"/>
  <c r="EB106" i="1"/>
  <c r="DO106" i="1"/>
  <c r="DB106" i="1"/>
  <c r="CO106" i="1"/>
  <c r="CB106" i="1"/>
  <c r="BO106" i="1"/>
  <c r="BB106" i="1"/>
  <c r="AO106" i="1"/>
  <c r="AB106" i="1"/>
  <c r="O106" i="1"/>
  <c r="FO105" i="1"/>
  <c r="FB105" i="1"/>
  <c r="EO105" i="1"/>
  <c r="G28" i="3" s="1" a="1"/>
  <c r="G28" i="3" s="1"/>
  <c r="EB105" i="1"/>
  <c r="DO105" i="1"/>
  <c r="DB105" i="1"/>
  <c r="CO105" i="1"/>
  <c r="CB105" i="1"/>
  <c r="BO105" i="1"/>
  <c r="BB105" i="1"/>
  <c r="AO105" i="1"/>
  <c r="AB105" i="1"/>
  <c r="O105" i="1"/>
  <c r="FO104" i="1"/>
  <c r="FB104" i="1"/>
  <c r="EO104" i="1"/>
  <c r="G27" i="3" s="1" a="1"/>
  <c r="G27" i="3" s="1"/>
  <c r="EB104" i="1"/>
  <c r="DO104" i="1"/>
  <c r="DB104" i="1"/>
  <c r="CO104" i="1"/>
  <c r="CB104" i="1"/>
  <c r="BO104" i="1"/>
  <c r="BB104" i="1"/>
  <c r="AO104" i="1"/>
  <c r="AB104" i="1"/>
  <c r="O104" i="1"/>
  <c r="FO103" i="1"/>
  <c r="FB103" i="1"/>
  <c r="EO103" i="1"/>
  <c r="G26" i="3" s="1" a="1"/>
  <c r="G26" i="3" s="1"/>
  <c r="EB103" i="1"/>
  <c r="DO103" i="1"/>
  <c r="DB103" i="1"/>
  <c r="CO103" i="1"/>
  <c r="CB103" i="1"/>
  <c r="BO103" i="1"/>
  <c r="BB103" i="1"/>
  <c r="AO103" i="1"/>
  <c r="AB103" i="1"/>
  <c r="O103" i="1"/>
  <c r="FO102" i="1"/>
  <c r="FB102" i="1"/>
  <c r="EO102" i="1"/>
  <c r="G25" i="3" s="1" a="1"/>
  <c r="G25" i="3" s="1"/>
  <c r="EB102" i="1"/>
  <c r="DO102" i="1"/>
  <c r="DB102" i="1"/>
  <c r="CO102" i="1"/>
  <c r="CB102" i="1"/>
  <c r="BO102" i="1"/>
  <c r="BB102" i="1"/>
  <c r="AO102" i="1"/>
  <c r="AB102" i="1"/>
  <c r="O102" i="1"/>
  <c r="FO101" i="1"/>
  <c r="FB101" i="1"/>
  <c r="EO101" i="1"/>
  <c r="G24" i="3" s="1" a="1"/>
  <c r="G24" i="3" s="1"/>
  <c r="EB101" i="1"/>
  <c r="DO101" i="1"/>
  <c r="DB101" i="1"/>
  <c r="CO101" i="1"/>
  <c r="CB101" i="1"/>
  <c r="BO101" i="1"/>
  <c r="BB101" i="1"/>
  <c r="AO101" i="1"/>
  <c r="AB101" i="1"/>
  <c r="O101" i="1"/>
  <c r="FO100" i="1"/>
  <c r="FB100" i="1"/>
  <c r="EO100" i="1"/>
  <c r="G23" i="3" s="1" a="1"/>
  <c r="G23" i="3" s="1"/>
  <c r="EB100" i="1"/>
  <c r="DO100" i="1"/>
  <c r="DB100" i="1"/>
  <c r="CO100" i="1"/>
  <c r="CB100" i="1"/>
  <c r="BO100" i="1"/>
  <c r="BB100" i="1"/>
  <c r="AO100" i="1"/>
  <c r="AB100" i="1"/>
  <c r="O100" i="1"/>
  <c r="FO99" i="1"/>
  <c r="FB99" i="1"/>
  <c r="EO99" i="1"/>
  <c r="G22" i="3" s="1" a="1"/>
  <c r="G22" i="3" s="1"/>
  <c r="EB99" i="1"/>
  <c r="DO99" i="1"/>
  <c r="DB99" i="1"/>
  <c r="CO99" i="1"/>
  <c r="CB99" i="1"/>
  <c r="CB117" i="1" s="1"/>
  <c r="BO99" i="1"/>
  <c r="BB99" i="1"/>
  <c r="AO99" i="1"/>
  <c r="AB99" i="1"/>
  <c r="O99" i="1"/>
  <c r="FN95" i="1"/>
  <c r="FM95" i="1"/>
  <c r="FL95" i="1"/>
  <c r="FK95" i="1"/>
  <c r="FJ95" i="1"/>
  <c r="FI95" i="1"/>
  <c r="FH95" i="1"/>
  <c r="FG95" i="1"/>
  <c r="FF95" i="1"/>
  <c r="FE95" i="1"/>
  <c r="FD95" i="1"/>
  <c r="FC95" i="1"/>
  <c r="FA95" i="1"/>
  <c r="EZ95" i="1"/>
  <c r="EY95" i="1"/>
  <c r="EX95" i="1"/>
  <c r="EW95" i="1"/>
  <c r="EV95" i="1"/>
  <c r="EU95" i="1"/>
  <c r="ET95" i="1"/>
  <c r="ES95" i="1"/>
  <c r="ER95" i="1"/>
  <c r="EQ95" i="1"/>
  <c r="EP95" i="1"/>
  <c r="EN95" i="1"/>
  <c r="EM95" i="1"/>
  <c r="EL95" i="1"/>
  <c r="EK95" i="1"/>
  <c r="EJ95" i="1"/>
  <c r="EI95" i="1"/>
  <c r="EH95" i="1"/>
  <c r="EG95" i="1"/>
  <c r="EF95" i="1"/>
  <c r="EE95" i="1"/>
  <c r="ED95" i="1"/>
  <c r="EC95" i="1"/>
  <c r="EA95" i="1"/>
  <c r="DZ95" i="1"/>
  <c r="DY95" i="1"/>
  <c r="DX95" i="1"/>
  <c r="DW95" i="1"/>
  <c r="DV95" i="1"/>
  <c r="DU95" i="1"/>
  <c r="DT95" i="1"/>
  <c r="DS95" i="1"/>
  <c r="DR95" i="1"/>
  <c r="DQ95" i="1"/>
  <c r="DP95" i="1"/>
  <c r="DN95" i="1"/>
  <c r="DM95" i="1"/>
  <c r="DL95" i="1"/>
  <c r="DK95" i="1"/>
  <c r="DJ95" i="1"/>
  <c r="DI95" i="1"/>
  <c r="DH95" i="1"/>
  <c r="DG95" i="1"/>
  <c r="DF95" i="1"/>
  <c r="DE95" i="1"/>
  <c r="DD95" i="1"/>
  <c r="DC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A95" i="1"/>
  <c r="Z95" i="1"/>
  <c r="Y95" i="1"/>
  <c r="X95" i="1"/>
  <c r="W95" i="1"/>
  <c r="V95" i="1"/>
  <c r="U95" i="1"/>
  <c r="T95" i="1"/>
  <c r="S95" i="1"/>
  <c r="R95" i="1"/>
  <c r="Q95" i="1"/>
  <c r="P95" i="1"/>
  <c r="N95" i="1"/>
  <c r="M95" i="1"/>
  <c r="L95" i="1"/>
  <c r="K95" i="1"/>
  <c r="J95" i="1"/>
  <c r="I95" i="1"/>
  <c r="H95" i="1"/>
  <c r="G95" i="1"/>
  <c r="F95" i="1"/>
  <c r="E95" i="1"/>
  <c r="D95" i="1"/>
  <c r="C95" i="1"/>
  <c r="FO94" i="1"/>
  <c r="FB94" i="1"/>
  <c r="EO94" i="1"/>
  <c r="EB94" i="1"/>
  <c r="DO94" i="1"/>
  <c r="DB94" i="1"/>
  <c r="CO94" i="1"/>
  <c r="CB94" i="1"/>
  <c r="BO94" i="1"/>
  <c r="BB94" i="1"/>
  <c r="AO94" i="1"/>
  <c r="AB94" i="1"/>
  <c r="O94" i="1"/>
  <c r="FO93" i="1"/>
  <c r="FB93" i="1"/>
  <c r="EO93" i="1"/>
  <c r="EB93" i="1"/>
  <c r="DO93" i="1"/>
  <c r="DB93" i="1"/>
  <c r="CO93" i="1"/>
  <c r="CB93" i="1"/>
  <c r="BO93" i="1"/>
  <c r="BB93" i="1"/>
  <c r="AO93" i="1"/>
  <c r="AB93" i="1"/>
  <c r="O93" i="1"/>
  <c r="FO92" i="1"/>
  <c r="FB92" i="1"/>
  <c r="EO92" i="1"/>
  <c r="EB92" i="1"/>
  <c r="DO92" i="1"/>
  <c r="DB92" i="1"/>
  <c r="CO92" i="1"/>
  <c r="CB92" i="1"/>
  <c r="BO92" i="1"/>
  <c r="BB92" i="1"/>
  <c r="AO92" i="1"/>
  <c r="AB92" i="1"/>
  <c r="O92" i="1"/>
  <c r="FO91" i="1"/>
  <c r="FB91" i="1"/>
  <c r="EO91" i="1"/>
  <c r="EB91" i="1"/>
  <c r="DO91" i="1"/>
  <c r="DB91" i="1"/>
  <c r="CO91" i="1"/>
  <c r="CB91" i="1"/>
  <c r="BO91" i="1"/>
  <c r="BB91" i="1"/>
  <c r="AO91" i="1"/>
  <c r="AB91" i="1"/>
  <c r="O91" i="1"/>
  <c r="FO90" i="1"/>
  <c r="FB90" i="1"/>
  <c r="EO90" i="1"/>
  <c r="EB90" i="1"/>
  <c r="DO90" i="1"/>
  <c r="DB90" i="1"/>
  <c r="CO90" i="1"/>
  <c r="CB90" i="1"/>
  <c r="BO90" i="1"/>
  <c r="BB90" i="1"/>
  <c r="AO90" i="1"/>
  <c r="AB90" i="1"/>
  <c r="O90" i="1"/>
  <c r="FO89" i="1"/>
  <c r="FB89" i="1"/>
  <c r="EO89" i="1"/>
  <c r="EB89" i="1"/>
  <c r="DO89" i="1"/>
  <c r="DB89" i="1"/>
  <c r="CO89" i="1"/>
  <c r="CB89" i="1"/>
  <c r="BO89" i="1"/>
  <c r="BB89" i="1"/>
  <c r="AO89" i="1"/>
  <c r="AB89" i="1"/>
  <c r="O89" i="1"/>
  <c r="FO88" i="1"/>
  <c r="FB88" i="1"/>
  <c r="EO88" i="1"/>
  <c r="EB88" i="1"/>
  <c r="DO88" i="1"/>
  <c r="DB88" i="1"/>
  <c r="CO88" i="1"/>
  <c r="CB88" i="1"/>
  <c r="BO88" i="1"/>
  <c r="BB88" i="1"/>
  <c r="AO88" i="1"/>
  <c r="AB88" i="1"/>
  <c r="O88" i="1"/>
  <c r="FO87" i="1"/>
  <c r="FB87" i="1"/>
  <c r="EO87" i="1"/>
  <c r="EB87" i="1"/>
  <c r="DO87" i="1"/>
  <c r="DB87" i="1"/>
  <c r="CO87" i="1"/>
  <c r="CB87" i="1"/>
  <c r="BO87" i="1"/>
  <c r="BB87" i="1"/>
  <c r="AO87" i="1"/>
  <c r="AB87" i="1"/>
  <c r="O87" i="1"/>
  <c r="FO86" i="1"/>
  <c r="FB86" i="1"/>
  <c r="EO86" i="1"/>
  <c r="EB86" i="1"/>
  <c r="DO86" i="1"/>
  <c r="DB86" i="1"/>
  <c r="CO86" i="1"/>
  <c r="CB86" i="1"/>
  <c r="BO86" i="1"/>
  <c r="BB86" i="1"/>
  <c r="AO86" i="1"/>
  <c r="AB86" i="1"/>
  <c r="O86" i="1"/>
  <c r="FO85" i="1"/>
  <c r="FB85" i="1"/>
  <c r="EO85" i="1"/>
  <c r="EB85" i="1"/>
  <c r="DO85" i="1"/>
  <c r="DB85" i="1"/>
  <c r="CO85" i="1"/>
  <c r="CB85" i="1"/>
  <c r="BO85" i="1"/>
  <c r="BB85" i="1"/>
  <c r="AO85" i="1"/>
  <c r="AB85" i="1"/>
  <c r="O85" i="1"/>
  <c r="FO84" i="1"/>
  <c r="FB84" i="1"/>
  <c r="EO84" i="1"/>
  <c r="EB84" i="1"/>
  <c r="DO84" i="1"/>
  <c r="DB84" i="1"/>
  <c r="CO84" i="1"/>
  <c r="CB84" i="1"/>
  <c r="BO84" i="1"/>
  <c r="BB84" i="1"/>
  <c r="AO84" i="1"/>
  <c r="AB84" i="1"/>
  <c r="O84" i="1"/>
  <c r="FO83" i="1"/>
  <c r="FO95" i="1" s="1"/>
  <c r="FB83" i="1"/>
  <c r="EO83" i="1"/>
  <c r="EB83" i="1"/>
  <c r="DO83" i="1"/>
  <c r="DB83" i="1"/>
  <c r="CO83" i="1"/>
  <c r="CB83" i="1"/>
  <c r="BO83" i="1"/>
  <c r="BB83" i="1"/>
  <c r="AO83" i="1"/>
  <c r="AB83" i="1"/>
  <c r="O83" i="1"/>
  <c r="O95" i="1" s="1"/>
  <c r="FO82" i="1"/>
  <c r="FB82" i="1"/>
  <c r="EO82" i="1"/>
  <c r="EB82" i="1"/>
  <c r="DO82" i="1"/>
  <c r="DB82" i="1"/>
  <c r="CO82" i="1"/>
  <c r="CB82" i="1"/>
  <c r="BO82" i="1"/>
  <c r="BB82" i="1"/>
  <c r="AO82" i="1"/>
  <c r="AB82" i="1"/>
  <c r="AB95" i="1" s="1"/>
  <c r="O82" i="1"/>
  <c r="FO81" i="1"/>
  <c r="FB81" i="1"/>
  <c r="EO81" i="1"/>
  <c r="EB81" i="1"/>
  <c r="DO81" i="1"/>
  <c r="DB81" i="1"/>
  <c r="CO81" i="1"/>
  <c r="CB81" i="1"/>
  <c r="BO81" i="1"/>
  <c r="BB81" i="1"/>
  <c r="AO81" i="1"/>
  <c r="AB81" i="1"/>
  <c r="O81" i="1"/>
  <c r="FO80" i="1"/>
  <c r="FB80" i="1"/>
  <c r="EO80" i="1"/>
  <c r="EB80" i="1"/>
  <c r="DO80" i="1"/>
  <c r="DB80" i="1"/>
  <c r="CO80" i="1"/>
  <c r="CB80" i="1"/>
  <c r="BO80" i="1"/>
  <c r="BB80" i="1"/>
  <c r="AO80" i="1"/>
  <c r="AB80" i="1"/>
  <c r="O80" i="1"/>
  <c r="FO79" i="1"/>
  <c r="FB79" i="1"/>
  <c r="EO79" i="1"/>
  <c r="EB79" i="1"/>
  <c r="DO79" i="1"/>
  <c r="DB79" i="1"/>
  <c r="CO79" i="1"/>
  <c r="CB79" i="1"/>
  <c r="BO79" i="1"/>
  <c r="BO95" i="1" s="1"/>
  <c r="BB79" i="1"/>
  <c r="AO79" i="1"/>
  <c r="AB79" i="1"/>
  <c r="O79" i="1"/>
  <c r="FO78" i="1"/>
  <c r="FB78" i="1"/>
  <c r="EO78" i="1"/>
  <c r="EB78" i="1"/>
  <c r="DO78" i="1"/>
  <c r="DB78" i="1"/>
  <c r="CO78" i="1"/>
  <c r="CB78" i="1"/>
  <c r="CB95" i="1" s="1"/>
  <c r="BO78" i="1"/>
  <c r="BB78" i="1"/>
  <c r="AO78" i="1"/>
  <c r="AB78" i="1"/>
  <c r="O78" i="1"/>
  <c r="FO77" i="1"/>
  <c r="FB77" i="1"/>
  <c r="EO77" i="1"/>
  <c r="EB77" i="1"/>
  <c r="DO77" i="1"/>
  <c r="DB77" i="1"/>
  <c r="CO77" i="1"/>
  <c r="CO95" i="1" s="1"/>
  <c r="CB77" i="1"/>
  <c r="BO77" i="1"/>
  <c r="BB77" i="1"/>
  <c r="AO77" i="1"/>
  <c r="AB77" i="1"/>
  <c r="O77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A70" i="1"/>
  <c r="Z70" i="1"/>
  <c r="Y70" i="1"/>
  <c r="X70" i="1"/>
  <c r="W70" i="1"/>
  <c r="V70" i="1"/>
  <c r="U70" i="1"/>
  <c r="T70" i="1"/>
  <c r="S70" i="1"/>
  <c r="R70" i="1"/>
  <c r="Q70" i="1"/>
  <c r="P70" i="1"/>
  <c r="N70" i="1"/>
  <c r="M70" i="1"/>
  <c r="L70" i="1"/>
  <c r="K70" i="1"/>
  <c r="J70" i="1"/>
  <c r="I70" i="1"/>
  <c r="H70" i="1"/>
  <c r="G70" i="1"/>
  <c r="F70" i="1"/>
  <c r="E70" i="1"/>
  <c r="D70" i="1"/>
  <c r="C70" i="1"/>
  <c r="FO69" i="1"/>
  <c r="FB69" i="1"/>
  <c r="EO69" i="1"/>
  <c r="F39" i="3" s="1" a="1"/>
  <c r="F39" i="3" s="1"/>
  <c r="EB69" i="1"/>
  <c r="DO69" i="1"/>
  <c r="DB69" i="1"/>
  <c r="CO69" i="1"/>
  <c r="CB69" i="1"/>
  <c r="BO69" i="1"/>
  <c r="BB69" i="1"/>
  <c r="AO69" i="1"/>
  <c r="AB69" i="1"/>
  <c r="O69" i="1"/>
  <c r="FO68" i="1"/>
  <c r="FB68" i="1"/>
  <c r="EO68" i="1"/>
  <c r="F38" i="3" s="1" a="1"/>
  <c r="F38" i="3" s="1"/>
  <c r="EB68" i="1"/>
  <c r="DO68" i="1"/>
  <c r="DB68" i="1"/>
  <c r="CO68" i="1"/>
  <c r="CB68" i="1"/>
  <c r="BO68" i="1"/>
  <c r="BB68" i="1"/>
  <c r="AO68" i="1"/>
  <c r="AB68" i="1"/>
  <c r="O68" i="1"/>
  <c r="FO67" i="1"/>
  <c r="FB67" i="1"/>
  <c r="EO67" i="1"/>
  <c r="F37" i="3" s="1" a="1"/>
  <c r="F37" i="3" s="1"/>
  <c r="EB67" i="1"/>
  <c r="DO67" i="1"/>
  <c r="DB67" i="1"/>
  <c r="CO67" i="1"/>
  <c r="CB67" i="1"/>
  <c r="BO67" i="1"/>
  <c r="BB67" i="1"/>
  <c r="AO67" i="1"/>
  <c r="AB67" i="1"/>
  <c r="O67" i="1"/>
  <c r="FO66" i="1"/>
  <c r="FB66" i="1"/>
  <c r="EO66" i="1"/>
  <c r="F36" i="3" s="1" a="1"/>
  <c r="F36" i="3" s="1"/>
  <c r="EB66" i="1"/>
  <c r="DO66" i="1"/>
  <c r="DB66" i="1"/>
  <c r="CO66" i="1"/>
  <c r="CB66" i="1"/>
  <c r="BO66" i="1"/>
  <c r="BB66" i="1"/>
  <c r="AO66" i="1"/>
  <c r="AB66" i="1"/>
  <c r="O66" i="1"/>
  <c r="FO65" i="1"/>
  <c r="FB65" i="1"/>
  <c r="EO65" i="1"/>
  <c r="F35" i="3" s="1" a="1"/>
  <c r="F35" i="3" s="1"/>
  <c r="EB65" i="1"/>
  <c r="DO65" i="1"/>
  <c r="DB65" i="1"/>
  <c r="CO65" i="1"/>
  <c r="CB65" i="1"/>
  <c r="BO65" i="1"/>
  <c r="BB65" i="1"/>
  <c r="AO65" i="1"/>
  <c r="AB65" i="1"/>
  <c r="O65" i="1"/>
  <c r="FO64" i="1"/>
  <c r="FB64" i="1"/>
  <c r="EO64" i="1"/>
  <c r="F34" i="3" s="1" a="1"/>
  <c r="F34" i="3" s="1"/>
  <c r="EB64" i="1"/>
  <c r="DO64" i="1"/>
  <c r="DB64" i="1"/>
  <c r="CO64" i="1"/>
  <c r="CB64" i="1"/>
  <c r="BO64" i="1"/>
  <c r="BB64" i="1"/>
  <c r="AO64" i="1"/>
  <c r="AB64" i="1"/>
  <c r="O64" i="1"/>
  <c r="FO63" i="1"/>
  <c r="FB63" i="1"/>
  <c r="EO63" i="1"/>
  <c r="F33" i="3" s="1" a="1"/>
  <c r="F33" i="3" s="1"/>
  <c r="EB63" i="1"/>
  <c r="DO63" i="1"/>
  <c r="DB63" i="1"/>
  <c r="CO63" i="1"/>
  <c r="CB63" i="1"/>
  <c r="BO63" i="1"/>
  <c r="BB63" i="1"/>
  <c r="AO63" i="1"/>
  <c r="AB63" i="1"/>
  <c r="O63" i="1"/>
  <c r="FO62" i="1"/>
  <c r="FB62" i="1"/>
  <c r="EO62" i="1"/>
  <c r="F32" i="3" s="1" a="1"/>
  <c r="F32" i="3" s="1"/>
  <c r="EB62" i="1"/>
  <c r="DO62" i="1"/>
  <c r="DB62" i="1"/>
  <c r="CO62" i="1"/>
  <c r="CB62" i="1"/>
  <c r="BO62" i="1"/>
  <c r="BB62" i="1"/>
  <c r="AO62" i="1"/>
  <c r="AB62" i="1"/>
  <c r="O62" i="1"/>
  <c r="FO61" i="1"/>
  <c r="FB61" i="1"/>
  <c r="EO61" i="1"/>
  <c r="F31" i="3" s="1" a="1"/>
  <c r="F31" i="3" s="1"/>
  <c r="EB61" i="1"/>
  <c r="DO61" i="1"/>
  <c r="DB61" i="1"/>
  <c r="CO61" i="1"/>
  <c r="CB61" i="1"/>
  <c r="BO61" i="1"/>
  <c r="BB61" i="1"/>
  <c r="AO61" i="1"/>
  <c r="AB61" i="1"/>
  <c r="O61" i="1"/>
  <c r="FO60" i="1"/>
  <c r="FB60" i="1"/>
  <c r="EO60" i="1"/>
  <c r="F30" i="3" s="1" a="1"/>
  <c r="F30" i="3" s="1"/>
  <c r="EB60" i="1"/>
  <c r="DO60" i="1"/>
  <c r="DB60" i="1"/>
  <c r="CO60" i="1"/>
  <c r="CB60" i="1"/>
  <c r="BO60" i="1"/>
  <c r="BB60" i="1"/>
  <c r="AO60" i="1"/>
  <c r="AB60" i="1"/>
  <c r="O60" i="1"/>
  <c r="FO59" i="1"/>
  <c r="FB59" i="1"/>
  <c r="EO59" i="1"/>
  <c r="F29" i="3" s="1" a="1"/>
  <c r="F29" i="3" s="1"/>
  <c r="EB59" i="1"/>
  <c r="DO59" i="1"/>
  <c r="DB59" i="1"/>
  <c r="CO59" i="1"/>
  <c r="CB59" i="1"/>
  <c r="BO59" i="1"/>
  <c r="BB59" i="1"/>
  <c r="AO59" i="1"/>
  <c r="AB59" i="1"/>
  <c r="O59" i="1"/>
  <c r="FO58" i="1"/>
  <c r="FB58" i="1"/>
  <c r="EO58" i="1"/>
  <c r="F28" i="3" s="1" a="1"/>
  <c r="F28" i="3" s="1"/>
  <c r="EB58" i="1"/>
  <c r="DO58" i="1"/>
  <c r="DB58" i="1"/>
  <c r="CO58" i="1"/>
  <c r="CB58" i="1"/>
  <c r="BO58" i="1"/>
  <c r="BB58" i="1"/>
  <c r="AO58" i="1"/>
  <c r="AB58" i="1"/>
  <c r="O58" i="1"/>
  <c r="FO57" i="1"/>
  <c r="FB57" i="1"/>
  <c r="EO57" i="1"/>
  <c r="F27" i="3" s="1" a="1"/>
  <c r="F27" i="3" s="1"/>
  <c r="EB57" i="1"/>
  <c r="DO57" i="1"/>
  <c r="DB57" i="1"/>
  <c r="CO57" i="1"/>
  <c r="CB57" i="1"/>
  <c r="BO57" i="1"/>
  <c r="BB57" i="1"/>
  <c r="AO57" i="1"/>
  <c r="AB57" i="1"/>
  <c r="O57" i="1"/>
  <c r="FO56" i="1"/>
  <c r="FB56" i="1"/>
  <c r="EO56" i="1"/>
  <c r="F26" i="3" s="1" a="1"/>
  <c r="F26" i="3" s="1"/>
  <c r="EB56" i="1"/>
  <c r="DO56" i="1"/>
  <c r="DB56" i="1"/>
  <c r="CO56" i="1"/>
  <c r="CB56" i="1"/>
  <c r="BO56" i="1"/>
  <c r="BB56" i="1"/>
  <c r="AO56" i="1"/>
  <c r="AB56" i="1"/>
  <c r="O56" i="1"/>
  <c r="FO55" i="1"/>
  <c r="FB55" i="1"/>
  <c r="EO55" i="1"/>
  <c r="F25" i="3" s="1" a="1"/>
  <c r="F25" i="3" s="1"/>
  <c r="EB55" i="1"/>
  <c r="DO55" i="1"/>
  <c r="DB55" i="1"/>
  <c r="CO55" i="1"/>
  <c r="CB55" i="1"/>
  <c r="BO55" i="1"/>
  <c r="BB55" i="1"/>
  <c r="AO55" i="1"/>
  <c r="AB55" i="1"/>
  <c r="O55" i="1"/>
  <c r="FO54" i="1"/>
  <c r="FB54" i="1"/>
  <c r="EO54" i="1"/>
  <c r="F24" i="3" s="1" a="1"/>
  <c r="F24" i="3" s="1"/>
  <c r="EB54" i="1"/>
  <c r="DO54" i="1"/>
  <c r="DB54" i="1"/>
  <c r="CO54" i="1"/>
  <c r="CB54" i="1"/>
  <c r="BO54" i="1"/>
  <c r="BB54" i="1"/>
  <c r="AO54" i="1"/>
  <c r="AB54" i="1"/>
  <c r="O54" i="1"/>
  <c r="FO53" i="1"/>
  <c r="FB53" i="1"/>
  <c r="EO53" i="1"/>
  <c r="F23" i="3" s="1" a="1"/>
  <c r="F23" i="3" s="1"/>
  <c r="EB53" i="1"/>
  <c r="DO53" i="1"/>
  <c r="DB53" i="1"/>
  <c r="CO53" i="1"/>
  <c r="CB53" i="1"/>
  <c r="BO53" i="1"/>
  <c r="BB53" i="1"/>
  <c r="AO53" i="1"/>
  <c r="AB53" i="1"/>
  <c r="O53" i="1"/>
  <c r="FO52" i="1"/>
  <c r="FB52" i="1"/>
  <c r="EO52" i="1"/>
  <c r="F22" i="3" s="1" a="1"/>
  <c r="F22" i="3" s="1"/>
  <c r="EB52" i="1"/>
  <c r="DO52" i="1"/>
  <c r="DB52" i="1"/>
  <c r="CO52" i="1"/>
  <c r="CB52" i="1"/>
  <c r="BO52" i="1"/>
  <c r="BB52" i="1"/>
  <c r="AO52" i="1"/>
  <c r="AB52" i="1"/>
  <c r="AB70" i="1" s="1"/>
  <c r="O52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A48" i="1"/>
  <c r="Z48" i="1"/>
  <c r="Y48" i="1"/>
  <c r="X48" i="1"/>
  <c r="W48" i="1"/>
  <c r="V48" i="1"/>
  <c r="U48" i="1"/>
  <c r="T48" i="1"/>
  <c r="S48" i="1"/>
  <c r="R48" i="1"/>
  <c r="Q48" i="1"/>
  <c r="P48" i="1"/>
  <c r="N48" i="1"/>
  <c r="M48" i="1"/>
  <c r="L48" i="1"/>
  <c r="K48" i="1"/>
  <c r="J48" i="1"/>
  <c r="I48" i="1"/>
  <c r="H48" i="1"/>
  <c r="G48" i="1"/>
  <c r="F48" i="1"/>
  <c r="E48" i="1"/>
  <c r="D48" i="1"/>
  <c r="C48" i="1"/>
  <c r="FO47" i="1"/>
  <c r="FB47" i="1"/>
  <c r="EO47" i="1"/>
  <c r="E39" i="3" s="1" a="1"/>
  <c r="E39" i="3" s="1"/>
  <c r="EB47" i="1"/>
  <c r="DO47" i="1"/>
  <c r="DB47" i="1"/>
  <c r="CO47" i="1"/>
  <c r="CB47" i="1"/>
  <c r="BO47" i="1"/>
  <c r="BB47" i="1"/>
  <c r="AO47" i="1"/>
  <c r="AB47" i="1"/>
  <c r="O47" i="1"/>
  <c r="FO46" i="1"/>
  <c r="FB46" i="1"/>
  <c r="EO46" i="1"/>
  <c r="E38" i="3" s="1" a="1"/>
  <c r="E38" i="3" s="1"/>
  <c r="EB46" i="1"/>
  <c r="DO46" i="1"/>
  <c r="DB46" i="1"/>
  <c r="CO46" i="1"/>
  <c r="CB46" i="1"/>
  <c r="BO46" i="1"/>
  <c r="BB46" i="1"/>
  <c r="AO46" i="1"/>
  <c r="AB46" i="1"/>
  <c r="O46" i="1"/>
  <c r="FO45" i="1"/>
  <c r="FB45" i="1"/>
  <c r="EO45" i="1"/>
  <c r="E37" i="3" s="1" a="1"/>
  <c r="E37" i="3" s="1"/>
  <c r="EB45" i="1"/>
  <c r="DO45" i="1"/>
  <c r="DB45" i="1"/>
  <c r="CO45" i="1"/>
  <c r="CB45" i="1"/>
  <c r="BO45" i="1"/>
  <c r="BB45" i="1"/>
  <c r="AO45" i="1"/>
  <c r="AB45" i="1"/>
  <c r="O45" i="1"/>
  <c r="FO44" i="1"/>
  <c r="FB44" i="1"/>
  <c r="EO44" i="1"/>
  <c r="E36" i="3" s="1" a="1"/>
  <c r="E36" i="3" s="1"/>
  <c r="EB44" i="1"/>
  <c r="DO44" i="1"/>
  <c r="DB44" i="1"/>
  <c r="CO44" i="1"/>
  <c r="CB44" i="1"/>
  <c r="BO44" i="1"/>
  <c r="BB44" i="1"/>
  <c r="AO44" i="1"/>
  <c r="AB44" i="1"/>
  <c r="O44" i="1"/>
  <c r="FO43" i="1"/>
  <c r="FB43" i="1"/>
  <c r="EO43" i="1"/>
  <c r="E35" i="3" s="1" a="1"/>
  <c r="E35" i="3" s="1"/>
  <c r="EB43" i="1"/>
  <c r="DO43" i="1"/>
  <c r="DB43" i="1"/>
  <c r="CO43" i="1"/>
  <c r="CB43" i="1"/>
  <c r="BO43" i="1"/>
  <c r="BB43" i="1"/>
  <c r="AO43" i="1"/>
  <c r="AB43" i="1"/>
  <c r="O43" i="1"/>
  <c r="FO42" i="1"/>
  <c r="FB42" i="1"/>
  <c r="EO42" i="1"/>
  <c r="E34" i="3" s="1" a="1"/>
  <c r="E34" i="3" s="1"/>
  <c r="EB42" i="1"/>
  <c r="DO42" i="1"/>
  <c r="DB42" i="1"/>
  <c r="CO42" i="1"/>
  <c r="CB42" i="1"/>
  <c r="BO42" i="1"/>
  <c r="BB42" i="1"/>
  <c r="AO42" i="1"/>
  <c r="AB42" i="1"/>
  <c r="O42" i="1"/>
  <c r="FO41" i="1"/>
  <c r="FB41" i="1"/>
  <c r="EO41" i="1"/>
  <c r="E33" i="3" s="1" a="1"/>
  <c r="E33" i="3" s="1"/>
  <c r="EB41" i="1"/>
  <c r="DO41" i="1"/>
  <c r="DB41" i="1"/>
  <c r="CO41" i="1"/>
  <c r="CB41" i="1"/>
  <c r="BO41" i="1"/>
  <c r="BB41" i="1"/>
  <c r="AO41" i="1"/>
  <c r="AB41" i="1"/>
  <c r="O41" i="1"/>
  <c r="FO40" i="1"/>
  <c r="FB40" i="1"/>
  <c r="EO40" i="1"/>
  <c r="E32" i="3" s="1" a="1"/>
  <c r="E32" i="3" s="1"/>
  <c r="EB40" i="1"/>
  <c r="DO40" i="1"/>
  <c r="DB40" i="1"/>
  <c r="CO40" i="1"/>
  <c r="CB40" i="1"/>
  <c r="BO40" i="1"/>
  <c r="BB40" i="1"/>
  <c r="AO40" i="1"/>
  <c r="AB40" i="1"/>
  <c r="O40" i="1"/>
  <c r="FO39" i="1"/>
  <c r="FB39" i="1"/>
  <c r="EO39" i="1"/>
  <c r="E31" i="3" s="1" a="1"/>
  <c r="E31" i="3" s="1"/>
  <c r="EB39" i="1"/>
  <c r="DO39" i="1"/>
  <c r="DB39" i="1"/>
  <c r="CO39" i="1"/>
  <c r="CB39" i="1"/>
  <c r="BO39" i="1"/>
  <c r="BB39" i="1"/>
  <c r="AO39" i="1"/>
  <c r="AB39" i="1"/>
  <c r="O39" i="1"/>
  <c r="FO38" i="1"/>
  <c r="FB38" i="1"/>
  <c r="EO38" i="1"/>
  <c r="E30" i="3" s="1" a="1"/>
  <c r="E30" i="3" s="1"/>
  <c r="EB38" i="1"/>
  <c r="DO38" i="1"/>
  <c r="DB38" i="1"/>
  <c r="CO38" i="1"/>
  <c r="CB38" i="1"/>
  <c r="BO38" i="1"/>
  <c r="BB38" i="1"/>
  <c r="AO38" i="1"/>
  <c r="AB38" i="1"/>
  <c r="O38" i="1"/>
  <c r="FO37" i="1"/>
  <c r="FB37" i="1"/>
  <c r="EO37" i="1"/>
  <c r="E29" i="3" s="1" a="1"/>
  <c r="E29" i="3" s="1"/>
  <c r="EB37" i="1"/>
  <c r="DO37" i="1"/>
  <c r="DB37" i="1"/>
  <c r="CO37" i="1"/>
  <c r="CB37" i="1"/>
  <c r="BO37" i="1"/>
  <c r="BB37" i="1"/>
  <c r="AO37" i="1"/>
  <c r="AB37" i="1"/>
  <c r="O37" i="1"/>
  <c r="FO36" i="1"/>
  <c r="FB36" i="1"/>
  <c r="EO36" i="1"/>
  <c r="E28" i="3" s="1" a="1"/>
  <c r="E28" i="3" s="1"/>
  <c r="EB36" i="1"/>
  <c r="DO36" i="1"/>
  <c r="DB36" i="1"/>
  <c r="CO36" i="1"/>
  <c r="CB36" i="1"/>
  <c r="BO36" i="1"/>
  <c r="BB36" i="1"/>
  <c r="AO36" i="1"/>
  <c r="AB36" i="1"/>
  <c r="O36" i="1"/>
  <c r="FO35" i="1"/>
  <c r="FB35" i="1"/>
  <c r="EO35" i="1"/>
  <c r="E27" i="3" s="1" a="1"/>
  <c r="E27" i="3" s="1"/>
  <c r="EB35" i="1"/>
  <c r="DO35" i="1"/>
  <c r="DB35" i="1"/>
  <c r="CO35" i="1"/>
  <c r="CB35" i="1"/>
  <c r="BO35" i="1"/>
  <c r="BB35" i="1"/>
  <c r="AO35" i="1"/>
  <c r="AB35" i="1"/>
  <c r="O35" i="1"/>
  <c r="FO34" i="1"/>
  <c r="FB34" i="1"/>
  <c r="EO34" i="1"/>
  <c r="E26" i="3" s="1" a="1"/>
  <c r="E26" i="3" s="1"/>
  <c r="EB34" i="1"/>
  <c r="DO34" i="1"/>
  <c r="DB34" i="1"/>
  <c r="CO34" i="1"/>
  <c r="CB34" i="1"/>
  <c r="BO34" i="1"/>
  <c r="BB34" i="1"/>
  <c r="AO34" i="1"/>
  <c r="AB34" i="1"/>
  <c r="O34" i="1"/>
  <c r="FO33" i="1"/>
  <c r="FB33" i="1"/>
  <c r="EO33" i="1"/>
  <c r="E25" i="3" s="1" a="1"/>
  <c r="E25" i="3" s="1"/>
  <c r="EB33" i="1"/>
  <c r="DO33" i="1"/>
  <c r="DB33" i="1"/>
  <c r="CO33" i="1"/>
  <c r="CB33" i="1"/>
  <c r="BO33" i="1"/>
  <c r="BB33" i="1"/>
  <c r="AO33" i="1"/>
  <c r="AB33" i="1"/>
  <c r="O33" i="1"/>
  <c r="FO32" i="1"/>
  <c r="FB32" i="1"/>
  <c r="EO32" i="1"/>
  <c r="E24" i="3" s="1" a="1"/>
  <c r="E24" i="3" s="1"/>
  <c r="EB32" i="1"/>
  <c r="DO32" i="1"/>
  <c r="DB32" i="1"/>
  <c r="CO32" i="1"/>
  <c r="CB32" i="1"/>
  <c r="BO32" i="1"/>
  <c r="BB32" i="1"/>
  <c r="AO32" i="1"/>
  <c r="AB32" i="1"/>
  <c r="O32" i="1"/>
  <c r="FO31" i="1"/>
  <c r="FB31" i="1"/>
  <c r="EO31" i="1"/>
  <c r="E23" i="3" s="1" a="1"/>
  <c r="E23" i="3" s="1"/>
  <c r="EB31" i="1"/>
  <c r="DO31" i="1"/>
  <c r="DB31" i="1"/>
  <c r="CO31" i="1"/>
  <c r="CB31" i="1"/>
  <c r="BO31" i="1"/>
  <c r="BB31" i="1"/>
  <c r="AO31" i="1"/>
  <c r="AB31" i="1"/>
  <c r="O31" i="1"/>
  <c r="FO30" i="1"/>
  <c r="FB30" i="1"/>
  <c r="EO30" i="1"/>
  <c r="E22" i="3" s="1" a="1"/>
  <c r="E22" i="3" s="1"/>
  <c r="EB30" i="1"/>
  <c r="DO30" i="1"/>
  <c r="DB30" i="1"/>
  <c r="CO30" i="1"/>
  <c r="CB30" i="1"/>
  <c r="BO30" i="1"/>
  <c r="BB30" i="1"/>
  <c r="AO30" i="1"/>
  <c r="AB30" i="1"/>
  <c r="O30" i="1"/>
  <c r="FN26" i="1"/>
  <c r="FM26" i="1"/>
  <c r="FL26" i="1"/>
  <c r="FK26" i="1"/>
  <c r="FJ26" i="1"/>
  <c r="FI26" i="1"/>
  <c r="FH26" i="1"/>
  <c r="FG26" i="1"/>
  <c r="FF26" i="1"/>
  <c r="FE26" i="1"/>
  <c r="FD26" i="1"/>
  <c r="FC26" i="1"/>
  <c r="FA26" i="1"/>
  <c r="EZ26" i="1"/>
  <c r="EY26" i="1"/>
  <c r="EX26" i="1"/>
  <c r="EW26" i="1"/>
  <c r="EV26" i="1"/>
  <c r="EU26" i="1"/>
  <c r="ET26" i="1"/>
  <c r="ES26" i="1"/>
  <c r="ER26" i="1"/>
  <c r="EQ26" i="1"/>
  <c r="EP26" i="1"/>
  <c r="EN26" i="1"/>
  <c r="EM26" i="1"/>
  <c r="EL26" i="1"/>
  <c r="EK26" i="1"/>
  <c r="EJ26" i="1"/>
  <c r="EI26" i="1"/>
  <c r="EH26" i="1"/>
  <c r="EG26" i="1"/>
  <c r="EF26" i="1"/>
  <c r="EE26" i="1"/>
  <c r="ED26" i="1"/>
  <c r="EC26" i="1"/>
  <c r="EA26" i="1"/>
  <c r="DZ26" i="1"/>
  <c r="DY26" i="1"/>
  <c r="DX26" i="1"/>
  <c r="DW26" i="1"/>
  <c r="DV26" i="1"/>
  <c r="DU26" i="1"/>
  <c r="DT26" i="1"/>
  <c r="DS26" i="1"/>
  <c r="DR26" i="1"/>
  <c r="DQ26" i="1"/>
  <c r="DP26" i="1"/>
  <c r="DN26" i="1"/>
  <c r="DM26" i="1"/>
  <c r="DL26" i="1"/>
  <c r="DK26" i="1"/>
  <c r="DJ26" i="1"/>
  <c r="DI26" i="1"/>
  <c r="DH26" i="1"/>
  <c r="DG26" i="1"/>
  <c r="DF26" i="1"/>
  <c r="DE26" i="1"/>
  <c r="DD26" i="1"/>
  <c r="DC26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A26" i="1"/>
  <c r="Z26" i="1"/>
  <c r="Y26" i="1"/>
  <c r="X26" i="1"/>
  <c r="W26" i="1"/>
  <c r="V26" i="1"/>
  <c r="U26" i="1"/>
  <c r="T26" i="1"/>
  <c r="S26" i="1"/>
  <c r="R26" i="1"/>
  <c r="Q26" i="1"/>
  <c r="P26" i="1"/>
  <c r="N26" i="1"/>
  <c r="M26" i="1"/>
  <c r="L26" i="1"/>
  <c r="K26" i="1"/>
  <c r="J26" i="1"/>
  <c r="I26" i="1"/>
  <c r="H26" i="1"/>
  <c r="G26" i="1"/>
  <c r="F26" i="1"/>
  <c r="E26" i="1"/>
  <c r="D26" i="1"/>
  <c r="C26" i="1"/>
  <c r="FO25" i="1"/>
  <c r="FB25" i="1"/>
  <c r="EO25" i="1"/>
  <c r="EB25" i="1"/>
  <c r="DO25" i="1"/>
  <c r="DB25" i="1"/>
  <c r="CO25" i="1"/>
  <c r="CB25" i="1"/>
  <c r="BO25" i="1"/>
  <c r="BB25" i="1"/>
  <c r="AO25" i="1"/>
  <c r="AB25" i="1"/>
  <c r="O25" i="1"/>
  <c r="FO24" i="1"/>
  <c r="FB24" i="1"/>
  <c r="EO24" i="1"/>
  <c r="EB24" i="1"/>
  <c r="DO24" i="1"/>
  <c r="DB24" i="1"/>
  <c r="CO24" i="1"/>
  <c r="CB24" i="1"/>
  <c r="BO24" i="1"/>
  <c r="BB24" i="1"/>
  <c r="AO24" i="1"/>
  <c r="AB24" i="1"/>
  <c r="O24" i="1"/>
  <c r="FO23" i="1"/>
  <c r="FB23" i="1"/>
  <c r="EO23" i="1"/>
  <c r="EB23" i="1"/>
  <c r="DO23" i="1"/>
  <c r="DB23" i="1"/>
  <c r="CO23" i="1"/>
  <c r="CB23" i="1"/>
  <c r="BO23" i="1"/>
  <c r="BB23" i="1"/>
  <c r="AO23" i="1"/>
  <c r="AB23" i="1"/>
  <c r="O23" i="1"/>
  <c r="FO22" i="1"/>
  <c r="FB22" i="1"/>
  <c r="EO22" i="1"/>
  <c r="EB22" i="1"/>
  <c r="DO22" i="1"/>
  <c r="DB22" i="1"/>
  <c r="CO22" i="1"/>
  <c r="CB22" i="1"/>
  <c r="BO22" i="1"/>
  <c r="BB22" i="1"/>
  <c r="AO22" i="1"/>
  <c r="AB22" i="1"/>
  <c r="O22" i="1"/>
  <c r="FO21" i="1"/>
  <c r="FB21" i="1"/>
  <c r="EO21" i="1"/>
  <c r="EB21" i="1"/>
  <c r="DO21" i="1"/>
  <c r="DB21" i="1"/>
  <c r="CO21" i="1"/>
  <c r="CB21" i="1"/>
  <c r="BO21" i="1"/>
  <c r="BB21" i="1"/>
  <c r="AO21" i="1"/>
  <c r="AB21" i="1"/>
  <c r="O21" i="1"/>
  <c r="FO20" i="1"/>
  <c r="FB20" i="1"/>
  <c r="EO20" i="1"/>
  <c r="EB20" i="1"/>
  <c r="DO20" i="1"/>
  <c r="DB20" i="1"/>
  <c r="CO20" i="1"/>
  <c r="CB20" i="1"/>
  <c r="BO20" i="1"/>
  <c r="BB20" i="1"/>
  <c r="AO20" i="1"/>
  <c r="AB20" i="1"/>
  <c r="O20" i="1"/>
  <c r="FO19" i="1"/>
  <c r="FB19" i="1"/>
  <c r="EO19" i="1"/>
  <c r="EB19" i="1"/>
  <c r="DO19" i="1"/>
  <c r="DB19" i="1"/>
  <c r="CO19" i="1"/>
  <c r="CB19" i="1"/>
  <c r="BO19" i="1"/>
  <c r="BB19" i="1"/>
  <c r="AO19" i="1"/>
  <c r="AB19" i="1"/>
  <c r="O19" i="1"/>
  <c r="FO18" i="1"/>
  <c r="FB18" i="1"/>
  <c r="EO18" i="1"/>
  <c r="EB18" i="1"/>
  <c r="DO18" i="1"/>
  <c r="DB18" i="1"/>
  <c r="CO18" i="1"/>
  <c r="CB18" i="1"/>
  <c r="BO18" i="1"/>
  <c r="BB18" i="1"/>
  <c r="AO18" i="1"/>
  <c r="AB18" i="1"/>
  <c r="O18" i="1"/>
  <c r="FO17" i="1"/>
  <c r="FB17" i="1"/>
  <c r="EO17" i="1"/>
  <c r="EB17" i="1"/>
  <c r="DO17" i="1"/>
  <c r="DB17" i="1"/>
  <c r="CO17" i="1"/>
  <c r="CB17" i="1"/>
  <c r="BO17" i="1"/>
  <c r="BB17" i="1"/>
  <c r="AO17" i="1"/>
  <c r="AB17" i="1"/>
  <c r="O17" i="1"/>
  <c r="FO16" i="1"/>
  <c r="FB16" i="1"/>
  <c r="EO16" i="1"/>
  <c r="EB16" i="1"/>
  <c r="DO16" i="1"/>
  <c r="DB16" i="1"/>
  <c r="CO16" i="1"/>
  <c r="CB16" i="1"/>
  <c r="BO16" i="1"/>
  <c r="BB16" i="1"/>
  <c r="AO16" i="1"/>
  <c r="AB16" i="1"/>
  <c r="O16" i="1"/>
  <c r="FO15" i="1"/>
  <c r="FB15" i="1"/>
  <c r="EO15" i="1"/>
  <c r="EB15" i="1"/>
  <c r="DO15" i="1"/>
  <c r="DB15" i="1"/>
  <c r="CO15" i="1"/>
  <c r="CB15" i="1"/>
  <c r="BO15" i="1"/>
  <c r="BB15" i="1"/>
  <c r="AO15" i="1"/>
  <c r="AB15" i="1"/>
  <c r="O15" i="1"/>
  <c r="FO14" i="1"/>
  <c r="FB14" i="1"/>
  <c r="EO14" i="1"/>
  <c r="EB14" i="1"/>
  <c r="DO14" i="1"/>
  <c r="DB14" i="1"/>
  <c r="CO14" i="1"/>
  <c r="CB14" i="1"/>
  <c r="BO14" i="1"/>
  <c r="BB14" i="1"/>
  <c r="AO14" i="1"/>
  <c r="AB14" i="1"/>
  <c r="O14" i="1"/>
  <c r="FO13" i="1"/>
  <c r="FB13" i="1"/>
  <c r="EO13" i="1"/>
  <c r="EB13" i="1"/>
  <c r="DO13" i="1"/>
  <c r="DB13" i="1"/>
  <c r="CO13" i="1"/>
  <c r="CB13" i="1"/>
  <c r="BO13" i="1"/>
  <c r="BB13" i="1"/>
  <c r="AO13" i="1"/>
  <c r="AB13" i="1"/>
  <c r="O13" i="1"/>
  <c r="FO12" i="1"/>
  <c r="FB12" i="1"/>
  <c r="EO12" i="1"/>
  <c r="EB12" i="1"/>
  <c r="DO12" i="1"/>
  <c r="DB12" i="1"/>
  <c r="CO12" i="1"/>
  <c r="CB12" i="1"/>
  <c r="BO12" i="1"/>
  <c r="BB12" i="1"/>
  <c r="AO12" i="1"/>
  <c r="AB12" i="1"/>
  <c r="O12" i="1"/>
  <c r="FO11" i="1"/>
  <c r="FB11" i="1"/>
  <c r="EO11" i="1"/>
  <c r="EB11" i="1"/>
  <c r="DO11" i="1"/>
  <c r="DB11" i="1"/>
  <c r="CO11" i="1"/>
  <c r="CB11" i="1"/>
  <c r="BO11" i="1"/>
  <c r="BB11" i="1"/>
  <c r="AO11" i="1"/>
  <c r="AB11" i="1"/>
  <c r="O11" i="1"/>
  <c r="FO10" i="1"/>
  <c r="FB10" i="1"/>
  <c r="EO10" i="1"/>
  <c r="EB10" i="1"/>
  <c r="DO10" i="1"/>
  <c r="DB10" i="1"/>
  <c r="CO10" i="1"/>
  <c r="CB10" i="1"/>
  <c r="BO10" i="1"/>
  <c r="BB10" i="1"/>
  <c r="AO10" i="1"/>
  <c r="AB10" i="1"/>
  <c r="O10" i="1"/>
  <c r="FO9" i="1"/>
  <c r="FB9" i="1"/>
  <c r="EO9" i="1"/>
  <c r="EB9" i="1"/>
  <c r="DO9" i="1"/>
  <c r="DB9" i="1"/>
  <c r="CO9" i="1"/>
  <c r="CB9" i="1"/>
  <c r="BO9" i="1"/>
  <c r="BB9" i="1"/>
  <c r="AO9" i="1"/>
  <c r="AB9" i="1"/>
  <c r="O9" i="1"/>
  <c r="FO8" i="1"/>
  <c r="FB8" i="1"/>
  <c r="EO8" i="1"/>
  <c r="EB8" i="1"/>
  <c r="DO8" i="1"/>
  <c r="DB8" i="1"/>
  <c r="CO8" i="1"/>
  <c r="CB8" i="1"/>
  <c r="BO8" i="1"/>
  <c r="BB8" i="1"/>
  <c r="AO8" i="1"/>
  <c r="AB8" i="1"/>
  <c r="O8" i="1"/>
  <c r="CB26" i="2" l="1"/>
  <c r="AB139" i="1"/>
  <c r="O139" i="1"/>
  <c r="CO208" i="1"/>
  <c r="J31" i="3"/>
  <c r="I26" i="3"/>
  <c r="I38" i="3"/>
  <c r="J32" i="3"/>
  <c r="CO8" i="2"/>
  <c r="CN26" i="2"/>
  <c r="FC26" i="2"/>
  <c r="FB117" i="1"/>
  <c r="EB117" i="1"/>
  <c r="CO117" i="1"/>
  <c r="BB164" i="1"/>
  <c r="I27" i="3"/>
  <c r="I39" i="3"/>
  <c r="F47" i="3" a="1"/>
  <c r="F47" i="3" s="1"/>
  <c r="EB8" i="2"/>
  <c r="EB26" i="2" s="1"/>
  <c r="FB26" i="2"/>
  <c r="M46" i="3" a="1"/>
  <c r="M46" i="3" s="1"/>
  <c r="G47" i="3" a="1"/>
  <c r="G47" i="3" s="1"/>
  <c r="O70" i="1"/>
  <c r="E53" i="3" s="1"/>
  <c r="I54" i="3" s="1"/>
  <c r="FO70" i="1"/>
  <c r="FB70" i="1"/>
  <c r="DO70" i="1"/>
  <c r="DB70" i="1"/>
  <c r="H45" i="3" a="1"/>
  <c r="H45" i="3" s="1"/>
  <c r="N46" i="3" a="1"/>
  <c r="N46" i="3" s="1"/>
  <c r="FB208" i="1"/>
  <c r="DO48" i="1"/>
  <c r="DB48" i="1"/>
  <c r="CO48" i="1"/>
  <c r="BB48" i="1"/>
  <c r="AO48" i="1"/>
  <c r="I45" i="3" a="1"/>
  <c r="I45" i="3" s="1"/>
  <c r="J24" i="3"/>
  <c r="AB208" i="1"/>
  <c r="E54" i="3" s="1"/>
  <c r="J36" i="3"/>
  <c r="EB48" i="1"/>
  <c r="BB70" i="1"/>
  <c r="DB186" i="1"/>
  <c r="CB186" i="1"/>
  <c r="AB186" i="1"/>
  <c r="I31" i="3"/>
  <c r="DO186" i="1"/>
  <c r="AO164" i="1"/>
  <c r="O164" i="1"/>
  <c r="C53" i="3" s="1"/>
  <c r="FO164" i="1"/>
  <c r="DO164" i="1"/>
  <c r="K47" i="3" a="1"/>
  <c r="K47" i="3" s="1"/>
  <c r="F46" i="3" a="1"/>
  <c r="F46" i="3" s="1"/>
  <c r="O26" i="2"/>
  <c r="DL26" i="2"/>
  <c r="M45" i="3" a="1"/>
  <c r="M45" i="3" s="1"/>
  <c r="BO208" i="1"/>
  <c r="AO26" i="1"/>
  <c r="EO117" i="1"/>
  <c r="E16" i="3" s="1" a="1"/>
  <c r="E16" i="3" s="1"/>
  <c r="CB164" i="1"/>
  <c r="DO26" i="1"/>
  <c r="AB26" i="1"/>
  <c r="EB26" i="1"/>
  <c r="O8" i="2"/>
  <c r="CL26" i="2"/>
  <c r="EK26" i="2"/>
  <c r="EX26" i="2"/>
  <c r="BJ48" i="2"/>
  <c r="BV48" i="2"/>
  <c r="AF186" i="2"/>
  <c r="FD48" i="2"/>
  <c r="S95" i="2"/>
  <c r="AD95" i="2"/>
  <c r="BP95" i="2"/>
  <c r="AB117" i="2"/>
  <c r="CM139" i="2"/>
  <c r="Y208" i="2"/>
  <c r="BL48" i="2"/>
  <c r="BX48" i="2"/>
  <c r="ER48" i="2"/>
  <c r="EC95" i="2"/>
  <c r="AO99" i="2"/>
  <c r="BX164" i="2"/>
  <c r="CK164" i="2"/>
  <c r="DG164" i="2"/>
  <c r="U164" i="2"/>
  <c r="DN164" i="2"/>
  <c r="R186" i="2"/>
  <c r="F186" i="2"/>
  <c r="EE95" i="2"/>
  <c r="BV95" i="2"/>
  <c r="DD117" i="2"/>
  <c r="AQ139" i="2"/>
  <c r="O52" i="2"/>
  <c r="O70" i="2" s="1"/>
  <c r="C70" i="2"/>
  <c r="BZ70" i="2"/>
  <c r="CB99" i="2"/>
  <c r="BT117" i="2"/>
  <c r="FI164" i="2"/>
  <c r="AM164" i="2"/>
  <c r="BO190" i="2"/>
  <c r="BE70" i="2"/>
  <c r="AP70" i="2"/>
  <c r="BU117" i="2"/>
  <c r="EK164" i="2"/>
  <c r="EX164" i="2"/>
  <c r="FO147" i="2"/>
  <c r="AK186" i="2"/>
  <c r="BB70" i="2"/>
  <c r="CY117" i="2"/>
  <c r="DW117" i="2"/>
  <c r="AV117" i="2"/>
  <c r="DO139" i="2"/>
  <c r="CS139" i="2"/>
  <c r="DM164" i="2"/>
  <c r="EL164" i="2"/>
  <c r="BK164" i="2"/>
  <c r="EH186" i="2"/>
  <c r="BJ186" i="2"/>
  <c r="BI186" i="2"/>
  <c r="Y186" i="2"/>
  <c r="CI186" i="2"/>
  <c r="DM208" i="2"/>
  <c r="CA208" i="2"/>
  <c r="DS70" i="2"/>
  <c r="CX139" i="2"/>
  <c r="DB164" i="2"/>
  <c r="DZ164" i="2"/>
  <c r="CH164" i="2"/>
  <c r="AX186" i="2"/>
  <c r="BE208" i="2"/>
  <c r="AE208" i="2"/>
  <c r="CO52" i="2"/>
  <c r="CO70" i="2" s="1"/>
  <c r="CI70" i="2"/>
  <c r="CU70" i="2"/>
  <c r="AY95" i="2"/>
  <c r="H139" i="2"/>
  <c r="EI139" i="2"/>
  <c r="FB146" i="2"/>
  <c r="FB164" i="2" s="1"/>
  <c r="CD164" i="2"/>
  <c r="CP164" i="2"/>
  <c r="BW186" i="2"/>
  <c r="CC208" i="2"/>
  <c r="AT48" i="2"/>
  <c r="F70" i="2"/>
  <c r="CW117" i="2"/>
  <c r="AY186" i="2"/>
  <c r="BK186" i="2"/>
  <c r="AH48" i="2"/>
  <c r="EO52" i="2"/>
  <c r="EE70" i="2"/>
  <c r="EX186" i="2"/>
  <c r="BZ186" i="2"/>
  <c r="BO77" i="2"/>
  <c r="CL95" i="2"/>
  <c r="AR139" i="2"/>
  <c r="BD139" i="2"/>
  <c r="I208" i="2"/>
  <c r="CB26" i="1"/>
  <c r="BB95" i="1"/>
  <c r="AO95" i="1"/>
  <c r="C55" i="3" s="1"/>
  <c r="CO186" i="1"/>
  <c r="D59" i="3" s="1"/>
  <c r="CO26" i="2"/>
  <c r="DO26" i="2"/>
  <c r="EM26" i="2"/>
  <c r="EZ26" i="2"/>
  <c r="BR48" i="2"/>
  <c r="FG70" i="2"/>
  <c r="FO61" i="2"/>
  <c r="FO70" i="2" s="1"/>
  <c r="FI70" i="2"/>
  <c r="D58" i="3"/>
  <c r="E64" i="3"/>
  <c r="L31" i="3"/>
  <c r="K31" i="3"/>
  <c r="DB26" i="1"/>
  <c r="CO26" i="1"/>
  <c r="AO70" i="1"/>
  <c r="DO117" i="1"/>
  <c r="D61" i="3" s="1"/>
  <c r="DB117" i="1"/>
  <c r="D60" i="3" s="1"/>
  <c r="FO139" i="1"/>
  <c r="G26" i="2"/>
  <c r="S26" i="2"/>
  <c r="CQ26" i="2"/>
  <c r="DD26" i="2"/>
  <c r="AA26" i="2"/>
  <c r="V48" i="2"/>
  <c r="CT48" i="2"/>
  <c r="EF48" i="2"/>
  <c r="CL70" i="2"/>
  <c r="CX70" i="2"/>
  <c r="EJ70" i="2"/>
  <c r="EV70" i="2"/>
  <c r="O48" i="1"/>
  <c r="FO48" i="1"/>
  <c r="FB48" i="1"/>
  <c r="DB95" i="1"/>
  <c r="CO164" i="1"/>
  <c r="C59" i="3" s="1"/>
  <c r="AU26" i="2"/>
  <c r="BH26" i="2"/>
  <c r="BT26" i="2"/>
  <c r="CF26" i="2"/>
  <c r="ER26" i="2"/>
  <c r="AX48" i="2"/>
  <c r="EU48" i="2"/>
  <c r="FG48" i="2"/>
  <c r="DN48" i="2"/>
  <c r="CB70" i="2"/>
  <c r="C58" i="3"/>
  <c r="DO95" i="1"/>
  <c r="C61" i="3" s="1"/>
  <c r="FB186" i="1"/>
  <c r="F48" i="3"/>
  <c r="E56" i="3"/>
  <c r="AI26" i="2"/>
  <c r="AV26" i="2"/>
  <c r="DT26" i="2"/>
  <c r="EF26" i="2"/>
  <c r="AL48" i="2"/>
  <c r="EI48" i="2"/>
  <c r="DB52" i="2"/>
  <c r="DB70" i="2" s="1"/>
  <c r="DA70" i="2"/>
  <c r="O117" i="1"/>
  <c r="K26" i="2"/>
  <c r="W26" i="2"/>
  <c r="AJ26" i="2"/>
  <c r="DH26" i="2"/>
  <c r="FG26" i="2"/>
  <c r="Z48" i="2"/>
  <c r="DK48" i="2"/>
  <c r="DW48" i="2"/>
  <c r="FO48" i="2"/>
  <c r="CO70" i="1"/>
  <c r="FO117" i="1"/>
  <c r="O26" i="1"/>
  <c r="EO95" i="1"/>
  <c r="D16" i="3" s="1" a="1"/>
  <c r="D16" i="3" s="1"/>
  <c r="AB117" i="1"/>
  <c r="CB139" i="1"/>
  <c r="EB164" i="1"/>
  <c r="DB164" i="1"/>
  <c r="BO164" i="1"/>
  <c r="L26" i="2"/>
  <c r="X26" i="2"/>
  <c r="CV26" i="2"/>
  <c r="N48" i="2"/>
  <c r="O30" i="2"/>
  <c r="O48" i="2" s="1"/>
  <c r="EX48" i="2"/>
  <c r="BO70" i="1"/>
  <c r="E57" i="3" s="1"/>
  <c r="FB26" i="1"/>
  <c r="CO139" i="1"/>
  <c r="EO164" i="1"/>
  <c r="AO186" i="1"/>
  <c r="O186" i="1"/>
  <c r="FO186" i="1"/>
  <c r="EB186" i="1"/>
  <c r="D62" i="3" s="1"/>
  <c r="BL26" i="2"/>
  <c r="BX26" i="2"/>
  <c r="CJ26" i="2"/>
  <c r="DW26" i="2"/>
  <c r="EI26" i="2"/>
  <c r="EL48" i="2"/>
  <c r="AB48" i="1"/>
  <c r="D54" i="3" s="1"/>
  <c r="CB48" i="1"/>
  <c r="BO48" i="1"/>
  <c r="BB117" i="1"/>
  <c r="AO117" i="1"/>
  <c r="EO139" i="1"/>
  <c r="F16" i="3" s="1" a="1"/>
  <c r="F16" i="3" s="1"/>
  <c r="H16" i="3" s="1"/>
  <c r="FB164" i="1"/>
  <c r="BB186" i="1"/>
  <c r="D56" i="3" s="1"/>
  <c r="DB208" i="1"/>
  <c r="E60" i="3" s="1"/>
  <c r="CB208" i="1"/>
  <c r="AO208" i="1"/>
  <c r="AZ26" i="2"/>
  <c r="DK26" i="2"/>
  <c r="AQ48" i="2"/>
  <c r="BC48" i="2"/>
  <c r="BO48" i="2"/>
  <c r="CB30" i="2"/>
  <c r="CB48" i="2" s="1"/>
  <c r="CA48" i="2"/>
  <c r="DB48" i="2"/>
  <c r="DJ70" i="2"/>
  <c r="CB70" i="1"/>
  <c r="EB95" i="1"/>
  <c r="EB70" i="1"/>
  <c r="BO117" i="1"/>
  <c r="DO139" i="1"/>
  <c r="DB139" i="1"/>
  <c r="BO186" i="1"/>
  <c r="DO208" i="1"/>
  <c r="AB26" i="2"/>
  <c r="AO26" i="2"/>
  <c r="BB26" i="2"/>
  <c r="CY26" i="2"/>
  <c r="AE48" i="2"/>
  <c r="CP48" i="2"/>
  <c r="FO26" i="1"/>
  <c r="C65" i="3" s="1"/>
  <c r="FB95" i="1"/>
  <c r="BB26" i="1"/>
  <c r="C56" i="3" s="1"/>
  <c r="EO26" i="1"/>
  <c r="D15" i="3" s="1" a="1"/>
  <c r="D15" i="3" s="1"/>
  <c r="BO26" i="1"/>
  <c r="EB139" i="1"/>
  <c r="AB164" i="1"/>
  <c r="C54" i="3" s="1"/>
  <c r="EB208" i="1"/>
  <c r="D26" i="2"/>
  <c r="P26" i="2"/>
  <c r="BC26" i="2"/>
  <c r="BO26" i="2"/>
  <c r="CA26" i="2"/>
  <c r="CM26" i="2"/>
  <c r="EY26" i="2"/>
  <c r="CD48" i="2"/>
  <c r="EP48" i="2"/>
  <c r="FB48" i="2"/>
  <c r="AF95" i="2"/>
  <c r="AN26" i="2"/>
  <c r="C48" i="2"/>
  <c r="AA48" i="2"/>
  <c r="AM48" i="2"/>
  <c r="AY48" i="2"/>
  <c r="BK48" i="2"/>
  <c r="BW48" i="2"/>
  <c r="CI48" i="2"/>
  <c r="CU48" i="2"/>
  <c r="DG48" i="2"/>
  <c r="DS48" i="2"/>
  <c r="EE48" i="2"/>
  <c r="EQ48" i="2"/>
  <c r="FC48" i="2"/>
  <c r="AB70" i="2"/>
  <c r="AN70" i="2"/>
  <c r="AZ70" i="2"/>
  <c r="BL70" i="2"/>
  <c r="BY70" i="2"/>
  <c r="CK70" i="2"/>
  <c r="CW70" i="2"/>
  <c r="EI70" i="2"/>
  <c r="EU70" i="2"/>
  <c r="AA70" i="2"/>
  <c r="I95" i="2"/>
  <c r="DF95" i="2"/>
  <c r="AO117" i="2"/>
  <c r="EC117" i="2"/>
  <c r="FA117" i="2"/>
  <c r="FB108" i="2"/>
  <c r="FB117" i="2" s="1"/>
  <c r="E40" i="3"/>
  <c r="J45" i="3" a="1"/>
  <c r="J45" i="3" s="1"/>
  <c r="I28" i="3"/>
  <c r="C46" i="3" a="1"/>
  <c r="C46" i="3" s="1"/>
  <c r="EO186" i="1"/>
  <c r="J33" i="3"/>
  <c r="H47" i="3" a="1"/>
  <c r="H47" i="3" s="1"/>
  <c r="BA26" i="2"/>
  <c r="AB30" i="2"/>
  <c r="AB48" i="2" s="1"/>
  <c r="D70" i="2"/>
  <c r="P70" i="2"/>
  <c r="AC70" i="2"/>
  <c r="AO70" i="2"/>
  <c r="BA70" i="2"/>
  <c r="BM70" i="2"/>
  <c r="DK70" i="2"/>
  <c r="DW70" i="2"/>
  <c r="BN70" i="2"/>
  <c r="BU95" i="2"/>
  <c r="EO70" i="1"/>
  <c r="F15" i="3" s="1" a="1"/>
  <c r="F15" i="3" s="1"/>
  <c r="K45" i="3" a="1"/>
  <c r="K45" i="3" s="1"/>
  <c r="I29" i="3"/>
  <c r="D46" i="3" a="1"/>
  <c r="D46" i="3" s="1"/>
  <c r="J22" i="3"/>
  <c r="D40" i="3"/>
  <c r="J34" i="3"/>
  <c r="I47" i="3" a="1"/>
  <c r="I47" i="3" s="1"/>
  <c r="E48" i="2"/>
  <c r="Q48" i="2"/>
  <c r="AC48" i="2"/>
  <c r="AO30" i="2"/>
  <c r="AO48" i="2" s="1"/>
  <c r="BA48" i="2"/>
  <c r="BM48" i="2"/>
  <c r="BY48" i="2"/>
  <c r="CK48" i="2"/>
  <c r="DU48" i="2"/>
  <c r="EG48" i="2"/>
  <c r="ES48" i="2"/>
  <c r="FE48" i="2"/>
  <c r="E70" i="2"/>
  <c r="Q70" i="2"/>
  <c r="BO70" i="2"/>
  <c r="CA70" i="2"/>
  <c r="CM70" i="2"/>
  <c r="CY70" i="2"/>
  <c r="AW95" i="2"/>
  <c r="L45" i="3" a="1"/>
  <c r="L45" i="3" s="1"/>
  <c r="I30" i="3"/>
  <c r="E46" i="3" a="1"/>
  <c r="E46" i="3" s="1"/>
  <c r="J23" i="3"/>
  <c r="J35" i="3"/>
  <c r="J47" i="3" a="1"/>
  <c r="J47" i="3" s="1"/>
  <c r="F48" i="2"/>
  <c r="R48" i="2"/>
  <c r="AD48" i="2"/>
  <c r="AP48" i="2"/>
  <c r="BB48" i="2"/>
  <c r="BN48" i="2"/>
  <c r="BZ48" i="2"/>
  <c r="CL48" i="2"/>
  <c r="CX48" i="2"/>
  <c r="DJ48" i="2"/>
  <c r="DV48" i="2"/>
  <c r="EH48" i="2"/>
  <c r="ET48" i="2"/>
  <c r="FF48" i="2"/>
  <c r="AE70" i="2"/>
  <c r="AQ70" i="2"/>
  <c r="BC70" i="2"/>
  <c r="EL70" i="2"/>
  <c r="EX70" i="2"/>
  <c r="BK95" i="2"/>
  <c r="BW95" i="2"/>
  <c r="CV95" i="2"/>
  <c r="DI95" i="2"/>
  <c r="DU95" i="2"/>
  <c r="EH95" i="2"/>
  <c r="ET95" i="2"/>
  <c r="FF95" i="2"/>
  <c r="EB117" i="2"/>
  <c r="Q117" i="2"/>
  <c r="I32" i="3"/>
  <c r="H48" i="2"/>
  <c r="FH48" i="2"/>
  <c r="DA48" i="2"/>
  <c r="CP70" i="2"/>
  <c r="DC70" i="2"/>
  <c r="DO70" i="2"/>
  <c r="EB70" i="2"/>
  <c r="N95" i="2"/>
  <c r="O77" i="2"/>
  <c r="O95" i="2" s="1"/>
  <c r="AB95" i="2"/>
  <c r="DK95" i="2"/>
  <c r="EA139" i="2"/>
  <c r="EB121" i="2"/>
  <c r="EB139" i="2" s="1"/>
  <c r="N45" i="3" a="1"/>
  <c r="N45" i="3" s="1"/>
  <c r="G46" i="3" a="1"/>
  <c r="G46" i="3" s="1"/>
  <c r="G48" i="3" s="1"/>
  <c r="CZ48" i="2"/>
  <c r="C45" i="3" a="1"/>
  <c r="C45" i="3" s="1"/>
  <c r="I33" i="3"/>
  <c r="H46" i="3" a="1"/>
  <c r="H46" i="3" s="1"/>
  <c r="H48" i="3" s="1"/>
  <c r="J26" i="3"/>
  <c r="L26" i="3" s="1"/>
  <c r="J38" i="3"/>
  <c r="L38" i="3" s="1"/>
  <c r="M47" i="3" a="1"/>
  <c r="M47" i="3" s="1"/>
  <c r="M48" i="3" s="1"/>
  <c r="DB8" i="2"/>
  <c r="DB26" i="2" s="1"/>
  <c r="FO8" i="2"/>
  <c r="FO26" i="2" s="1"/>
  <c r="DN26" i="2"/>
  <c r="CO30" i="2"/>
  <c r="CO48" i="2" s="1"/>
  <c r="FI48" i="2"/>
  <c r="AH70" i="2"/>
  <c r="AT70" i="2"/>
  <c r="BS70" i="2"/>
  <c r="CE70" i="2"/>
  <c r="CQ70" i="2"/>
  <c r="DD70" i="2"/>
  <c r="DP70" i="2"/>
  <c r="EC70" i="2"/>
  <c r="EO70" i="2"/>
  <c r="FB70" i="2"/>
  <c r="AC95" i="2"/>
  <c r="AO95" i="2"/>
  <c r="BA95" i="2"/>
  <c r="BB77" i="2"/>
  <c r="BB95" i="2" s="1"/>
  <c r="BZ95" i="2"/>
  <c r="CY95" i="2"/>
  <c r="DL95" i="2"/>
  <c r="DX95" i="2"/>
  <c r="EK95" i="2"/>
  <c r="FI95" i="2"/>
  <c r="EV95" i="2"/>
  <c r="AA95" i="2"/>
  <c r="EN164" i="2"/>
  <c r="EO146" i="2"/>
  <c r="EO164" i="2" s="1"/>
  <c r="H40" i="3"/>
  <c r="J37" i="3"/>
  <c r="T48" i="2"/>
  <c r="DL48" i="2"/>
  <c r="EO48" i="1"/>
  <c r="E15" i="3" s="1" a="1"/>
  <c r="E15" i="3" s="1"/>
  <c r="D45" i="3" a="1"/>
  <c r="D45" i="3" s="1"/>
  <c r="I22" i="3"/>
  <c r="C40" i="3"/>
  <c r="I34" i="3"/>
  <c r="I46" i="3" a="1"/>
  <c r="I46" i="3" s="1"/>
  <c r="I48" i="3" s="1"/>
  <c r="J27" i="3"/>
  <c r="L27" i="3" s="1"/>
  <c r="J39" i="3"/>
  <c r="L39" i="3" s="1"/>
  <c r="N47" i="3" a="1"/>
  <c r="N47" i="3" s="1"/>
  <c r="N48" i="3" s="1"/>
  <c r="J70" i="2"/>
  <c r="V70" i="2"/>
  <c r="AI70" i="2"/>
  <c r="AU70" i="2"/>
  <c r="BG70" i="2"/>
  <c r="BT70" i="2"/>
  <c r="CF70" i="2"/>
  <c r="CR70" i="2"/>
  <c r="DE70" i="2"/>
  <c r="DQ70" i="2"/>
  <c r="ED70" i="2"/>
  <c r="EP70" i="2"/>
  <c r="Q95" i="2"/>
  <c r="EW95" i="2"/>
  <c r="M117" i="2"/>
  <c r="BD48" i="2"/>
  <c r="E45" i="3" a="1"/>
  <c r="E45" i="3" s="1"/>
  <c r="I23" i="3"/>
  <c r="I35" i="3"/>
  <c r="J46" i="3" a="1"/>
  <c r="J46" i="3" s="1"/>
  <c r="J28" i="3"/>
  <c r="C47" i="3" a="1"/>
  <c r="C47" i="3" s="1"/>
  <c r="EO208" i="1"/>
  <c r="EN26" i="2"/>
  <c r="K48" i="2"/>
  <c r="W48" i="2"/>
  <c r="AI48" i="2"/>
  <c r="AU48" i="2"/>
  <c r="BG48" i="2"/>
  <c r="BS48" i="2"/>
  <c r="CE48" i="2"/>
  <c r="CQ48" i="2"/>
  <c r="DC48" i="2"/>
  <c r="DO48" i="2"/>
  <c r="EA48" i="2"/>
  <c r="EM48" i="2"/>
  <c r="EY48" i="2"/>
  <c r="K70" i="2"/>
  <c r="W70" i="2"/>
  <c r="AJ70" i="2"/>
  <c r="AV70" i="2"/>
  <c r="BH70" i="2"/>
  <c r="BU70" i="2"/>
  <c r="CG70" i="2"/>
  <c r="CS70" i="2"/>
  <c r="DF70" i="2"/>
  <c r="DR70" i="2"/>
  <c r="E95" i="2"/>
  <c r="BD95" i="2"/>
  <c r="O99" i="2"/>
  <c r="O117" i="2" s="1"/>
  <c r="N117" i="2"/>
  <c r="CK117" i="2"/>
  <c r="S139" i="2"/>
  <c r="J25" i="3"/>
  <c r="EV48" i="2"/>
  <c r="F40" i="3"/>
  <c r="F45" i="3" a="1"/>
  <c r="F45" i="3" s="1"/>
  <c r="I24" i="3"/>
  <c r="I36" i="3"/>
  <c r="K46" i="3" a="1"/>
  <c r="K46" i="3" s="1"/>
  <c r="K48" i="3" s="1"/>
  <c r="J29" i="3"/>
  <c r="D47" i="3" a="1"/>
  <c r="D47" i="3" s="1"/>
  <c r="FA26" i="2"/>
  <c r="L48" i="2"/>
  <c r="X48" i="2"/>
  <c r="AJ48" i="2"/>
  <c r="AV48" i="2"/>
  <c r="BH48" i="2"/>
  <c r="BT48" i="2"/>
  <c r="CF48" i="2"/>
  <c r="CR48" i="2"/>
  <c r="DD48" i="2"/>
  <c r="DP48" i="2"/>
  <c r="EB30" i="2"/>
  <c r="EB48" i="2" s="1"/>
  <c r="EN48" i="2"/>
  <c r="EZ48" i="2"/>
  <c r="L70" i="2"/>
  <c r="X70" i="2"/>
  <c r="AK70" i="2"/>
  <c r="AW70" i="2"/>
  <c r="BI70" i="2"/>
  <c r="BV70" i="2"/>
  <c r="CH70" i="2"/>
  <c r="CT70" i="2"/>
  <c r="EF70" i="2"/>
  <c r="ER70" i="2"/>
  <c r="FE70" i="2"/>
  <c r="AR95" i="2"/>
  <c r="BE95" i="2"/>
  <c r="DY95" i="2"/>
  <c r="L47" i="3" a="1"/>
  <c r="L47" i="3" s="1"/>
  <c r="AR48" i="2"/>
  <c r="EJ48" i="2"/>
  <c r="G40" i="3"/>
  <c r="G45" i="3" a="1"/>
  <c r="G45" i="3" s="1"/>
  <c r="I25" i="3"/>
  <c r="I37" i="3"/>
  <c r="L46" i="3" a="1"/>
  <c r="L46" i="3" s="1"/>
  <c r="J30" i="3"/>
  <c r="E47" i="3" a="1"/>
  <c r="E47" i="3" s="1"/>
  <c r="M48" i="2"/>
  <c r="Y48" i="2"/>
  <c r="AK48" i="2"/>
  <c r="AW48" i="2"/>
  <c r="BI48" i="2"/>
  <c r="BU48" i="2"/>
  <c r="CG48" i="2"/>
  <c r="CS48" i="2"/>
  <c r="DE48" i="2"/>
  <c r="DQ48" i="2"/>
  <c r="EC48" i="2"/>
  <c r="EO30" i="2"/>
  <c r="EO48" i="2" s="1"/>
  <c r="FA48" i="2"/>
  <c r="M70" i="2"/>
  <c r="Y70" i="2"/>
  <c r="AL70" i="2"/>
  <c r="AX70" i="2"/>
  <c r="BJ70" i="2"/>
  <c r="DH70" i="2"/>
  <c r="DT70" i="2"/>
  <c r="EG70" i="2"/>
  <c r="ES70" i="2"/>
  <c r="G95" i="2"/>
  <c r="T95" i="2"/>
  <c r="FA95" i="2"/>
  <c r="CO95" i="2"/>
  <c r="C95" i="2"/>
  <c r="AM95" i="2"/>
  <c r="BL95" i="2"/>
  <c r="BX95" i="2"/>
  <c r="CK95" i="2"/>
  <c r="CW95" i="2"/>
  <c r="DV95" i="2"/>
  <c r="EI95" i="2"/>
  <c r="FG95" i="2"/>
  <c r="L117" i="2"/>
  <c r="Y117" i="2"/>
  <c r="CV117" i="2"/>
  <c r="DI117" i="2"/>
  <c r="DU117" i="2"/>
  <c r="EG117" i="2"/>
  <c r="ED117" i="2"/>
  <c r="D95" i="2"/>
  <c r="P95" i="2"/>
  <c r="AN95" i="2"/>
  <c r="AZ95" i="2"/>
  <c r="BM95" i="2"/>
  <c r="BY95" i="2"/>
  <c r="CX95" i="2"/>
  <c r="DW95" i="2"/>
  <c r="EJ95" i="2"/>
  <c r="FH95" i="2"/>
  <c r="Z117" i="2"/>
  <c r="BX117" i="2"/>
  <c r="CJ117" i="2"/>
  <c r="DJ117" i="2"/>
  <c r="DV117" i="2"/>
  <c r="EH117" i="2"/>
  <c r="ET117" i="2"/>
  <c r="FF117" i="2"/>
  <c r="AL164" i="2"/>
  <c r="F95" i="2"/>
  <c r="R95" i="2"/>
  <c r="AP95" i="2"/>
  <c r="BC95" i="2"/>
  <c r="BO95" i="2"/>
  <c r="CA95" i="2"/>
  <c r="CB77" i="2"/>
  <c r="CB95" i="2" s="1"/>
  <c r="CZ95" i="2"/>
  <c r="DM95" i="2"/>
  <c r="AC117" i="2"/>
  <c r="BA117" i="2"/>
  <c r="BM117" i="2"/>
  <c r="U95" i="2"/>
  <c r="AG95" i="2"/>
  <c r="AS95" i="2"/>
  <c r="EO95" i="2"/>
  <c r="BZ139" i="2"/>
  <c r="EA70" i="2"/>
  <c r="J95" i="2"/>
  <c r="V95" i="2"/>
  <c r="DE95" i="2"/>
  <c r="DQ95" i="2"/>
  <c r="EP95" i="2"/>
  <c r="FB95" i="2"/>
  <c r="CN95" i="2"/>
  <c r="DP117" i="2"/>
  <c r="EN117" i="2"/>
  <c r="S117" i="2"/>
  <c r="V164" i="2"/>
  <c r="FC164" i="2"/>
  <c r="K95" i="2"/>
  <c r="W95" i="2"/>
  <c r="AI95" i="2"/>
  <c r="CG95" i="2"/>
  <c r="CS95" i="2"/>
  <c r="DR95" i="2"/>
  <c r="EQ95" i="2"/>
  <c r="FC95" i="2"/>
  <c r="DE117" i="2"/>
  <c r="DQ117" i="2"/>
  <c r="EO117" i="2"/>
  <c r="FG117" i="2"/>
  <c r="DX139" i="2"/>
  <c r="EJ139" i="2"/>
  <c r="EV139" i="2"/>
  <c r="FA70" i="2"/>
  <c r="L95" i="2"/>
  <c r="X95" i="2"/>
  <c r="AJ95" i="2"/>
  <c r="BI95" i="2"/>
  <c r="CH95" i="2"/>
  <c r="CT95" i="2"/>
  <c r="DS95" i="2"/>
  <c r="CS117" i="2"/>
  <c r="DF117" i="2"/>
  <c r="DR117" i="2"/>
  <c r="BY117" i="2"/>
  <c r="AE139" i="2"/>
  <c r="EY139" i="2"/>
  <c r="DL139" i="2"/>
  <c r="Y95" i="2"/>
  <c r="AK95" i="2"/>
  <c r="BJ95" i="2"/>
  <c r="CI95" i="2"/>
  <c r="CU95" i="2"/>
  <c r="DH95" i="2"/>
  <c r="DT95" i="2"/>
  <c r="EG95" i="2"/>
  <c r="ES95" i="2"/>
  <c r="FE95" i="2"/>
  <c r="AJ117" i="2"/>
  <c r="BH117" i="2"/>
  <c r="CG117" i="2"/>
  <c r="DS117" i="2"/>
  <c r="EE117" i="2"/>
  <c r="EQ117" i="2"/>
  <c r="FC117" i="2"/>
  <c r="EZ117" i="2"/>
  <c r="G139" i="2"/>
  <c r="EM139" i="2"/>
  <c r="BP139" i="2"/>
  <c r="CB139" i="2"/>
  <c r="FO139" i="2"/>
  <c r="J117" i="2"/>
  <c r="W117" i="2"/>
  <c r="J186" i="2"/>
  <c r="V186" i="2"/>
  <c r="AV186" i="2"/>
  <c r="BH186" i="2"/>
  <c r="BU186" i="2"/>
  <c r="CG186" i="2"/>
  <c r="CT186" i="2"/>
  <c r="DG186" i="2"/>
  <c r="BG139" i="2"/>
  <c r="CF139" i="2"/>
  <c r="CR139" i="2"/>
  <c r="DD139" i="2"/>
  <c r="DP139" i="2"/>
  <c r="EN139" i="2"/>
  <c r="EZ139" i="2"/>
  <c r="C117" i="2"/>
  <c r="P117" i="2"/>
  <c r="CX117" i="2"/>
  <c r="W139" i="2"/>
  <c r="AI139" i="2"/>
  <c r="AV139" i="2"/>
  <c r="BH139" i="2"/>
  <c r="EC139" i="2"/>
  <c r="EO121" i="2"/>
  <c r="EO139" i="2" s="1"/>
  <c r="FA139" i="2"/>
  <c r="FB121" i="2"/>
  <c r="FB139" i="2" s="1"/>
  <c r="D117" i="2"/>
  <c r="AD117" i="2"/>
  <c r="AP117" i="2"/>
  <c r="BB117" i="2"/>
  <c r="BN117" i="2"/>
  <c r="BZ117" i="2"/>
  <c r="CL117" i="2"/>
  <c r="DL117" i="2"/>
  <c r="DX117" i="2"/>
  <c r="EJ117" i="2"/>
  <c r="EV117" i="2"/>
  <c r="FH117" i="2"/>
  <c r="K139" i="2"/>
  <c r="X139" i="2"/>
  <c r="AJ139" i="2"/>
  <c r="BV139" i="2"/>
  <c r="CH139" i="2"/>
  <c r="CT139" i="2"/>
  <c r="DF139" i="2"/>
  <c r="DR139" i="2"/>
  <c r="ED139" i="2"/>
  <c r="FC139" i="2"/>
  <c r="L164" i="2"/>
  <c r="Y164" i="2"/>
  <c r="AX164" i="2"/>
  <c r="CV164" i="2"/>
  <c r="DH164" i="2"/>
  <c r="DU164" i="2"/>
  <c r="EG164" i="2"/>
  <c r="ES164" i="2"/>
  <c r="FE164" i="2"/>
  <c r="AH164" i="2"/>
  <c r="AT164" i="2"/>
  <c r="BF164" i="2"/>
  <c r="R117" i="2"/>
  <c r="BO99" i="2"/>
  <c r="BO117" i="2" s="1"/>
  <c r="CZ117" i="2"/>
  <c r="DM117" i="2"/>
  <c r="DY117" i="2"/>
  <c r="EK117" i="2"/>
  <c r="EW117" i="2"/>
  <c r="FO117" i="2"/>
  <c r="L139" i="2"/>
  <c r="BJ139" i="2"/>
  <c r="BW139" i="2"/>
  <c r="CI139" i="2"/>
  <c r="EE139" i="2"/>
  <c r="EQ139" i="2"/>
  <c r="FD139" i="2"/>
  <c r="Z164" i="2"/>
  <c r="J164" i="2"/>
  <c r="CB186" i="2"/>
  <c r="F117" i="2"/>
  <c r="AF117" i="2"/>
  <c r="AR117" i="2"/>
  <c r="BD117" i="2"/>
  <c r="BP117" i="2"/>
  <c r="CB117" i="2"/>
  <c r="CO99" i="2"/>
  <c r="CO117" i="2" s="1"/>
  <c r="CN117" i="2"/>
  <c r="DB117" i="2"/>
  <c r="DN117" i="2"/>
  <c r="DZ117" i="2"/>
  <c r="EL117" i="2"/>
  <c r="EX117" i="2"/>
  <c r="M139" i="2"/>
  <c r="Z139" i="2"/>
  <c r="AL139" i="2"/>
  <c r="AY139" i="2"/>
  <c r="BK139" i="2"/>
  <c r="BX139" i="2"/>
  <c r="CJ139" i="2"/>
  <c r="CV139" i="2"/>
  <c r="DH139" i="2"/>
  <c r="DT139" i="2"/>
  <c r="EF139" i="2"/>
  <c r="ER139" i="2"/>
  <c r="O146" i="2"/>
  <c r="O164" i="2" s="1"/>
  <c r="N164" i="2"/>
  <c r="AA164" i="2"/>
  <c r="CX164" i="2"/>
  <c r="DJ164" i="2"/>
  <c r="DW164" i="2"/>
  <c r="EI164" i="2"/>
  <c r="EU164" i="2"/>
  <c r="FG164" i="2"/>
  <c r="EE164" i="2"/>
  <c r="EL186" i="2"/>
  <c r="AH95" i="2"/>
  <c r="AT95" i="2"/>
  <c r="BF95" i="2"/>
  <c r="BR95" i="2"/>
  <c r="CD95" i="2"/>
  <c r="CP95" i="2"/>
  <c r="DB77" i="2"/>
  <c r="DB95" i="2" s="1"/>
  <c r="DN95" i="2"/>
  <c r="DZ95" i="2"/>
  <c r="EL95" i="2"/>
  <c r="EX95" i="2"/>
  <c r="FO77" i="2"/>
  <c r="FO95" i="2" s="1"/>
  <c r="T117" i="2"/>
  <c r="AG117" i="2"/>
  <c r="AS117" i="2"/>
  <c r="BE117" i="2"/>
  <c r="BQ117" i="2"/>
  <c r="CC117" i="2"/>
  <c r="CP117" i="2"/>
  <c r="DC117" i="2"/>
  <c r="DO117" i="2"/>
  <c r="EA117" i="2"/>
  <c r="EM117" i="2"/>
  <c r="EY117" i="2"/>
  <c r="N139" i="2"/>
  <c r="AA139" i="2"/>
  <c r="AM139" i="2"/>
  <c r="AZ139" i="2"/>
  <c r="BL139" i="2"/>
  <c r="FF139" i="2"/>
  <c r="AU95" i="2"/>
  <c r="BG95" i="2"/>
  <c r="BS95" i="2"/>
  <c r="CE95" i="2"/>
  <c r="CQ95" i="2"/>
  <c r="DC95" i="2"/>
  <c r="DO95" i="2"/>
  <c r="EA95" i="2"/>
  <c r="EM95" i="2"/>
  <c r="EY95" i="2"/>
  <c r="H117" i="2"/>
  <c r="U117" i="2"/>
  <c r="AH117" i="2"/>
  <c r="AT117" i="2"/>
  <c r="BF117" i="2"/>
  <c r="BR117" i="2"/>
  <c r="CD117" i="2"/>
  <c r="CQ117" i="2"/>
  <c r="C139" i="2"/>
  <c r="P139" i="2"/>
  <c r="AB139" i="2"/>
  <c r="AN139" i="2"/>
  <c r="AO121" i="2"/>
  <c r="AO139" i="2" s="1"/>
  <c r="CL139" i="2"/>
  <c r="DJ139" i="2"/>
  <c r="EH139" i="2"/>
  <c r="AT186" i="2"/>
  <c r="BF186" i="2"/>
  <c r="BS186" i="2"/>
  <c r="CE186" i="2"/>
  <c r="CR186" i="2"/>
  <c r="FB186" i="2"/>
  <c r="DW208" i="2"/>
  <c r="AV95" i="2"/>
  <c r="BH95" i="2"/>
  <c r="BT95" i="2"/>
  <c r="CF95" i="2"/>
  <c r="CR95" i="2"/>
  <c r="DD95" i="2"/>
  <c r="DP95" i="2"/>
  <c r="EB77" i="2"/>
  <c r="EB95" i="2" s="1"/>
  <c r="EN95" i="2"/>
  <c r="EZ95" i="2"/>
  <c r="I117" i="2"/>
  <c r="V117" i="2"/>
  <c r="AI117" i="2"/>
  <c r="AU117" i="2"/>
  <c r="BG117" i="2"/>
  <c r="BS117" i="2"/>
  <c r="CE117" i="2"/>
  <c r="D139" i="2"/>
  <c r="AP139" i="2"/>
  <c r="BN139" i="2"/>
  <c r="BO121" i="2"/>
  <c r="BO139" i="2" s="1"/>
  <c r="CA139" i="2"/>
  <c r="CY139" i="2"/>
  <c r="DW139" i="2"/>
  <c r="EU139" i="2"/>
  <c r="CN139" i="2"/>
  <c r="CI164" i="2"/>
  <c r="I186" i="2"/>
  <c r="AH186" i="2"/>
  <c r="AU186" i="2"/>
  <c r="CF186" i="2"/>
  <c r="DF186" i="2"/>
  <c r="P208" i="2"/>
  <c r="AO208" i="2"/>
  <c r="BB190" i="2"/>
  <c r="BB208" i="2" s="1"/>
  <c r="BA208" i="2"/>
  <c r="AA117" i="2"/>
  <c r="AJ164" i="2"/>
  <c r="AV164" i="2"/>
  <c r="BH164" i="2"/>
  <c r="BT164" i="2"/>
  <c r="CG164" i="2"/>
  <c r="DS164" i="2"/>
  <c r="EQ164" i="2"/>
  <c r="BV186" i="2"/>
  <c r="CH186" i="2"/>
  <c r="CU186" i="2"/>
  <c r="S208" i="2"/>
  <c r="O121" i="2"/>
  <c r="O139" i="2" s="1"/>
  <c r="X164" i="2"/>
  <c r="AK164" i="2"/>
  <c r="AW164" i="2"/>
  <c r="BI164" i="2"/>
  <c r="BU164" i="2"/>
  <c r="CU164" i="2"/>
  <c r="DT164" i="2"/>
  <c r="EF164" i="2"/>
  <c r="ER164" i="2"/>
  <c r="FD164" i="2"/>
  <c r="G208" i="2"/>
  <c r="T208" i="2"/>
  <c r="AG208" i="2"/>
  <c r="AS208" i="2"/>
  <c r="CE208" i="2"/>
  <c r="EB208" i="2"/>
  <c r="EN208" i="2"/>
  <c r="EO190" i="2"/>
  <c r="EO208" i="2" s="1"/>
  <c r="E139" i="2"/>
  <c r="Q139" i="2"/>
  <c r="AC139" i="2"/>
  <c r="BA139" i="2"/>
  <c r="BM139" i="2"/>
  <c r="BY139" i="2"/>
  <c r="CK139" i="2"/>
  <c r="CW139" i="2"/>
  <c r="DI139" i="2"/>
  <c r="DU139" i="2"/>
  <c r="EG139" i="2"/>
  <c r="ES139" i="2"/>
  <c r="FE139" i="2"/>
  <c r="M164" i="2"/>
  <c r="AY164" i="2"/>
  <c r="BW164" i="2"/>
  <c r="CJ164" i="2"/>
  <c r="CW164" i="2"/>
  <c r="DI164" i="2"/>
  <c r="DV164" i="2"/>
  <c r="EH164" i="2"/>
  <c r="ET164" i="2"/>
  <c r="FF164" i="2"/>
  <c r="N186" i="2"/>
  <c r="Z186" i="2"/>
  <c r="AM186" i="2"/>
  <c r="CX186" i="2"/>
  <c r="DK186" i="2"/>
  <c r="DW186" i="2"/>
  <c r="EJ186" i="2"/>
  <c r="EV186" i="2"/>
  <c r="FH186" i="2"/>
  <c r="CN186" i="2"/>
  <c r="CS208" i="2"/>
  <c r="U208" i="2"/>
  <c r="O186" i="2"/>
  <c r="AB168" i="2"/>
  <c r="AB186" i="2" s="1"/>
  <c r="AA186" i="2"/>
  <c r="AO186" i="2"/>
  <c r="CY186" i="2"/>
  <c r="DX186" i="2"/>
  <c r="EK186" i="2"/>
  <c r="EW186" i="2"/>
  <c r="FI186" i="2"/>
  <c r="FO168" i="2"/>
  <c r="FO186" i="2" s="1"/>
  <c r="DA208" i="2"/>
  <c r="C164" i="2"/>
  <c r="P164" i="2"/>
  <c r="AC164" i="2"/>
  <c r="AO164" i="2"/>
  <c r="BA164" i="2"/>
  <c r="BM164" i="2"/>
  <c r="BY164" i="2"/>
  <c r="CL164" i="2"/>
  <c r="CY164" i="2"/>
  <c r="DK164" i="2"/>
  <c r="D186" i="2"/>
  <c r="P186" i="2"/>
  <c r="AC186" i="2"/>
  <c r="AP186" i="2"/>
  <c r="BB186" i="2"/>
  <c r="BO168" i="2"/>
  <c r="BO186" i="2" s="1"/>
  <c r="BN186" i="2"/>
  <c r="CA186" i="2"/>
  <c r="CM186" i="2"/>
  <c r="DM186" i="2"/>
  <c r="DY186" i="2"/>
  <c r="DA117" i="2"/>
  <c r="FI117" i="2"/>
  <c r="D164" i="2"/>
  <c r="Q164" i="2"/>
  <c r="AD164" i="2"/>
  <c r="AP164" i="2"/>
  <c r="BB164" i="2"/>
  <c r="BN164" i="2"/>
  <c r="BZ164" i="2"/>
  <c r="CM164" i="2"/>
  <c r="DY164" i="2"/>
  <c r="EW164" i="2"/>
  <c r="E186" i="2"/>
  <c r="Q186" i="2"/>
  <c r="AQ186" i="2"/>
  <c r="BC186" i="2"/>
  <c r="BP186" i="2"/>
  <c r="CO186" i="2"/>
  <c r="AW208" i="2"/>
  <c r="I139" i="2"/>
  <c r="U139" i="2"/>
  <c r="AG139" i="2"/>
  <c r="AS139" i="2"/>
  <c r="BE139" i="2"/>
  <c r="BQ139" i="2"/>
  <c r="CC139" i="2"/>
  <c r="CO139" i="2"/>
  <c r="DA139" i="2"/>
  <c r="DM139" i="2"/>
  <c r="DY139" i="2"/>
  <c r="EK139" i="2"/>
  <c r="EW139" i="2"/>
  <c r="FI139" i="2"/>
  <c r="E164" i="2"/>
  <c r="R164" i="2"/>
  <c r="AE164" i="2"/>
  <c r="AQ164" i="2"/>
  <c r="BC164" i="2"/>
  <c r="BO164" i="2"/>
  <c r="CA164" i="2"/>
  <c r="CB146" i="2"/>
  <c r="CB164" i="2" s="1"/>
  <c r="DA164" i="2"/>
  <c r="FO164" i="2"/>
  <c r="AR186" i="2"/>
  <c r="BD186" i="2"/>
  <c r="J139" i="2"/>
  <c r="V139" i="2"/>
  <c r="AH139" i="2"/>
  <c r="AT139" i="2"/>
  <c r="BF139" i="2"/>
  <c r="BR139" i="2"/>
  <c r="CD139" i="2"/>
  <c r="CP139" i="2"/>
  <c r="DB139" i="2"/>
  <c r="DN139" i="2"/>
  <c r="DZ139" i="2"/>
  <c r="EL139" i="2"/>
  <c r="EX139" i="2"/>
  <c r="F164" i="2"/>
  <c r="S164" i="2"/>
  <c r="CC164" i="2"/>
  <c r="DO164" i="2"/>
  <c r="CQ186" i="2"/>
  <c r="DD186" i="2"/>
  <c r="DP186" i="2"/>
  <c r="EC186" i="2"/>
  <c r="EO186" i="2"/>
  <c r="FA186" i="2"/>
  <c r="EN186" i="2"/>
  <c r="O208" i="2"/>
  <c r="AB208" i="2"/>
  <c r="AN208" i="2"/>
  <c r="AZ208" i="2"/>
  <c r="BM208" i="2"/>
  <c r="BY208" i="2"/>
  <c r="DK208" i="2"/>
  <c r="FO190" i="2"/>
  <c r="FO208" i="2" s="1"/>
  <c r="FI208" i="2"/>
  <c r="AE186" i="2"/>
  <c r="BQ186" i="2"/>
  <c r="CC186" i="2"/>
  <c r="DB168" i="2"/>
  <c r="DB186" i="2" s="1"/>
  <c r="DA186" i="2"/>
  <c r="DN186" i="2"/>
  <c r="EM186" i="2"/>
  <c r="D208" i="2"/>
  <c r="Q208" i="2"/>
  <c r="BO208" i="2"/>
  <c r="CB208" i="2"/>
  <c r="CN208" i="2"/>
  <c r="CZ208" i="2"/>
  <c r="DY208" i="2"/>
  <c r="EK208" i="2"/>
  <c r="AB146" i="2"/>
  <c r="AB164" i="2" s="1"/>
  <c r="G186" i="2"/>
  <c r="S186" i="2"/>
  <c r="AS186" i="2"/>
  <c r="BE186" i="2"/>
  <c r="BR186" i="2"/>
  <c r="CD186" i="2"/>
  <c r="CP186" i="2"/>
  <c r="DC186" i="2"/>
  <c r="DO186" i="2"/>
  <c r="EB186" i="2"/>
  <c r="EZ186" i="2"/>
  <c r="DZ186" i="2"/>
  <c r="AQ208" i="2"/>
  <c r="CO208" i="2"/>
  <c r="H164" i="2"/>
  <c r="T164" i="2"/>
  <c r="AF164" i="2"/>
  <c r="AR164" i="2"/>
  <c r="BD164" i="2"/>
  <c r="BP164" i="2"/>
  <c r="CN164" i="2"/>
  <c r="CZ164" i="2"/>
  <c r="DL164" i="2"/>
  <c r="DX164" i="2"/>
  <c r="EJ164" i="2"/>
  <c r="EV164" i="2"/>
  <c r="FH164" i="2"/>
  <c r="K186" i="2"/>
  <c r="W186" i="2"/>
  <c r="AJ186" i="2"/>
  <c r="AI208" i="2"/>
  <c r="AU208" i="2"/>
  <c r="CG208" i="2"/>
  <c r="CO146" i="2"/>
  <c r="CO164" i="2" s="1"/>
  <c r="L186" i="2"/>
  <c r="X186" i="2"/>
  <c r="DH186" i="2"/>
  <c r="DT186" i="2"/>
  <c r="BI208" i="2"/>
  <c r="BU208" i="2"/>
  <c r="BX186" i="2"/>
  <c r="CJ186" i="2"/>
  <c r="CV186" i="2"/>
  <c r="DI186" i="2"/>
  <c r="DU186" i="2"/>
  <c r="ET186" i="2"/>
  <c r="FF186" i="2"/>
  <c r="AK208" i="2"/>
  <c r="K164" i="2"/>
  <c r="W164" i="2"/>
  <c r="AI164" i="2"/>
  <c r="AU164" i="2"/>
  <c r="BG164" i="2"/>
  <c r="BS164" i="2"/>
  <c r="CE164" i="2"/>
  <c r="CQ164" i="2"/>
  <c r="DC164" i="2"/>
  <c r="EA164" i="2"/>
  <c r="EM164" i="2"/>
  <c r="EY164" i="2"/>
  <c r="AZ186" i="2"/>
  <c r="BL186" i="2"/>
  <c r="BY186" i="2"/>
  <c r="CK186" i="2"/>
  <c r="CW186" i="2"/>
  <c r="EI186" i="2"/>
  <c r="FG208" i="2"/>
  <c r="EF186" i="2"/>
  <c r="ER186" i="2"/>
  <c r="FD186" i="2"/>
  <c r="AN186" i="2"/>
  <c r="E208" i="2"/>
  <c r="BD208" i="2"/>
  <c r="BP208" i="2"/>
  <c r="DB208" i="2"/>
  <c r="FA208" i="2"/>
  <c r="EG186" i="2"/>
  <c r="ES186" i="2"/>
  <c r="FE186" i="2"/>
  <c r="AF208" i="2"/>
  <c r="AR208" i="2"/>
  <c r="DC208" i="2"/>
  <c r="DO208" i="2"/>
  <c r="EA208" i="2"/>
  <c r="EM208" i="2"/>
  <c r="EY208" i="2"/>
  <c r="EU186" i="2"/>
  <c r="FG186" i="2"/>
  <c r="H208" i="2"/>
  <c r="BG208" i="2"/>
  <c r="BS208" i="2"/>
  <c r="FB208" i="2"/>
  <c r="W208" i="2"/>
  <c r="AJ208" i="2"/>
  <c r="AV208" i="2"/>
  <c r="DG208" i="2"/>
  <c r="DS208" i="2"/>
  <c r="EE208" i="2"/>
  <c r="EQ208" i="2"/>
  <c r="FD208" i="2"/>
  <c r="EA186" i="2"/>
  <c r="K208" i="2"/>
  <c r="X208" i="2"/>
  <c r="CI208" i="2"/>
  <c r="CU208" i="2"/>
  <c r="DH208" i="2"/>
  <c r="DT208" i="2"/>
  <c r="EF208" i="2"/>
  <c r="ER208" i="2"/>
  <c r="FE208" i="2"/>
  <c r="L208" i="2"/>
  <c r="BK208" i="2"/>
  <c r="BW208" i="2"/>
  <c r="CJ208" i="2"/>
  <c r="CV208" i="2"/>
  <c r="DI208" i="2"/>
  <c r="DU208" i="2"/>
  <c r="EG208" i="2"/>
  <c r="ES208" i="2"/>
  <c r="AM208" i="2"/>
  <c r="AY208" i="2"/>
  <c r="BL208" i="2"/>
  <c r="BX208" i="2"/>
  <c r="CK208" i="2"/>
  <c r="CW208" i="2"/>
  <c r="N208" i="2"/>
  <c r="AA208" i="2"/>
  <c r="E59" i="3" l="1"/>
  <c r="I60" i="3" s="1"/>
  <c r="E62" i="3"/>
  <c r="K38" i="3"/>
  <c r="D65" i="3"/>
  <c r="D57" i="3"/>
  <c r="H58" i="3" s="1"/>
  <c r="E65" i="3"/>
  <c r="I65" i="3" s="1"/>
  <c r="G54" i="3"/>
  <c r="F54" i="3"/>
  <c r="F60" i="3"/>
  <c r="H61" i="3"/>
  <c r="G60" i="3"/>
  <c r="H62" i="3"/>
  <c r="L33" i="3"/>
  <c r="K33" i="3"/>
  <c r="G56" i="3"/>
  <c r="F56" i="3"/>
  <c r="H57" i="3"/>
  <c r="H59" i="3"/>
  <c r="L37" i="3"/>
  <c r="K37" i="3"/>
  <c r="D63" i="3"/>
  <c r="O46" i="3" a="1"/>
  <c r="O46" i="3" s="1"/>
  <c r="O48" i="3" s="1"/>
  <c r="E14" i="3" a="1"/>
  <c r="E14" i="3" s="1"/>
  <c r="K39" i="3"/>
  <c r="C64" i="3"/>
  <c r="L48" i="3"/>
  <c r="L25" i="3"/>
  <c r="K25" i="3"/>
  <c r="C48" i="3"/>
  <c r="I57" i="3"/>
  <c r="K36" i="3"/>
  <c r="L36" i="3"/>
  <c r="E63" i="3"/>
  <c r="I64" i="3" s="1"/>
  <c r="O47" i="3" a="1"/>
  <c r="O47" i="3" s="1"/>
  <c r="F14" i="3" a="1"/>
  <c r="F14" i="3" s="1"/>
  <c r="F17" i="3" s="1"/>
  <c r="F7" i="3" s="1"/>
  <c r="E48" i="3"/>
  <c r="L28" i="3"/>
  <c r="K28" i="3"/>
  <c r="K24" i="3"/>
  <c r="L24" i="3"/>
  <c r="K30" i="3"/>
  <c r="L30" i="3"/>
  <c r="J40" i="3"/>
  <c r="E61" i="3"/>
  <c r="I62" i="3" s="1"/>
  <c r="F62" i="3"/>
  <c r="G62" i="3"/>
  <c r="D64" i="3"/>
  <c r="D48" i="3"/>
  <c r="K26" i="3"/>
  <c r="J48" i="3"/>
  <c r="K34" i="3"/>
  <c r="L34" i="3"/>
  <c r="K32" i="3"/>
  <c r="L32" i="3"/>
  <c r="L29" i="3"/>
  <c r="K29" i="3"/>
  <c r="L23" i="3"/>
  <c r="K23" i="3"/>
  <c r="K22" i="3"/>
  <c r="I40" i="3"/>
  <c r="L22" i="3"/>
  <c r="D53" i="3"/>
  <c r="C57" i="3"/>
  <c r="G65" i="3"/>
  <c r="F65" i="3"/>
  <c r="K27" i="3"/>
  <c r="E55" i="3"/>
  <c r="D55" i="3"/>
  <c r="C60" i="3"/>
  <c r="G16" i="3"/>
  <c r="L35" i="3"/>
  <c r="K35" i="3"/>
  <c r="G15" i="3"/>
  <c r="H15" i="3"/>
  <c r="E58" i="3"/>
  <c r="I59" i="3" s="1"/>
  <c r="D14" i="3" a="1"/>
  <c r="D14" i="3" s="1"/>
  <c r="D17" i="3" s="1"/>
  <c r="B7" i="3" s="1"/>
  <c r="C63" i="3"/>
  <c r="O45" i="3" a="1"/>
  <c r="O45" i="3" s="1"/>
  <c r="C62" i="3"/>
  <c r="H60" i="3"/>
  <c r="G59" i="3"/>
  <c r="F59" i="3"/>
  <c r="F57" i="3" l="1"/>
  <c r="G57" i="3"/>
  <c r="I63" i="3"/>
  <c r="G58" i="3"/>
  <c r="F61" i="3"/>
  <c r="G61" i="3"/>
  <c r="G63" i="3"/>
  <c r="F63" i="3"/>
  <c r="H64" i="3"/>
  <c r="G53" i="3"/>
  <c r="H54" i="3"/>
  <c r="F53" i="3"/>
  <c r="F58" i="3"/>
  <c r="I58" i="3"/>
  <c r="K40" i="3"/>
  <c r="G55" i="3"/>
  <c r="H56" i="3"/>
  <c r="F55" i="3"/>
  <c r="G64" i="3"/>
  <c r="F64" i="3"/>
  <c r="H65" i="3"/>
  <c r="H55" i="3"/>
  <c r="I61" i="3"/>
  <c r="M34" i="3"/>
  <c r="M22" i="3"/>
  <c r="M36" i="3"/>
  <c r="M24" i="3"/>
  <c r="M38" i="3"/>
  <c r="M26" i="3"/>
  <c r="M33" i="3"/>
  <c r="M28" i="3"/>
  <c r="M35" i="3"/>
  <c r="M23" i="3"/>
  <c r="M30" i="3"/>
  <c r="M32" i="3"/>
  <c r="M39" i="3"/>
  <c r="M27" i="3"/>
  <c r="M29" i="3"/>
  <c r="M37" i="3"/>
  <c r="L40" i="3"/>
  <c r="M25" i="3"/>
  <c r="M31" i="3"/>
  <c r="I56" i="3"/>
  <c r="I55" i="3"/>
  <c r="H63" i="3"/>
  <c r="H14" i="3"/>
  <c r="G14" i="3"/>
  <c r="E17" i="3"/>
  <c r="M40" i="3" l="1"/>
  <c r="I14" i="3"/>
  <c r="D7" i="3"/>
  <c r="H17" i="3"/>
  <c r="H7" i="3" s="1"/>
  <c r="G17" i="3"/>
  <c r="J7" i="3" s="1"/>
  <c r="I15" i="3"/>
  <c r="I16" i="3"/>
  <c r="I17" i="3" l="1"/>
</calcChain>
</file>

<file path=xl/sharedStrings.xml><?xml version="1.0" encoding="utf-8"?>
<sst xmlns="http://schemas.openxmlformats.org/spreadsheetml/2006/main" count="3760" uniqueCount="137">
  <si>
    <t>Ministerio de Vivienda y Urbanismo — Partida 18</t>
  </si>
  <si>
    <t>Miles de pesos — moneda corriente — montos devengados</t>
  </si>
  <si>
    <t>SUBTÍTULO 31 – INICIATIVAS DE INVERSIÓN</t>
  </si>
  <si>
    <t>Presupuesto Ley (Subtítulo 31)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</si>
  <si>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</si>
  <si>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</si>
  <si>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</si>
  <si>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</si>
  <si>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</si>
  <si>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</si>
  <si>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</si>
  <si>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</si>
  <si>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</si>
  <si>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</si>
  <si>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</si>
  <si>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</si>
  <si>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</si>
  <si>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Programa / Entidad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</si>
  <si>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</si>
  <si>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</si>
  <si>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</si>
  <si>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</si>
  <si>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</si>
  <si>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</si>
  <si>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</si>
  <si>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</si>
  <si>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</si>
  <si>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</si>
  <si>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</si>
  <si>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</si>
  <si>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 2014</t>
  </si>
  <si>
    <t>Total 2015</t>
  </si>
  <si>
    <t>Total 2016</t>
  </si>
  <si>
    <t>Total 2017</t>
  </si>
  <si>
    <t>Total 2018</t>
  </si>
  <si>
    <t>Total 2019</t>
  </si>
  <si>
    <t>Total 2020</t>
  </si>
  <si>
    <t>Total 2021</t>
  </si>
  <si>
    <t>Total 2022</t>
  </si>
  <si>
    <t>Total 2023</t>
  </si>
  <si>
    <t>Total 2024</t>
  </si>
  <si>
    <t>Total 2025</t>
  </si>
  <si>
    <t>Total 2026</t>
  </si>
  <si>
    <t>Subsecretaría y Programas Centrales</t>
  </si>
  <si>
    <t>Parque Metropolitano (PARQUEMET)</t>
  </si>
  <si>
    <t>SERVIU Arica y Parinacota</t>
  </si>
  <si>
    <t>SERVIU Tarapacá</t>
  </si>
  <si>
    <t>SERVIU Antofagasta</t>
  </si>
  <si>
    <t>SERVIU Atacama</t>
  </si>
  <si>
    <t>SERVIU Coquimbo</t>
  </si>
  <si>
    <t>SERVIU Valparaíso</t>
  </si>
  <si>
    <t>SERVIU Metropolitano</t>
  </si>
  <si>
    <t>SERVIU O'Higgins</t>
  </si>
  <si>
    <t>SERVIU Maule</t>
  </si>
  <si>
    <t>SERVIU Ñuble</t>
  </si>
  <si>
    <t>SERVIU Biobío</t>
  </si>
  <si>
    <t>SERVIU La Araucanía</t>
  </si>
  <si>
    <t>SERVIU Los Ríos</t>
  </si>
  <si>
    <t>SERVIU Los Lagos</t>
  </si>
  <si>
    <t>SERVIU Aysén</t>
  </si>
  <si>
    <t>SERVIU Magallanes</t>
  </si>
  <si>
    <t>Total Presupuesto Ley (Subtítulo 31)</t>
  </si>
  <si>
    <t>Presupuesto Vigente (Subtítulo 31)</t>
  </si>
  <si>
    <t>Total Presupuesto Vigente (Subtítulo 31)</t>
  </si>
  <si>
    <t>Ejecución Acumulada (Subtítulo 31)</t>
  </si>
  <si>
    <t>Total Ejecución Acumulada (Subtítulo 31)</t>
  </si>
  <si>
    <t>SUBTÍTULO 29 – ADQUISICIÓN DE ACTIVOS NO FINANCIEROS</t>
  </si>
  <si>
    <t>Presupuesto Ley (Subtítulo 29)</t>
  </si>
  <si>
    <t>Total Presupuesto Ley (Subtítulo 29)</t>
  </si>
  <si>
    <t>Presupuesto Vigente (Subtítulo 29)</t>
  </si>
  <si>
    <t>Total Presupuesto Vigente (Subtítulo 29)</t>
  </si>
  <si>
    <t>Ejecución Acumulada (Subtítulo 29)</t>
  </si>
  <si>
    <t>Total Ejecución Acumulada (Subtítulo 29)</t>
  </si>
  <si>
    <t>SUBTÍTULO 33 – TRANSFERENCIAS DE CAPITAL (SUBSIDIOS HABITACIONALES E INVERSIÓN)</t>
  </si>
  <si>
    <t>Presupuesto Ley (Subtítulo 33)</t>
  </si>
  <si>
    <t>Total Presupuesto Ley (Subtítulo 33)</t>
  </si>
  <si>
    <t>Presupuesto Vigente (Subtítulo 33)</t>
  </si>
  <si>
    <t>Total Presupuesto Vigente (Subtítulo 33)</t>
  </si>
  <si>
    <t>Ejecución Acumulada (Subtítulo 33)</t>
  </si>
  <si>
    <t>Total Ejecución Acumulada (Subtítulo 33)</t>
  </si>
  <si>
    <t>Miles de pesos – moneda constante – montos devengados</t>
  </si>
  <si>
    <t>MINISTERIO DE VIVIENDA Y URBANISMO — DASHBOARD DE INVERSIÓN Y EJECUCIÓN PRESUPUESTARIA</t>
  </si>
  <si>
    <t>Visualizador Analítico Interactivo Tabla a Tabla | Subtítulos 33 (Subsidios/Capital), 31 (Inversión Directa), 29 (Activos) y Consolidado | Cifras en miles de pesos ($)</t>
  </si>
  <si>
    <t>AÑO SELECCIONADO:</t>
  </si>
  <si>
    <t>COBERTURA TEMPORAL:</t>
  </si>
  <si>
    <t>2014 - 2026 (Ene - Dic)</t>
  </si>
  <si>
    <t>UNIDAD MONETARIA:</t>
  </si>
  <si>
    <t>Miles de $ Corrientes (DIPRES)</t>
  </si>
  <si>
    <t>PRESUPUESTO LEY (INICIAL)</t>
  </si>
  <si>
    <t>PRESUPUESTO VIGENTE</t>
  </si>
  <si>
    <t>EJECUCIÓN ACUMULADA</t>
  </si>
  <si>
    <t>% CUMPLIMIENTO PRESUPUESTARIO</t>
  </si>
  <si>
    <t>SALDO POR EJECUTAR</t>
  </si>
  <si>
    <t>Aprobado Ley de Presupuesto</t>
  </si>
  <si>
    <t>Presupuesto anual actualizado</t>
  </si>
  <si>
    <t>Total devengado en el ejercicio</t>
  </si>
  <si>
    <t>Ejecución devengada / Presupuesto vigente</t>
  </si>
  <si>
    <t>Monto disponible no devengado</t>
  </si>
  <si>
    <t>TABLA 1: RESUMEN CONSOLIDADO POR SUBTÍTULO PRESUPUESTARIO</t>
  </si>
  <si>
    <t>Subtítulo Presupuestario</t>
  </si>
  <si>
    <t>Cód.</t>
  </si>
  <si>
    <t>Presupuesto Ley</t>
  </si>
  <si>
    <t>Presupuesto Vigente</t>
  </si>
  <si>
    <t>Ejecución Acumulada</t>
  </si>
  <si>
    <t>Saldo por Ejecutar</t>
  </si>
  <si>
    <t>% Ejecución</t>
  </si>
  <si>
    <t>% Participación</t>
  </si>
  <si>
    <t>Subtítulo 33 – Transferencias de Capital (Subsidios)</t>
  </si>
  <si>
    <t>33</t>
  </si>
  <si>
    <t>Subtítulo 31 – Iniciativas de Inversión</t>
  </si>
  <si>
    <t>31</t>
  </si>
  <si>
    <t>Subtítulo 29 – Activos No Financieros</t>
  </si>
  <si>
    <t>29</t>
  </si>
  <si>
    <t>TOTAL INVERSIÓN MINVU (33 + 31 + 29)</t>
  </si>
  <si>
    <t>TOTAL</t>
  </si>
  <si>
    <t>TABLA 2: DESGLOSE COMPLETO POR ENTIDAD / PROGRAMA / SERVIU (AÑO SELECCIONADO)</t>
  </si>
  <si>
    <t>Entidad / SERVIU Regional</t>
  </si>
  <si>
    <t>Subt. 33 Vigente</t>
  </si>
  <si>
    <t>Subt. 33 Ejecución</t>
  </si>
  <si>
    <t>Subt. 31 Vigente</t>
  </si>
  <si>
    <t>Subt. 31 Ejecución</t>
  </si>
  <si>
    <t>Subt. 29 Vigente</t>
  </si>
  <si>
    <t>Subt. 29 Ejecución</t>
  </si>
  <si>
    <t>Total Vigente</t>
  </si>
  <si>
    <t>Total Ejecución</t>
  </si>
  <si>
    <t>Saldo</t>
  </si>
  <si>
    <t>% Part. MINVU</t>
  </si>
  <si>
    <t>TOTAL MINVU</t>
  </si>
  <si>
    <t>TABLA 3: EVOLUCIÓN MENSUAL DEL AÑO SELECCIONADO (ENERO A DICIEMBRE)</t>
  </si>
  <si>
    <t>Concepto / Mes</t>
  </si>
  <si>
    <t>Cierre Total</t>
  </si>
  <si>
    <t>% Avance Ejecución</t>
  </si>
  <si>
    <t>TABLA 4: COMPARATIVA HISTÓRICA MULTIANUAL (2014 - 2026)</t>
  </si>
  <si>
    <t>Año</t>
  </si>
  <si>
    <t>Crec. Vigente (YoY)</t>
  </si>
  <si>
    <t>Crec. Ejecución (YoY)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</si>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</sst>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_-;_-@"/>
    <numFmt numFmtId="165" formatCode="0.0%"/>
  </numFmts>
  <fonts count="15" x14ac:knownFonts="1">
    <font>
      <sz val="11"/>
      <color theme="1"/>
      <name val="Calibri"/>
      <scheme val="minor"/>
    </font>
    <font>
      <b/>
      <sz val="16"/>
      <color rgb="FF1B365D"/>
      <name val="Calibri"/>
      <family val="2"/>
    </font>
    <font>
      <i/>
      <sz val="10"/>
      <color rgb="FF595959"/>
      <name val="Calibri"/>
      <family val="2"/>
    </font>
    <font>
      <b/>
      <sz val="13"/>
      <color rgb="FFFFFFFF"/>
      <name val="Calibri"/>
      <family val="2"/>
    </font>
    <font>
      <b/>
      <sz val="11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3"/>
      <color rgb="FFB25900"/>
      <name val="Calibri"/>
      <family val="2"/>
    </font>
    <font>
      <b/>
      <sz val="9"/>
      <color rgb="FF595959"/>
      <name val="Calibri"/>
      <family val="2"/>
    </font>
    <font>
      <b/>
      <sz val="15"/>
      <color rgb="FF1B365D"/>
      <name val="Calibri"/>
      <family val="2"/>
    </font>
    <font>
      <b/>
      <sz val="15"/>
      <color rgb="FF007A3D"/>
      <name val="Calibri"/>
      <family val="2"/>
    </font>
    <font>
      <b/>
      <sz val="16"/>
      <color rgb="FF007A3D"/>
      <name val="Calibri"/>
      <family val="2"/>
    </font>
    <font>
      <b/>
      <sz val="15"/>
      <color rgb="FFB25900"/>
      <name val="Calibri"/>
      <family val="2"/>
    </font>
    <font>
      <i/>
      <sz val="8"/>
      <color rgb="FF7F7F7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C3E50"/>
        <bgColor rgb="FF2C3E50"/>
      </patternFill>
    </fill>
    <fill>
      <patternFill patternType="solid">
        <fgColor rgb="FFF9FAFC"/>
        <bgColor rgb="FFF9FAFC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8"/>
        <bgColor rgb="FFF2F4F8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1B365D"/>
      </left>
      <right style="medium">
        <color rgb="FF1B365D"/>
      </right>
      <top style="medium">
        <color rgb="FF1B365D"/>
      </top>
      <bottom style="medium">
        <color rgb="FF1B365D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medium">
        <color rgb="FF1B365D"/>
      </top>
      <bottom/>
      <diagonal/>
    </border>
    <border>
      <left/>
      <right/>
      <top style="medium">
        <color rgb="FF1B365D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double">
        <color rgb="FF1B365D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1B365D"/>
      </top>
      <bottom/>
      <diagonal/>
    </border>
  </borders>
  <cellStyleXfs count="1">
    <xf numFmtId="0" fontId="0" fillId="0" borderId="10"/>
  </cellStyleXfs>
  <cellXfs count="52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2" borderId="1" xfId="0" applyFont="1" applyFill="1" applyBorder="1"/>
    <xf numFmtId="0" fontId="4" fillId="0" borderId="0" xfId="0" applyFont="1" applyBorder="1"/>
    <xf numFmtId="0" fontId="5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0" borderId="2" xfId="0" applyFont="1" applyBorder="1"/>
    <xf numFmtId="164" fontId="6" fillId="0" borderId="2" xfId="0" applyNumberFormat="1" applyFont="1" applyBorder="1" applyAlignment="1">
      <alignment horizontal="right"/>
    </xf>
    <xf numFmtId="164" fontId="7" fillId="4" borderId="2" xfId="0" applyNumberFormat="1" applyFont="1" applyFill="1" applyBorder="1" applyAlignment="1">
      <alignment horizontal="right"/>
    </xf>
    <xf numFmtId="0" fontId="8" fillId="6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165" fontId="6" fillId="0" borderId="2" xfId="0" applyNumberFormat="1" applyFont="1" applyBorder="1" applyAlignment="1">
      <alignment horizontal="right"/>
    </xf>
    <xf numFmtId="0" fontId="7" fillId="5" borderId="13" xfId="0" applyFont="1" applyFill="1" applyBorder="1"/>
    <xf numFmtId="0" fontId="7" fillId="5" borderId="13" xfId="0" applyFont="1" applyFill="1" applyBorder="1" applyAlignment="1">
      <alignment horizontal="center"/>
    </xf>
    <xf numFmtId="164" fontId="7" fillId="5" borderId="13" xfId="0" applyNumberFormat="1" applyFont="1" applyFill="1" applyBorder="1" applyAlignment="1">
      <alignment horizontal="right"/>
    </xf>
    <xf numFmtId="165" fontId="7" fillId="5" borderId="13" xfId="0" applyNumberFormat="1" applyFont="1" applyFill="1" applyBorder="1" applyAlignment="1">
      <alignment horizontal="right"/>
    </xf>
    <xf numFmtId="0" fontId="5" fillId="3" borderId="2" xfId="0" applyFont="1" applyFill="1" applyBorder="1" applyAlignment="1">
      <alignment horizontal="center" vertical="center" wrapText="1"/>
    </xf>
    <xf numFmtId="0" fontId="6" fillId="4" borderId="2" xfId="0" applyFont="1" applyFill="1" applyBorder="1"/>
    <xf numFmtId="164" fontId="6" fillId="4" borderId="2" xfId="0" applyNumberFormat="1" applyFont="1" applyFill="1" applyBorder="1" applyAlignment="1">
      <alignment horizontal="right"/>
    </xf>
    <xf numFmtId="165" fontId="6" fillId="4" borderId="2" xfId="0" applyNumberFormat="1" applyFont="1" applyFill="1" applyBorder="1" applyAlignment="1">
      <alignment horizontal="right"/>
    </xf>
    <xf numFmtId="164" fontId="6" fillId="5" borderId="2" xfId="0" applyNumberFormat="1" applyFont="1" applyFill="1" applyBorder="1" applyAlignment="1">
      <alignment horizontal="right"/>
    </xf>
    <xf numFmtId="0" fontId="7" fillId="0" borderId="2" xfId="0" applyFont="1" applyBorder="1"/>
    <xf numFmtId="164" fontId="7" fillId="0" borderId="2" xfId="0" applyNumberFormat="1" applyFont="1" applyBorder="1" applyAlignment="1">
      <alignment horizontal="right"/>
    </xf>
    <xf numFmtId="164" fontId="7" fillId="5" borderId="2" xfId="0" applyNumberFormat="1" applyFont="1" applyFill="1" applyBorder="1" applyAlignment="1">
      <alignment horizontal="right"/>
    </xf>
    <xf numFmtId="0" fontId="7" fillId="0" borderId="13" xfId="0" applyFont="1" applyBorder="1"/>
    <xf numFmtId="165" fontId="7" fillId="0" borderId="13" xfId="0" applyNumberFormat="1" applyFont="1" applyBorder="1" applyAlignment="1">
      <alignment horizontal="right"/>
    </xf>
    <xf numFmtId="0" fontId="7" fillId="4" borderId="2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0" fontId="0" fillId="0" borderId="0" xfId="0" applyBorder="1"/>
    <xf numFmtId="0" fontId="7" fillId="5" borderId="2" xfId="0" applyFont="1" applyFill="1" applyBorder="1" applyAlignment="1">
      <alignment horizontal="right" vertical="center"/>
    </xf>
    <xf numFmtId="0" fontId="5" fillId="2" borderId="10" xfId="0" applyFont="1" applyFill="1" applyAlignment="1">
      <alignment horizontal="center" vertical="center"/>
    </xf>
    <xf numFmtId="0" fontId="0" fillId="0" borderId="0" xfId="0" applyBorder="1"/>
    <xf numFmtId="0" fontId="7" fillId="0" borderId="2" xfId="0" applyFont="1" applyBorder="1" applyAlignment="1">
      <alignment horizontal="center" vertical="center"/>
    </xf>
    <xf numFmtId="0" fontId="0" fillId="0" borderId="4" xfId="0" applyBorder="1"/>
    <xf numFmtId="0" fontId="9" fillId="7" borderId="16" xfId="0" applyFont="1" applyFill="1" applyBorder="1" applyAlignment="1">
      <alignment horizontal="center" vertical="center"/>
    </xf>
    <xf numFmtId="0" fontId="0" fillId="0" borderId="7" xfId="0" applyBorder="1"/>
    <xf numFmtId="0" fontId="0" fillId="0" borderId="6" xfId="0" applyBorder="1"/>
    <xf numFmtId="164" fontId="10" fillId="7" borderId="14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8" xfId="0" applyBorder="1"/>
    <xf numFmtId="165" fontId="12" fillId="7" borderId="14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5" xfId="0" applyBorder="1"/>
    <xf numFmtId="0" fontId="7" fillId="5" borderId="2" xfId="0" applyFont="1" applyFill="1" applyBorder="1" applyAlignment="1">
      <alignment horizontal="right" vertical="center"/>
    </xf>
    <xf numFmtId="0" fontId="14" fillId="7" borderId="15" xfId="0" applyFont="1" applyFill="1" applyBorder="1" applyAlignment="1">
      <alignment horizontal="center" vertical="center"/>
    </xf>
    <xf numFmtId="0" fontId="0" fillId="0" borderId="11" xfId="0" applyBorder="1"/>
    <xf numFmtId="164" fontId="11" fillId="7" borderId="14" xfId="0" applyNumberFormat="1" applyFont="1" applyFill="1" applyBorder="1" applyAlignment="1">
      <alignment horizontal="center" vertical="center"/>
    </xf>
    <xf numFmtId="164" fontId="13" fillId="7" borderId="14" xfId="0" applyNumberFormat="1" applyFont="1" applyFill="1" applyBorder="1" applyAlignment="1">
      <alignment horizontal="center" vertical="center"/>
    </xf>
    <xf numFmtId="0" fontId="0" fillId="0" borderId="1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Presupuesto Vigente vs Ejecución Acumulada por Entidad / SERVIU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Total Vigente</c:v>
          </c:tx>
          <c:spPr>
            <a:solidFill>
              <a:srgbClr val="4F81BD"/>
            </a:solidFill>
            <a:ln cmpd="sng">
              <a:noFill/>
              <a:prstDash val="solid"/>
            </a:ln>
          </c:spPr>
          <c:invertIfNegative val="1"/>
          <c:cat>
            <c:strRef>
              <c:f>Dashboard!$B$22:$B$39</c:f>
              <c:strCache>
                <c:ptCount val="18"/>
                <c:pt idx="0">
                  <c:v>Subsecretaría y Programas Centrales</c:v>
                </c:pt>
                <c:pt idx="1">
                  <c:v>Parque Metropolitano (PARQUEMET)</c:v>
                </c:pt>
                <c:pt idx="2">
                  <c:v>SERVIU Arica y Parinacota</c:v>
                </c:pt>
                <c:pt idx="3">
                  <c:v>SERVIU Tarapacá</c:v>
                </c:pt>
                <c:pt idx="4">
                  <c:v>SERVIU Antofagasta</c:v>
                </c:pt>
                <c:pt idx="5">
                  <c:v>SERVIU Atacama</c:v>
                </c:pt>
                <c:pt idx="6">
                  <c:v>SERVIU Coquimbo</c:v>
                </c:pt>
                <c:pt idx="7">
                  <c:v>SERVIU Valparaíso</c:v>
                </c:pt>
                <c:pt idx="8">
                  <c:v>SERVIU Metropolitano</c:v>
                </c:pt>
                <c:pt idx="9">
                  <c:v>SERVIU O'Higgins</c:v>
                </c:pt>
                <c:pt idx="10">
                  <c:v>SERVIU Maule</c:v>
                </c:pt>
                <c:pt idx="11">
                  <c:v>SERVIU Ñuble</c:v>
                </c:pt>
                <c:pt idx="12">
                  <c:v>SERVIU Biobío</c:v>
                </c:pt>
                <c:pt idx="13">
                  <c:v>SERVIU La Araucanía</c:v>
                </c:pt>
                <c:pt idx="14">
                  <c:v>SERVIU Los Ríos</c:v>
                </c:pt>
                <c:pt idx="15">
                  <c:v>SERVIU Los Lagos</c:v>
                </c:pt>
                <c:pt idx="16">
                  <c:v>SERVIU Aysén</c:v>
                </c:pt>
                <c:pt idx="17">
                  <c:v>SERVIU Magallanes</c:v>
                </c:pt>
              </c:strCache>
            </c:strRef>
          </c:cat>
          <c:val>
            <c:numRef>
              <c:f>Dashboard!$I$22:$I$39</c:f>
              <c:numCache>
                <c:formatCode>_-* #,##0_-;\-* #,##0_-;_-* "-"_-;_-@</c:formatCode>
                <c:ptCount val="18"/>
                <c:pt idx="0">
                  <c:v>258288263</c:v>
                </c:pt>
                <c:pt idx="1">
                  <c:v>28174336</c:v>
                </c:pt>
                <c:pt idx="2">
                  <c:v>87621377</c:v>
                </c:pt>
                <c:pt idx="3">
                  <c:v>90747728</c:v>
                </c:pt>
                <c:pt idx="4">
                  <c:v>88591371</c:v>
                </c:pt>
                <c:pt idx="5">
                  <c:v>58916647</c:v>
                </c:pt>
                <c:pt idx="6">
                  <c:v>131919472</c:v>
                </c:pt>
                <c:pt idx="7">
                  <c:v>263897547</c:v>
                </c:pt>
                <c:pt idx="8">
                  <c:v>622639877</c:v>
                </c:pt>
                <c:pt idx="9">
                  <c:v>178760312</c:v>
                </c:pt>
                <c:pt idx="10">
                  <c:v>233505462</c:v>
                </c:pt>
                <c:pt idx="11">
                  <c:v>173828633</c:v>
                </c:pt>
                <c:pt idx="12">
                  <c:v>356798144</c:v>
                </c:pt>
                <c:pt idx="13">
                  <c:v>303088191</c:v>
                </c:pt>
                <c:pt idx="14">
                  <c:v>87191904</c:v>
                </c:pt>
                <c:pt idx="15">
                  <c:v>235673354</c:v>
                </c:pt>
                <c:pt idx="16">
                  <c:v>48641680</c:v>
                </c:pt>
                <c:pt idx="17">
                  <c:v>84483885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12F-4D67-89EA-C58FC49C2670}"/>
            </c:ext>
          </c:extLst>
        </c:ser>
        <c:ser>
          <c:idx val="1"/>
          <c:order val="1"/>
          <c:tx>
            <c:v>Total Ejecución</c:v>
          </c:tx>
          <c:spPr>
            <a:solidFill>
              <a:srgbClr val="C0504D"/>
            </a:solidFill>
            <a:ln cmpd="sng">
              <a:noFill/>
              <a:prstDash val="solid"/>
            </a:ln>
          </c:spPr>
          <c:invertIfNegative val="1"/>
          <c:cat>
            <c:strRef>
              <c:f>Dashboard!$B$22:$B$39</c:f>
              <c:strCache>
                <c:ptCount val="18"/>
                <c:pt idx="0">
                  <c:v>Subsecretaría y Programas Centrales</c:v>
                </c:pt>
                <c:pt idx="1">
                  <c:v>Parque Metropolitano (PARQUEMET)</c:v>
                </c:pt>
                <c:pt idx="2">
                  <c:v>SERVIU Arica y Parinacota</c:v>
                </c:pt>
                <c:pt idx="3">
                  <c:v>SERVIU Tarapacá</c:v>
                </c:pt>
                <c:pt idx="4">
                  <c:v>SERVIU Antofagasta</c:v>
                </c:pt>
                <c:pt idx="5">
                  <c:v>SERVIU Atacama</c:v>
                </c:pt>
                <c:pt idx="6">
                  <c:v>SERVIU Coquimbo</c:v>
                </c:pt>
                <c:pt idx="7">
                  <c:v>SERVIU Valparaíso</c:v>
                </c:pt>
                <c:pt idx="8">
                  <c:v>SERVIU Metropolitano</c:v>
                </c:pt>
                <c:pt idx="9">
                  <c:v>SERVIU O'Higgins</c:v>
                </c:pt>
                <c:pt idx="10">
                  <c:v>SERVIU Maule</c:v>
                </c:pt>
                <c:pt idx="11">
                  <c:v>SERVIU Ñuble</c:v>
                </c:pt>
                <c:pt idx="12">
                  <c:v>SERVIU Biobío</c:v>
                </c:pt>
                <c:pt idx="13">
                  <c:v>SERVIU La Araucanía</c:v>
                </c:pt>
                <c:pt idx="14">
                  <c:v>SERVIU Los Ríos</c:v>
                </c:pt>
                <c:pt idx="15">
                  <c:v>SERVIU Los Lagos</c:v>
                </c:pt>
                <c:pt idx="16">
                  <c:v>SERVIU Aysén</c:v>
                </c:pt>
                <c:pt idx="17">
                  <c:v>SERVIU Magallanes</c:v>
                </c:pt>
              </c:strCache>
            </c:strRef>
          </c:cat>
          <c:val>
            <c:numRef>
              <c:f>Dashboard!$J$22:$J$39</c:f>
              <c:numCache>
                <c:formatCode>_-* #,##0_-;\-* #,##0_-;_-* "-"_-;_-@</c:formatCode>
                <c:ptCount val="18"/>
                <c:pt idx="0">
                  <c:v>254021289</c:v>
                </c:pt>
                <c:pt idx="1">
                  <c:v>28088125</c:v>
                </c:pt>
                <c:pt idx="2">
                  <c:v>87582709</c:v>
                </c:pt>
                <c:pt idx="3">
                  <c:v>90124357</c:v>
                </c:pt>
                <c:pt idx="4">
                  <c:v>87295789</c:v>
                </c:pt>
                <c:pt idx="5">
                  <c:v>58352659</c:v>
                </c:pt>
                <c:pt idx="6">
                  <c:v>131345040</c:v>
                </c:pt>
                <c:pt idx="7">
                  <c:v>261685179</c:v>
                </c:pt>
                <c:pt idx="8">
                  <c:v>620155634</c:v>
                </c:pt>
                <c:pt idx="9">
                  <c:v>178330583</c:v>
                </c:pt>
                <c:pt idx="10">
                  <c:v>232634063</c:v>
                </c:pt>
                <c:pt idx="11">
                  <c:v>172620832</c:v>
                </c:pt>
                <c:pt idx="12">
                  <c:v>355872518</c:v>
                </c:pt>
                <c:pt idx="13">
                  <c:v>302193259</c:v>
                </c:pt>
                <c:pt idx="14">
                  <c:v>84860506</c:v>
                </c:pt>
                <c:pt idx="15">
                  <c:v>234858090</c:v>
                </c:pt>
                <c:pt idx="16">
                  <c:v>48272275</c:v>
                </c:pt>
                <c:pt idx="17">
                  <c:v>84406133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12F-4D67-89EA-C58FC49C2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689829"/>
        <c:axId val="995240852"/>
      </c:barChart>
      <c:catAx>
        <c:axId val="916898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 rot="2100000"/>
          <a:lstStyle/>
          <a:p>
            <a:pPr lvl="0">
              <a:defRPr sz="800" b="0" i="0">
                <a:solidFill>
                  <a:srgbClr val="000000"/>
                </a:solidFill>
                <a:latin typeface="+mn-lt"/>
              </a:defRPr>
            </a:pPr>
            <a:endParaRPr lang="es-CL"/>
          </a:p>
        </c:txPr>
        <c:crossAx val="995240852"/>
        <c:crosses val="autoZero"/>
        <c:auto val="1"/>
        <c:lblAlgn val="ctr"/>
        <c:lblOffset val="100"/>
        <c:noMultiLvlLbl val="1"/>
      </c:catAx>
      <c:valAx>
        <c:axId val="9952408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_-* #,##0_-;\-* #,##0_-;_-* &quot;-&quot;_-;_-@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CL"/>
          </a:p>
        </c:txPr>
        <c:crossAx val="91689829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CL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Evolución Mensual de la Inversión MINVU (Enero a Diciembre)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Presupuesto Vigente</c:v>
          </c:tx>
          <c:spPr>
            <a:ln w="28575" cmpd="sng">
              <a:solidFill>
                <a:schemeClr val="accent1"/>
              </a:solidFill>
              <a:prstDash val="solid"/>
            </a:ln>
          </c:spPr>
          <c:marker>
            <c:symbol val="none"/>
          </c:marker>
          <c:cat>
            <c:strRef>
              <c:f>Dashboard!$C$44:$N$44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Dashboard!$C$46:$N$46</c:f>
              <c:numCache>
                <c:formatCode>_-* #,##0_-;\-* #,##0_-;_-* "-"_-;_-@</c:formatCode>
                <c:ptCount val="12"/>
                <c:pt idx="0">
                  <c:v>3320541734</c:v>
                </c:pt>
                <c:pt idx="1">
                  <c:v>3320541734</c:v>
                </c:pt>
                <c:pt idx="2">
                  <c:v>3320541734</c:v>
                </c:pt>
                <c:pt idx="3">
                  <c:v>3320541734</c:v>
                </c:pt>
                <c:pt idx="4">
                  <c:v>3320643534</c:v>
                </c:pt>
                <c:pt idx="5">
                  <c:v>3320643534</c:v>
                </c:pt>
                <c:pt idx="6">
                  <c:v>3329424159</c:v>
                </c:pt>
                <c:pt idx="7">
                  <c:v>3376717372</c:v>
                </c:pt>
                <c:pt idx="8">
                  <c:v>3421717372</c:v>
                </c:pt>
                <c:pt idx="9">
                  <c:v>3491232791</c:v>
                </c:pt>
                <c:pt idx="10">
                  <c:v>3488688633</c:v>
                </c:pt>
                <c:pt idx="11">
                  <c:v>3332768183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AD-43D2-9E1E-FB6DC772DC87}"/>
            </c:ext>
          </c:extLst>
        </c:ser>
        <c:ser>
          <c:idx val="1"/>
          <c:order val="1"/>
          <c:tx>
            <c:v>Ejecución Acumulada</c:v>
          </c:tx>
          <c:spPr>
            <a:ln w="28575" cmpd="sng">
              <a:solidFill>
                <a:schemeClr val="accent2"/>
              </a:solidFill>
              <a:prstDash val="solid"/>
            </a:ln>
          </c:spPr>
          <c:marker>
            <c:symbol val="none"/>
          </c:marker>
          <c:cat>
            <c:strRef>
              <c:f>Dashboard!$C$44:$N$44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Dashboard!$C$47:$N$47</c:f>
              <c:numCache>
                <c:formatCode>_-* #,##0_-;\-* #,##0_-;_-* "-"_-;_-@</c:formatCode>
                <c:ptCount val="12"/>
                <c:pt idx="0">
                  <c:v>144905537</c:v>
                </c:pt>
                <c:pt idx="1">
                  <c:v>392112901</c:v>
                </c:pt>
                <c:pt idx="2">
                  <c:v>734004289</c:v>
                </c:pt>
                <c:pt idx="3">
                  <c:v>1004471755</c:v>
                </c:pt>
                <c:pt idx="4">
                  <c:v>1303821878</c:v>
                </c:pt>
                <c:pt idx="5">
                  <c:v>1551877586</c:v>
                </c:pt>
                <c:pt idx="6">
                  <c:v>1800513314</c:v>
                </c:pt>
                <c:pt idx="7">
                  <c:v>2056646958</c:v>
                </c:pt>
                <c:pt idx="8">
                  <c:v>2287303377</c:v>
                </c:pt>
                <c:pt idx="9">
                  <c:v>2541084845</c:v>
                </c:pt>
                <c:pt idx="10">
                  <c:v>2810519043</c:v>
                </c:pt>
                <c:pt idx="11">
                  <c:v>3312699040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AD-43D2-9E1E-FB6DC772DC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1335418"/>
        <c:axId val="839118423"/>
      </c:lineChart>
      <c:catAx>
        <c:axId val="14713354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CL"/>
          </a:p>
        </c:txPr>
        <c:crossAx val="839118423"/>
        <c:crosses val="autoZero"/>
        <c:auto val="1"/>
        <c:lblAlgn val="ctr"/>
        <c:lblOffset val="100"/>
        <c:noMultiLvlLbl val="1"/>
      </c:catAx>
      <c:valAx>
        <c:axId val="8391184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_-* #,##0_-;\-* #,##0_-;_-* &quot;-&quot;_-;_-@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CL"/>
          </a:p>
        </c:txPr>
        <c:crossAx val="1471335418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CL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Composición de la Inversión Vigente por Subtítulo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25E-4AD1-A6F2-2BE75A5018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25E-4AD1-A6F2-2BE75A5018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25E-4AD1-A6F2-2BE75A501835}"/>
              </c:ext>
            </c:extLst>
          </c:dPt>
          <c:cat>
            <c:strRef>
              <c:f>Dashboard!$B$14:$B$16</c:f>
              <c:strCache>
                <c:ptCount val="3"/>
                <c:pt idx="0">
                  <c:v>Subtítulo 33 – Transferencias de Capital (Subsidios)</c:v>
                </c:pt>
                <c:pt idx="1">
                  <c:v>Subtítulo 31 – Iniciativas de Inversión</c:v>
                </c:pt>
                <c:pt idx="2">
                  <c:v>Subtítulo 29 – Activos No Financieros</c:v>
                </c:pt>
              </c:strCache>
            </c:strRef>
          </c:cat>
          <c:val>
            <c:numRef>
              <c:f>Dashboard!$E$14:$E$16</c:f>
              <c:numCache>
                <c:formatCode>_-* #,##0_-;\-* #,##0_-;_-* "-"_-;_-@</c:formatCode>
                <c:ptCount val="3"/>
                <c:pt idx="0">
                  <c:v>2913408485</c:v>
                </c:pt>
                <c:pt idx="1">
                  <c:v>400142072</c:v>
                </c:pt>
                <c:pt idx="2">
                  <c:v>19217626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25E-4AD1-A6F2-2BE75A501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CL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0</xdr:colOff>
      <xdr:row>10</xdr:row>
      <xdr:rowOff>0</xdr:rowOff>
    </xdr:from>
    <xdr:ext cx="6229350" cy="32194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16</xdr:col>
      <xdr:colOff>0</xdr:colOff>
      <xdr:row>29</xdr:row>
      <xdr:rowOff>123825</xdr:rowOff>
    </xdr:from>
    <xdr:ext cx="6229350" cy="30099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16</xdr:col>
      <xdr:colOff>0</xdr:colOff>
      <xdr:row>47</xdr:row>
      <xdr:rowOff>0</xdr:rowOff>
    </xdr:from>
    <xdr:ext cx="4438650" cy="283845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C3E50"/>
  </sheetPr>
  <dimension ref="A1:FO208"/>
  <sheetViews>
    <sheetView topLeftCell="A166" workbookViewId="0">
      <selection activeCell="D195" sqref="D195"/>
    </sheetView>
  </sheetViews>
  <sheetFormatPr baseColWidth="10" defaultColWidth="14.44140625" defaultRowHeight="15" customHeight="1" x14ac:dyDescent="0.3"/>
  <cols>
    <col min="1" max="1" width="3" style="31" customWidth="1"/>
    <col min="2" max="2" width="38" style="31" customWidth="1"/>
    <col min="3" max="171" width="15" style="31" customWidth="1"/>
  </cols>
  <sheetData>
    <row r="1" spans="2:171" ht="14.25" customHeight="1" x14ac:dyDescent="0.4">
      <c r="B1" s="1" t="s">
        <v>0</v>
      </c>
    </row>
    <row r="2" spans="2:171" ht="14.25" customHeight="1" x14ac:dyDescent="0.3">
      <c r="B2" s="2" t="s">
        <v>1</v>
      </c>
    </row>
    <row r="3" spans="2:171" ht="14.25" customHeight="1" x14ac:dyDescent="0.3"/>
    <row r="4" spans="2:171" ht="14.25" customHeight="1" x14ac:dyDescent="0.35">
      <c r="B4" s="3" t="s">
        <v>2</v>
      </c>
    </row>
    <row r="5" spans="2:171" ht="14.25" customHeight="1" x14ac:dyDescent="0.3">
      <c r="B5" s="4" t="s">
        <v>3</v>
      </c>
    </row>
    <row r="6" spans="2:171" ht="14.25" customHeight="1" x14ac:dyDescent="0.3">
      <c r="C6" s="33" t="s">
        <v>4</v>
      </c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3" t="s">
        <v>5</v>
      </c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3" t="s">
        <v>6</v>
      </c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3" t="s">
        <v>7</v>
      </c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3" t="s">
        <v>8</v>
      </c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3" t="s">
        <v>9</v>
      </c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3" t="s">
        <v>10</v>
      </c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3" t="s">
        <v>11</v>
      </c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3" t="s">
        <v>12</v>
      </c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3" t="s">
        <v>13</v>
      </c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3" t="s">
        <v>14</v>
      </c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3" t="s">
        <v>15</v>
      </c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3" t="s">
        <v>16</v>
      </c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</row>
    <row r="7" spans="2:171" ht="14.25" customHeight="1" x14ac:dyDescent="0.3">
      <c r="B7" s="5" t="s">
        <v>17</v>
      </c>
      <c r="C7" s="6" t="s">
        <v>18</v>
      </c>
      <c r="D7" s="6" t="s">
        <v>19</v>
      </c>
      <c r="E7" s="6" t="s">
        <v>20</v>
      </c>
      <c r="F7" s="6" t="s">
        <v>21</v>
      </c>
      <c r="G7" s="6" t="s">
        <v>22</v>
      </c>
      <c r="H7" s="6" t="s">
        <v>23</v>
      </c>
      <c r="I7" s="6" t="s">
        <v>24</v>
      </c>
      <c r="J7" s="6" t="s">
        <v>25</v>
      </c>
      <c r="K7" s="6" t="s">
        <v>26</v>
      </c>
      <c r="L7" s="6" t="s">
        <v>27</v>
      </c>
      <c r="M7" s="6" t="s">
        <v>28</v>
      </c>
      <c r="N7" s="6" t="s">
        <v>29</v>
      </c>
      <c r="O7" s="6" t="s">
        <v>30</v>
      </c>
      <c r="P7" s="6" t="s">
        <v>18</v>
      </c>
      <c r="Q7" s="6" t="s">
        <v>19</v>
      </c>
      <c r="R7" s="6" t="s">
        <v>20</v>
      </c>
      <c r="S7" s="6" t="s">
        <v>21</v>
      </c>
      <c r="T7" s="6" t="s">
        <v>22</v>
      </c>
      <c r="U7" s="6" t="s">
        <v>23</v>
      </c>
      <c r="V7" s="6" t="s">
        <v>24</v>
      </c>
      <c r="W7" s="6" t="s">
        <v>25</v>
      </c>
      <c r="X7" s="6" t="s">
        <v>26</v>
      </c>
      <c r="Y7" s="6" t="s">
        <v>27</v>
      </c>
      <c r="Z7" s="6" t="s">
        <v>28</v>
      </c>
      <c r="AA7" s="6" t="s">
        <v>29</v>
      </c>
      <c r="AB7" s="6" t="s">
        <v>31</v>
      </c>
      <c r="AC7" s="6" t="s">
        <v>18</v>
      </c>
      <c r="AD7" s="6" t="s">
        <v>19</v>
      </c>
      <c r="AE7" s="6" t="s">
        <v>20</v>
      </c>
      <c r="AF7" s="6" t="s">
        <v>21</v>
      </c>
      <c r="AG7" s="6" t="s">
        <v>22</v>
      </c>
      <c r="AH7" s="6" t="s">
        <v>23</v>
      </c>
      <c r="AI7" s="6" t="s">
        <v>24</v>
      </c>
      <c r="AJ7" s="6" t="s">
        <v>25</v>
      </c>
      <c r="AK7" s="6" t="s">
        <v>26</v>
      </c>
      <c r="AL7" s="6" t="s">
        <v>27</v>
      </c>
      <c r="AM7" s="6" t="s">
        <v>28</v>
      </c>
      <c r="AN7" s="6" t="s">
        <v>29</v>
      </c>
      <c r="AO7" s="6" t="s">
        <v>32</v>
      </c>
      <c r="AP7" s="6" t="s">
        <v>18</v>
      </c>
      <c r="AQ7" s="6" t="s">
        <v>19</v>
      </c>
      <c r="AR7" s="6" t="s">
        <v>20</v>
      </c>
      <c r="AS7" s="6" t="s">
        <v>21</v>
      </c>
      <c r="AT7" s="6" t="s">
        <v>22</v>
      </c>
      <c r="AU7" s="6" t="s">
        <v>23</v>
      </c>
      <c r="AV7" s="6" t="s">
        <v>24</v>
      </c>
      <c r="AW7" s="6" t="s">
        <v>25</v>
      </c>
      <c r="AX7" s="6" t="s">
        <v>26</v>
      </c>
      <c r="AY7" s="6" t="s">
        <v>27</v>
      </c>
      <c r="AZ7" s="6" t="s">
        <v>28</v>
      </c>
      <c r="BA7" s="6" t="s">
        <v>29</v>
      </c>
      <c r="BB7" s="6" t="s">
        <v>33</v>
      </c>
      <c r="BC7" s="6" t="s">
        <v>18</v>
      </c>
      <c r="BD7" s="6" t="s">
        <v>19</v>
      </c>
      <c r="BE7" s="6" t="s">
        <v>20</v>
      </c>
      <c r="BF7" s="6" t="s">
        <v>21</v>
      </c>
      <c r="BG7" s="6" t="s">
        <v>22</v>
      </c>
      <c r="BH7" s="6" t="s">
        <v>23</v>
      </c>
      <c r="BI7" s="6" t="s">
        <v>24</v>
      </c>
      <c r="BJ7" s="6" t="s">
        <v>25</v>
      </c>
      <c r="BK7" s="6" t="s">
        <v>26</v>
      </c>
      <c r="BL7" s="6" t="s">
        <v>27</v>
      </c>
      <c r="BM7" s="6" t="s">
        <v>28</v>
      </c>
      <c r="BN7" s="6" t="s">
        <v>29</v>
      </c>
      <c r="BO7" s="6" t="s">
        <v>34</v>
      </c>
      <c r="BP7" s="6" t="s">
        <v>18</v>
      </c>
      <c r="BQ7" s="6" t="s">
        <v>19</v>
      </c>
      <c r="BR7" s="6" t="s">
        <v>20</v>
      </c>
      <c r="BS7" s="6" t="s">
        <v>21</v>
      </c>
      <c r="BT7" s="6" t="s">
        <v>22</v>
      </c>
      <c r="BU7" s="6" t="s">
        <v>23</v>
      </c>
      <c r="BV7" s="6" t="s">
        <v>24</v>
      </c>
      <c r="BW7" s="6" t="s">
        <v>25</v>
      </c>
      <c r="BX7" s="6" t="s">
        <v>26</v>
      </c>
      <c r="BY7" s="6" t="s">
        <v>27</v>
      </c>
      <c r="BZ7" s="6" t="s">
        <v>28</v>
      </c>
      <c r="CA7" s="6" t="s">
        <v>29</v>
      </c>
      <c r="CB7" s="6" t="s">
        <v>35</v>
      </c>
      <c r="CC7" s="6" t="s">
        <v>18</v>
      </c>
      <c r="CD7" s="6" t="s">
        <v>19</v>
      </c>
      <c r="CE7" s="6" t="s">
        <v>20</v>
      </c>
      <c r="CF7" s="6" t="s">
        <v>21</v>
      </c>
      <c r="CG7" s="6" t="s">
        <v>22</v>
      </c>
      <c r="CH7" s="6" t="s">
        <v>23</v>
      </c>
      <c r="CI7" s="6" t="s">
        <v>24</v>
      </c>
      <c r="CJ7" s="6" t="s">
        <v>25</v>
      </c>
      <c r="CK7" s="6" t="s">
        <v>26</v>
      </c>
      <c r="CL7" s="6" t="s">
        <v>27</v>
      </c>
      <c r="CM7" s="6" t="s">
        <v>28</v>
      </c>
      <c r="CN7" s="6" t="s">
        <v>29</v>
      </c>
      <c r="CO7" s="6" t="s">
        <v>36</v>
      </c>
      <c r="CP7" s="6" t="s">
        <v>18</v>
      </c>
      <c r="CQ7" s="6" t="s">
        <v>19</v>
      </c>
      <c r="CR7" s="6" t="s">
        <v>20</v>
      </c>
      <c r="CS7" s="6" t="s">
        <v>21</v>
      </c>
      <c r="CT7" s="6" t="s">
        <v>22</v>
      </c>
      <c r="CU7" s="6" t="s">
        <v>23</v>
      </c>
      <c r="CV7" s="6" t="s">
        <v>24</v>
      </c>
      <c r="CW7" s="6" t="s">
        <v>25</v>
      </c>
      <c r="CX7" s="6" t="s">
        <v>26</v>
      </c>
      <c r="CY7" s="6" t="s">
        <v>27</v>
      </c>
      <c r="CZ7" s="6" t="s">
        <v>28</v>
      </c>
      <c r="DA7" s="6" t="s">
        <v>29</v>
      </c>
      <c r="DB7" s="6" t="s">
        <v>37</v>
      </c>
      <c r="DC7" s="6" t="s">
        <v>18</v>
      </c>
      <c r="DD7" s="6" t="s">
        <v>19</v>
      </c>
      <c r="DE7" s="6" t="s">
        <v>20</v>
      </c>
      <c r="DF7" s="6" t="s">
        <v>21</v>
      </c>
      <c r="DG7" s="6" t="s">
        <v>22</v>
      </c>
      <c r="DH7" s="6" t="s">
        <v>23</v>
      </c>
      <c r="DI7" s="6" t="s">
        <v>24</v>
      </c>
      <c r="DJ7" s="6" t="s">
        <v>25</v>
      </c>
      <c r="DK7" s="6" t="s">
        <v>26</v>
      </c>
      <c r="DL7" s="6" t="s">
        <v>27</v>
      </c>
      <c r="DM7" s="6" t="s">
        <v>28</v>
      </c>
      <c r="DN7" s="6" t="s">
        <v>29</v>
      </c>
      <c r="DO7" s="6" t="s">
        <v>38</v>
      </c>
      <c r="DP7" s="6" t="s">
        <v>18</v>
      </c>
      <c r="DQ7" s="6" t="s">
        <v>19</v>
      </c>
      <c r="DR7" s="6" t="s">
        <v>20</v>
      </c>
      <c r="DS7" s="6" t="s">
        <v>21</v>
      </c>
      <c r="DT7" s="6" t="s">
        <v>22</v>
      </c>
      <c r="DU7" s="6" t="s">
        <v>23</v>
      </c>
      <c r="DV7" s="6" t="s">
        <v>24</v>
      </c>
      <c r="DW7" s="6" t="s">
        <v>25</v>
      </c>
      <c r="DX7" s="6" t="s">
        <v>26</v>
      </c>
      <c r="DY7" s="6" t="s">
        <v>27</v>
      </c>
      <c r="DZ7" s="6" t="s">
        <v>28</v>
      </c>
      <c r="EA7" s="6" t="s">
        <v>29</v>
      </c>
      <c r="EB7" s="6" t="s">
        <v>39</v>
      </c>
      <c r="EC7" s="6" t="s">
        <v>18</v>
      </c>
      <c r="ED7" s="6" t="s">
        <v>19</v>
      </c>
      <c r="EE7" s="6" t="s">
        <v>20</v>
      </c>
      <c r="EF7" s="6" t="s">
        <v>21</v>
      </c>
      <c r="EG7" s="6" t="s">
        <v>22</v>
      </c>
      <c r="EH7" s="6" t="s">
        <v>23</v>
      </c>
      <c r="EI7" s="6" t="s">
        <v>24</v>
      </c>
      <c r="EJ7" s="6" t="s">
        <v>25</v>
      </c>
      <c r="EK7" s="6" t="s">
        <v>26</v>
      </c>
      <c r="EL7" s="6" t="s">
        <v>27</v>
      </c>
      <c r="EM7" s="6" t="s">
        <v>28</v>
      </c>
      <c r="EN7" s="6" t="s">
        <v>29</v>
      </c>
      <c r="EO7" s="6" t="s">
        <v>40</v>
      </c>
      <c r="EP7" s="6" t="s">
        <v>18</v>
      </c>
      <c r="EQ7" s="6" t="s">
        <v>19</v>
      </c>
      <c r="ER7" s="6" t="s">
        <v>20</v>
      </c>
      <c r="ES7" s="6" t="s">
        <v>21</v>
      </c>
      <c r="ET7" s="6" t="s">
        <v>22</v>
      </c>
      <c r="EU7" s="6" t="s">
        <v>23</v>
      </c>
      <c r="EV7" s="6" t="s">
        <v>24</v>
      </c>
      <c r="EW7" s="6" t="s">
        <v>25</v>
      </c>
      <c r="EX7" s="6" t="s">
        <v>26</v>
      </c>
      <c r="EY7" s="6" t="s">
        <v>27</v>
      </c>
      <c r="EZ7" s="6" t="s">
        <v>28</v>
      </c>
      <c r="FA7" s="6" t="s">
        <v>29</v>
      </c>
      <c r="FB7" s="6" t="s">
        <v>41</v>
      </c>
      <c r="FC7" s="6" t="s">
        <v>18</v>
      </c>
      <c r="FD7" s="6" t="s">
        <v>19</v>
      </c>
      <c r="FE7" s="6" t="s">
        <v>20</v>
      </c>
      <c r="FF7" s="6" t="s">
        <v>21</v>
      </c>
      <c r="FG7" s="6" t="s">
        <v>22</v>
      </c>
      <c r="FH7" s="6" t="s">
        <v>23</v>
      </c>
      <c r="FI7" s="6" t="s">
        <v>24</v>
      </c>
      <c r="FJ7" s="6" t="s">
        <v>25</v>
      </c>
      <c r="FK7" s="6" t="s">
        <v>26</v>
      </c>
      <c r="FL7" s="6" t="s">
        <v>27</v>
      </c>
      <c r="FM7" s="6" t="s">
        <v>28</v>
      </c>
      <c r="FN7" s="6" t="s">
        <v>29</v>
      </c>
      <c r="FO7" s="6" t="s">
        <v>42</v>
      </c>
    </row>
    <row r="8" spans="2:171" ht="14.25" customHeight="1" x14ac:dyDescent="0.3">
      <c r="B8" s="7" t="s">
        <v>43</v>
      </c>
      <c r="C8" s="8">
        <v>46689781</v>
      </c>
      <c r="D8" s="8">
        <v>46689781</v>
      </c>
      <c r="E8" s="8">
        <v>47980703</v>
      </c>
      <c r="F8" s="8">
        <v>47980703</v>
      </c>
      <c r="G8" s="8">
        <v>47980703</v>
      </c>
      <c r="H8" s="8">
        <v>47980703</v>
      </c>
      <c r="I8" s="8">
        <v>47980703</v>
      </c>
      <c r="J8" s="8">
        <v>47980703</v>
      </c>
      <c r="K8" s="8">
        <v>47980703</v>
      </c>
      <c r="L8" s="8">
        <v>47980703</v>
      </c>
      <c r="M8" s="8">
        <v>47980703</v>
      </c>
      <c r="N8" s="8">
        <v>47980703</v>
      </c>
      <c r="O8" s="9">
        <f t="shared" ref="O8:O25" si="0">N8</f>
        <v>47980703</v>
      </c>
      <c r="P8" s="8">
        <v>52447510</v>
      </c>
      <c r="Q8" s="8">
        <v>52447510</v>
      </c>
      <c r="R8" s="8">
        <v>52447510</v>
      </c>
      <c r="S8" s="8">
        <v>52447510</v>
      </c>
      <c r="T8" s="8">
        <v>52447510</v>
      </c>
      <c r="U8" s="8">
        <v>52447510</v>
      </c>
      <c r="V8" s="8">
        <v>52447510</v>
      </c>
      <c r="W8" s="8">
        <v>52447510</v>
      </c>
      <c r="X8" s="8">
        <v>52447510</v>
      </c>
      <c r="Y8" s="8">
        <v>52447510</v>
      </c>
      <c r="Z8" s="8">
        <v>52447510</v>
      </c>
      <c r="AA8" s="8">
        <v>52447510</v>
      </c>
      <c r="AB8" s="9">
        <f t="shared" ref="AB8:AB25" si="1">AA8</f>
        <v>52447510</v>
      </c>
      <c r="AC8" s="8">
        <v>49700606</v>
      </c>
      <c r="AD8" s="8">
        <v>49700606</v>
      </c>
      <c r="AE8" s="8">
        <v>49700606</v>
      </c>
      <c r="AF8" s="8">
        <v>49700606</v>
      </c>
      <c r="AG8" s="8">
        <v>49700606</v>
      </c>
      <c r="AH8" s="8">
        <v>49700606</v>
      </c>
      <c r="AI8" s="8">
        <v>49700606</v>
      </c>
      <c r="AJ8" s="8">
        <v>49700606</v>
      </c>
      <c r="AK8" s="8">
        <v>49700606</v>
      </c>
      <c r="AL8" s="8">
        <v>49700606</v>
      </c>
      <c r="AM8" s="8">
        <v>49700606</v>
      </c>
      <c r="AN8" s="8">
        <v>49700606</v>
      </c>
      <c r="AO8" s="9">
        <f t="shared" ref="AO8:AO25" si="2">AN8</f>
        <v>49700606</v>
      </c>
      <c r="AP8" s="8">
        <v>45980831</v>
      </c>
      <c r="AQ8" s="8">
        <v>45980831</v>
      </c>
      <c r="AR8" s="8">
        <v>45980831</v>
      </c>
      <c r="AS8" s="8">
        <v>45980831</v>
      </c>
      <c r="AT8" s="8">
        <v>45980831</v>
      </c>
      <c r="AU8" s="8">
        <v>45980831</v>
      </c>
      <c r="AV8" s="8">
        <v>45980831</v>
      </c>
      <c r="AW8" s="8">
        <v>45980831</v>
      </c>
      <c r="AX8" s="8">
        <v>45980831</v>
      </c>
      <c r="AY8" s="8">
        <v>45980831</v>
      </c>
      <c r="AZ8" s="8">
        <v>45980831</v>
      </c>
      <c r="BA8" s="8">
        <v>45980831</v>
      </c>
      <c r="BB8" s="9">
        <f t="shared" ref="BB8:BB25" si="3">BA8</f>
        <v>45980831</v>
      </c>
      <c r="BC8" s="8">
        <v>45443730</v>
      </c>
      <c r="BD8" s="8">
        <v>45443730</v>
      </c>
      <c r="BE8" s="8">
        <v>45443730</v>
      </c>
      <c r="BF8" s="8">
        <v>45443730</v>
      </c>
      <c r="BG8" s="8">
        <v>45443730</v>
      </c>
      <c r="BH8" s="8">
        <v>45443730</v>
      </c>
      <c r="BI8" s="8">
        <v>45443730</v>
      </c>
      <c r="BJ8" s="8">
        <v>45443730</v>
      </c>
      <c r="BK8" s="8">
        <v>45443730</v>
      </c>
      <c r="BL8" s="8">
        <v>45443730</v>
      </c>
      <c r="BM8" s="8">
        <v>45443730</v>
      </c>
      <c r="BN8" s="8">
        <v>45443730</v>
      </c>
      <c r="BO8" s="9">
        <f t="shared" ref="BO8:BO25" si="4">BN8</f>
        <v>45443730</v>
      </c>
      <c r="BP8" s="8">
        <v>51220903</v>
      </c>
      <c r="BQ8" s="8">
        <v>51220903</v>
      </c>
      <c r="BR8" s="8">
        <v>51220903</v>
      </c>
      <c r="BS8" s="8">
        <v>51220903</v>
      </c>
      <c r="BT8" s="8">
        <v>51220903</v>
      </c>
      <c r="BU8" s="8">
        <v>51220903</v>
      </c>
      <c r="BV8" s="8">
        <v>51220903</v>
      </c>
      <c r="BW8" s="8">
        <v>51220903</v>
      </c>
      <c r="BX8" s="8">
        <v>51220903</v>
      </c>
      <c r="BY8" s="8">
        <v>51220903</v>
      </c>
      <c r="BZ8" s="8">
        <v>51220903</v>
      </c>
      <c r="CA8" s="8">
        <v>51220903</v>
      </c>
      <c r="CB8" s="9">
        <f t="shared" ref="CB8:CB25" si="5">CA8</f>
        <v>51220903</v>
      </c>
      <c r="CC8" s="8">
        <v>51587816</v>
      </c>
      <c r="CD8" s="8">
        <v>51587816</v>
      </c>
      <c r="CE8" s="8">
        <v>51587816</v>
      </c>
      <c r="CF8" s="8">
        <v>51587816</v>
      </c>
      <c r="CG8" s="8">
        <v>51587816</v>
      </c>
      <c r="CH8" s="8">
        <v>51587816</v>
      </c>
      <c r="CI8" s="8">
        <v>51587816</v>
      </c>
      <c r="CJ8" s="8">
        <v>51587816</v>
      </c>
      <c r="CK8" s="8">
        <v>51587816</v>
      </c>
      <c r="CL8" s="8">
        <v>51587816</v>
      </c>
      <c r="CM8" s="8">
        <v>51587816</v>
      </c>
      <c r="CN8" s="8">
        <v>51587816</v>
      </c>
      <c r="CO8" s="9">
        <f t="shared" ref="CO8:CO25" si="6">CN8</f>
        <v>51587816</v>
      </c>
      <c r="CP8" s="8">
        <v>35339308</v>
      </c>
      <c r="CQ8" s="8">
        <v>35339308</v>
      </c>
      <c r="CR8" s="8">
        <v>35339308</v>
      </c>
      <c r="CS8" s="8">
        <v>35339308</v>
      </c>
      <c r="CT8" s="8">
        <v>35339308</v>
      </c>
      <c r="CU8" s="8">
        <v>35339308</v>
      </c>
      <c r="CV8" s="8">
        <v>35339308</v>
      </c>
      <c r="CW8" s="8">
        <v>35339308</v>
      </c>
      <c r="CX8" s="8">
        <v>35339308</v>
      </c>
      <c r="CY8" s="8">
        <v>35339308</v>
      </c>
      <c r="CZ8" s="8">
        <v>35339308</v>
      </c>
      <c r="DA8" s="8">
        <v>35339308</v>
      </c>
      <c r="DB8" s="9">
        <f t="shared" ref="DB8:DB25" si="7">DA8</f>
        <v>35339308</v>
      </c>
      <c r="DC8" s="8">
        <v>22751821</v>
      </c>
      <c r="DD8" s="8">
        <v>22751821</v>
      </c>
      <c r="DE8" s="8">
        <v>22751821</v>
      </c>
      <c r="DF8" s="8">
        <v>22751821</v>
      </c>
      <c r="DG8" s="8">
        <v>22751821</v>
      </c>
      <c r="DH8" s="8">
        <v>22751821</v>
      </c>
      <c r="DI8" s="8">
        <v>22751821</v>
      </c>
      <c r="DJ8" s="8">
        <v>22751821</v>
      </c>
      <c r="DK8" s="8">
        <v>22751821</v>
      </c>
      <c r="DL8" s="8">
        <v>22751821</v>
      </c>
      <c r="DM8" s="8">
        <v>22751821</v>
      </c>
      <c r="DN8" s="8">
        <v>22751821</v>
      </c>
      <c r="DO8" s="9">
        <f t="shared" ref="DO8:DO25" si="8">DN8</f>
        <v>22751821</v>
      </c>
      <c r="DP8" s="8">
        <v>22326757</v>
      </c>
      <c r="DQ8" s="8">
        <v>22326757</v>
      </c>
      <c r="DR8" s="8">
        <v>22326757</v>
      </c>
      <c r="DS8" s="8">
        <v>22326757</v>
      </c>
      <c r="DT8" s="8">
        <v>22326757</v>
      </c>
      <c r="DU8" s="8">
        <v>22326757</v>
      </c>
      <c r="DV8" s="8">
        <v>22326757</v>
      </c>
      <c r="DW8" s="8">
        <v>22326757</v>
      </c>
      <c r="DX8" s="8">
        <v>22326757</v>
      </c>
      <c r="DY8" s="8">
        <v>22326757</v>
      </c>
      <c r="DZ8" s="8">
        <v>22326757</v>
      </c>
      <c r="EA8" s="8">
        <v>22326757</v>
      </c>
      <c r="EB8" s="9">
        <f t="shared" ref="EB8:EB25" si="9">EA8</f>
        <v>22326757</v>
      </c>
      <c r="EC8" s="8">
        <v>65885700</v>
      </c>
      <c r="ED8" s="8">
        <v>65885700</v>
      </c>
      <c r="EE8" s="8">
        <v>65885700</v>
      </c>
      <c r="EF8" s="8">
        <v>65885700</v>
      </c>
      <c r="EG8" s="8">
        <v>65885700</v>
      </c>
      <c r="EH8" s="8">
        <v>65885700</v>
      </c>
      <c r="EI8" s="8">
        <v>65885700</v>
      </c>
      <c r="EJ8" s="8">
        <v>65885700</v>
      </c>
      <c r="EK8" s="8">
        <v>65885700</v>
      </c>
      <c r="EL8" s="8">
        <v>65885700</v>
      </c>
      <c r="EM8" s="8">
        <v>65885700</v>
      </c>
      <c r="EN8" s="8">
        <v>65885700</v>
      </c>
      <c r="EO8" s="9">
        <f t="shared" ref="EO8:EO25" si="10">EN8</f>
        <v>65885700</v>
      </c>
      <c r="EP8" s="8">
        <v>31496963</v>
      </c>
      <c r="EQ8" s="8">
        <v>31496963</v>
      </c>
      <c r="ER8" s="8">
        <v>31496963</v>
      </c>
      <c r="ES8" s="8">
        <v>31496963</v>
      </c>
      <c r="ET8" s="8">
        <v>31496963</v>
      </c>
      <c r="EU8" s="8">
        <v>31496963</v>
      </c>
      <c r="EV8" s="8">
        <v>31496963</v>
      </c>
      <c r="EW8" s="8">
        <v>31496963</v>
      </c>
      <c r="EX8" s="8">
        <v>31496963</v>
      </c>
      <c r="EY8" s="8">
        <v>31496963</v>
      </c>
      <c r="EZ8" s="8">
        <v>31496963</v>
      </c>
      <c r="FA8" s="8">
        <v>31496963</v>
      </c>
      <c r="FB8" s="9">
        <f t="shared" ref="FB8:FB25" si="11">FA8</f>
        <v>31496963</v>
      </c>
      <c r="FC8" s="8">
        <v>15772873</v>
      </c>
      <c r="FD8" s="8">
        <v>15772873</v>
      </c>
      <c r="FE8" s="8">
        <v>15772873</v>
      </c>
      <c r="FF8" s="8">
        <v>15772873</v>
      </c>
      <c r="FG8" s="8">
        <v>15772873</v>
      </c>
      <c r="FH8" s="8">
        <v>15772873</v>
      </c>
      <c r="FI8" s="8">
        <v>15772873</v>
      </c>
      <c r="FJ8" s="8"/>
      <c r="FK8" s="8"/>
      <c r="FL8" s="8"/>
      <c r="FM8" s="8"/>
      <c r="FN8" s="8"/>
      <c r="FO8" s="9">
        <f t="shared" ref="FO8:FO25" si="12">FI8</f>
        <v>15772873</v>
      </c>
    </row>
    <row r="9" spans="2:171" ht="14.25" customHeight="1" x14ac:dyDescent="0.3">
      <c r="B9" s="7" t="s">
        <v>44</v>
      </c>
      <c r="C9" s="8">
        <v>11852830</v>
      </c>
      <c r="D9" s="8">
        <v>11852830</v>
      </c>
      <c r="E9" s="8">
        <v>11852830</v>
      </c>
      <c r="F9" s="8">
        <v>11852830</v>
      </c>
      <c r="G9" s="8">
        <v>11852830</v>
      </c>
      <c r="H9" s="8">
        <v>11852830</v>
      </c>
      <c r="I9" s="8">
        <v>11852830</v>
      </c>
      <c r="J9" s="8">
        <v>11852830</v>
      </c>
      <c r="K9" s="8">
        <v>11852830</v>
      </c>
      <c r="L9" s="8">
        <v>11852830</v>
      </c>
      <c r="M9" s="8">
        <v>11852830</v>
      </c>
      <c r="N9" s="8">
        <v>11852830</v>
      </c>
      <c r="O9" s="9">
        <f t="shared" si="0"/>
        <v>11852830</v>
      </c>
      <c r="P9" s="8">
        <v>12432312</v>
      </c>
      <c r="Q9" s="8">
        <v>12432312</v>
      </c>
      <c r="R9" s="8">
        <v>12432312</v>
      </c>
      <c r="S9" s="8">
        <v>12432312</v>
      </c>
      <c r="T9" s="8">
        <v>12432312</v>
      </c>
      <c r="U9" s="8">
        <v>12432312</v>
      </c>
      <c r="V9" s="8">
        <v>12432312</v>
      </c>
      <c r="W9" s="8">
        <v>12432312</v>
      </c>
      <c r="X9" s="8">
        <v>12432312</v>
      </c>
      <c r="Y9" s="8">
        <v>12432312</v>
      </c>
      <c r="Z9" s="8">
        <v>12432312</v>
      </c>
      <c r="AA9" s="8">
        <v>12432312</v>
      </c>
      <c r="AB9" s="9">
        <f t="shared" si="1"/>
        <v>12432312</v>
      </c>
      <c r="AC9" s="8">
        <v>15376817</v>
      </c>
      <c r="AD9" s="8">
        <v>15376817</v>
      </c>
      <c r="AE9" s="8">
        <v>15376817</v>
      </c>
      <c r="AF9" s="8">
        <v>15376817</v>
      </c>
      <c r="AG9" s="8">
        <v>15376817</v>
      </c>
      <c r="AH9" s="8">
        <v>15376817</v>
      </c>
      <c r="AI9" s="8">
        <v>15376817</v>
      </c>
      <c r="AJ9" s="8">
        <v>15376817</v>
      </c>
      <c r="AK9" s="8">
        <v>15376817</v>
      </c>
      <c r="AL9" s="8">
        <v>15376817</v>
      </c>
      <c r="AM9" s="8">
        <v>15376817</v>
      </c>
      <c r="AN9" s="8">
        <v>15376817</v>
      </c>
      <c r="AO9" s="9">
        <f t="shared" si="2"/>
        <v>15376817</v>
      </c>
      <c r="AP9" s="8">
        <v>19125128</v>
      </c>
      <c r="AQ9" s="8">
        <v>19125128</v>
      </c>
      <c r="AR9" s="8">
        <v>19125128</v>
      </c>
      <c r="AS9" s="8">
        <v>19125128</v>
      </c>
      <c r="AT9" s="8">
        <v>19125128</v>
      </c>
      <c r="AU9" s="8">
        <v>19125128</v>
      </c>
      <c r="AV9" s="8">
        <v>19125128</v>
      </c>
      <c r="AW9" s="8">
        <v>19125128</v>
      </c>
      <c r="AX9" s="8">
        <v>19125128</v>
      </c>
      <c r="AY9" s="8">
        <v>19125128</v>
      </c>
      <c r="AZ9" s="8">
        <v>19125128</v>
      </c>
      <c r="BA9" s="8">
        <v>19125128</v>
      </c>
      <c r="BB9" s="9">
        <f t="shared" si="3"/>
        <v>19125128</v>
      </c>
      <c r="BC9" s="8">
        <v>22875150</v>
      </c>
      <c r="BD9" s="8">
        <v>22875150</v>
      </c>
      <c r="BE9" s="8">
        <v>22875150</v>
      </c>
      <c r="BF9" s="8">
        <v>22875150</v>
      </c>
      <c r="BG9" s="8">
        <v>22875150</v>
      </c>
      <c r="BH9" s="8">
        <v>22875150</v>
      </c>
      <c r="BI9" s="8">
        <v>22875150</v>
      </c>
      <c r="BJ9" s="8">
        <v>22875150</v>
      </c>
      <c r="BK9" s="8">
        <v>22875150</v>
      </c>
      <c r="BL9" s="8">
        <v>22875150</v>
      </c>
      <c r="BM9" s="8">
        <v>22875150</v>
      </c>
      <c r="BN9" s="8">
        <v>22875150</v>
      </c>
      <c r="BO9" s="9">
        <f t="shared" si="4"/>
        <v>22875150</v>
      </c>
      <c r="BP9" s="8">
        <v>23805335</v>
      </c>
      <c r="BQ9" s="8">
        <v>23805335</v>
      </c>
      <c r="BR9" s="8">
        <v>23805335</v>
      </c>
      <c r="BS9" s="8">
        <v>23805335</v>
      </c>
      <c r="BT9" s="8">
        <v>23805335</v>
      </c>
      <c r="BU9" s="8">
        <v>23805335</v>
      </c>
      <c r="BV9" s="8">
        <v>23805335</v>
      </c>
      <c r="BW9" s="8">
        <v>23805335</v>
      </c>
      <c r="BX9" s="8">
        <v>23805335</v>
      </c>
      <c r="BY9" s="8">
        <v>23805335</v>
      </c>
      <c r="BZ9" s="8">
        <v>23805335</v>
      </c>
      <c r="CA9" s="8">
        <v>23805335</v>
      </c>
      <c r="CB9" s="9">
        <f t="shared" si="5"/>
        <v>23805335</v>
      </c>
      <c r="CC9" s="8">
        <v>30005711</v>
      </c>
      <c r="CD9" s="8">
        <v>30005711</v>
      </c>
      <c r="CE9" s="8">
        <v>30005711</v>
      </c>
      <c r="CF9" s="8">
        <v>30005711</v>
      </c>
      <c r="CG9" s="8">
        <v>30005711</v>
      </c>
      <c r="CH9" s="8">
        <v>30005711</v>
      </c>
      <c r="CI9" s="8">
        <v>30005711</v>
      </c>
      <c r="CJ9" s="8">
        <v>30005711</v>
      </c>
      <c r="CK9" s="8">
        <v>30005711</v>
      </c>
      <c r="CL9" s="8">
        <v>30005711</v>
      </c>
      <c r="CM9" s="8">
        <v>30005711</v>
      </c>
      <c r="CN9" s="8">
        <v>30005711</v>
      </c>
      <c r="CO9" s="9">
        <f t="shared" si="6"/>
        <v>30005711</v>
      </c>
      <c r="CP9" s="8">
        <v>28313204</v>
      </c>
      <c r="CQ9" s="8">
        <v>28313204</v>
      </c>
      <c r="CR9" s="8">
        <v>28313204</v>
      </c>
      <c r="CS9" s="8">
        <v>28313204</v>
      </c>
      <c r="CT9" s="8">
        <v>28313204</v>
      </c>
      <c r="CU9" s="8">
        <v>28313204</v>
      </c>
      <c r="CV9" s="8">
        <v>28313204</v>
      </c>
      <c r="CW9" s="8">
        <v>28313204</v>
      </c>
      <c r="CX9" s="8">
        <v>28313204</v>
      </c>
      <c r="CY9" s="8">
        <v>28313204</v>
      </c>
      <c r="CZ9" s="8">
        <v>28313204</v>
      </c>
      <c r="DA9" s="8">
        <v>28313204</v>
      </c>
      <c r="DB9" s="9">
        <f t="shared" si="7"/>
        <v>28313204</v>
      </c>
      <c r="DC9" s="8">
        <v>26279513</v>
      </c>
      <c r="DD9" s="8">
        <v>26279513</v>
      </c>
      <c r="DE9" s="8">
        <v>26279513</v>
      </c>
      <c r="DF9" s="8">
        <v>26279513</v>
      </c>
      <c r="DG9" s="8">
        <v>26279513</v>
      </c>
      <c r="DH9" s="8">
        <v>26279513</v>
      </c>
      <c r="DI9" s="8">
        <v>26279513</v>
      </c>
      <c r="DJ9" s="8">
        <v>26279513</v>
      </c>
      <c r="DK9" s="8">
        <v>26279513</v>
      </c>
      <c r="DL9" s="8">
        <v>26279513</v>
      </c>
      <c r="DM9" s="8">
        <v>26279513</v>
      </c>
      <c r="DN9" s="8">
        <v>26279513</v>
      </c>
      <c r="DO9" s="9">
        <f t="shared" si="8"/>
        <v>26279513</v>
      </c>
      <c r="DP9" s="8">
        <v>23921092</v>
      </c>
      <c r="DQ9" s="8">
        <v>23921092</v>
      </c>
      <c r="DR9" s="8">
        <v>23921092</v>
      </c>
      <c r="DS9" s="8">
        <v>23921092</v>
      </c>
      <c r="DT9" s="8">
        <v>23921092</v>
      </c>
      <c r="DU9" s="8">
        <v>23921092</v>
      </c>
      <c r="DV9" s="8">
        <v>23921092</v>
      </c>
      <c r="DW9" s="8">
        <v>23921092</v>
      </c>
      <c r="DX9" s="8">
        <v>23921092</v>
      </c>
      <c r="DY9" s="8">
        <v>23921092</v>
      </c>
      <c r="DZ9" s="8">
        <v>23921092</v>
      </c>
      <c r="EA9" s="8">
        <v>23921092</v>
      </c>
      <c r="EB9" s="9">
        <f t="shared" si="9"/>
        <v>23921092</v>
      </c>
      <c r="EC9" s="8">
        <v>32623118</v>
      </c>
      <c r="ED9" s="8">
        <v>32623118</v>
      </c>
      <c r="EE9" s="8">
        <v>32623118</v>
      </c>
      <c r="EF9" s="8">
        <v>32623118</v>
      </c>
      <c r="EG9" s="8">
        <v>32623118</v>
      </c>
      <c r="EH9" s="8">
        <v>32623118</v>
      </c>
      <c r="EI9" s="8">
        <v>32623118</v>
      </c>
      <c r="EJ9" s="8">
        <v>32623118</v>
      </c>
      <c r="EK9" s="8">
        <v>32623118</v>
      </c>
      <c r="EL9" s="8">
        <v>32623118</v>
      </c>
      <c r="EM9" s="8">
        <v>32623118</v>
      </c>
      <c r="EN9" s="8">
        <v>32623118</v>
      </c>
      <c r="EO9" s="9">
        <f t="shared" si="10"/>
        <v>32623118</v>
      </c>
      <c r="EP9" s="8">
        <v>31388552</v>
      </c>
      <c r="EQ9" s="8">
        <v>31388552</v>
      </c>
      <c r="ER9" s="8">
        <v>31388552</v>
      </c>
      <c r="ES9" s="8">
        <v>31388552</v>
      </c>
      <c r="ET9" s="8">
        <v>31388552</v>
      </c>
      <c r="EU9" s="8">
        <v>31388552</v>
      </c>
      <c r="EV9" s="8">
        <v>31388552</v>
      </c>
      <c r="EW9" s="8">
        <v>31388552</v>
      </c>
      <c r="EX9" s="8">
        <v>31388552</v>
      </c>
      <c r="EY9" s="8">
        <v>31388552</v>
      </c>
      <c r="EZ9" s="8">
        <v>31388552</v>
      </c>
      <c r="FA9" s="8">
        <v>31388552</v>
      </c>
      <c r="FB9" s="9">
        <f t="shared" si="11"/>
        <v>31388552</v>
      </c>
      <c r="FC9" s="8">
        <v>32099544</v>
      </c>
      <c r="FD9" s="8">
        <v>32099544</v>
      </c>
      <c r="FE9" s="8">
        <v>32099544</v>
      </c>
      <c r="FF9" s="8">
        <v>32099544</v>
      </c>
      <c r="FG9" s="8">
        <v>32099544</v>
      </c>
      <c r="FH9" s="8">
        <v>32099544</v>
      </c>
      <c r="FI9" s="8">
        <v>32099544</v>
      </c>
      <c r="FJ9" s="8"/>
      <c r="FK9" s="8"/>
      <c r="FL9" s="8"/>
      <c r="FM9" s="8"/>
      <c r="FN9" s="8"/>
      <c r="FO9" s="9">
        <f t="shared" si="12"/>
        <v>32099544</v>
      </c>
    </row>
    <row r="10" spans="2:171" ht="14.25" customHeight="1" x14ac:dyDescent="0.3">
      <c r="B10" s="7" t="s">
        <v>45</v>
      </c>
      <c r="C10" s="8">
        <v>5502314</v>
      </c>
      <c r="D10" s="8">
        <v>5502314</v>
      </c>
      <c r="E10" s="8">
        <v>5502314</v>
      </c>
      <c r="F10" s="8">
        <v>5502314</v>
      </c>
      <c r="G10" s="8">
        <v>5502314</v>
      </c>
      <c r="H10" s="8">
        <v>5502314</v>
      </c>
      <c r="I10" s="8">
        <v>5502314</v>
      </c>
      <c r="J10" s="8">
        <v>5502314</v>
      </c>
      <c r="K10" s="8">
        <v>5502314</v>
      </c>
      <c r="L10" s="8">
        <v>5502314</v>
      </c>
      <c r="M10" s="8">
        <v>5502314</v>
      </c>
      <c r="N10" s="8">
        <v>5502314</v>
      </c>
      <c r="O10" s="9">
        <f t="shared" si="0"/>
        <v>5502314</v>
      </c>
      <c r="P10" s="8">
        <v>7116496</v>
      </c>
      <c r="Q10" s="8">
        <v>7116496</v>
      </c>
      <c r="R10" s="8">
        <v>7116496</v>
      </c>
      <c r="S10" s="8">
        <v>7116496</v>
      </c>
      <c r="T10" s="8">
        <v>7116496</v>
      </c>
      <c r="U10" s="8">
        <v>7116496</v>
      </c>
      <c r="V10" s="8">
        <v>7116496</v>
      </c>
      <c r="W10" s="8">
        <v>7116496</v>
      </c>
      <c r="X10" s="8">
        <v>7116496</v>
      </c>
      <c r="Y10" s="8">
        <v>7116496</v>
      </c>
      <c r="Z10" s="8">
        <v>7116496</v>
      </c>
      <c r="AA10" s="8">
        <v>7116496</v>
      </c>
      <c r="AB10" s="9">
        <f t="shared" si="1"/>
        <v>7116496</v>
      </c>
      <c r="AC10" s="8">
        <v>7118243</v>
      </c>
      <c r="AD10" s="8">
        <v>7118243</v>
      </c>
      <c r="AE10" s="8">
        <v>7118243</v>
      </c>
      <c r="AF10" s="8">
        <v>7118243</v>
      </c>
      <c r="AG10" s="8">
        <v>7118243</v>
      </c>
      <c r="AH10" s="8">
        <v>7118243</v>
      </c>
      <c r="AI10" s="8">
        <v>7118243</v>
      </c>
      <c r="AJ10" s="8">
        <v>7118243</v>
      </c>
      <c r="AK10" s="8">
        <v>7118243</v>
      </c>
      <c r="AL10" s="8">
        <v>7118243</v>
      </c>
      <c r="AM10" s="8">
        <v>7118243</v>
      </c>
      <c r="AN10" s="8">
        <v>7118243</v>
      </c>
      <c r="AO10" s="9">
        <f t="shared" si="2"/>
        <v>7118243</v>
      </c>
      <c r="AP10" s="8">
        <v>6360483</v>
      </c>
      <c r="AQ10" s="8">
        <v>6360483</v>
      </c>
      <c r="AR10" s="8">
        <v>6360483</v>
      </c>
      <c r="AS10" s="8">
        <v>6360483</v>
      </c>
      <c r="AT10" s="8">
        <v>6360483</v>
      </c>
      <c r="AU10" s="8">
        <v>6360483</v>
      </c>
      <c r="AV10" s="8">
        <v>6360483</v>
      </c>
      <c r="AW10" s="8">
        <v>6360483</v>
      </c>
      <c r="AX10" s="8">
        <v>6360483</v>
      </c>
      <c r="AY10" s="8">
        <v>6360483</v>
      </c>
      <c r="AZ10" s="8">
        <v>6360483</v>
      </c>
      <c r="BA10" s="8">
        <v>6360483</v>
      </c>
      <c r="BB10" s="9">
        <f t="shared" si="3"/>
        <v>6360483</v>
      </c>
      <c r="BC10" s="8">
        <v>8905218</v>
      </c>
      <c r="BD10" s="8">
        <v>8905218</v>
      </c>
      <c r="BE10" s="8">
        <v>8905218</v>
      </c>
      <c r="BF10" s="8">
        <v>8905218</v>
      </c>
      <c r="BG10" s="8">
        <v>8905218</v>
      </c>
      <c r="BH10" s="8">
        <v>8905218</v>
      </c>
      <c r="BI10" s="8">
        <v>8905218</v>
      </c>
      <c r="BJ10" s="8">
        <v>8905218</v>
      </c>
      <c r="BK10" s="8">
        <v>8905218</v>
      </c>
      <c r="BL10" s="8">
        <v>8905218</v>
      </c>
      <c r="BM10" s="8">
        <v>8905218</v>
      </c>
      <c r="BN10" s="8">
        <v>8905218</v>
      </c>
      <c r="BO10" s="9">
        <f t="shared" si="4"/>
        <v>8905218</v>
      </c>
      <c r="BP10" s="8">
        <v>5657692</v>
      </c>
      <c r="BQ10" s="8">
        <v>5657692</v>
      </c>
      <c r="BR10" s="8">
        <v>5657692</v>
      </c>
      <c r="BS10" s="8">
        <v>5657692</v>
      </c>
      <c r="BT10" s="8">
        <v>5657692</v>
      </c>
      <c r="BU10" s="8">
        <v>5657692</v>
      </c>
      <c r="BV10" s="8">
        <v>5657692</v>
      </c>
      <c r="BW10" s="8">
        <v>5657692</v>
      </c>
      <c r="BX10" s="8">
        <v>5657692</v>
      </c>
      <c r="BY10" s="8">
        <v>5657692</v>
      </c>
      <c r="BZ10" s="8">
        <v>5657692</v>
      </c>
      <c r="CA10" s="8">
        <v>5657692</v>
      </c>
      <c r="CB10" s="9">
        <f t="shared" si="5"/>
        <v>5657692</v>
      </c>
      <c r="CC10" s="8">
        <v>8447722</v>
      </c>
      <c r="CD10" s="8">
        <v>8447722</v>
      </c>
      <c r="CE10" s="8">
        <v>8447722</v>
      </c>
      <c r="CF10" s="8">
        <v>8447722</v>
      </c>
      <c r="CG10" s="8">
        <v>8447722</v>
      </c>
      <c r="CH10" s="8">
        <v>8447722</v>
      </c>
      <c r="CI10" s="8">
        <v>8447722</v>
      </c>
      <c r="CJ10" s="8">
        <v>8447722</v>
      </c>
      <c r="CK10" s="8">
        <v>8447722</v>
      </c>
      <c r="CL10" s="8">
        <v>8447722</v>
      </c>
      <c r="CM10" s="8">
        <v>8447722</v>
      </c>
      <c r="CN10" s="8">
        <v>8447722</v>
      </c>
      <c r="CO10" s="9">
        <f t="shared" si="6"/>
        <v>8447722</v>
      </c>
      <c r="CP10" s="8">
        <v>9734344</v>
      </c>
      <c r="CQ10" s="8">
        <v>9734344</v>
      </c>
      <c r="CR10" s="8">
        <v>9734344</v>
      </c>
      <c r="CS10" s="8">
        <v>9734344</v>
      </c>
      <c r="CT10" s="8">
        <v>9734344</v>
      </c>
      <c r="CU10" s="8">
        <v>9734344</v>
      </c>
      <c r="CV10" s="8">
        <v>9734344</v>
      </c>
      <c r="CW10" s="8">
        <v>9734344</v>
      </c>
      <c r="CX10" s="8">
        <v>9734344</v>
      </c>
      <c r="CY10" s="8">
        <v>9734344</v>
      </c>
      <c r="CZ10" s="8">
        <v>9734344</v>
      </c>
      <c r="DA10" s="8">
        <v>9734344</v>
      </c>
      <c r="DB10" s="9">
        <f t="shared" si="7"/>
        <v>9734344</v>
      </c>
      <c r="DC10" s="8">
        <v>8027524</v>
      </c>
      <c r="DD10" s="8">
        <v>8027524</v>
      </c>
      <c r="DE10" s="8">
        <v>8027524</v>
      </c>
      <c r="DF10" s="8">
        <v>8027524</v>
      </c>
      <c r="DG10" s="8">
        <v>8027524</v>
      </c>
      <c r="DH10" s="8">
        <v>8027524</v>
      </c>
      <c r="DI10" s="8">
        <v>8027524</v>
      </c>
      <c r="DJ10" s="8">
        <v>8027524</v>
      </c>
      <c r="DK10" s="8">
        <v>8027524</v>
      </c>
      <c r="DL10" s="8">
        <v>8027524</v>
      </c>
      <c r="DM10" s="8">
        <v>8027524</v>
      </c>
      <c r="DN10" s="8">
        <v>8027524</v>
      </c>
      <c r="DO10" s="9">
        <f t="shared" si="8"/>
        <v>8027524</v>
      </c>
      <c r="DP10" s="8">
        <v>9623696</v>
      </c>
      <c r="DQ10" s="8">
        <v>9623696</v>
      </c>
      <c r="DR10" s="8">
        <v>9623696</v>
      </c>
      <c r="DS10" s="8">
        <v>9623696</v>
      </c>
      <c r="DT10" s="8">
        <v>9623696</v>
      </c>
      <c r="DU10" s="8">
        <v>9623696</v>
      </c>
      <c r="DV10" s="8">
        <v>9623696</v>
      </c>
      <c r="DW10" s="8">
        <v>9623696</v>
      </c>
      <c r="DX10" s="8">
        <v>9623696</v>
      </c>
      <c r="DY10" s="8">
        <v>9623696</v>
      </c>
      <c r="DZ10" s="8">
        <v>9623696</v>
      </c>
      <c r="EA10" s="8">
        <v>9623696</v>
      </c>
      <c r="EB10" s="9">
        <f t="shared" si="9"/>
        <v>9623696</v>
      </c>
      <c r="EC10" s="8">
        <v>7002032</v>
      </c>
      <c r="ED10" s="8">
        <v>7002032</v>
      </c>
      <c r="EE10" s="8">
        <v>7002032</v>
      </c>
      <c r="EF10" s="8">
        <v>7002032</v>
      </c>
      <c r="EG10" s="8">
        <v>7002032</v>
      </c>
      <c r="EH10" s="8">
        <v>7002032</v>
      </c>
      <c r="EI10" s="8">
        <v>7002032</v>
      </c>
      <c r="EJ10" s="8">
        <v>7002032</v>
      </c>
      <c r="EK10" s="8">
        <v>7002032</v>
      </c>
      <c r="EL10" s="8">
        <v>7002032</v>
      </c>
      <c r="EM10" s="8">
        <v>7002032</v>
      </c>
      <c r="EN10" s="8">
        <v>7002032</v>
      </c>
      <c r="EO10" s="9">
        <f t="shared" si="10"/>
        <v>7002032</v>
      </c>
      <c r="EP10" s="8">
        <v>7819491</v>
      </c>
      <c r="EQ10" s="8">
        <v>7819491</v>
      </c>
      <c r="ER10" s="8">
        <v>7819491</v>
      </c>
      <c r="ES10" s="8">
        <v>7819491</v>
      </c>
      <c r="ET10" s="8">
        <v>7819491</v>
      </c>
      <c r="EU10" s="8">
        <v>7819491</v>
      </c>
      <c r="EV10" s="8">
        <v>7819491</v>
      </c>
      <c r="EW10" s="8">
        <v>7819491</v>
      </c>
      <c r="EX10" s="8">
        <v>7819491</v>
      </c>
      <c r="EY10" s="8">
        <v>7819491</v>
      </c>
      <c r="EZ10" s="8">
        <v>7819491</v>
      </c>
      <c r="FA10" s="8">
        <v>7819491</v>
      </c>
      <c r="FB10" s="9">
        <f t="shared" si="11"/>
        <v>7819491</v>
      </c>
      <c r="FC10" s="8">
        <v>2323330</v>
      </c>
      <c r="FD10" s="8">
        <v>2323330</v>
      </c>
      <c r="FE10" s="8">
        <v>2323330</v>
      </c>
      <c r="FF10" s="8">
        <v>2323330</v>
      </c>
      <c r="FG10" s="8">
        <v>2323330</v>
      </c>
      <c r="FH10" s="8">
        <v>2323330</v>
      </c>
      <c r="FI10" s="8">
        <v>2323330</v>
      </c>
      <c r="FJ10" s="8"/>
      <c r="FK10" s="8"/>
      <c r="FL10" s="8"/>
      <c r="FM10" s="8"/>
      <c r="FN10" s="8"/>
      <c r="FO10" s="9">
        <f t="shared" si="12"/>
        <v>2323330</v>
      </c>
    </row>
    <row r="11" spans="2:171" ht="14.25" customHeight="1" x14ac:dyDescent="0.3">
      <c r="B11" s="7" t="s">
        <v>46</v>
      </c>
      <c r="C11" s="8">
        <v>17762256</v>
      </c>
      <c r="D11" s="8">
        <v>17762256</v>
      </c>
      <c r="E11" s="8">
        <v>17762256</v>
      </c>
      <c r="F11" s="8">
        <v>17762256</v>
      </c>
      <c r="G11" s="8">
        <v>17762256</v>
      </c>
      <c r="H11" s="8">
        <v>17762256</v>
      </c>
      <c r="I11" s="8">
        <v>17762256</v>
      </c>
      <c r="J11" s="8">
        <v>17762256</v>
      </c>
      <c r="K11" s="8">
        <v>17762256</v>
      </c>
      <c r="L11" s="8">
        <v>17762256</v>
      </c>
      <c r="M11" s="8">
        <v>17762256</v>
      </c>
      <c r="N11" s="8">
        <v>17762256</v>
      </c>
      <c r="O11" s="9">
        <f t="shared" si="0"/>
        <v>17762256</v>
      </c>
      <c r="P11" s="8">
        <v>21803885</v>
      </c>
      <c r="Q11" s="8">
        <v>21803885</v>
      </c>
      <c r="R11" s="8">
        <v>21803885</v>
      </c>
      <c r="S11" s="8">
        <v>21803885</v>
      </c>
      <c r="T11" s="8">
        <v>21803885</v>
      </c>
      <c r="U11" s="8">
        <v>21803885</v>
      </c>
      <c r="V11" s="8">
        <v>21803885</v>
      </c>
      <c r="W11" s="8">
        <v>21803885</v>
      </c>
      <c r="X11" s="8">
        <v>21803885</v>
      </c>
      <c r="Y11" s="8">
        <v>21803885</v>
      </c>
      <c r="Z11" s="8">
        <v>21803885</v>
      </c>
      <c r="AA11" s="8">
        <v>21803885</v>
      </c>
      <c r="AB11" s="9">
        <f t="shared" si="1"/>
        <v>21803885</v>
      </c>
      <c r="AC11" s="8">
        <v>20753826</v>
      </c>
      <c r="AD11" s="8">
        <v>20753826</v>
      </c>
      <c r="AE11" s="8">
        <v>20753826</v>
      </c>
      <c r="AF11" s="8">
        <v>20753826</v>
      </c>
      <c r="AG11" s="8">
        <v>20753826</v>
      </c>
      <c r="AH11" s="8">
        <v>20753826</v>
      </c>
      <c r="AI11" s="8">
        <v>20753826</v>
      </c>
      <c r="AJ11" s="8">
        <v>20753826</v>
      </c>
      <c r="AK11" s="8">
        <v>20753826</v>
      </c>
      <c r="AL11" s="8">
        <v>20753826</v>
      </c>
      <c r="AM11" s="8">
        <v>20753826</v>
      </c>
      <c r="AN11" s="8">
        <v>20753826</v>
      </c>
      <c r="AO11" s="9">
        <f t="shared" si="2"/>
        <v>20753826</v>
      </c>
      <c r="AP11" s="8">
        <v>19705469</v>
      </c>
      <c r="AQ11" s="8">
        <v>19705469</v>
      </c>
      <c r="AR11" s="8">
        <v>19705469</v>
      </c>
      <c r="AS11" s="8">
        <v>19705469</v>
      </c>
      <c r="AT11" s="8">
        <v>19705469</v>
      </c>
      <c r="AU11" s="8">
        <v>19705469</v>
      </c>
      <c r="AV11" s="8">
        <v>19705469</v>
      </c>
      <c r="AW11" s="8">
        <v>19705469</v>
      </c>
      <c r="AX11" s="8">
        <v>19705469</v>
      </c>
      <c r="AY11" s="8">
        <v>19705469</v>
      </c>
      <c r="AZ11" s="8">
        <v>19705469</v>
      </c>
      <c r="BA11" s="8">
        <v>19705469</v>
      </c>
      <c r="BB11" s="9">
        <f t="shared" si="3"/>
        <v>19705469</v>
      </c>
      <c r="BC11" s="8">
        <v>20697782</v>
      </c>
      <c r="BD11" s="8">
        <v>20697782</v>
      </c>
      <c r="BE11" s="8">
        <v>20697782</v>
      </c>
      <c r="BF11" s="8">
        <v>20697782</v>
      </c>
      <c r="BG11" s="8">
        <v>20697782</v>
      </c>
      <c r="BH11" s="8">
        <v>20697782</v>
      </c>
      <c r="BI11" s="8">
        <v>20697782</v>
      </c>
      <c r="BJ11" s="8">
        <v>20697782</v>
      </c>
      <c r="BK11" s="8">
        <v>20697782</v>
      </c>
      <c r="BL11" s="8">
        <v>20697782</v>
      </c>
      <c r="BM11" s="8">
        <v>20697782</v>
      </c>
      <c r="BN11" s="8">
        <v>20697782</v>
      </c>
      <c r="BO11" s="9">
        <f t="shared" si="4"/>
        <v>20697782</v>
      </c>
      <c r="BP11" s="8">
        <v>12609240</v>
      </c>
      <c r="BQ11" s="8">
        <v>12609240</v>
      </c>
      <c r="BR11" s="8">
        <v>12609240</v>
      </c>
      <c r="BS11" s="8">
        <v>12609240</v>
      </c>
      <c r="BT11" s="8">
        <v>12609240</v>
      </c>
      <c r="BU11" s="8">
        <v>12609240</v>
      </c>
      <c r="BV11" s="8">
        <v>12609240</v>
      </c>
      <c r="BW11" s="8">
        <v>12609240</v>
      </c>
      <c r="BX11" s="8">
        <v>12609240</v>
      </c>
      <c r="BY11" s="8">
        <v>12609240</v>
      </c>
      <c r="BZ11" s="8">
        <v>12609240</v>
      </c>
      <c r="CA11" s="8">
        <v>12609240</v>
      </c>
      <c r="CB11" s="9">
        <f t="shared" si="5"/>
        <v>12609240</v>
      </c>
      <c r="CC11" s="8">
        <v>8704861</v>
      </c>
      <c r="CD11" s="8">
        <v>8704861</v>
      </c>
      <c r="CE11" s="8">
        <v>8704861</v>
      </c>
      <c r="CF11" s="8">
        <v>8704861</v>
      </c>
      <c r="CG11" s="8">
        <v>8704861</v>
      </c>
      <c r="CH11" s="8">
        <v>8704861</v>
      </c>
      <c r="CI11" s="8">
        <v>8704861</v>
      </c>
      <c r="CJ11" s="8">
        <v>8704861</v>
      </c>
      <c r="CK11" s="8">
        <v>8704861</v>
      </c>
      <c r="CL11" s="8">
        <v>8704861</v>
      </c>
      <c r="CM11" s="8">
        <v>8704861</v>
      </c>
      <c r="CN11" s="8">
        <v>8704861</v>
      </c>
      <c r="CO11" s="9">
        <f t="shared" si="6"/>
        <v>8704861</v>
      </c>
      <c r="CP11" s="8">
        <v>7005376</v>
      </c>
      <c r="CQ11" s="8">
        <v>7005376</v>
      </c>
      <c r="CR11" s="8">
        <v>7005376</v>
      </c>
      <c r="CS11" s="8">
        <v>7005376</v>
      </c>
      <c r="CT11" s="8">
        <v>7005376</v>
      </c>
      <c r="CU11" s="8">
        <v>7005376</v>
      </c>
      <c r="CV11" s="8">
        <v>7005376</v>
      </c>
      <c r="CW11" s="8">
        <v>7005376</v>
      </c>
      <c r="CX11" s="8">
        <v>7005376</v>
      </c>
      <c r="CY11" s="8">
        <v>7005376</v>
      </c>
      <c r="CZ11" s="8">
        <v>7005376</v>
      </c>
      <c r="DA11" s="8">
        <v>7005376</v>
      </c>
      <c r="DB11" s="9">
        <f t="shared" si="7"/>
        <v>7005376</v>
      </c>
      <c r="DC11" s="8">
        <v>4659283</v>
      </c>
      <c r="DD11" s="8">
        <v>4659283</v>
      </c>
      <c r="DE11" s="8">
        <v>4659283</v>
      </c>
      <c r="DF11" s="8">
        <v>4659283</v>
      </c>
      <c r="DG11" s="8">
        <v>4659283</v>
      </c>
      <c r="DH11" s="8">
        <v>4659283</v>
      </c>
      <c r="DI11" s="8">
        <v>4659283</v>
      </c>
      <c r="DJ11" s="8">
        <v>4659283</v>
      </c>
      <c r="DK11" s="8">
        <v>4659283</v>
      </c>
      <c r="DL11" s="8">
        <v>4659283</v>
      </c>
      <c r="DM11" s="8">
        <v>4659283</v>
      </c>
      <c r="DN11" s="8">
        <v>4659283</v>
      </c>
      <c r="DO11" s="9">
        <f t="shared" si="8"/>
        <v>4659283</v>
      </c>
      <c r="DP11" s="8">
        <v>9013306</v>
      </c>
      <c r="DQ11" s="8">
        <v>9013306</v>
      </c>
      <c r="DR11" s="8">
        <v>9013306</v>
      </c>
      <c r="DS11" s="8">
        <v>9013306</v>
      </c>
      <c r="DT11" s="8">
        <v>9013306</v>
      </c>
      <c r="DU11" s="8">
        <v>9013306</v>
      </c>
      <c r="DV11" s="8">
        <v>9013306</v>
      </c>
      <c r="DW11" s="8">
        <v>9013306</v>
      </c>
      <c r="DX11" s="8">
        <v>9013306</v>
      </c>
      <c r="DY11" s="8">
        <v>9013306</v>
      </c>
      <c r="DZ11" s="8">
        <v>9013306</v>
      </c>
      <c r="EA11" s="8">
        <v>9013306</v>
      </c>
      <c r="EB11" s="9">
        <f t="shared" si="9"/>
        <v>9013306</v>
      </c>
      <c r="EC11" s="8">
        <v>11846836</v>
      </c>
      <c r="ED11" s="8">
        <v>11846836</v>
      </c>
      <c r="EE11" s="8">
        <v>11846836</v>
      </c>
      <c r="EF11" s="8">
        <v>11846836</v>
      </c>
      <c r="EG11" s="8">
        <v>11846836</v>
      </c>
      <c r="EH11" s="8">
        <v>11846836</v>
      </c>
      <c r="EI11" s="8">
        <v>11846836</v>
      </c>
      <c r="EJ11" s="8">
        <v>11846836</v>
      </c>
      <c r="EK11" s="8">
        <v>11846836</v>
      </c>
      <c r="EL11" s="8">
        <v>11846836</v>
      </c>
      <c r="EM11" s="8">
        <v>11846836</v>
      </c>
      <c r="EN11" s="8">
        <v>11846836</v>
      </c>
      <c r="EO11" s="9">
        <f t="shared" si="10"/>
        <v>11846836</v>
      </c>
      <c r="EP11" s="8">
        <v>9956278</v>
      </c>
      <c r="EQ11" s="8">
        <v>9956278</v>
      </c>
      <c r="ER11" s="8">
        <v>9956278</v>
      </c>
      <c r="ES11" s="8">
        <v>9956278</v>
      </c>
      <c r="ET11" s="8">
        <v>9956278</v>
      </c>
      <c r="EU11" s="8">
        <v>9956278</v>
      </c>
      <c r="EV11" s="8">
        <v>9956278</v>
      </c>
      <c r="EW11" s="8">
        <v>9956278</v>
      </c>
      <c r="EX11" s="8">
        <v>9956278</v>
      </c>
      <c r="EY11" s="8">
        <v>9956278</v>
      </c>
      <c r="EZ11" s="8">
        <v>9956278</v>
      </c>
      <c r="FA11" s="8">
        <v>9956278</v>
      </c>
      <c r="FB11" s="9">
        <f t="shared" si="11"/>
        <v>9956278</v>
      </c>
      <c r="FC11" s="8">
        <v>8706346</v>
      </c>
      <c r="FD11" s="8">
        <v>8706346</v>
      </c>
      <c r="FE11" s="8">
        <v>8706346</v>
      </c>
      <c r="FF11" s="8">
        <v>8706346</v>
      </c>
      <c r="FG11" s="8">
        <v>8706346</v>
      </c>
      <c r="FH11" s="8">
        <v>8706346</v>
      </c>
      <c r="FI11" s="8">
        <v>8706346</v>
      </c>
      <c r="FJ11" s="8"/>
      <c r="FK11" s="8"/>
      <c r="FL11" s="8"/>
      <c r="FM11" s="8"/>
      <c r="FN11" s="8"/>
      <c r="FO11" s="9">
        <f t="shared" si="12"/>
        <v>8706346</v>
      </c>
    </row>
    <row r="12" spans="2:171" ht="14.25" customHeight="1" x14ac:dyDescent="0.3">
      <c r="B12" s="7" t="s">
        <v>47</v>
      </c>
      <c r="C12" s="8">
        <v>8823051</v>
      </c>
      <c r="D12" s="8">
        <v>8823051</v>
      </c>
      <c r="E12" s="8">
        <v>8823051</v>
      </c>
      <c r="F12" s="8">
        <v>8823051</v>
      </c>
      <c r="G12" s="8">
        <v>8823051</v>
      </c>
      <c r="H12" s="8">
        <v>8823051</v>
      </c>
      <c r="I12" s="8">
        <v>8823051</v>
      </c>
      <c r="J12" s="8">
        <v>8823051</v>
      </c>
      <c r="K12" s="8">
        <v>8823051</v>
      </c>
      <c r="L12" s="8">
        <v>8823051</v>
      </c>
      <c r="M12" s="8">
        <v>8823051</v>
      </c>
      <c r="N12" s="8">
        <v>8823051</v>
      </c>
      <c r="O12" s="9">
        <f t="shared" si="0"/>
        <v>8823051</v>
      </c>
      <c r="P12" s="8">
        <v>9265514</v>
      </c>
      <c r="Q12" s="8">
        <v>9265514</v>
      </c>
      <c r="R12" s="8">
        <v>9265514</v>
      </c>
      <c r="S12" s="8">
        <v>9265514</v>
      </c>
      <c r="T12" s="8">
        <v>9265514</v>
      </c>
      <c r="U12" s="8">
        <v>9265514</v>
      </c>
      <c r="V12" s="8">
        <v>9265514</v>
      </c>
      <c r="W12" s="8">
        <v>9265514</v>
      </c>
      <c r="X12" s="8">
        <v>9265514</v>
      </c>
      <c r="Y12" s="8">
        <v>9265514</v>
      </c>
      <c r="Z12" s="8">
        <v>9265514</v>
      </c>
      <c r="AA12" s="8">
        <v>9265514</v>
      </c>
      <c r="AB12" s="9">
        <f t="shared" si="1"/>
        <v>9265514</v>
      </c>
      <c r="AC12" s="8">
        <v>17751422</v>
      </c>
      <c r="AD12" s="8">
        <v>17751422</v>
      </c>
      <c r="AE12" s="8">
        <v>17751422</v>
      </c>
      <c r="AF12" s="8">
        <v>17751422</v>
      </c>
      <c r="AG12" s="8">
        <v>17751422</v>
      </c>
      <c r="AH12" s="8">
        <v>17751422</v>
      </c>
      <c r="AI12" s="8">
        <v>17751422</v>
      </c>
      <c r="AJ12" s="8">
        <v>17751422</v>
      </c>
      <c r="AK12" s="8">
        <v>17751422</v>
      </c>
      <c r="AL12" s="8">
        <v>17751422</v>
      </c>
      <c r="AM12" s="8">
        <v>17751422</v>
      </c>
      <c r="AN12" s="8">
        <v>17751422</v>
      </c>
      <c r="AO12" s="9">
        <f t="shared" si="2"/>
        <v>17751422</v>
      </c>
      <c r="AP12" s="8">
        <v>23414402</v>
      </c>
      <c r="AQ12" s="8">
        <v>23414402</v>
      </c>
      <c r="AR12" s="8">
        <v>23414402</v>
      </c>
      <c r="AS12" s="8">
        <v>23414402</v>
      </c>
      <c r="AT12" s="8">
        <v>23414402</v>
      </c>
      <c r="AU12" s="8">
        <v>23414402</v>
      </c>
      <c r="AV12" s="8">
        <v>23414402</v>
      </c>
      <c r="AW12" s="8">
        <v>23414402</v>
      </c>
      <c r="AX12" s="8">
        <v>23414402</v>
      </c>
      <c r="AY12" s="8">
        <v>23414402</v>
      </c>
      <c r="AZ12" s="8">
        <v>23414402</v>
      </c>
      <c r="BA12" s="8">
        <v>23414402</v>
      </c>
      <c r="BB12" s="9">
        <f t="shared" si="3"/>
        <v>23414402</v>
      </c>
      <c r="BC12" s="8">
        <v>16518133</v>
      </c>
      <c r="BD12" s="8">
        <v>16518133</v>
      </c>
      <c r="BE12" s="8">
        <v>16518133</v>
      </c>
      <c r="BF12" s="8">
        <v>16518133</v>
      </c>
      <c r="BG12" s="8">
        <v>16518133</v>
      </c>
      <c r="BH12" s="8">
        <v>16518133</v>
      </c>
      <c r="BI12" s="8">
        <v>16518133</v>
      </c>
      <c r="BJ12" s="8">
        <v>16518133</v>
      </c>
      <c r="BK12" s="8">
        <v>16518133</v>
      </c>
      <c r="BL12" s="8">
        <v>16518133</v>
      </c>
      <c r="BM12" s="8">
        <v>16518133</v>
      </c>
      <c r="BN12" s="8">
        <v>16518133</v>
      </c>
      <c r="BO12" s="9">
        <f t="shared" si="4"/>
        <v>16518133</v>
      </c>
      <c r="BP12" s="8">
        <v>9624594</v>
      </c>
      <c r="BQ12" s="8">
        <v>9624594</v>
      </c>
      <c r="BR12" s="8">
        <v>9624594</v>
      </c>
      <c r="BS12" s="8">
        <v>9624594</v>
      </c>
      <c r="BT12" s="8">
        <v>9624594</v>
      </c>
      <c r="BU12" s="8">
        <v>9624594</v>
      </c>
      <c r="BV12" s="8">
        <v>9624594</v>
      </c>
      <c r="BW12" s="8">
        <v>9624594</v>
      </c>
      <c r="BX12" s="8">
        <v>9624594</v>
      </c>
      <c r="BY12" s="8">
        <v>9624594</v>
      </c>
      <c r="BZ12" s="8">
        <v>9624594</v>
      </c>
      <c r="CA12" s="8">
        <v>9624594</v>
      </c>
      <c r="CB12" s="9">
        <f t="shared" si="5"/>
        <v>9624594</v>
      </c>
      <c r="CC12" s="8">
        <v>25370209</v>
      </c>
      <c r="CD12" s="8">
        <v>25370209</v>
      </c>
      <c r="CE12" s="8">
        <v>25370209</v>
      </c>
      <c r="CF12" s="8">
        <v>25370209</v>
      </c>
      <c r="CG12" s="8">
        <v>25370209</v>
      </c>
      <c r="CH12" s="8">
        <v>25370209</v>
      </c>
      <c r="CI12" s="8">
        <v>25370209</v>
      </c>
      <c r="CJ12" s="8">
        <v>25370209</v>
      </c>
      <c r="CK12" s="8">
        <v>25370209</v>
      </c>
      <c r="CL12" s="8">
        <v>25370209</v>
      </c>
      <c r="CM12" s="8">
        <v>25370209</v>
      </c>
      <c r="CN12" s="8">
        <v>25370209</v>
      </c>
      <c r="CO12" s="9">
        <f t="shared" si="6"/>
        <v>25370209</v>
      </c>
      <c r="CP12" s="8">
        <v>35181732</v>
      </c>
      <c r="CQ12" s="8">
        <v>35181732</v>
      </c>
      <c r="CR12" s="8">
        <v>35181732</v>
      </c>
      <c r="CS12" s="8">
        <v>35181732</v>
      </c>
      <c r="CT12" s="8">
        <v>35181732</v>
      </c>
      <c r="CU12" s="8">
        <v>35181732</v>
      </c>
      <c r="CV12" s="8">
        <v>35181732</v>
      </c>
      <c r="CW12" s="8">
        <v>35181732</v>
      </c>
      <c r="CX12" s="8">
        <v>35181732</v>
      </c>
      <c r="CY12" s="8">
        <v>35181732</v>
      </c>
      <c r="CZ12" s="8">
        <v>35181732</v>
      </c>
      <c r="DA12" s="8">
        <v>35181732</v>
      </c>
      <c r="DB12" s="9">
        <f t="shared" si="7"/>
        <v>35181732</v>
      </c>
      <c r="DC12" s="8">
        <v>35548395</v>
      </c>
      <c r="DD12" s="8">
        <v>35548395</v>
      </c>
      <c r="DE12" s="8">
        <v>35548395</v>
      </c>
      <c r="DF12" s="8">
        <v>35548395</v>
      </c>
      <c r="DG12" s="8">
        <v>35548395</v>
      </c>
      <c r="DH12" s="8">
        <v>35548395</v>
      </c>
      <c r="DI12" s="8">
        <v>35548395</v>
      </c>
      <c r="DJ12" s="8">
        <v>35548395</v>
      </c>
      <c r="DK12" s="8">
        <v>35548395</v>
      </c>
      <c r="DL12" s="8">
        <v>35548395</v>
      </c>
      <c r="DM12" s="8">
        <v>35548395</v>
      </c>
      <c r="DN12" s="8">
        <v>35548395</v>
      </c>
      <c r="DO12" s="9">
        <f t="shared" si="8"/>
        <v>35548395</v>
      </c>
      <c r="DP12" s="8">
        <v>30263070</v>
      </c>
      <c r="DQ12" s="8">
        <v>30263070</v>
      </c>
      <c r="DR12" s="8">
        <v>30263070</v>
      </c>
      <c r="DS12" s="8">
        <v>30263070</v>
      </c>
      <c r="DT12" s="8">
        <v>30263070</v>
      </c>
      <c r="DU12" s="8">
        <v>30263070</v>
      </c>
      <c r="DV12" s="8">
        <v>30263070</v>
      </c>
      <c r="DW12" s="8">
        <v>30263070</v>
      </c>
      <c r="DX12" s="8">
        <v>30263070</v>
      </c>
      <c r="DY12" s="8">
        <v>30263070</v>
      </c>
      <c r="DZ12" s="8">
        <v>30263070</v>
      </c>
      <c r="EA12" s="8">
        <v>30263070</v>
      </c>
      <c r="EB12" s="9">
        <f t="shared" si="9"/>
        <v>30263070</v>
      </c>
      <c r="EC12" s="8">
        <v>10878804</v>
      </c>
      <c r="ED12" s="8">
        <v>10878804</v>
      </c>
      <c r="EE12" s="8">
        <v>10878804</v>
      </c>
      <c r="EF12" s="8">
        <v>10878804</v>
      </c>
      <c r="EG12" s="8">
        <v>10878804</v>
      </c>
      <c r="EH12" s="8">
        <v>10878804</v>
      </c>
      <c r="EI12" s="8">
        <v>10878804</v>
      </c>
      <c r="EJ12" s="8">
        <v>10878804</v>
      </c>
      <c r="EK12" s="8">
        <v>10878804</v>
      </c>
      <c r="EL12" s="8">
        <v>10878804</v>
      </c>
      <c r="EM12" s="8">
        <v>10878804</v>
      </c>
      <c r="EN12" s="8">
        <v>10878804</v>
      </c>
      <c r="EO12" s="9">
        <f t="shared" si="10"/>
        <v>10878804</v>
      </c>
      <c r="EP12" s="8">
        <v>13585888</v>
      </c>
      <c r="EQ12" s="8">
        <v>13585888</v>
      </c>
      <c r="ER12" s="8">
        <v>13585888</v>
      </c>
      <c r="ES12" s="8">
        <v>13585888</v>
      </c>
      <c r="ET12" s="8">
        <v>13585888</v>
      </c>
      <c r="EU12" s="8">
        <v>13585888</v>
      </c>
      <c r="EV12" s="8">
        <v>13585888</v>
      </c>
      <c r="EW12" s="8">
        <v>13585888</v>
      </c>
      <c r="EX12" s="8">
        <v>13585888</v>
      </c>
      <c r="EY12" s="8">
        <v>13585888</v>
      </c>
      <c r="EZ12" s="8">
        <v>13585888</v>
      </c>
      <c r="FA12" s="8">
        <v>13585888</v>
      </c>
      <c r="FB12" s="9">
        <f t="shared" si="11"/>
        <v>13585888</v>
      </c>
      <c r="FC12" s="8">
        <v>13197867</v>
      </c>
      <c r="FD12" s="8">
        <v>13197867</v>
      </c>
      <c r="FE12" s="8">
        <v>13197867</v>
      </c>
      <c r="FF12" s="8">
        <v>13197867</v>
      </c>
      <c r="FG12" s="8">
        <v>13197867</v>
      </c>
      <c r="FH12" s="8">
        <v>13197867</v>
      </c>
      <c r="FI12" s="8">
        <v>13197867</v>
      </c>
      <c r="FJ12" s="8"/>
      <c r="FK12" s="8"/>
      <c r="FL12" s="8"/>
      <c r="FM12" s="8"/>
      <c r="FN12" s="8"/>
      <c r="FO12" s="9">
        <f t="shared" si="12"/>
        <v>13197867</v>
      </c>
    </row>
    <row r="13" spans="2:171" ht="14.25" customHeight="1" x14ac:dyDescent="0.3">
      <c r="B13" s="7" t="s">
        <v>48</v>
      </c>
      <c r="C13" s="8">
        <v>5303372</v>
      </c>
      <c r="D13" s="8">
        <v>5303372</v>
      </c>
      <c r="E13" s="8">
        <v>5303372</v>
      </c>
      <c r="F13" s="8">
        <v>5303372</v>
      </c>
      <c r="G13" s="8">
        <v>5303372</v>
      </c>
      <c r="H13" s="8">
        <v>5303372</v>
      </c>
      <c r="I13" s="8">
        <v>5303372</v>
      </c>
      <c r="J13" s="8">
        <v>5303372</v>
      </c>
      <c r="K13" s="8">
        <v>5303372</v>
      </c>
      <c r="L13" s="8">
        <v>5303372</v>
      </c>
      <c r="M13" s="8">
        <v>5303372</v>
      </c>
      <c r="N13" s="8">
        <v>5303372</v>
      </c>
      <c r="O13" s="9">
        <f t="shared" si="0"/>
        <v>5303372</v>
      </c>
      <c r="P13" s="8">
        <v>10483676</v>
      </c>
      <c r="Q13" s="8">
        <v>10483676</v>
      </c>
      <c r="R13" s="8">
        <v>10483676</v>
      </c>
      <c r="S13" s="8">
        <v>10483676</v>
      </c>
      <c r="T13" s="8">
        <v>10483676</v>
      </c>
      <c r="U13" s="8">
        <v>10483676</v>
      </c>
      <c r="V13" s="8">
        <v>10483676</v>
      </c>
      <c r="W13" s="8">
        <v>10483676</v>
      </c>
      <c r="X13" s="8">
        <v>10483676</v>
      </c>
      <c r="Y13" s="8">
        <v>10483676</v>
      </c>
      <c r="Z13" s="8">
        <v>10483676</v>
      </c>
      <c r="AA13" s="8">
        <v>10483676</v>
      </c>
      <c r="AB13" s="9">
        <f t="shared" si="1"/>
        <v>10483676</v>
      </c>
      <c r="AC13" s="8">
        <v>7956960</v>
      </c>
      <c r="AD13" s="8">
        <v>7956960</v>
      </c>
      <c r="AE13" s="8">
        <v>7956960</v>
      </c>
      <c r="AF13" s="8">
        <v>7956960</v>
      </c>
      <c r="AG13" s="8">
        <v>7956960</v>
      </c>
      <c r="AH13" s="8">
        <v>7956960</v>
      </c>
      <c r="AI13" s="8">
        <v>7956960</v>
      </c>
      <c r="AJ13" s="8">
        <v>7956960</v>
      </c>
      <c r="AK13" s="8">
        <v>7956960</v>
      </c>
      <c r="AL13" s="8">
        <v>7956960</v>
      </c>
      <c r="AM13" s="8">
        <v>7956960</v>
      </c>
      <c r="AN13" s="8">
        <v>7956960</v>
      </c>
      <c r="AO13" s="9">
        <f t="shared" si="2"/>
        <v>7956960</v>
      </c>
      <c r="AP13" s="8">
        <v>22558714</v>
      </c>
      <c r="AQ13" s="8">
        <v>22558714</v>
      </c>
      <c r="AR13" s="8">
        <v>22558714</v>
      </c>
      <c r="AS13" s="8">
        <v>22558714</v>
      </c>
      <c r="AT13" s="8">
        <v>22558714</v>
      </c>
      <c r="AU13" s="8">
        <v>22558714</v>
      </c>
      <c r="AV13" s="8">
        <v>22558714</v>
      </c>
      <c r="AW13" s="8">
        <v>22558714</v>
      </c>
      <c r="AX13" s="8">
        <v>22558714</v>
      </c>
      <c r="AY13" s="8">
        <v>22558714</v>
      </c>
      <c r="AZ13" s="8">
        <v>22558714</v>
      </c>
      <c r="BA13" s="8">
        <v>22558714</v>
      </c>
      <c r="BB13" s="9">
        <f t="shared" si="3"/>
        <v>22558714</v>
      </c>
      <c r="BC13" s="8">
        <v>26064643</v>
      </c>
      <c r="BD13" s="8">
        <v>26064643</v>
      </c>
      <c r="BE13" s="8">
        <v>26064643</v>
      </c>
      <c r="BF13" s="8">
        <v>26064643</v>
      </c>
      <c r="BG13" s="8">
        <v>26064643</v>
      </c>
      <c r="BH13" s="8">
        <v>26064643</v>
      </c>
      <c r="BI13" s="8">
        <v>26064643</v>
      </c>
      <c r="BJ13" s="8">
        <v>26064643</v>
      </c>
      <c r="BK13" s="8">
        <v>26064643</v>
      </c>
      <c r="BL13" s="8">
        <v>26064643</v>
      </c>
      <c r="BM13" s="8">
        <v>26064643</v>
      </c>
      <c r="BN13" s="8">
        <v>26064643</v>
      </c>
      <c r="BO13" s="9">
        <f t="shared" si="4"/>
        <v>26064643</v>
      </c>
      <c r="BP13" s="8">
        <v>16889432</v>
      </c>
      <c r="BQ13" s="8">
        <v>16889432</v>
      </c>
      <c r="BR13" s="8">
        <v>16889432</v>
      </c>
      <c r="BS13" s="8">
        <v>16889432</v>
      </c>
      <c r="BT13" s="8">
        <v>16889432</v>
      </c>
      <c r="BU13" s="8">
        <v>16889432</v>
      </c>
      <c r="BV13" s="8">
        <v>16889432</v>
      </c>
      <c r="BW13" s="8">
        <v>16889432</v>
      </c>
      <c r="BX13" s="8">
        <v>16889432</v>
      </c>
      <c r="BY13" s="8">
        <v>16889432</v>
      </c>
      <c r="BZ13" s="8">
        <v>16889432</v>
      </c>
      <c r="CA13" s="8">
        <v>16889432</v>
      </c>
      <c r="CB13" s="9">
        <f t="shared" si="5"/>
        <v>16889432</v>
      </c>
      <c r="CC13" s="8">
        <v>17341145</v>
      </c>
      <c r="CD13" s="8">
        <v>17341145</v>
      </c>
      <c r="CE13" s="8">
        <v>17341145</v>
      </c>
      <c r="CF13" s="8">
        <v>17341145</v>
      </c>
      <c r="CG13" s="8">
        <v>17341145</v>
      </c>
      <c r="CH13" s="8">
        <v>17341145</v>
      </c>
      <c r="CI13" s="8">
        <v>17341145</v>
      </c>
      <c r="CJ13" s="8">
        <v>17341145</v>
      </c>
      <c r="CK13" s="8">
        <v>17341145</v>
      </c>
      <c r="CL13" s="8">
        <v>17341145</v>
      </c>
      <c r="CM13" s="8">
        <v>17341145</v>
      </c>
      <c r="CN13" s="8">
        <v>17341145</v>
      </c>
      <c r="CO13" s="9">
        <f t="shared" si="6"/>
        <v>17341145</v>
      </c>
      <c r="CP13" s="8">
        <v>18709251</v>
      </c>
      <c r="CQ13" s="8">
        <v>18709251</v>
      </c>
      <c r="CR13" s="8">
        <v>18709251</v>
      </c>
      <c r="CS13" s="8">
        <v>18709251</v>
      </c>
      <c r="CT13" s="8">
        <v>18709251</v>
      </c>
      <c r="CU13" s="8">
        <v>18709251</v>
      </c>
      <c r="CV13" s="8">
        <v>18709251</v>
      </c>
      <c r="CW13" s="8">
        <v>18709251</v>
      </c>
      <c r="CX13" s="8">
        <v>18709251</v>
      </c>
      <c r="CY13" s="8">
        <v>18709251</v>
      </c>
      <c r="CZ13" s="8">
        <v>18709251</v>
      </c>
      <c r="DA13" s="8">
        <v>18709251</v>
      </c>
      <c r="DB13" s="9">
        <f t="shared" si="7"/>
        <v>18709251</v>
      </c>
      <c r="DC13" s="8">
        <v>24875325</v>
      </c>
      <c r="DD13" s="8">
        <v>24875325</v>
      </c>
      <c r="DE13" s="8">
        <v>24875325</v>
      </c>
      <c r="DF13" s="8">
        <v>24875325</v>
      </c>
      <c r="DG13" s="8">
        <v>24875325</v>
      </c>
      <c r="DH13" s="8">
        <v>24875325</v>
      </c>
      <c r="DI13" s="8">
        <v>24875325</v>
      </c>
      <c r="DJ13" s="8">
        <v>24875325</v>
      </c>
      <c r="DK13" s="8">
        <v>24875325</v>
      </c>
      <c r="DL13" s="8">
        <v>24875325</v>
      </c>
      <c r="DM13" s="8">
        <v>24875325</v>
      </c>
      <c r="DN13" s="8">
        <v>24875325</v>
      </c>
      <c r="DO13" s="9">
        <f t="shared" si="8"/>
        <v>24875325</v>
      </c>
      <c r="DP13" s="8">
        <v>21315123</v>
      </c>
      <c r="DQ13" s="8">
        <v>21315123</v>
      </c>
      <c r="DR13" s="8">
        <v>21315123</v>
      </c>
      <c r="DS13" s="8">
        <v>21315123</v>
      </c>
      <c r="DT13" s="8">
        <v>21315123</v>
      </c>
      <c r="DU13" s="8">
        <v>21315123</v>
      </c>
      <c r="DV13" s="8">
        <v>21315123</v>
      </c>
      <c r="DW13" s="8">
        <v>21315123</v>
      </c>
      <c r="DX13" s="8">
        <v>21315123</v>
      </c>
      <c r="DY13" s="8">
        <v>21315123</v>
      </c>
      <c r="DZ13" s="8">
        <v>21315123</v>
      </c>
      <c r="EA13" s="8">
        <v>21315123</v>
      </c>
      <c r="EB13" s="9">
        <f t="shared" si="9"/>
        <v>21315123</v>
      </c>
      <c r="EC13" s="8">
        <v>21518444</v>
      </c>
      <c r="ED13" s="8">
        <v>21518444</v>
      </c>
      <c r="EE13" s="8">
        <v>21518444</v>
      </c>
      <c r="EF13" s="8">
        <v>21518444</v>
      </c>
      <c r="EG13" s="8">
        <v>21518444</v>
      </c>
      <c r="EH13" s="8">
        <v>21518444</v>
      </c>
      <c r="EI13" s="8">
        <v>21518444</v>
      </c>
      <c r="EJ13" s="8">
        <v>21518444</v>
      </c>
      <c r="EK13" s="8">
        <v>21518444</v>
      </c>
      <c r="EL13" s="8">
        <v>21518444</v>
      </c>
      <c r="EM13" s="8">
        <v>21518444</v>
      </c>
      <c r="EN13" s="8">
        <v>21518444</v>
      </c>
      <c r="EO13" s="9">
        <f t="shared" si="10"/>
        <v>21518444</v>
      </c>
      <c r="EP13" s="8">
        <v>24183340</v>
      </c>
      <c r="EQ13" s="8">
        <v>24183340</v>
      </c>
      <c r="ER13" s="8">
        <v>24183340</v>
      </c>
      <c r="ES13" s="8">
        <v>24183340</v>
      </c>
      <c r="ET13" s="8">
        <v>24183340</v>
      </c>
      <c r="EU13" s="8">
        <v>24183340</v>
      </c>
      <c r="EV13" s="8">
        <v>24183340</v>
      </c>
      <c r="EW13" s="8">
        <v>24183340</v>
      </c>
      <c r="EX13" s="8">
        <v>24183340</v>
      </c>
      <c r="EY13" s="8">
        <v>24183340</v>
      </c>
      <c r="EZ13" s="8">
        <v>24183340</v>
      </c>
      <c r="FA13" s="8">
        <v>24183340</v>
      </c>
      <c r="FB13" s="9">
        <f t="shared" si="11"/>
        <v>24183340</v>
      </c>
      <c r="FC13" s="8">
        <v>9416801</v>
      </c>
      <c r="FD13" s="8">
        <v>9416801</v>
      </c>
      <c r="FE13" s="8">
        <v>9416801</v>
      </c>
      <c r="FF13" s="8">
        <v>9416801</v>
      </c>
      <c r="FG13" s="8">
        <v>9416801</v>
      </c>
      <c r="FH13" s="8">
        <v>9416801</v>
      </c>
      <c r="FI13" s="8">
        <v>9416801</v>
      </c>
      <c r="FJ13" s="8"/>
      <c r="FK13" s="8"/>
      <c r="FL13" s="8"/>
      <c r="FM13" s="8"/>
      <c r="FN13" s="8"/>
      <c r="FO13" s="9">
        <f t="shared" si="12"/>
        <v>9416801</v>
      </c>
    </row>
    <row r="14" spans="2:171" ht="14.25" customHeight="1" x14ac:dyDescent="0.3">
      <c r="B14" s="7" t="s">
        <v>49</v>
      </c>
      <c r="C14" s="8">
        <v>16064354</v>
      </c>
      <c r="D14" s="8">
        <v>16064354</v>
      </c>
      <c r="E14" s="8">
        <v>16064354</v>
      </c>
      <c r="F14" s="8">
        <v>16064354</v>
      </c>
      <c r="G14" s="8">
        <v>16064354</v>
      </c>
      <c r="H14" s="8">
        <v>16064354</v>
      </c>
      <c r="I14" s="8">
        <v>16064354</v>
      </c>
      <c r="J14" s="8">
        <v>16064354</v>
      </c>
      <c r="K14" s="8">
        <v>16064354</v>
      </c>
      <c r="L14" s="8">
        <v>16064354</v>
      </c>
      <c r="M14" s="8">
        <v>16064354</v>
      </c>
      <c r="N14" s="8">
        <v>16064354</v>
      </c>
      <c r="O14" s="9">
        <f t="shared" si="0"/>
        <v>16064354</v>
      </c>
      <c r="P14" s="8">
        <v>19283793</v>
      </c>
      <c r="Q14" s="8">
        <v>19283793</v>
      </c>
      <c r="R14" s="8">
        <v>19283793</v>
      </c>
      <c r="S14" s="8">
        <v>19283793</v>
      </c>
      <c r="T14" s="8">
        <v>19283793</v>
      </c>
      <c r="U14" s="8">
        <v>19283793</v>
      </c>
      <c r="V14" s="8">
        <v>19283793</v>
      </c>
      <c r="W14" s="8">
        <v>19283793</v>
      </c>
      <c r="X14" s="8">
        <v>19283793</v>
      </c>
      <c r="Y14" s="8">
        <v>19283793</v>
      </c>
      <c r="Z14" s="8">
        <v>19283793</v>
      </c>
      <c r="AA14" s="8">
        <v>19283793</v>
      </c>
      <c r="AB14" s="9">
        <f t="shared" si="1"/>
        <v>19283793</v>
      </c>
      <c r="AC14" s="8">
        <v>18570059</v>
      </c>
      <c r="AD14" s="8">
        <v>18570059</v>
      </c>
      <c r="AE14" s="8">
        <v>18570059</v>
      </c>
      <c r="AF14" s="8">
        <v>18570059</v>
      </c>
      <c r="AG14" s="8">
        <v>18570059</v>
      </c>
      <c r="AH14" s="8">
        <v>18570059</v>
      </c>
      <c r="AI14" s="8">
        <v>18570059</v>
      </c>
      <c r="AJ14" s="8">
        <v>18570059</v>
      </c>
      <c r="AK14" s="8">
        <v>18570059</v>
      </c>
      <c r="AL14" s="8">
        <v>18570059</v>
      </c>
      <c r="AM14" s="8">
        <v>18570059</v>
      </c>
      <c r="AN14" s="8">
        <v>18570059</v>
      </c>
      <c r="AO14" s="9">
        <f t="shared" si="2"/>
        <v>18570059</v>
      </c>
      <c r="AP14" s="8">
        <v>27391856</v>
      </c>
      <c r="AQ14" s="8">
        <v>27391856</v>
      </c>
      <c r="AR14" s="8">
        <v>27391856</v>
      </c>
      <c r="AS14" s="8">
        <v>27391856</v>
      </c>
      <c r="AT14" s="8">
        <v>27391856</v>
      </c>
      <c r="AU14" s="8">
        <v>27391856</v>
      </c>
      <c r="AV14" s="8">
        <v>27391856</v>
      </c>
      <c r="AW14" s="8">
        <v>27391856</v>
      </c>
      <c r="AX14" s="8">
        <v>27391856</v>
      </c>
      <c r="AY14" s="8">
        <v>27391856</v>
      </c>
      <c r="AZ14" s="8">
        <v>27391856</v>
      </c>
      <c r="BA14" s="8">
        <v>27391856</v>
      </c>
      <c r="BB14" s="9">
        <f t="shared" si="3"/>
        <v>27391856</v>
      </c>
      <c r="BC14" s="8">
        <v>16967208</v>
      </c>
      <c r="BD14" s="8">
        <v>16967208</v>
      </c>
      <c r="BE14" s="8">
        <v>16967208</v>
      </c>
      <c r="BF14" s="8">
        <v>16967208</v>
      </c>
      <c r="BG14" s="8">
        <v>16967208</v>
      </c>
      <c r="BH14" s="8">
        <v>16967208</v>
      </c>
      <c r="BI14" s="8">
        <v>16967208</v>
      </c>
      <c r="BJ14" s="8">
        <v>16967208</v>
      </c>
      <c r="BK14" s="8">
        <v>16967208</v>
      </c>
      <c r="BL14" s="8">
        <v>16967208</v>
      </c>
      <c r="BM14" s="8">
        <v>16967208</v>
      </c>
      <c r="BN14" s="8">
        <v>16967208</v>
      </c>
      <c r="BO14" s="9">
        <f t="shared" si="4"/>
        <v>16967208</v>
      </c>
      <c r="BP14" s="8">
        <v>14997280</v>
      </c>
      <c r="BQ14" s="8">
        <v>14997280</v>
      </c>
      <c r="BR14" s="8">
        <v>14997280</v>
      </c>
      <c r="BS14" s="8">
        <v>14997280</v>
      </c>
      <c r="BT14" s="8">
        <v>14997280</v>
      </c>
      <c r="BU14" s="8">
        <v>14997280</v>
      </c>
      <c r="BV14" s="8">
        <v>14997280</v>
      </c>
      <c r="BW14" s="8">
        <v>14997280</v>
      </c>
      <c r="BX14" s="8">
        <v>14997280</v>
      </c>
      <c r="BY14" s="8">
        <v>14997280</v>
      </c>
      <c r="BZ14" s="8">
        <v>14997280</v>
      </c>
      <c r="CA14" s="8">
        <v>14997280</v>
      </c>
      <c r="CB14" s="9">
        <f t="shared" si="5"/>
        <v>14997280</v>
      </c>
      <c r="CC14" s="8">
        <v>15408322</v>
      </c>
      <c r="CD14" s="8">
        <v>15408322</v>
      </c>
      <c r="CE14" s="8">
        <v>15408322</v>
      </c>
      <c r="CF14" s="8">
        <v>15408322</v>
      </c>
      <c r="CG14" s="8">
        <v>15408322</v>
      </c>
      <c r="CH14" s="8">
        <v>15408322</v>
      </c>
      <c r="CI14" s="8">
        <v>15408322</v>
      </c>
      <c r="CJ14" s="8">
        <v>15408322</v>
      </c>
      <c r="CK14" s="8">
        <v>15408322</v>
      </c>
      <c r="CL14" s="8">
        <v>15408322</v>
      </c>
      <c r="CM14" s="8">
        <v>15408322</v>
      </c>
      <c r="CN14" s="8">
        <v>15408322</v>
      </c>
      <c r="CO14" s="9">
        <f t="shared" si="6"/>
        <v>15408322</v>
      </c>
      <c r="CP14" s="8">
        <v>16689514</v>
      </c>
      <c r="CQ14" s="8">
        <v>16689514</v>
      </c>
      <c r="CR14" s="8">
        <v>16689514</v>
      </c>
      <c r="CS14" s="8">
        <v>16689514</v>
      </c>
      <c r="CT14" s="8">
        <v>16689514</v>
      </c>
      <c r="CU14" s="8">
        <v>16689514</v>
      </c>
      <c r="CV14" s="8">
        <v>16689514</v>
      </c>
      <c r="CW14" s="8">
        <v>16689514</v>
      </c>
      <c r="CX14" s="8">
        <v>16689514</v>
      </c>
      <c r="CY14" s="8">
        <v>16689514</v>
      </c>
      <c r="CZ14" s="8">
        <v>16689514</v>
      </c>
      <c r="DA14" s="8">
        <v>16689514</v>
      </c>
      <c r="DB14" s="9">
        <f t="shared" si="7"/>
        <v>16689514</v>
      </c>
      <c r="DC14" s="8">
        <v>29291800</v>
      </c>
      <c r="DD14" s="8">
        <v>29291800</v>
      </c>
      <c r="DE14" s="8">
        <v>29291800</v>
      </c>
      <c r="DF14" s="8">
        <v>29291800</v>
      </c>
      <c r="DG14" s="8">
        <v>29291800</v>
      </c>
      <c r="DH14" s="8">
        <v>29291800</v>
      </c>
      <c r="DI14" s="8">
        <v>29291800</v>
      </c>
      <c r="DJ14" s="8">
        <v>29291800</v>
      </c>
      <c r="DK14" s="8">
        <v>29291800</v>
      </c>
      <c r="DL14" s="8">
        <v>29291800</v>
      </c>
      <c r="DM14" s="8">
        <v>29291800</v>
      </c>
      <c r="DN14" s="8">
        <v>29291800</v>
      </c>
      <c r="DO14" s="9">
        <f t="shared" si="8"/>
        <v>29291800</v>
      </c>
      <c r="DP14" s="8">
        <v>36352142</v>
      </c>
      <c r="DQ14" s="8">
        <v>36352142</v>
      </c>
      <c r="DR14" s="8">
        <v>36352142</v>
      </c>
      <c r="DS14" s="8">
        <v>36352142</v>
      </c>
      <c r="DT14" s="8">
        <v>36352142</v>
      </c>
      <c r="DU14" s="8">
        <v>36352142</v>
      </c>
      <c r="DV14" s="8">
        <v>36352142</v>
      </c>
      <c r="DW14" s="8">
        <v>36352142</v>
      </c>
      <c r="DX14" s="8">
        <v>36352142</v>
      </c>
      <c r="DY14" s="8">
        <v>36352142</v>
      </c>
      <c r="DZ14" s="8">
        <v>36352142</v>
      </c>
      <c r="EA14" s="8">
        <v>36352142</v>
      </c>
      <c r="EB14" s="9">
        <f t="shared" si="9"/>
        <v>36352142</v>
      </c>
      <c r="EC14" s="8">
        <v>38254690</v>
      </c>
      <c r="ED14" s="8">
        <v>38254690</v>
      </c>
      <c r="EE14" s="8">
        <v>38254690</v>
      </c>
      <c r="EF14" s="8">
        <v>38254690</v>
      </c>
      <c r="EG14" s="8">
        <v>38254690</v>
      </c>
      <c r="EH14" s="8">
        <v>38254690</v>
      </c>
      <c r="EI14" s="8">
        <v>38254690</v>
      </c>
      <c r="EJ14" s="8">
        <v>38254690</v>
      </c>
      <c r="EK14" s="8">
        <v>38254690</v>
      </c>
      <c r="EL14" s="8">
        <v>38254690</v>
      </c>
      <c r="EM14" s="8">
        <v>38254690</v>
      </c>
      <c r="EN14" s="8">
        <v>38254690</v>
      </c>
      <c r="EO14" s="9">
        <f t="shared" si="10"/>
        <v>38254690</v>
      </c>
      <c r="EP14" s="8">
        <v>27966487</v>
      </c>
      <c r="EQ14" s="8">
        <v>27966487</v>
      </c>
      <c r="ER14" s="8">
        <v>27966487</v>
      </c>
      <c r="ES14" s="8">
        <v>27966487</v>
      </c>
      <c r="ET14" s="8">
        <v>27966487</v>
      </c>
      <c r="EU14" s="8">
        <v>27966487</v>
      </c>
      <c r="EV14" s="8">
        <v>27966487</v>
      </c>
      <c r="EW14" s="8">
        <v>27966487</v>
      </c>
      <c r="EX14" s="8">
        <v>27966487</v>
      </c>
      <c r="EY14" s="8">
        <v>27966487</v>
      </c>
      <c r="EZ14" s="8">
        <v>27966487</v>
      </c>
      <c r="FA14" s="8">
        <v>27966487</v>
      </c>
      <c r="FB14" s="9">
        <f t="shared" si="11"/>
        <v>27966487</v>
      </c>
      <c r="FC14" s="8">
        <v>30615904</v>
      </c>
      <c r="FD14" s="8">
        <v>30615904</v>
      </c>
      <c r="FE14" s="8">
        <v>30615904</v>
      </c>
      <c r="FF14" s="8">
        <v>30615904</v>
      </c>
      <c r="FG14" s="8">
        <v>30615904</v>
      </c>
      <c r="FH14" s="8">
        <v>30615904</v>
      </c>
      <c r="FI14" s="8">
        <v>30615904</v>
      </c>
      <c r="FJ14" s="8"/>
      <c r="FK14" s="8"/>
      <c r="FL14" s="8"/>
      <c r="FM14" s="8"/>
      <c r="FN14" s="8"/>
      <c r="FO14" s="9">
        <f t="shared" si="12"/>
        <v>30615904</v>
      </c>
    </row>
    <row r="15" spans="2:171" ht="14.25" customHeight="1" x14ac:dyDescent="0.3">
      <c r="B15" s="7" t="s">
        <v>50</v>
      </c>
      <c r="C15" s="8">
        <v>18833256</v>
      </c>
      <c r="D15" s="8">
        <v>18833256</v>
      </c>
      <c r="E15" s="8">
        <v>18833256</v>
      </c>
      <c r="F15" s="8">
        <v>18833256</v>
      </c>
      <c r="G15" s="8">
        <v>18833256</v>
      </c>
      <c r="H15" s="8">
        <v>18833256</v>
      </c>
      <c r="I15" s="8">
        <v>18833256</v>
      </c>
      <c r="J15" s="8">
        <v>18833256</v>
      </c>
      <c r="K15" s="8">
        <v>18833256</v>
      </c>
      <c r="L15" s="8">
        <v>18833256</v>
      </c>
      <c r="M15" s="8">
        <v>18833256</v>
      </c>
      <c r="N15" s="8">
        <v>18833256</v>
      </c>
      <c r="O15" s="9">
        <f t="shared" si="0"/>
        <v>18833256</v>
      </c>
      <c r="P15" s="8">
        <v>34473321</v>
      </c>
      <c r="Q15" s="8">
        <v>34473321</v>
      </c>
      <c r="R15" s="8">
        <v>34473321</v>
      </c>
      <c r="S15" s="8">
        <v>34473321</v>
      </c>
      <c r="T15" s="8">
        <v>34473321</v>
      </c>
      <c r="U15" s="8">
        <v>34473321</v>
      </c>
      <c r="V15" s="8">
        <v>34473321</v>
      </c>
      <c r="W15" s="8">
        <v>34473321</v>
      </c>
      <c r="X15" s="8">
        <v>34473321</v>
      </c>
      <c r="Y15" s="8">
        <v>34473321</v>
      </c>
      <c r="Z15" s="8">
        <v>34473321</v>
      </c>
      <c r="AA15" s="8">
        <v>34473321</v>
      </c>
      <c r="AB15" s="9">
        <f t="shared" si="1"/>
        <v>34473321</v>
      </c>
      <c r="AC15" s="8">
        <v>32958542</v>
      </c>
      <c r="AD15" s="8">
        <v>32958542</v>
      </c>
      <c r="AE15" s="8">
        <v>32958542</v>
      </c>
      <c r="AF15" s="8">
        <v>32958542</v>
      </c>
      <c r="AG15" s="8">
        <v>32958542</v>
      </c>
      <c r="AH15" s="8">
        <v>32958542</v>
      </c>
      <c r="AI15" s="8">
        <v>32958542</v>
      </c>
      <c r="AJ15" s="8">
        <v>32958542</v>
      </c>
      <c r="AK15" s="8">
        <v>32958542</v>
      </c>
      <c r="AL15" s="8">
        <v>32958542</v>
      </c>
      <c r="AM15" s="8">
        <v>32958542</v>
      </c>
      <c r="AN15" s="8">
        <v>32958542</v>
      </c>
      <c r="AO15" s="9">
        <f t="shared" si="2"/>
        <v>32958542</v>
      </c>
      <c r="AP15" s="8">
        <v>41283218</v>
      </c>
      <c r="AQ15" s="8">
        <v>41283218</v>
      </c>
      <c r="AR15" s="8">
        <v>41283218</v>
      </c>
      <c r="AS15" s="8">
        <v>41283218</v>
      </c>
      <c r="AT15" s="8">
        <v>41283218</v>
      </c>
      <c r="AU15" s="8">
        <v>41283218</v>
      </c>
      <c r="AV15" s="8">
        <v>41283218</v>
      </c>
      <c r="AW15" s="8">
        <v>41283218</v>
      </c>
      <c r="AX15" s="8">
        <v>41283218</v>
      </c>
      <c r="AY15" s="8">
        <v>41283218</v>
      </c>
      <c r="AZ15" s="8">
        <v>41283218</v>
      </c>
      <c r="BA15" s="8">
        <v>41283218</v>
      </c>
      <c r="BB15" s="9">
        <f t="shared" si="3"/>
        <v>41283218</v>
      </c>
      <c r="BC15" s="8">
        <v>30569054</v>
      </c>
      <c r="BD15" s="8">
        <v>30569054</v>
      </c>
      <c r="BE15" s="8">
        <v>30569054</v>
      </c>
      <c r="BF15" s="8">
        <v>30569054</v>
      </c>
      <c r="BG15" s="8">
        <v>30569054</v>
      </c>
      <c r="BH15" s="8">
        <v>30569054</v>
      </c>
      <c r="BI15" s="8">
        <v>30569054</v>
      </c>
      <c r="BJ15" s="8">
        <v>30569054</v>
      </c>
      <c r="BK15" s="8">
        <v>30569054</v>
      </c>
      <c r="BL15" s="8">
        <v>30569054</v>
      </c>
      <c r="BM15" s="8">
        <v>30569054</v>
      </c>
      <c r="BN15" s="8">
        <v>30569054</v>
      </c>
      <c r="BO15" s="9">
        <f t="shared" si="4"/>
        <v>30569054</v>
      </c>
      <c r="BP15" s="8">
        <v>28738435</v>
      </c>
      <c r="BQ15" s="8">
        <v>28738435</v>
      </c>
      <c r="BR15" s="8">
        <v>28738435</v>
      </c>
      <c r="BS15" s="8">
        <v>28738435</v>
      </c>
      <c r="BT15" s="8">
        <v>28738435</v>
      </c>
      <c r="BU15" s="8">
        <v>28738435</v>
      </c>
      <c r="BV15" s="8">
        <v>28738435</v>
      </c>
      <c r="BW15" s="8">
        <v>28738435</v>
      </c>
      <c r="BX15" s="8">
        <v>28738435</v>
      </c>
      <c r="BY15" s="8">
        <v>28738435</v>
      </c>
      <c r="BZ15" s="8">
        <v>28738435</v>
      </c>
      <c r="CA15" s="8">
        <v>28738435</v>
      </c>
      <c r="CB15" s="9">
        <f t="shared" si="5"/>
        <v>28738435</v>
      </c>
      <c r="CC15" s="8">
        <v>33362165</v>
      </c>
      <c r="CD15" s="8">
        <v>33362165</v>
      </c>
      <c r="CE15" s="8">
        <v>33362165</v>
      </c>
      <c r="CF15" s="8">
        <v>33362165</v>
      </c>
      <c r="CG15" s="8">
        <v>33362165</v>
      </c>
      <c r="CH15" s="8">
        <v>33362165</v>
      </c>
      <c r="CI15" s="8">
        <v>33362165</v>
      </c>
      <c r="CJ15" s="8">
        <v>33362165</v>
      </c>
      <c r="CK15" s="8">
        <v>33362165</v>
      </c>
      <c r="CL15" s="8">
        <v>33362165</v>
      </c>
      <c r="CM15" s="8">
        <v>33362165</v>
      </c>
      <c r="CN15" s="8">
        <v>33362165</v>
      </c>
      <c r="CO15" s="9">
        <f t="shared" si="6"/>
        <v>33362165</v>
      </c>
      <c r="CP15" s="8">
        <v>53755591</v>
      </c>
      <c r="CQ15" s="8">
        <v>53755591</v>
      </c>
      <c r="CR15" s="8">
        <v>53755591</v>
      </c>
      <c r="CS15" s="8">
        <v>53755591</v>
      </c>
      <c r="CT15" s="8">
        <v>53755591</v>
      </c>
      <c r="CU15" s="8">
        <v>53755591</v>
      </c>
      <c r="CV15" s="8">
        <v>53755591</v>
      </c>
      <c r="CW15" s="8">
        <v>53755591</v>
      </c>
      <c r="CX15" s="8">
        <v>53755591</v>
      </c>
      <c r="CY15" s="8">
        <v>53755591</v>
      </c>
      <c r="CZ15" s="8">
        <v>53755591</v>
      </c>
      <c r="DA15" s="8">
        <v>53755591</v>
      </c>
      <c r="DB15" s="9">
        <f t="shared" si="7"/>
        <v>53755591</v>
      </c>
      <c r="DC15" s="8">
        <v>43170852</v>
      </c>
      <c r="DD15" s="8">
        <v>43170852</v>
      </c>
      <c r="DE15" s="8">
        <v>43170852</v>
      </c>
      <c r="DF15" s="8">
        <v>43170852</v>
      </c>
      <c r="DG15" s="8">
        <v>43170852</v>
      </c>
      <c r="DH15" s="8">
        <v>43170852</v>
      </c>
      <c r="DI15" s="8">
        <v>43170852</v>
      </c>
      <c r="DJ15" s="8">
        <v>43170852</v>
      </c>
      <c r="DK15" s="8">
        <v>43170852</v>
      </c>
      <c r="DL15" s="8">
        <v>43170852</v>
      </c>
      <c r="DM15" s="8">
        <v>43170852</v>
      </c>
      <c r="DN15" s="8">
        <v>43170852</v>
      </c>
      <c r="DO15" s="9">
        <f t="shared" si="8"/>
        <v>43170852</v>
      </c>
      <c r="DP15" s="8">
        <v>40478579</v>
      </c>
      <c r="DQ15" s="8">
        <v>40478579</v>
      </c>
      <c r="DR15" s="8">
        <v>40478579</v>
      </c>
      <c r="DS15" s="8">
        <v>40478579</v>
      </c>
      <c r="DT15" s="8">
        <v>40478579</v>
      </c>
      <c r="DU15" s="8">
        <v>40478579</v>
      </c>
      <c r="DV15" s="8">
        <v>40478579</v>
      </c>
      <c r="DW15" s="8">
        <v>40478579</v>
      </c>
      <c r="DX15" s="8">
        <v>40478579</v>
      </c>
      <c r="DY15" s="8">
        <v>40478579</v>
      </c>
      <c r="DZ15" s="8">
        <v>40478579</v>
      </c>
      <c r="EA15" s="8">
        <v>40478579</v>
      </c>
      <c r="EB15" s="9">
        <f t="shared" si="9"/>
        <v>40478579</v>
      </c>
      <c r="EC15" s="8">
        <v>44262543</v>
      </c>
      <c r="ED15" s="8">
        <v>44262543</v>
      </c>
      <c r="EE15" s="8">
        <v>44262543</v>
      </c>
      <c r="EF15" s="8">
        <v>44262543</v>
      </c>
      <c r="EG15" s="8">
        <v>44262543</v>
      </c>
      <c r="EH15" s="8">
        <v>44262543</v>
      </c>
      <c r="EI15" s="8">
        <v>44262543</v>
      </c>
      <c r="EJ15" s="8">
        <v>44262543</v>
      </c>
      <c r="EK15" s="8">
        <v>44262543</v>
      </c>
      <c r="EL15" s="8">
        <v>44262543</v>
      </c>
      <c r="EM15" s="8">
        <v>44262543</v>
      </c>
      <c r="EN15" s="8">
        <v>44262543</v>
      </c>
      <c r="EO15" s="9">
        <f t="shared" si="10"/>
        <v>44262543</v>
      </c>
      <c r="EP15" s="8">
        <v>42009797</v>
      </c>
      <c r="EQ15" s="8">
        <v>42009797</v>
      </c>
      <c r="ER15" s="8">
        <v>42009797</v>
      </c>
      <c r="ES15" s="8">
        <v>42009797</v>
      </c>
      <c r="ET15" s="8">
        <v>42009797</v>
      </c>
      <c r="EU15" s="8">
        <v>42009797</v>
      </c>
      <c r="EV15" s="8">
        <v>42009797</v>
      </c>
      <c r="EW15" s="8">
        <v>42009797</v>
      </c>
      <c r="EX15" s="8">
        <v>42009797</v>
      </c>
      <c r="EY15" s="8">
        <v>42009797</v>
      </c>
      <c r="EZ15" s="8">
        <v>42009797</v>
      </c>
      <c r="FA15" s="8">
        <v>42009797</v>
      </c>
      <c r="FB15" s="9">
        <f t="shared" si="11"/>
        <v>42009797</v>
      </c>
      <c r="FC15" s="8">
        <v>36533880</v>
      </c>
      <c r="FD15" s="8">
        <v>36533880</v>
      </c>
      <c r="FE15" s="8">
        <v>36533880</v>
      </c>
      <c r="FF15" s="8">
        <v>36533880</v>
      </c>
      <c r="FG15" s="8">
        <v>36533880</v>
      </c>
      <c r="FH15" s="8">
        <v>36533880</v>
      </c>
      <c r="FI15" s="8">
        <v>36533880</v>
      </c>
      <c r="FJ15" s="8"/>
      <c r="FK15" s="8"/>
      <c r="FL15" s="8"/>
      <c r="FM15" s="8"/>
      <c r="FN15" s="8"/>
      <c r="FO15" s="9">
        <f t="shared" si="12"/>
        <v>36533880</v>
      </c>
    </row>
    <row r="16" spans="2:171" ht="14.25" customHeight="1" x14ac:dyDescent="0.3">
      <c r="B16" s="7" t="s">
        <v>51</v>
      </c>
      <c r="C16" s="8">
        <v>58929368</v>
      </c>
      <c r="D16" s="8">
        <v>58929368</v>
      </c>
      <c r="E16" s="8">
        <v>58929368</v>
      </c>
      <c r="F16" s="8">
        <v>58929368</v>
      </c>
      <c r="G16" s="8">
        <v>58929368</v>
      </c>
      <c r="H16" s="8">
        <v>58929368</v>
      </c>
      <c r="I16" s="8">
        <v>58929368</v>
      </c>
      <c r="J16" s="8">
        <v>58929368</v>
      </c>
      <c r="K16" s="8">
        <v>58929368</v>
      </c>
      <c r="L16" s="8">
        <v>58929368</v>
      </c>
      <c r="M16" s="8">
        <v>58929368</v>
      </c>
      <c r="N16" s="8">
        <v>58929368</v>
      </c>
      <c r="O16" s="9">
        <f t="shared" si="0"/>
        <v>58929368</v>
      </c>
      <c r="P16" s="8">
        <v>63938761</v>
      </c>
      <c r="Q16" s="8">
        <v>63938761</v>
      </c>
      <c r="R16" s="8">
        <v>63938761</v>
      </c>
      <c r="S16" s="8">
        <v>63938761</v>
      </c>
      <c r="T16" s="8">
        <v>63938761</v>
      </c>
      <c r="U16" s="8">
        <v>63938761</v>
      </c>
      <c r="V16" s="8">
        <v>63938761</v>
      </c>
      <c r="W16" s="8">
        <v>63938761</v>
      </c>
      <c r="X16" s="8">
        <v>63938761</v>
      </c>
      <c r="Y16" s="8">
        <v>63938761</v>
      </c>
      <c r="Z16" s="8">
        <v>63938761</v>
      </c>
      <c r="AA16" s="8">
        <v>63938761</v>
      </c>
      <c r="AB16" s="9">
        <f t="shared" si="1"/>
        <v>63938761</v>
      </c>
      <c r="AC16" s="8">
        <v>60602895</v>
      </c>
      <c r="AD16" s="8">
        <v>60602895</v>
      </c>
      <c r="AE16" s="8">
        <v>60602895</v>
      </c>
      <c r="AF16" s="8">
        <v>60602895</v>
      </c>
      <c r="AG16" s="8">
        <v>60602895</v>
      </c>
      <c r="AH16" s="8">
        <v>60602895</v>
      </c>
      <c r="AI16" s="8">
        <v>60602895</v>
      </c>
      <c r="AJ16" s="8">
        <v>60602895</v>
      </c>
      <c r="AK16" s="8">
        <v>60602895</v>
      </c>
      <c r="AL16" s="8">
        <v>60602895</v>
      </c>
      <c r="AM16" s="8">
        <v>60602895</v>
      </c>
      <c r="AN16" s="8">
        <v>60602895</v>
      </c>
      <c r="AO16" s="9">
        <f t="shared" si="2"/>
        <v>60602895</v>
      </c>
      <c r="AP16" s="8">
        <v>56615435</v>
      </c>
      <c r="AQ16" s="8">
        <v>56615435</v>
      </c>
      <c r="AR16" s="8">
        <v>56615435</v>
      </c>
      <c r="AS16" s="8">
        <v>56615435</v>
      </c>
      <c r="AT16" s="8">
        <v>56615435</v>
      </c>
      <c r="AU16" s="8">
        <v>56615435</v>
      </c>
      <c r="AV16" s="8">
        <v>56615435</v>
      </c>
      <c r="AW16" s="8">
        <v>56615435</v>
      </c>
      <c r="AX16" s="8">
        <v>56615435</v>
      </c>
      <c r="AY16" s="8">
        <v>56615435</v>
      </c>
      <c r="AZ16" s="8">
        <v>56615435</v>
      </c>
      <c r="BA16" s="8">
        <v>56615435</v>
      </c>
      <c r="BB16" s="9">
        <f t="shared" si="3"/>
        <v>56615435</v>
      </c>
      <c r="BC16" s="8">
        <v>45393646</v>
      </c>
      <c r="BD16" s="8">
        <v>45393646</v>
      </c>
      <c r="BE16" s="8">
        <v>45393646</v>
      </c>
      <c r="BF16" s="8">
        <v>45393646</v>
      </c>
      <c r="BG16" s="8">
        <v>45393646</v>
      </c>
      <c r="BH16" s="8">
        <v>45393646</v>
      </c>
      <c r="BI16" s="8">
        <v>45393646</v>
      </c>
      <c r="BJ16" s="8">
        <v>45393646</v>
      </c>
      <c r="BK16" s="8">
        <v>45393646</v>
      </c>
      <c r="BL16" s="8">
        <v>45393646</v>
      </c>
      <c r="BM16" s="8">
        <v>45393646</v>
      </c>
      <c r="BN16" s="8">
        <v>45393646</v>
      </c>
      <c r="BO16" s="9">
        <f t="shared" si="4"/>
        <v>45393646</v>
      </c>
      <c r="BP16" s="8">
        <v>50282027</v>
      </c>
      <c r="BQ16" s="8">
        <v>50282027</v>
      </c>
      <c r="BR16" s="8">
        <v>50282027</v>
      </c>
      <c r="BS16" s="8">
        <v>50282027</v>
      </c>
      <c r="BT16" s="8">
        <v>50282027</v>
      </c>
      <c r="BU16" s="8">
        <v>50282027</v>
      </c>
      <c r="BV16" s="8">
        <v>50282027</v>
      </c>
      <c r="BW16" s="8">
        <v>50282027</v>
      </c>
      <c r="BX16" s="8">
        <v>50282027</v>
      </c>
      <c r="BY16" s="8">
        <v>50282027</v>
      </c>
      <c r="BZ16" s="8">
        <v>50282027</v>
      </c>
      <c r="CA16" s="8">
        <v>50282027</v>
      </c>
      <c r="CB16" s="9">
        <f t="shared" si="5"/>
        <v>50282027</v>
      </c>
      <c r="CC16" s="8">
        <v>68935312</v>
      </c>
      <c r="CD16" s="8">
        <v>68935312</v>
      </c>
      <c r="CE16" s="8">
        <v>68935312</v>
      </c>
      <c r="CF16" s="8">
        <v>68935312</v>
      </c>
      <c r="CG16" s="8">
        <v>68935312</v>
      </c>
      <c r="CH16" s="8">
        <v>68935312</v>
      </c>
      <c r="CI16" s="8">
        <v>68935312</v>
      </c>
      <c r="CJ16" s="8">
        <v>68935312</v>
      </c>
      <c r="CK16" s="8">
        <v>68935312</v>
      </c>
      <c r="CL16" s="8">
        <v>68935312</v>
      </c>
      <c r="CM16" s="8">
        <v>68935312</v>
      </c>
      <c r="CN16" s="8">
        <v>68935312</v>
      </c>
      <c r="CO16" s="9">
        <f t="shared" si="6"/>
        <v>68935312</v>
      </c>
      <c r="CP16" s="8">
        <v>75469606</v>
      </c>
      <c r="CQ16" s="8">
        <v>75469606</v>
      </c>
      <c r="CR16" s="8">
        <v>75469606</v>
      </c>
      <c r="CS16" s="8">
        <v>75469606</v>
      </c>
      <c r="CT16" s="8">
        <v>75469606</v>
      </c>
      <c r="CU16" s="8">
        <v>75469606</v>
      </c>
      <c r="CV16" s="8">
        <v>75469606</v>
      </c>
      <c r="CW16" s="8">
        <v>75469606</v>
      </c>
      <c r="CX16" s="8">
        <v>75469606</v>
      </c>
      <c r="CY16" s="8">
        <v>75469606</v>
      </c>
      <c r="CZ16" s="8">
        <v>75469606</v>
      </c>
      <c r="DA16" s="8">
        <v>75469606</v>
      </c>
      <c r="DB16" s="9">
        <f t="shared" si="7"/>
        <v>75469606</v>
      </c>
      <c r="DC16" s="8">
        <v>100098472</v>
      </c>
      <c r="DD16" s="8">
        <v>100098472</v>
      </c>
      <c r="DE16" s="8">
        <v>100098472</v>
      </c>
      <c r="DF16" s="8">
        <v>100098472</v>
      </c>
      <c r="DG16" s="8">
        <v>100098472</v>
      </c>
      <c r="DH16" s="8">
        <v>100098472</v>
      </c>
      <c r="DI16" s="8">
        <v>100098472</v>
      </c>
      <c r="DJ16" s="8">
        <v>100098472</v>
      </c>
      <c r="DK16" s="8">
        <v>100098472</v>
      </c>
      <c r="DL16" s="8">
        <v>100098472</v>
      </c>
      <c r="DM16" s="8">
        <v>100098472</v>
      </c>
      <c r="DN16" s="8">
        <v>100098472</v>
      </c>
      <c r="DO16" s="9">
        <f t="shared" si="8"/>
        <v>100098472</v>
      </c>
      <c r="DP16" s="8">
        <v>105488522</v>
      </c>
      <c r="DQ16" s="8">
        <v>105488522</v>
      </c>
      <c r="DR16" s="8">
        <v>105488522</v>
      </c>
      <c r="DS16" s="8">
        <v>105488522</v>
      </c>
      <c r="DT16" s="8">
        <v>105488522</v>
      </c>
      <c r="DU16" s="8">
        <v>105488522</v>
      </c>
      <c r="DV16" s="8">
        <v>105488522</v>
      </c>
      <c r="DW16" s="8">
        <v>105488522</v>
      </c>
      <c r="DX16" s="8">
        <v>105488522</v>
      </c>
      <c r="DY16" s="8">
        <v>105488522</v>
      </c>
      <c r="DZ16" s="8">
        <v>105488522</v>
      </c>
      <c r="EA16" s="8">
        <v>105488522</v>
      </c>
      <c r="EB16" s="9">
        <f t="shared" si="9"/>
        <v>105488522</v>
      </c>
      <c r="EC16" s="8">
        <v>87253576</v>
      </c>
      <c r="ED16" s="8">
        <v>87253576</v>
      </c>
      <c r="EE16" s="8">
        <v>87253576</v>
      </c>
      <c r="EF16" s="8">
        <v>87253576</v>
      </c>
      <c r="EG16" s="8">
        <v>87253576</v>
      </c>
      <c r="EH16" s="8">
        <v>87253576</v>
      </c>
      <c r="EI16" s="8">
        <v>87253576</v>
      </c>
      <c r="EJ16" s="8">
        <v>87253576</v>
      </c>
      <c r="EK16" s="8">
        <v>87253576</v>
      </c>
      <c r="EL16" s="8">
        <v>87253576</v>
      </c>
      <c r="EM16" s="8">
        <v>87253576</v>
      </c>
      <c r="EN16" s="8">
        <v>87253576</v>
      </c>
      <c r="EO16" s="9">
        <f t="shared" si="10"/>
        <v>87253576</v>
      </c>
      <c r="EP16" s="8">
        <v>74587862</v>
      </c>
      <c r="EQ16" s="8">
        <v>74587862</v>
      </c>
      <c r="ER16" s="8">
        <v>74587862</v>
      </c>
      <c r="ES16" s="8">
        <v>74587862</v>
      </c>
      <c r="ET16" s="8">
        <v>74587862</v>
      </c>
      <c r="EU16" s="8">
        <v>74587862</v>
      </c>
      <c r="EV16" s="8">
        <v>74587862</v>
      </c>
      <c r="EW16" s="8">
        <v>74587862</v>
      </c>
      <c r="EX16" s="8">
        <v>74587862</v>
      </c>
      <c r="EY16" s="8">
        <v>74587862</v>
      </c>
      <c r="EZ16" s="8">
        <v>74587862</v>
      </c>
      <c r="FA16" s="8">
        <v>74587862</v>
      </c>
      <c r="FB16" s="9">
        <f t="shared" si="11"/>
        <v>74587862</v>
      </c>
      <c r="FC16" s="8">
        <v>90590002</v>
      </c>
      <c r="FD16" s="8">
        <v>90590002</v>
      </c>
      <c r="FE16" s="8">
        <v>90590002</v>
      </c>
      <c r="FF16" s="8">
        <v>90590002</v>
      </c>
      <c r="FG16" s="8">
        <v>90590002</v>
      </c>
      <c r="FH16" s="8">
        <v>90590002</v>
      </c>
      <c r="FI16" s="8">
        <v>90590002</v>
      </c>
      <c r="FJ16" s="8"/>
      <c r="FK16" s="8"/>
      <c r="FL16" s="8"/>
      <c r="FM16" s="8"/>
      <c r="FN16" s="8"/>
      <c r="FO16" s="9">
        <f t="shared" si="12"/>
        <v>90590002</v>
      </c>
    </row>
    <row r="17" spans="2:171" ht="14.25" customHeight="1" x14ac:dyDescent="0.3">
      <c r="B17" s="7" t="s">
        <v>52</v>
      </c>
      <c r="C17" s="8">
        <v>26277535</v>
      </c>
      <c r="D17" s="8">
        <v>26277535</v>
      </c>
      <c r="E17" s="8">
        <v>26277535</v>
      </c>
      <c r="F17" s="8">
        <v>26277535</v>
      </c>
      <c r="G17" s="8">
        <v>26277535</v>
      </c>
      <c r="H17" s="8">
        <v>26277535</v>
      </c>
      <c r="I17" s="8">
        <v>26277535</v>
      </c>
      <c r="J17" s="8">
        <v>26277535</v>
      </c>
      <c r="K17" s="8">
        <v>26277535</v>
      </c>
      <c r="L17" s="8">
        <v>26277535</v>
      </c>
      <c r="M17" s="8">
        <v>26277535</v>
      </c>
      <c r="N17" s="8">
        <v>26277535</v>
      </c>
      <c r="O17" s="9">
        <f t="shared" si="0"/>
        <v>26277535</v>
      </c>
      <c r="P17" s="8">
        <v>18864208</v>
      </c>
      <c r="Q17" s="8">
        <v>18864208</v>
      </c>
      <c r="R17" s="8">
        <v>18864208</v>
      </c>
      <c r="S17" s="8">
        <v>18864208</v>
      </c>
      <c r="T17" s="8">
        <v>18864208</v>
      </c>
      <c r="U17" s="8">
        <v>18864208</v>
      </c>
      <c r="V17" s="8">
        <v>18864208</v>
      </c>
      <c r="W17" s="8">
        <v>18864208</v>
      </c>
      <c r="X17" s="8">
        <v>18864208</v>
      </c>
      <c r="Y17" s="8">
        <v>18864208</v>
      </c>
      <c r="Z17" s="8">
        <v>18864208</v>
      </c>
      <c r="AA17" s="8">
        <v>18864208</v>
      </c>
      <c r="AB17" s="9">
        <f t="shared" si="1"/>
        <v>18864208</v>
      </c>
      <c r="AC17" s="8">
        <v>16417514</v>
      </c>
      <c r="AD17" s="8">
        <v>16417514</v>
      </c>
      <c r="AE17" s="8">
        <v>16417514</v>
      </c>
      <c r="AF17" s="8">
        <v>16417514</v>
      </c>
      <c r="AG17" s="8">
        <v>16417514</v>
      </c>
      <c r="AH17" s="8">
        <v>16417514</v>
      </c>
      <c r="AI17" s="8">
        <v>16417514</v>
      </c>
      <c r="AJ17" s="8">
        <v>16417514</v>
      </c>
      <c r="AK17" s="8">
        <v>16417514</v>
      </c>
      <c r="AL17" s="8">
        <v>16417514</v>
      </c>
      <c r="AM17" s="8">
        <v>16417514</v>
      </c>
      <c r="AN17" s="8">
        <v>16417514</v>
      </c>
      <c r="AO17" s="9">
        <f t="shared" si="2"/>
        <v>16417514</v>
      </c>
      <c r="AP17" s="8">
        <v>7822380</v>
      </c>
      <c r="AQ17" s="8">
        <v>7822380</v>
      </c>
      <c r="AR17" s="8">
        <v>7822380</v>
      </c>
      <c r="AS17" s="8">
        <v>7822380</v>
      </c>
      <c r="AT17" s="8">
        <v>7822380</v>
      </c>
      <c r="AU17" s="8">
        <v>7822380</v>
      </c>
      <c r="AV17" s="8">
        <v>7822380</v>
      </c>
      <c r="AW17" s="8">
        <v>7822380</v>
      </c>
      <c r="AX17" s="8">
        <v>7822380</v>
      </c>
      <c r="AY17" s="8">
        <v>7822380</v>
      </c>
      <c r="AZ17" s="8">
        <v>7822380</v>
      </c>
      <c r="BA17" s="8">
        <v>7822380</v>
      </c>
      <c r="BB17" s="9">
        <f t="shared" si="3"/>
        <v>7822380</v>
      </c>
      <c r="BC17" s="8">
        <v>14195819</v>
      </c>
      <c r="BD17" s="8">
        <v>14195819</v>
      </c>
      <c r="BE17" s="8">
        <v>14195819</v>
      </c>
      <c r="BF17" s="8">
        <v>14195819</v>
      </c>
      <c r="BG17" s="8">
        <v>14195819</v>
      </c>
      <c r="BH17" s="8">
        <v>14195819</v>
      </c>
      <c r="BI17" s="8">
        <v>14195819</v>
      </c>
      <c r="BJ17" s="8">
        <v>14195819</v>
      </c>
      <c r="BK17" s="8">
        <v>14195819</v>
      </c>
      <c r="BL17" s="8">
        <v>14195819</v>
      </c>
      <c r="BM17" s="8">
        <v>14195819</v>
      </c>
      <c r="BN17" s="8">
        <v>14195819</v>
      </c>
      <c r="BO17" s="9">
        <f t="shared" si="4"/>
        <v>14195819</v>
      </c>
      <c r="BP17" s="8">
        <v>10934837</v>
      </c>
      <c r="BQ17" s="8">
        <v>10934837</v>
      </c>
      <c r="BR17" s="8">
        <v>10934837</v>
      </c>
      <c r="BS17" s="8">
        <v>10934837</v>
      </c>
      <c r="BT17" s="8">
        <v>10934837</v>
      </c>
      <c r="BU17" s="8">
        <v>10934837</v>
      </c>
      <c r="BV17" s="8">
        <v>10934837</v>
      </c>
      <c r="BW17" s="8">
        <v>10934837</v>
      </c>
      <c r="BX17" s="8">
        <v>10934837</v>
      </c>
      <c r="BY17" s="8">
        <v>10934837</v>
      </c>
      <c r="BZ17" s="8">
        <v>10934837</v>
      </c>
      <c r="CA17" s="8">
        <v>10934837</v>
      </c>
      <c r="CB17" s="9">
        <f t="shared" si="5"/>
        <v>10934837</v>
      </c>
      <c r="CC17" s="8">
        <v>12638831</v>
      </c>
      <c r="CD17" s="8">
        <v>12638831</v>
      </c>
      <c r="CE17" s="8">
        <v>12638831</v>
      </c>
      <c r="CF17" s="8">
        <v>12638831</v>
      </c>
      <c r="CG17" s="8">
        <v>12638831</v>
      </c>
      <c r="CH17" s="8">
        <v>12638831</v>
      </c>
      <c r="CI17" s="8">
        <v>12638831</v>
      </c>
      <c r="CJ17" s="8">
        <v>12638831</v>
      </c>
      <c r="CK17" s="8">
        <v>12638831</v>
      </c>
      <c r="CL17" s="8">
        <v>12638831</v>
      </c>
      <c r="CM17" s="8">
        <v>12638831</v>
      </c>
      <c r="CN17" s="8">
        <v>12638831</v>
      </c>
      <c r="CO17" s="9">
        <f t="shared" si="6"/>
        <v>12638831</v>
      </c>
      <c r="CP17" s="8">
        <v>9595472</v>
      </c>
      <c r="CQ17" s="8">
        <v>9595472</v>
      </c>
      <c r="CR17" s="8">
        <v>9595472</v>
      </c>
      <c r="CS17" s="8">
        <v>9595472</v>
      </c>
      <c r="CT17" s="8">
        <v>9595472</v>
      </c>
      <c r="CU17" s="8">
        <v>9595472</v>
      </c>
      <c r="CV17" s="8">
        <v>9595472</v>
      </c>
      <c r="CW17" s="8">
        <v>9595472</v>
      </c>
      <c r="CX17" s="8">
        <v>9595472</v>
      </c>
      <c r="CY17" s="8">
        <v>9595472</v>
      </c>
      <c r="CZ17" s="8">
        <v>9595472</v>
      </c>
      <c r="DA17" s="8">
        <v>9595472</v>
      </c>
      <c r="DB17" s="9">
        <f t="shared" si="7"/>
        <v>9595472</v>
      </c>
      <c r="DC17" s="8">
        <v>11870060</v>
      </c>
      <c r="DD17" s="8">
        <v>11870060</v>
      </c>
      <c r="DE17" s="8">
        <v>11870060</v>
      </c>
      <c r="DF17" s="8">
        <v>11870060</v>
      </c>
      <c r="DG17" s="8">
        <v>11870060</v>
      </c>
      <c r="DH17" s="8">
        <v>11870060</v>
      </c>
      <c r="DI17" s="8">
        <v>11870060</v>
      </c>
      <c r="DJ17" s="8">
        <v>11870060</v>
      </c>
      <c r="DK17" s="8">
        <v>11870060</v>
      </c>
      <c r="DL17" s="8">
        <v>11870060</v>
      </c>
      <c r="DM17" s="8">
        <v>11870060</v>
      </c>
      <c r="DN17" s="8">
        <v>11870060</v>
      </c>
      <c r="DO17" s="9">
        <f t="shared" si="8"/>
        <v>11870060</v>
      </c>
      <c r="DP17" s="8">
        <v>16473882</v>
      </c>
      <c r="DQ17" s="8">
        <v>16473882</v>
      </c>
      <c r="DR17" s="8">
        <v>16473882</v>
      </c>
      <c r="DS17" s="8">
        <v>16473882</v>
      </c>
      <c r="DT17" s="8">
        <v>16473882</v>
      </c>
      <c r="DU17" s="8">
        <v>16473882</v>
      </c>
      <c r="DV17" s="8">
        <v>16473882</v>
      </c>
      <c r="DW17" s="8">
        <v>16473882</v>
      </c>
      <c r="DX17" s="8">
        <v>16473882</v>
      </c>
      <c r="DY17" s="8">
        <v>16473882</v>
      </c>
      <c r="DZ17" s="8">
        <v>16473882</v>
      </c>
      <c r="EA17" s="8">
        <v>16473882</v>
      </c>
      <c r="EB17" s="9">
        <f t="shared" si="9"/>
        <v>16473882</v>
      </c>
      <c r="EC17" s="8">
        <v>16690085</v>
      </c>
      <c r="ED17" s="8">
        <v>16690085</v>
      </c>
      <c r="EE17" s="8">
        <v>16690085</v>
      </c>
      <c r="EF17" s="8">
        <v>16690085</v>
      </c>
      <c r="EG17" s="8">
        <v>16690085</v>
      </c>
      <c r="EH17" s="8">
        <v>16690085</v>
      </c>
      <c r="EI17" s="8">
        <v>16690085</v>
      </c>
      <c r="EJ17" s="8">
        <v>16690085</v>
      </c>
      <c r="EK17" s="8">
        <v>16690085</v>
      </c>
      <c r="EL17" s="8">
        <v>16690085</v>
      </c>
      <c r="EM17" s="8">
        <v>16690085</v>
      </c>
      <c r="EN17" s="8">
        <v>16690085</v>
      </c>
      <c r="EO17" s="9">
        <f t="shared" si="10"/>
        <v>16690085</v>
      </c>
      <c r="EP17" s="8">
        <v>17865780</v>
      </c>
      <c r="EQ17" s="8">
        <v>17865780</v>
      </c>
      <c r="ER17" s="8">
        <v>17865780</v>
      </c>
      <c r="ES17" s="8">
        <v>17865780</v>
      </c>
      <c r="ET17" s="8">
        <v>17865780</v>
      </c>
      <c r="EU17" s="8">
        <v>17865780</v>
      </c>
      <c r="EV17" s="8">
        <v>17865780</v>
      </c>
      <c r="EW17" s="8">
        <v>17865780</v>
      </c>
      <c r="EX17" s="8">
        <v>17865780</v>
      </c>
      <c r="EY17" s="8">
        <v>17865780</v>
      </c>
      <c r="EZ17" s="8">
        <v>17865780</v>
      </c>
      <c r="FA17" s="8">
        <v>17865780</v>
      </c>
      <c r="FB17" s="9">
        <f t="shared" si="11"/>
        <v>17865780</v>
      </c>
      <c r="FC17" s="8">
        <v>14196992</v>
      </c>
      <c r="FD17" s="8">
        <v>14196992</v>
      </c>
      <c r="FE17" s="8">
        <v>14196992</v>
      </c>
      <c r="FF17" s="8">
        <v>14196992</v>
      </c>
      <c r="FG17" s="8">
        <v>14196992</v>
      </c>
      <c r="FH17" s="8">
        <v>14196992</v>
      </c>
      <c r="FI17" s="8">
        <v>14196992</v>
      </c>
      <c r="FJ17" s="8"/>
      <c r="FK17" s="8"/>
      <c r="FL17" s="8"/>
      <c r="FM17" s="8"/>
      <c r="FN17" s="8"/>
      <c r="FO17" s="9">
        <f t="shared" si="12"/>
        <v>14196992</v>
      </c>
    </row>
    <row r="18" spans="2:171" ht="14.25" customHeight="1" x14ac:dyDescent="0.3">
      <c r="B18" s="7" t="s">
        <v>53</v>
      </c>
      <c r="C18" s="8">
        <v>18959297</v>
      </c>
      <c r="D18" s="8">
        <v>18959297</v>
      </c>
      <c r="E18" s="8">
        <v>18959297</v>
      </c>
      <c r="F18" s="8">
        <v>18959297</v>
      </c>
      <c r="G18" s="8">
        <v>18959297</v>
      </c>
      <c r="H18" s="8">
        <v>18959297</v>
      </c>
      <c r="I18" s="8">
        <v>18959297</v>
      </c>
      <c r="J18" s="8">
        <v>18959297</v>
      </c>
      <c r="K18" s="8">
        <v>18959297</v>
      </c>
      <c r="L18" s="8">
        <v>18959297</v>
      </c>
      <c r="M18" s="8">
        <v>18959297</v>
      </c>
      <c r="N18" s="8">
        <v>18959297</v>
      </c>
      <c r="O18" s="9">
        <f t="shared" si="0"/>
        <v>18959297</v>
      </c>
      <c r="P18" s="8">
        <v>28078883</v>
      </c>
      <c r="Q18" s="8">
        <v>28078883</v>
      </c>
      <c r="R18" s="8">
        <v>28078883</v>
      </c>
      <c r="S18" s="8">
        <v>28078883</v>
      </c>
      <c r="T18" s="8">
        <v>28078883</v>
      </c>
      <c r="U18" s="8">
        <v>28078883</v>
      </c>
      <c r="V18" s="8">
        <v>28078883</v>
      </c>
      <c r="W18" s="8">
        <v>28078883</v>
      </c>
      <c r="X18" s="8">
        <v>28078883</v>
      </c>
      <c r="Y18" s="8">
        <v>28078883</v>
      </c>
      <c r="Z18" s="8">
        <v>28078883</v>
      </c>
      <c r="AA18" s="8">
        <v>28078883</v>
      </c>
      <c r="AB18" s="9">
        <f t="shared" si="1"/>
        <v>28078883</v>
      </c>
      <c r="AC18" s="8">
        <v>27091258</v>
      </c>
      <c r="AD18" s="8">
        <v>27091258</v>
      </c>
      <c r="AE18" s="8">
        <v>27091258</v>
      </c>
      <c r="AF18" s="8">
        <v>27091258</v>
      </c>
      <c r="AG18" s="8">
        <v>27091258</v>
      </c>
      <c r="AH18" s="8">
        <v>27091258</v>
      </c>
      <c r="AI18" s="8">
        <v>27091258</v>
      </c>
      <c r="AJ18" s="8">
        <v>27091258</v>
      </c>
      <c r="AK18" s="8">
        <v>27091258</v>
      </c>
      <c r="AL18" s="8">
        <v>27091258</v>
      </c>
      <c r="AM18" s="8">
        <v>27091258</v>
      </c>
      <c r="AN18" s="8">
        <v>27091258</v>
      </c>
      <c r="AO18" s="9">
        <f t="shared" si="2"/>
        <v>27091258</v>
      </c>
      <c r="AP18" s="8">
        <v>41060039</v>
      </c>
      <c r="AQ18" s="8">
        <v>41060039</v>
      </c>
      <c r="AR18" s="8">
        <v>41060039</v>
      </c>
      <c r="AS18" s="8">
        <v>41060039</v>
      </c>
      <c r="AT18" s="8">
        <v>41060039</v>
      </c>
      <c r="AU18" s="8">
        <v>41060039</v>
      </c>
      <c r="AV18" s="8">
        <v>41060039</v>
      </c>
      <c r="AW18" s="8">
        <v>41060039</v>
      </c>
      <c r="AX18" s="8">
        <v>41060039</v>
      </c>
      <c r="AY18" s="8">
        <v>41060039</v>
      </c>
      <c r="AZ18" s="8">
        <v>41060039</v>
      </c>
      <c r="BA18" s="8">
        <v>41060039</v>
      </c>
      <c r="BB18" s="9">
        <f t="shared" si="3"/>
        <v>41060039</v>
      </c>
      <c r="BC18" s="8">
        <v>44459639</v>
      </c>
      <c r="BD18" s="8">
        <v>44459639</v>
      </c>
      <c r="BE18" s="8">
        <v>44459639</v>
      </c>
      <c r="BF18" s="8">
        <v>44459639</v>
      </c>
      <c r="BG18" s="8">
        <v>44459639</v>
      </c>
      <c r="BH18" s="8">
        <v>44459639</v>
      </c>
      <c r="BI18" s="8">
        <v>44459639</v>
      </c>
      <c r="BJ18" s="8">
        <v>44459639</v>
      </c>
      <c r="BK18" s="8">
        <v>44459639</v>
      </c>
      <c r="BL18" s="8">
        <v>44459639</v>
      </c>
      <c r="BM18" s="8">
        <v>44459639</v>
      </c>
      <c r="BN18" s="8">
        <v>44459639</v>
      </c>
      <c r="BO18" s="9">
        <f t="shared" si="4"/>
        <v>44459639</v>
      </c>
      <c r="BP18" s="8">
        <v>36664986</v>
      </c>
      <c r="BQ18" s="8">
        <v>36664986</v>
      </c>
      <c r="BR18" s="8">
        <v>36664986</v>
      </c>
      <c r="BS18" s="8">
        <v>36664986</v>
      </c>
      <c r="BT18" s="8">
        <v>36664986</v>
      </c>
      <c r="BU18" s="8">
        <v>36664986</v>
      </c>
      <c r="BV18" s="8">
        <v>36664986</v>
      </c>
      <c r="BW18" s="8">
        <v>36664986</v>
      </c>
      <c r="BX18" s="8">
        <v>36664986</v>
      </c>
      <c r="BY18" s="8">
        <v>36664986</v>
      </c>
      <c r="BZ18" s="8">
        <v>36664986</v>
      </c>
      <c r="CA18" s="8">
        <v>36664986</v>
      </c>
      <c r="CB18" s="9">
        <f t="shared" si="5"/>
        <v>36664986</v>
      </c>
      <c r="CC18" s="8">
        <v>28819307</v>
      </c>
      <c r="CD18" s="8">
        <v>28819307</v>
      </c>
      <c r="CE18" s="8">
        <v>28819307</v>
      </c>
      <c r="CF18" s="8">
        <v>28819307</v>
      </c>
      <c r="CG18" s="8">
        <v>28819307</v>
      </c>
      <c r="CH18" s="8">
        <v>28819307</v>
      </c>
      <c r="CI18" s="8">
        <v>28819307</v>
      </c>
      <c r="CJ18" s="8">
        <v>28819307</v>
      </c>
      <c r="CK18" s="8">
        <v>28819307</v>
      </c>
      <c r="CL18" s="8">
        <v>28819307</v>
      </c>
      <c r="CM18" s="8">
        <v>28819307</v>
      </c>
      <c r="CN18" s="8">
        <v>28819307</v>
      </c>
      <c r="CO18" s="9">
        <f t="shared" si="6"/>
        <v>28819307</v>
      </c>
      <c r="CP18" s="8">
        <v>32317785</v>
      </c>
      <c r="CQ18" s="8">
        <v>32317785</v>
      </c>
      <c r="CR18" s="8">
        <v>32317785</v>
      </c>
      <c r="CS18" s="8">
        <v>32317785</v>
      </c>
      <c r="CT18" s="8">
        <v>32317785</v>
      </c>
      <c r="CU18" s="8">
        <v>32317785</v>
      </c>
      <c r="CV18" s="8">
        <v>32317785</v>
      </c>
      <c r="CW18" s="8">
        <v>32317785</v>
      </c>
      <c r="CX18" s="8">
        <v>32317785</v>
      </c>
      <c r="CY18" s="8">
        <v>32317785</v>
      </c>
      <c r="CZ18" s="8">
        <v>32317785</v>
      </c>
      <c r="DA18" s="8">
        <v>32317785</v>
      </c>
      <c r="DB18" s="9">
        <f t="shared" si="7"/>
        <v>32317785</v>
      </c>
      <c r="DC18" s="8">
        <v>41575245</v>
      </c>
      <c r="DD18" s="8">
        <v>41575245</v>
      </c>
      <c r="DE18" s="8">
        <v>41575245</v>
      </c>
      <c r="DF18" s="8">
        <v>41575245</v>
      </c>
      <c r="DG18" s="8">
        <v>41575245</v>
      </c>
      <c r="DH18" s="8">
        <v>41575245</v>
      </c>
      <c r="DI18" s="8">
        <v>41575245</v>
      </c>
      <c r="DJ18" s="8">
        <v>41575245</v>
      </c>
      <c r="DK18" s="8">
        <v>41575245</v>
      </c>
      <c r="DL18" s="8">
        <v>41575245</v>
      </c>
      <c r="DM18" s="8">
        <v>41575245</v>
      </c>
      <c r="DN18" s="8">
        <v>41575245</v>
      </c>
      <c r="DO18" s="9">
        <f t="shared" si="8"/>
        <v>41575245</v>
      </c>
      <c r="DP18" s="8">
        <v>34076619</v>
      </c>
      <c r="DQ18" s="8">
        <v>34076619</v>
      </c>
      <c r="DR18" s="8">
        <v>34076619</v>
      </c>
      <c r="DS18" s="8">
        <v>34076619</v>
      </c>
      <c r="DT18" s="8">
        <v>34076619</v>
      </c>
      <c r="DU18" s="8">
        <v>34076619</v>
      </c>
      <c r="DV18" s="8">
        <v>34076619</v>
      </c>
      <c r="DW18" s="8">
        <v>34076619</v>
      </c>
      <c r="DX18" s="8">
        <v>34076619</v>
      </c>
      <c r="DY18" s="8">
        <v>34076619</v>
      </c>
      <c r="DZ18" s="8">
        <v>34076619</v>
      </c>
      <c r="EA18" s="8">
        <v>34076619</v>
      </c>
      <c r="EB18" s="9">
        <f t="shared" si="9"/>
        <v>34076619</v>
      </c>
      <c r="EC18" s="8">
        <v>28318956</v>
      </c>
      <c r="ED18" s="8">
        <v>28318956</v>
      </c>
      <c r="EE18" s="8">
        <v>28318956</v>
      </c>
      <c r="EF18" s="8">
        <v>28318956</v>
      </c>
      <c r="EG18" s="8">
        <v>28318956</v>
      </c>
      <c r="EH18" s="8">
        <v>28318956</v>
      </c>
      <c r="EI18" s="8">
        <v>28318956</v>
      </c>
      <c r="EJ18" s="8">
        <v>28318956</v>
      </c>
      <c r="EK18" s="8">
        <v>28318956</v>
      </c>
      <c r="EL18" s="8">
        <v>28318956</v>
      </c>
      <c r="EM18" s="8">
        <v>28318956</v>
      </c>
      <c r="EN18" s="8">
        <v>28318956</v>
      </c>
      <c r="EO18" s="9">
        <f t="shared" si="10"/>
        <v>28318956</v>
      </c>
      <c r="EP18" s="8">
        <v>30628977</v>
      </c>
      <c r="EQ18" s="8">
        <v>30628977</v>
      </c>
      <c r="ER18" s="8">
        <v>30628977</v>
      </c>
      <c r="ES18" s="8">
        <v>30628977</v>
      </c>
      <c r="ET18" s="8">
        <v>30628977</v>
      </c>
      <c r="EU18" s="8">
        <v>30628977</v>
      </c>
      <c r="EV18" s="8">
        <v>30628977</v>
      </c>
      <c r="EW18" s="8">
        <v>30628977</v>
      </c>
      <c r="EX18" s="8">
        <v>30628977</v>
      </c>
      <c r="EY18" s="8">
        <v>30628977</v>
      </c>
      <c r="EZ18" s="8">
        <v>30628977</v>
      </c>
      <c r="FA18" s="8">
        <v>30628977</v>
      </c>
      <c r="FB18" s="9">
        <f t="shared" si="11"/>
        <v>30628977</v>
      </c>
      <c r="FC18" s="8">
        <v>25030745</v>
      </c>
      <c r="FD18" s="8">
        <v>25030745</v>
      </c>
      <c r="FE18" s="8">
        <v>25030745</v>
      </c>
      <c r="FF18" s="8">
        <v>25030745</v>
      </c>
      <c r="FG18" s="8">
        <v>25030745</v>
      </c>
      <c r="FH18" s="8">
        <v>25030745</v>
      </c>
      <c r="FI18" s="8">
        <v>25030745</v>
      </c>
      <c r="FJ18" s="8"/>
      <c r="FK18" s="8"/>
      <c r="FL18" s="8"/>
      <c r="FM18" s="8"/>
      <c r="FN18" s="8"/>
      <c r="FO18" s="9">
        <f t="shared" si="12"/>
        <v>25030745</v>
      </c>
    </row>
    <row r="19" spans="2:171" ht="14.25" customHeight="1" x14ac:dyDescent="0.3">
      <c r="B19" s="7" t="s">
        <v>54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9">
        <f t="shared" si="0"/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9">
        <f t="shared" si="1"/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9">
        <f t="shared" si="2"/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9">
        <f t="shared" si="3"/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9">
        <f t="shared" si="4"/>
        <v>0</v>
      </c>
      <c r="BP19" s="8">
        <v>3063155</v>
      </c>
      <c r="BQ19" s="8">
        <v>3063155</v>
      </c>
      <c r="BR19" s="8">
        <v>3063155</v>
      </c>
      <c r="BS19" s="8">
        <v>3063155</v>
      </c>
      <c r="BT19" s="8">
        <v>3063155</v>
      </c>
      <c r="BU19" s="8">
        <v>3063155</v>
      </c>
      <c r="BV19" s="8">
        <v>3063155</v>
      </c>
      <c r="BW19" s="8">
        <v>3063155</v>
      </c>
      <c r="BX19" s="8">
        <v>3063155</v>
      </c>
      <c r="BY19" s="8">
        <v>3063155</v>
      </c>
      <c r="BZ19" s="8">
        <v>3063155</v>
      </c>
      <c r="CA19" s="8">
        <v>3063155</v>
      </c>
      <c r="CB19" s="9">
        <f t="shared" si="5"/>
        <v>3063155</v>
      </c>
      <c r="CC19" s="8">
        <v>7620030</v>
      </c>
      <c r="CD19" s="8">
        <v>7620030</v>
      </c>
      <c r="CE19" s="8">
        <v>7620030</v>
      </c>
      <c r="CF19" s="8">
        <v>7620030</v>
      </c>
      <c r="CG19" s="8">
        <v>7620030</v>
      </c>
      <c r="CH19" s="8">
        <v>7620030</v>
      </c>
      <c r="CI19" s="8">
        <v>7620030</v>
      </c>
      <c r="CJ19" s="8">
        <v>7620030</v>
      </c>
      <c r="CK19" s="8">
        <v>7620030</v>
      </c>
      <c r="CL19" s="8">
        <v>7620030</v>
      </c>
      <c r="CM19" s="8">
        <v>7620030</v>
      </c>
      <c r="CN19" s="8">
        <v>7620030</v>
      </c>
      <c r="CO19" s="9">
        <f t="shared" si="6"/>
        <v>7620030</v>
      </c>
      <c r="CP19" s="8">
        <v>17998490</v>
      </c>
      <c r="CQ19" s="8">
        <v>17998490</v>
      </c>
      <c r="CR19" s="8">
        <v>17998490</v>
      </c>
      <c r="CS19" s="8">
        <v>17998490</v>
      </c>
      <c r="CT19" s="8">
        <v>17998490</v>
      </c>
      <c r="CU19" s="8">
        <v>17998490</v>
      </c>
      <c r="CV19" s="8">
        <v>17998490</v>
      </c>
      <c r="CW19" s="8">
        <v>17998490</v>
      </c>
      <c r="CX19" s="8">
        <v>17998490</v>
      </c>
      <c r="CY19" s="8">
        <v>17998490</v>
      </c>
      <c r="CZ19" s="8">
        <v>17998490</v>
      </c>
      <c r="DA19" s="8">
        <v>17998490</v>
      </c>
      <c r="DB19" s="9">
        <f t="shared" si="7"/>
        <v>17998490</v>
      </c>
      <c r="DC19" s="8">
        <v>36920320</v>
      </c>
      <c r="DD19" s="8">
        <v>36920320</v>
      </c>
      <c r="DE19" s="8">
        <v>36920320</v>
      </c>
      <c r="DF19" s="8">
        <v>36920320</v>
      </c>
      <c r="DG19" s="8">
        <v>36920320</v>
      </c>
      <c r="DH19" s="8">
        <v>36920320</v>
      </c>
      <c r="DI19" s="8">
        <v>36920320</v>
      </c>
      <c r="DJ19" s="8">
        <v>36920320</v>
      </c>
      <c r="DK19" s="8">
        <v>36920320</v>
      </c>
      <c r="DL19" s="8">
        <v>36920320</v>
      </c>
      <c r="DM19" s="8">
        <v>36920320</v>
      </c>
      <c r="DN19" s="8">
        <v>36920320</v>
      </c>
      <c r="DO19" s="9">
        <f t="shared" si="8"/>
        <v>36920320</v>
      </c>
      <c r="DP19" s="8">
        <v>23700733</v>
      </c>
      <c r="DQ19" s="8">
        <v>23700733</v>
      </c>
      <c r="DR19" s="8">
        <v>23700733</v>
      </c>
      <c r="DS19" s="8">
        <v>23700733</v>
      </c>
      <c r="DT19" s="8">
        <v>23700733</v>
      </c>
      <c r="DU19" s="8">
        <v>23700733</v>
      </c>
      <c r="DV19" s="8">
        <v>23700733</v>
      </c>
      <c r="DW19" s="8">
        <v>23700733</v>
      </c>
      <c r="DX19" s="8">
        <v>23700733</v>
      </c>
      <c r="DY19" s="8">
        <v>23700733</v>
      </c>
      <c r="DZ19" s="8">
        <v>23700733</v>
      </c>
      <c r="EA19" s="8">
        <v>23700733</v>
      </c>
      <c r="EB19" s="9">
        <f t="shared" si="9"/>
        <v>23700733</v>
      </c>
      <c r="EC19" s="8">
        <v>23113535</v>
      </c>
      <c r="ED19" s="8">
        <v>23113535</v>
      </c>
      <c r="EE19" s="8">
        <v>23113535</v>
      </c>
      <c r="EF19" s="8">
        <v>23113535</v>
      </c>
      <c r="EG19" s="8">
        <v>23113535</v>
      </c>
      <c r="EH19" s="8">
        <v>23113535</v>
      </c>
      <c r="EI19" s="8">
        <v>23113535</v>
      </c>
      <c r="EJ19" s="8">
        <v>23113535</v>
      </c>
      <c r="EK19" s="8">
        <v>23113535</v>
      </c>
      <c r="EL19" s="8">
        <v>23113535</v>
      </c>
      <c r="EM19" s="8">
        <v>23113535</v>
      </c>
      <c r="EN19" s="8">
        <v>23113535</v>
      </c>
      <c r="EO19" s="9">
        <f t="shared" si="10"/>
        <v>23113535</v>
      </c>
      <c r="EP19" s="8">
        <v>22079448</v>
      </c>
      <c r="EQ19" s="8">
        <v>22079448</v>
      </c>
      <c r="ER19" s="8">
        <v>22079448</v>
      </c>
      <c r="ES19" s="8">
        <v>22079448</v>
      </c>
      <c r="ET19" s="8">
        <v>22079448</v>
      </c>
      <c r="EU19" s="8">
        <v>22079448</v>
      </c>
      <c r="EV19" s="8">
        <v>22079448</v>
      </c>
      <c r="EW19" s="8">
        <v>22079448</v>
      </c>
      <c r="EX19" s="8">
        <v>22079448</v>
      </c>
      <c r="EY19" s="8">
        <v>22079448</v>
      </c>
      <c r="EZ19" s="8">
        <v>22079448</v>
      </c>
      <c r="FA19" s="8">
        <v>22079448</v>
      </c>
      <c r="FB19" s="9">
        <f t="shared" si="11"/>
        <v>22079448</v>
      </c>
      <c r="FC19" s="8">
        <v>24086756</v>
      </c>
      <c r="FD19" s="8">
        <v>24086756</v>
      </c>
      <c r="FE19" s="8">
        <v>24086756</v>
      </c>
      <c r="FF19" s="8">
        <v>24086756</v>
      </c>
      <c r="FG19" s="8">
        <v>24086756</v>
      </c>
      <c r="FH19" s="8">
        <v>24086756</v>
      </c>
      <c r="FI19" s="8">
        <v>24086756</v>
      </c>
      <c r="FJ19" s="8"/>
      <c r="FK19" s="8"/>
      <c r="FL19" s="8"/>
      <c r="FM19" s="8"/>
      <c r="FN19" s="8"/>
      <c r="FO19" s="9">
        <f t="shared" si="12"/>
        <v>24086756</v>
      </c>
    </row>
    <row r="20" spans="2:171" ht="14.25" customHeight="1" x14ac:dyDescent="0.3">
      <c r="B20" s="7" t="s">
        <v>55</v>
      </c>
      <c r="C20" s="8">
        <v>49314354</v>
      </c>
      <c r="D20" s="8">
        <v>49314354</v>
      </c>
      <c r="E20" s="8">
        <v>49314354</v>
      </c>
      <c r="F20" s="8">
        <v>49314354</v>
      </c>
      <c r="G20" s="8">
        <v>49314354</v>
      </c>
      <c r="H20" s="8">
        <v>49314354</v>
      </c>
      <c r="I20" s="8">
        <v>49314354</v>
      </c>
      <c r="J20" s="8">
        <v>49314354</v>
      </c>
      <c r="K20" s="8">
        <v>49314354</v>
      </c>
      <c r="L20" s="8">
        <v>49314354</v>
      </c>
      <c r="M20" s="8">
        <v>49314354</v>
      </c>
      <c r="N20" s="8">
        <v>49314354</v>
      </c>
      <c r="O20" s="9">
        <f t="shared" si="0"/>
        <v>49314354</v>
      </c>
      <c r="P20" s="8">
        <v>70718333</v>
      </c>
      <c r="Q20" s="8">
        <v>70718333</v>
      </c>
      <c r="R20" s="8">
        <v>70718333</v>
      </c>
      <c r="S20" s="8">
        <v>70718333</v>
      </c>
      <c r="T20" s="8">
        <v>70718333</v>
      </c>
      <c r="U20" s="8">
        <v>70718333</v>
      </c>
      <c r="V20" s="8">
        <v>70718333</v>
      </c>
      <c r="W20" s="8">
        <v>70718333</v>
      </c>
      <c r="X20" s="8">
        <v>70718333</v>
      </c>
      <c r="Y20" s="8">
        <v>70718333</v>
      </c>
      <c r="Z20" s="8">
        <v>70718333</v>
      </c>
      <c r="AA20" s="8">
        <v>70718333</v>
      </c>
      <c r="AB20" s="9">
        <f t="shared" si="1"/>
        <v>70718333</v>
      </c>
      <c r="AC20" s="8">
        <v>51886359</v>
      </c>
      <c r="AD20" s="8">
        <v>51886359</v>
      </c>
      <c r="AE20" s="8">
        <v>51886359</v>
      </c>
      <c r="AF20" s="8">
        <v>51886359</v>
      </c>
      <c r="AG20" s="8">
        <v>51886359</v>
      </c>
      <c r="AH20" s="8">
        <v>51886359</v>
      </c>
      <c r="AI20" s="8">
        <v>51886359</v>
      </c>
      <c r="AJ20" s="8">
        <v>51886359</v>
      </c>
      <c r="AK20" s="8">
        <v>51886359</v>
      </c>
      <c r="AL20" s="8">
        <v>51886359</v>
      </c>
      <c r="AM20" s="8">
        <v>51886359</v>
      </c>
      <c r="AN20" s="8">
        <v>51886359</v>
      </c>
      <c r="AO20" s="9">
        <f t="shared" si="2"/>
        <v>51886359</v>
      </c>
      <c r="AP20" s="8">
        <v>59883317</v>
      </c>
      <c r="AQ20" s="8">
        <v>59883317</v>
      </c>
      <c r="AR20" s="8">
        <v>59883317</v>
      </c>
      <c r="AS20" s="8">
        <v>59883317</v>
      </c>
      <c r="AT20" s="8">
        <v>59883317</v>
      </c>
      <c r="AU20" s="8">
        <v>59883317</v>
      </c>
      <c r="AV20" s="8">
        <v>59883317</v>
      </c>
      <c r="AW20" s="8">
        <v>59883317</v>
      </c>
      <c r="AX20" s="8">
        <v>59883317</v>
      </c>
      <c r="AY20" s="8">
        <v>59883317</v>
      </c>
      <c r="AZ20" s="8">
        <v>59883317</v>
      </c>
      <c r="BA20" s="8">
        <v>59883317</v>
      </c>
      <c r="BB20" s="9">
        <f t="shared" si="3"/>
        <v>59883317</v>
      </c>
      <c r="BC20" s="8">
        <v>54929952</v>
      </c>
      <c r="BD20" s="8">
        <v>54929952</v>
      </c>
      <c r="BE20" s="8">
        <v>54929952</v>
      </c>
      <c r="BF20" s="8">
        <v>54929952</v>
      </c>
      <c r="BG20" s="8">
        <v>54929952</v>
      </c>
      <c r="BH20" s="8">
        <v>54929952</v>
      </c>
      <c r="BI20" s="8">
        <v>54929952</v>
      </c>
      <c r="BJ20" s="8">
        <v>54929952</v>
      </c>
      <c r="BK20" s="8">
        <v>54929952</v>
      </c>
      <c r="BL20" s="8">
        <v>54929952</v>
      </c>
      <c r="BM20" s="8">
        <v>54929952</v>
      </c>
      <c r="BN20" s="8">
        <v>54929952</v>
      </c>
      <c r="BO20" s="9">
        <f t="shared" si="4"/>
        <v>54929952</v>
      </c>
      <c r="BP20" s="8">
        <v>33228726</v>
      </c>
      <c r="BQ20" s="8">
        <v>33228726</v>
      </c>
      <c r="BR20" s="8">
        <v>33228726</v>
      </c>
      <c r="BS20" s="8">
        <v>33228726</v>
      </c>
      <c r="BT20" s="8">
        <v>33228726</v>
      </c>
      <c r="BU20" s="8">
        <v>33228726</v>
      </c>
      <c r="BV20" s="8">
        <v>33228726</v>
      </c>
      <c r="BW20" s="8">
        <v>33228726</v>
      </c>
      <c r="BX20" s="8">
        <v>33228726</v>
      </c>
      <c r="BY20" s="8">
        <v>33228726</v>
      </c>
      <c r="BZ20" s="8">
        <v>33228726</v>
      </c>
      <c r="CA20" s="8">
        <v>33228726</v>
      </c>
      <c r="CB20" s="9">
        <f t="shared" si="5"/>
        <v>33228726</v>
      </c>
      <c r="CC20" s="8">
        <v>34241496</v>
      </c>
      <c r="CD20" s="8">
        <v>34241496</v>
      </c>
      <c r="CE20" s="8">
        <v>34241496</v>
      </c>
      <c r="CF20" s="8">
        <v>34241496</v>
      </c>
      <c r="CG20" s="8">
        <v>34241496</v>
      </c>
      <c r="CH20" s="8">
        <v>34241496</v>
      </c>
      <c r="CI20" s="8">
        <v>34241496</v>
      </c>
      <c r="CJ20" s="8">
        <v>34241496</v>
      </c>
      <c r="CK20" s="8">
        <v>34241496</v>
      </c>
      <c r="CL20" s="8">
        <v>34241496</v>
      </c>
      <c r="CM20" s="8">
        <v>34241496</v>
      </c>
      <c r="CN20" s="8">
        <v>34241496</v>
      </c>
      <c r="CO20" s="9">
        <f t="shared" si="6"/>
        <v>34241496</v>
      </c>
      <c r="CP20" s="8">
        <v>35945640</v>
      </c>
      <c r="CQ20" s="8">
        <v>35945640</v>
      </c>
      <c r="CR20" s="8">
        <v>35945640</v>
      </c>
      <c r="CS20" s="8">
        <v>35945640</v>
      </c>
      <c r="CT20" s="8">
        <v>35945640</v>
      </c>
      <c r="CU20" s="8">
        <v>35945640</v>
      </c>
      <c r="CV20" s="8">
        <v>35945640</v>
      </c>
      <c r="CW20" s="8">
        <v>35945640</v>
      </c>
      <c r="CX20" s="8">
        <v>35945640</v>
      </c>
      <c r="CY20" s="8">
        <v>35945640</v>
      </c>
      <c r="CZ20" s="8">
        <v>35945640</v>
      </c>
      <c r="DA20" s="8">
        <v>35945640</v>
      </c>
      <c r="DB20" s="9">
        <f t="shared" si="7"/>
        <v>35945640</v>
      </c>
      <c r="DC20" s="8">
        <v>40895295</v>
      </c>
      <c r="DD20" s="8">
        <v>40895295</v>
      </c>
      <c r="DE20" s="8">
        <v>40895295</v>
      </c>
      <c r="DF20" s="8">
        <v>40895295</v>
      </c>
      <c r="DG20" s="8">
        <v>40895295</v>
      </c>
      <c r="DH20" s="8">
        <v>40895295</v>
      </c>
      <c r="DI20" s="8">
        <v>40895295</v>
      </c>
      <c r="DJ20" s="8">
        <v>40895295</v>
      </c>
      <c r="DK20" s="8">
        <v>40895295</v>
      </c>
      <c r="DL20" s="8">
        <v>40895295</v>
      </c>
      <c r="DM20" s="8">
        <v>40895295</v>
      </c>
      <c r="DN20" s="8">
        <v>40895295</v>
      </c>
      <c r="DO20" s="9">
        <f t="shared" si="8"/>
        <v>40895295</v>
      </c>
      <c r="DP20" s="8">
        <v>51373264</v>
      </c>
      <c r="DQ20" s="8">
        <v>51373264</v>
      </c>
      <c r="DR20" s="8">
        <v>51373264</v>
      </c>
      <c r="DS20" s="8">
        <v>51373264</v>
      </c>
      <c r="DT20" s="8">
        <v>51373264</v>
      </c>
      <c r="DU20" s="8">
        <v>51373264</v>
      </c>
      <c r="DV20" s="8">
        <v>51373264</v>
      </c>
      <c r="DW20" s="8">
        <v>51373264</v>
      </c>
      <c r="DX20" s="8">
        <v>51373264</v>
      </c>
      <c r="DY20" s="8">
        <v>51373264</v>
      </c>
      <c r="DZ20" s="8">
        <v>51373264</v>
      </c>
      <c r="EA20" s="8">
        <v>51373264</v>
      </c>
      <c r="EB20" s="9">
        <f t="shared" si="9"/>
        <v>51373264</v>
      </c>
      <c r="EC20" s="8">
        <v>52751667</v>
      </c>
      <c r="ED20" s="8">
        <v>52751667</v>
      </c>
      <c r="EE20" s="8">
        <v>52751667</v>
      </c>
      <c r="EF20" s="8">
        <v>52751667</v>
      </c>
      <c r="EG20" s="8">
        <v>52751667</v>
      </c>
      <c r="EH20" s="8">
        <v>52751667</v>
      </c>
      <c r="EI20" s="8">
        <v>52751667</v>
      </c>
      <c r="EJ20" s="8">
        <v>52751667</v>
      </c>
      <c r="EK20" s="8">
        <v>52751667</v>
      </c>
      <c r="EL20" s="8">
        <v>52751667</v>
      </c>
      <c r="EM20" s="8">
        <v>52751667</v>
      </c>
      <c r="EN20" s="8">
        <v>52751667</v>
      </c>
      <c r="EO20" s="9">
        <f t="shared" si="10"/>
        <v>52751667</v>
      </c>
      <c r="EP20" s="8">
        <v>51417843</v>
      </c>
      <c r="EQ20" s="8">
        <v>51417843</v>
      </c>
      <c r="ER20" s="8">
        <v>51417843</v>
      </c>
      <c r="ES20" s="8">
        <v>51417843</v>
      </c>
      <c r="ET20" s="8">
        <v>51417843</v>
      </c>
      <c r="EU20" s="8">
        <v>51417843</v>
      </c>
      <c r="EV20" s="8">
        <v>51417843</v>
      </c>
      <c r="EW20" s="8">
        <v>51417843</v>
      </c>
      <c r="EX20" s="8">
        <v>51417843</v>
      </c>
      <c r="EY20" s="8">
        <v>51417843</v>
      </c>
      <c r="EZ20" s="8">
        <v>51417843</v>
      </c>
      <c r="FA20" s="8">
        <v>51417843</v>
      </c>
      <c r="FB20" s="9">
        <f t="shared" si="11"/>
        <v>51417843</v>
      </c>
      <c r="FC20" s="8">
        <v>69100458</v>
      </c>
      <c r="FD20" s="8">
        <v>69100458</v>
      </c>
      <c r="FE20" s="8">
        <v>69100458</v>
      </c>
      <c r="FF20" s="8">
        <v>69100458</v>
      </c>
      <c r="FG20" s="8">
        <v>69100458</v>
      </c>
      <c r="FH20" s="8">
        <v>69100458</v>
      </c>
      <c r="FI20" s="8">
        <v>69100458</v>
      </c>
      <c r="FJ20" s="8"/>
      <c r="FK20" s="8"/>
      <c r="FL20" s="8"/>
      <c r="FM20" s="8"/>
      <c r="FN20" s="8"/>
      <c r="FO20" s="9">
        <f t="shared" si="12"/>
        <v>69100458</v>
      </c>
    </row>
    <row r="21" spans="2:171" ht="14.25" customHeight="1" x14ac:dyDescent="0.3">
      <c r="B21" s="7" t="s">
        <v>56</v>
      </c>
      <c r="C21" s="8">
        <v>24778757</v>
      </c>
      <c r="D21" s="8">
        <v>24778757</v>
      </c>
      <c r="E21" s="8">
        <v>24778757</v>
      </c>
      <c r="F21" s="8">
        <v>24778757</v>
      </c>
      <c r="G21" s="8">
        <v>24778757</v>
      </c>
      <c r="H21" s="8">
        <v>24778757</v>
      </c>
      <c r="I21" s="8">
        <v>24778757</v>
      </c>
      <c r="J21" s="8">
        <v>24778757</v>
      </c>
      <c r="K21" s="8">
        <v>24778757</v>
      </c>
      <c r="L21" s="8">
        <v>24778757</v>
      </c>
      <c r="M21" s="8">
        <v>24778757</v>
      </c>
      <c r="N21" s="8">
        <v>24778757</v>
      </c>
      <c r="O21" s="9">
        <f t="shared" si="0"/>
        <v>24778757</v>
      </c>
      <c r="P21" s="8">
        <v>37063011</v>
      </c>
      <c r="Q21" s="8">
        <v>37063011</v>
      </c>
      <c r="R21" s="8">
        <v>37063011</v>
      </c>
      <c r="S21" s="8">
        <v>37063011</v>
      </c>
      <c r="T21" s="8">
        <v>37063011</v>
      </c>
      <c r="U21" s="8">
        <v>37063011</v>
      </c>
      <c r="V21" s="8">
        <v>37063011</v>
      </c>
      <c r="W21" s="8">
        <v>37063011</v>
      </c>
      <c r="X21" s="8">
        <v>37063011</v>
      </c>
      <c r="Y21" s="8">
        <v>37063011</v>
      </c>
      <c r="Z21" s="8">
        <v>37063011</v>
      </c>
      <c r="AA21" s="8">
        <v>37063011</v>
      </c>
      <c r="AB21" s="9">
        <f t="shared" si="1"/>
        <v>37063011</v>
      </c>
      <c r="AC21" s="8">
        <v>36934807</v>
      </c>
      <c r="AD21" s="8">
        <v>36934807</v>
      </c>
      <c r="AE21" s="8">
        <v>36934807</v>
      </c>
      <c r="AF21" s="8">
        <v>36934807</v>
      </c>
      <c r="AG21" s="8">
        <v>36934807</v>
      </c>
      <c r="AH21" s="8">
        <v>36934807</v>
      </c>
      <c r="AI21" s="8">
        <v>36934807</v>
      </c>
      <c r="AJ21" s="8">
        <v>36934807</v>
      </c>
      <c r="AK21" s="8">
        <v>36934807</v>
      </c>
      <c r="AL21" s="8">
        <v>36934807</v>
      </c>
      <c r="AM21" s="8">
        <v>36934807</v>
      </c>
      <c r="AN21" s="8">
        <v>36934807</v>
      </c>
      <c r="AO21" s="9">
        <f t="shared" si="2"/>
        <v>36934807</v>
      </c>
      <c r="AP21" s="8">
        <v>37348326</v>
      </c>
      <c r="AQ21" s="8">
        <v>37348326</v>
      </c>
      <c r="AR21" s="8">
        <v>37348326</v>
      </c>
      <c r="AS21" s="8">
        <v>37348326</v>
      </c>
      <c r="AT21" s="8">
        <v>37348326</v>
      </c>
      <c r="AU21" s="8">
        <v>37348326</v>
      </c>
      <c r="AV21" s="8">
        <v>37348326</v>
      </c>
      <c r="AW21" s="8">
        <v>37348326</v>
      </c>
      <c r="AX21" s="8">
        <v>37348326</v>
      </c>
      <c r="AY21" s="8">
        <v>37348326</v>
      </c>
      <c r="AZ21" s="8">
        <v>37348326</v>
      </c>
      <c r="BA21" s="8">
        <v>37348326</v>
      </c>
      <c r="BB21" s="9">
        <f t="shared" si="3"/>
        <v>37348326</v>
      </c>
      <c r="BC21" s="8">
        <v>35129087</v>
      </c>
      <c r="BD21" s="8">
        <v>35129087</v>
      </c>
      <c r="BE21" s="8">
        <v>35129087</v>
      </c>
      <c r="BF21" s="8">
        <v>35129087</v>
      </c>
      <c r="BG21" s="8">
        <v>35129087</v>
      </c>
      <c r="BH21" s="8">
        <v>35129087</v>
      </c>
      <c r="BI21" s="8">
        <v>35129087</v>
      </c>
      <c r="BJ21" s="8">
        <v>35129087</v>
      </c>
      <c r="BK21" s="8">
        <v>35129087</v>
      </c>
      <c r="BL21" s="8">
        <v>35129087</v>
      </c>
      <c r="BM21" s="8">
        <v>35129087</v>
      </c>
      <c r="BN21" s="8">
        <v>35129087</v>
      </c>
      <c r="BO21" s="9">
        <f t="shared" si="4"/>
        <v>35129087</v>
      </c>
      <c r="BP21" s="8">
        <v>42601193</v>
      </c>
      <c r="BQ21" s="8">
        <v>42601193</v>
      </c>
      <c r="BR21" s="8">
        <v>42601193</v>
      </c>
      <c r="BS21" s="8">
        <v>42601193</v>
      </c>
      <c r="BT21" s="8">
        <v>42601193</v>
      </c>
      <c r="BU21" s="8">
        <v>42601193</v>
      </c>
      <c r="BV21" s="8">
        <v>42601193</v>
      </c>
      <c r="BW21" s="8">
        <v>42601193</v>
      </c>
      <c r="BX21" s="8">
        <v>42601193</v>
      </c>
      <c r="BY21" s="8">
        <v>42601193</v>
      </c>
      <c r="BZ21" s="8">
        <v>42601193</v>
      </c>
      <c r="CA21" s="8">
        <v>42601193</v>
      </c>
      <c r="CB21" s="9">
        <f t="shared" si="5"/>
        <v>42601193</v>
      </c>
      <c r="CC21" s="8">
        <v>36381316</v>
      </c>
      <c r="CD21" s="8">
        <v>36381316</v>
      </c>
      <c r="CE21" s="8">
        <v>36381316</v>
      </c>
      <c r="CF21" s="8">
        <v>36381316</v>
      </c>
      <c r="CG21" s="8">
        <v>36381316</v>
      </c>
      <c r="CH21" s="8">
        <v>36381316</v>
      </c>
      <c r="CI21" s="8">
        <v>36381316</v>
      </c>
      <c r="CJ21" s="8">
        <v>36381316</v>
      </c>
      <c r="CK21" s="8">
        <v>36381316</v>
      </c>
      <c r="CL21" s="8">
        <v>36381316</v>
      </c>
      <c r="CM21" s="8">
        <v>36381316</v>
      </c>
      <c r="CN21" s="8">
        <v>36381316</v>
      </c>
      <c r="CO21" s="9">
        <f t="shared" si="6"/>
        <v>36381316</v>
      </c>
      <c r="CP21" s="8">
        <v>28365704</v>
      </c>
      <c r="CQ21" s="8">
        <v>28365704</v>
      </c>
      <c r="CR21" s="8">
        <v>28365704</v>
      </c>
      <c r="CS21" s="8">
        <v>28365704</v>
      </c>
      <c r="CT21" s="8">
        <v>28365704</v>
      </c>
      <c r="CU21" s="8">
        <v>28365704</v>
      </c>
      <c r="CV21" s="8">
        <v>28365704</v>
      </c>
      <c r="CW21" s="8">
        <v>28365704</v>
      </c>
      <c r="CX21" s="8">
        <v>28365704</v>
      </c>
      <c r="CY21" s="8">
        <v>28365704</v>
      </c>
      <c r="CZ21" s="8">
        <v>28365704</v>
      </c>
      <c r="DA21" s="8">
        <v>28365704</v>
      </c>
      <c r="DB21" s="9">
        <f t="shared" si="7"/>
        <v>28365704</v>
      </c>
      <c r="DC21" s="8">
        <v>26390042</v>
      </c>
      <c r="DD21" s="8">
        <v>26390042</v>
      </c>
      <c r="DE21" s="8">
        <v>26390042</v>
      </c>
      <c r="DF21" s="8">
        <v>26390042</v>
      </c>
      <c r="DG21" s="8">
        <v>26390042</v>
      </c>
      <c r="DH21" s="8">
        <v>26390042</v>
      </c>
      <c r="DI21" s="8">
        <v>26390042</v>
      </c>
      <c r="DJ21" s="8">
        <v>26390042</v>
      </c>
      <c r="DK21" s="8">
        <v>26390042</v>
      </c>
      <c r="DL21" s="8">
        <v>26390042</v>
      </c>
      <c r="DM21" s="8">
        <v>26390042</v>
      </c>
      <c r="DN21" s="8">
        <v>26390042</v>
      </c>
      <c r="DO21" s="9">
        <f t="shared" si="8"/>
        <v>26390042</v>
      </c>
      <c r="DP21" s="8">
        <v>30128321</v>
      </c>
      <c r="DQ21" s="8">
        <v>30128321</v>
      </c>
      <c r="DR21" s="8">
        <v>30128321</v>
      </c>
      <c r="DS21" s="8">
        <v>30128321</v>
      </c>
      <c r="DT21" s="8">
        <v>30128321</v>
      </c>
      <c r="DU21" s="8">
        <v>30128321</v>
      </c>
      <c r="DV21" s="8">
        <v>30128321</v>
      </c>
      <c r="DW21" s="8">
        <v>30128321</v>
      </c>
      <c r="DX21" s="8">
        <v>30128321</v>
      </c>
      <c r="DY21" s="8">
        <v>30128321</v>
      </c>
      <c r="DZ21" s="8">
        <v>30128321</v>
      </c>
      <c r="EA21" s="8">
        <v>30128321</v>
      </c>
      <c r="EB21" s="9">
        <f t="shared" si="9"/>
        <v>30128321</v>
      </c>
      <c r="EC21" s="8">
        <v>30054838</v>
      </c>
      <c r="ED21" s="8">
        <v>30054838</v>
      </c>
      <c r="EE21" s="8">
        <v>30054838</v>
      </c>
      <c r="EF21" s="8">
        <v>30054838</v>
      </c>
      <c r="EG21" s="8">
        <v>30054838</v>
      </c>
      <c r="EH21" s="8">
        <v>30054838</v>
      </c>
      <c r="EI21" s="8">
        <v>30054838</v>
      </c>
      <c r="EJ21" s="8">
        <v>30054838</v>
      </c>
      <c r="EK21" s="8">
        <v>30054838</v>
      </c>
      <c r="EL21" s="8">
        <v>30054838</v>
      </c>
      <c r="EM21" s="8">
        <v>30054838</v>
      </c>
      <c r="EN21" s="8">
        <v>30054838</v>
      </c>
      <c r="EO21" s="9">
        <f t="shared" si="10"/>
        <v>30054838</v>
      </c>
      <c r="EP21" s="8">
        <v>33768075</v>
      </c>
      <c r="EQ21" s="8">
        <v>33768075</v>
      </c>
      <c r="ER21" s="8">
        <v>33768075</v>
      </c>
      <c r="ES21" s="8">
        <v>33768075</v>
      </c>
      <c r="ET21" s="8">
        <v>33768075</v>
      </c>
      <c r="EU21" s="8">
        <v>33768075</v>
      </c>
      <c r="EV21" s="8">
        <v>33768075</v>
      </c>
      <c r="EW21" s="8">
        <v>33768075</v>
      </c>
      <c r="EX21" s="8">
        <v>33768075</v>
      </c>
      <c r="EY21" s="8">
        <v>33768075</v>
      </c>
      <c r="EZ21" s="8">
        <v>33768075</v>
      </c>
      <c r="FA21" s="8">
        <v>33768075</v>
      </c>
      <c r="FB21" s="9">
        <f t="shared" si="11"/>
        <v>33768075</v>
      </c>
      <c r="FC21" s="8">
        <v>19941082</v>
      </c>
      <c r="FD21" s="8">
        <v>19941082</v>
      </c>
      <c r="FE21" s="8">
        <v>19941082</v>
      </c>
      <c r="FF21" s="8">
        <v>19941082</v>
      </c>
      <c r="FG21" s="8">
        <v>19941082</v>
      </c>
      <c r="FH21" s="8">
        <v>19941082</v>
      </c>
      <c r="FI21" s="8">
        <v>19941082</v>
      </c>
      <c r="FJ21" s="8"/>
      <c r="FK21" s="8"/>
      <c r="FL21" s="8"/>
      <c r="FM21" s="8"/>
      <c r="FN21" s="8"/>
      <c r="FO21" s="9">
        <f t="shared" si="12"/>
        <v>19941082</v>
      </c>
    </row>
    <row r="22" spans="2:171" ht="14.25" customHeight="1" x14ac:dyDescent="0.3">
      <c r="B22" s="7" t="s">
        <v>57</v>
      </c>
      <c r="C22" s="8">
        <v>10105857</v>
      </c>
      <c r="D22" s="8">
        <v>10105857</v>
      </c>
      <c r="E22" s="8">
        <v>10105857</v>
      </c>
      <c r="F22" s="8">
        <v>10105857</v>
      </c>
      <c r="G22" s="8">
        <v>10105857</v>
      </c>
      <c r="H22" s="8">
        <v>10105857</v>
      </c>
      <c r="I22" s="8">
        <v>10105857</v>
      </c>
      <c r="J22" s="8">
        <v>10105857</v>
      </c>
      <c r="K22" s="8">
        <v>10105857</v>
      </c>
      <c r="L22" s="8">
        <v>10105857</v>
      </c>
      <c r="M22" s="8">
        <v>10105857</v>
      </c>
      <c r="N22" s="8">
        <v>10105857</v>
      </c>
      <c r="O22" s="9">
        <f t="shared" si="0"/>
        <v>10105857</v>
      </c>
      <c r="P22" s="8">
        <v>15006631</v>
      </c>
      <c r="Q22" s="8">
        <v>15006631</v>
      </c>
      <c r="R22" s="8">
        <v>15006631</v>
      </c>
      <c r="S22" s="8">
        <v>15006631</v>
      </c>
      <c r="T22" s="8">
        <v>15006631</v>
      </c>
      <c r="U22" s="8">
        <v>15006631</v>
      </c>
      <c r="V22" s="8">
        <v>15006631</v>
      </c>
      <c r="W22" s="8">
        <v>15006631</v>
      </c>
      <c r="X22" s="8">
        <v>15006631</v>
      </c>
      <c r="Y22" s="8">
        <v>15006631</v>
      </c>
      <c r="Z22" s="8">
        <v>15006631</v>
      </c>
      <c r="AA22" s="8">
        <v>15006631</v>
      </c>
      <c r="AB22" s="9">
        <f t="shared" si="1"/>
        <v>15006631</v>
      </c>
      <c r="AC22" s="8">
        <v>8772648</v>
      </c>
      <c r="AD22" s="8">
        <v>8772648</v>
      </c>
      <c r="AE22" s="8">
        <v>8772648</v>
      </c>
      <c r="AF22" s="8">
        <v>8772648</v>
      </c>
      <c r="AG22" s="8">
        <v>8772648</v>
      </c>
      <c r="AH22" s="8">
        <v>8772648</v>
      </c>
      <c r="AI22" s="8">
        <v>8772648</v>
      </c>
      <c r="AJ22" s="8">
        <v>8772648</v>
      </c>
      <c r="AK22" s="8">
        <v>8772648</v>
      </c>
      <c r="AL22" s="8">
        <v>8772648</v>
      </c>
      <c r="AM22" s="8">
        <v>8772648</v>
      </c>
      <c r="AN22" s="8">
        <v>8772648</v>
      </c>
      <c r="AO22" s="9">
        <f t="shared" si="2"/>
        <v>8772648</v>
      </c>
      <c r="AP22" s="8">
        <v>9451838</v>
      </c>
      <c r="AQ22" s="8">
        <v>9451838</v>
      </c>
      <c r="AR22" s="8">
        <v>9451838</v>
      </c>
      <c r="AS22" s="8">
        <v>9451838</v>
      </c>
      <c r="AT22" s="8">
        <v>9451838</v>
      </c>
      <c r="AU22" s="8">
        <v>9451838</v>
      </c>
      <c r="AV22" s="8">
        <v>9451838</v>
      </c>
      <c r="AW22" s="8">
        <v>9451838</v>
      </c>
      <c r="AX22" s="8">
        <v>9451838</v>
      </c>
      <c r="AY22" s="8">
        <v>9451838</v>
      </c>
      <c r="AZ22" s="8">
        <v>9451838</v>
      </c>
      <c r="BA22" s="8">
        <v>9451838</v>
      </c>
      <c r="BB22" s="9">
        <f t="shared" si="3"/>
        <v>9451838</v>
      </c>
      <c r="BC22" s="8">
        <v>18225631</v>
      </c>
      <c r="BD22" s="8">
        <v>18225631</v>
      </c>
      <c r="BE22" s="8">
        <v>18225631</v>
      </c>
      <c r="BF22" s="8">
        <v>18225631</v>
      </c>
      <c r="BG22" s="8">
        <v>18225631</v>
      </c>
      <c r="BH22" s="8">
        <v>18225631</v>
      </c>
      <c r="BI22" s="8">
        <v>18225631</v>
      </c>
      <c r="BJ22" s="8">
        <v>18225631</v>
      </c>
      <c r="BK22" s="8">
        <v>18225631</v>
      </c>
      <c r="BL22" s="8">
        <v>18225631</v>
      </c>
      <c r="BM22" s="8">
        <v>18225631</v>
      </c>
      <c r="BN22" s="8">
        <v>18225631</v>
      </c>
      <c r="BO22" s="9">
        <f t="shared" si="4"/>
        <v>18225631</v>
      </c>
      <c r="BP22" s="8">
        <v>15979102</v>
      </c>
      <c r="BQ22" s="8">
        <v>15979102</v>
      </c>
      <c r="BR22" s="8">
        <v>15979102</v>
      </c>
      <c r="BS22" s="8">
        <v>15979102</v>
      </c>
      <c r="BT22" s="8">
        <v>15979102</v>
      </c>
      <c r="BU22" s="8">
        <v>15979102</v>
      </c>
      <c r="BV22" s="8">
        <v>15979102</v>
      </c>
      <c r="BW22" s="8">
        <v>15979102</v>
      </c>
      <c r="BX22" s="8">
        <v>15979102</v>
      </c>
      <c r="BY22" s="8">
        <v>15979102</v>
      </c>
      <c r="BZ22" s="8">
        <v>15979102</v>
      </c>
      <c r="CA22" s="8">
        <v>15979102</v>
      </c>
      <c r="CB22" s="9">
        <f t="shared" si="5"/>
        <v>15979102</v>
      </c>
      <c r="CC22" s="8">
        <v>16443798</v>
      </c>
      <c r="CD22" s="8">
        <v>16443798</v>
      </c>
      <c r="CE22" s="8">
        <v>16443798</v>
      </c>
      <c r="CF22" s="8">
        <v>16443798</v>
      </c>
      <c r="CG22" s="8">
        <v>16443798</v>
      </c>
      <c r="CH22" s="8">
        <v>16443798</v>
      </c>
      <c r="CI22" s="8">
        <v>16443798</v>
      </c>
      <c r="CJ22" s="8">
        <v>16443798</v>
      </c>
      <c r="CK22" s="8">
        <v>16443798</v>
      </c>
      <c r="CL22" s="8">
        <v>16443798</v>
      </c>
      <c r="CM22" s="8">
        <v>16443798</v>
      </c>
      <c r="CN22" s="8">
        <v>16443798</v>
      </c>
      <c r="CO22" s="9">
        <f t="shared" si="6"/>
        <v>16443798</v>
      </c>
      <c r="CP22" s="8">
        <v>17929551</v>
      </c>
      <c r="CQ22" s="8">
        <v>17929551</v>
      </c>
      <c r="CR22" s="8">
        <v>17929551</v>
      </c>
      <c r="CS22" s="8">
        <v>17929551</v>
      </c>
      <c r="CT22" s="8">
        <v>17929551</v>
      </c>
      <c r="CU22" s="8">
        <v>17929551</v>
      </c>
      <c r="CV22" s="8">
        <v>17929551</v>
      </c>
      <c r="CW22" s="8">
        <v>17929551</v>
      </c>
      <c r="CX22" s="8">
        <v>17929551</v>
      </c>
      <c r="CY22" s="8">
        <v>17929551</v>
      </c>
      <c r="CZ22" s="8">
        <v>17929551</v>
      </c>
      <c r="DA22" s="8">
        <v>17929551</v>
      </c>
      <c r="DB22" s="9">
        <f t="shared" si="7"/>
        <v>17929551</v>
      </c>
      <c r="DC22" s="8">
        <v>29463592</v>
      </c>
      <c r="DD22" s="8">
        <v>29463592</v>
      </c>
      <c r="DE22" s="8">
        <v>29463592</v>
      </c>
      <c r="DF22" s="8">
        <v>29463592</v>
      </c>
      <c r="DG22" s="8">
        <v>29463592</v>
      </c>
      <c r="DH22" s="8">
        <v>29463592</v>
      </c>
      <c r="DI22" s="8">
        <v>29463592</v>
      </c>
      <c r="DJ22" s="8">
        <v>29463592</v>
      </c>
      <c r="DK22" s="8">
        <v>29463592</v>
      </c>
      <c r="DL22" s="8">
        <v>29463592</v>
      </c>
      <c r="DM22" s="8">
        <v>29463592</v>
      </c>
      <c r="DN22" s="8">
        <v>29463592</v>
      </c>
      <c r="DO22" s="9">
        <f t="shared" si="8"/>
        <v>29463592</v>
      </c>
      <c r="DP22" s="8">
        <v>34989760</v>
      </c>
      <c r="DQ22" s="8">
        <v>34989760</v>
      </c>
      <c r="DR22" s="8">
        <v>34989760</v>
      </c>
      <c r="DS22" s="8">
        <v>34989760</v>
      </c>
      <c r="DT22" s="8">
        <v>34989760</v>
      </c>
      <c r="DU22" s="8">
        <v>34989760</v>
      </c>
      <c r="DV22" s="8">
        <v>34989760</v>
      </c>
      <c r="DW22" s="8">
        <v>34989760</v>
      </c>
      <c r="DX22" s="8">
        <v>34989760</v>
      </c>
      <c r="DY22" s="8">
        <v>34989760</v>
      </c>
      <c r="DZ22" s="8">
        <v>34989760</v>
      </c>
      <c r="EA22" s="8">
        <v>34989760</v>
      </c>
      <c r="EB22" s="9">
        <f t="shared" si="9"/>
        <v>34989760</v>
      </c>
      <c r="EC22" s="8">
        <v>21614756</v>
      </c>
      <c r="ED22" s="8">
        <v>21614756</v>
      </c>
      <c r="EE22" s="8">
        <v>21614756</v>
      </c>
      <c r="EF22" s="8">
        <v>21614756</v>
      </c>
      <c r="EG22" s="8">
        <v>21614756</v>
      </c>
      <c r="EH22" s="8">
        <v>21614756</v>
      </c>
      <c r="EI22" s="8">
        <v>21614756</v>
      </c>
      <c r="EJ22" s="8">
        <v>21614756</v>
      </c>
      <c r="EK22" s="8">
        <v>21614756</v>
      </c>
      <c r="EL22" s="8">
        <v>21614756</v>
      </c>
      <c r="EM22" s="8">
        <v>21614756</v>
      </c>
      <c r="EN22" s="8">
        <v>21614756</v>
      </c>
      <c r="EO22" s="9">
        <f t="shared" si="10"/>
        <v>21614756</v>
      </c>
      <c r="EP22" s="8">
        <v>24407573</v>
      </c>
      <c r="EQ22" s="8">
        <v>24407573</v>
      </c>
      <c r="ER22" s="8">
        <v>24407573</v>
      </c>
      <c r="ES22" s="8">
        <v>24407573</v>
      </c>
      <c r="ET22" s="8">
        <v>24407573</v>
      </c>
      <c r="EU22" s="8">
        <v>24407573</v>
      </c>
      <c r="EV22" s="8">
        <v>24407573</v>
      </c>
      <c r="EW22" s="8">
        <v>24407573</v>
      </c>
      <c r="EX22" s="8">
        <v>24407573</v>
      </c>
      <c r="EY22" s="8">
        <v>24407573</v>
      </c>
      <c r="EZ22" s="8">
        <v>24407573</v>
      </c>
      <c r="FA22" s="8">
        <v>24407573</v>
      </c>
      <c r="FB22" s="9">
        <f t="shared" si="11"/>
        <v>24407573</v>
      </c>
      <c r="FC22" s="8">
        <v>26486066</v>
      </c>
      <c r="FD22" s="8">
        <v>26486066</v>
      </c>
      <c r="FE22" s="8">
        <v>26486066</v>
      </c>
      <c r="FF22" s="8">
        <v>26486066</v>
      </c>
      <c r="FG22" s="8">
        <v>26486066</v>
      </c>
      <c r="FH22" s="8">
        <v>26486066</v>
      </c>
      <c r="FI22" s="8">
        <v>26486066</v>
      </c>
      <c r="FJ22" s="8"/>
      <c r="FK22" s="8"/>
      <c r="FL22" s="8"/>
      <c r="FM22" s="8"/>
      <c r="FN22" s="8"/>
      <c r="FO22" s="9">
        <f t="shared" si="12"/>
        <v>26486066</v>
      </c>
    </row>
    <row r="23" spans="2:171" ht="14.25" customHeight="1" x14ac:dyDescent="0.3">
      <c r="B23" s="7" t="s">
        <v>58</v>
      </c>
      <c r="C23" s="8">
        <v>14786598</v>
      </c>
      <c r="D23" s="8">
        <v>14786598</v>
      </c>
      <c r="E23" s="8">
        <v>14786598</v>
      </c>
      <c r="F23" s="8">
        <v>14786598</v>
      </c>
      <c r="G23" s="8">
        <v>14786598</v>
      </c>
      <c r="H23" s="8">
        <v>14786598</v>
      </c>
      <c r="I23" s="8">
        <v>14786598</v>
      </c>
      <c r="J23" s="8">
        <v>14786598</v>
      </c>
      <c r="K23" s="8">
        <v>14786598</v>
      </c>
      <c r="L23" s="8">
        <v>14786598</v>
      </c>
      <c r="M23" s="8">
        <v>14786598</v>
      </c>
      <c r="N23" s="8">
        <v>14786598</v>
      </c>
      <c r="O23" s="9">
        <f t="shared" si="0"/>
        <v>14786598</v>
      </c>
      <c r="P23" s="8">
        <v>18601361</v>
      </c>
      <c r="Q23" s="8">
        <v>18601361</v>
      </c>
      <c r="R23" s="8">
        <v>18601361</v>
      </c>
      <c r="S23" s="8">
        <v>18601361</v>
      </c>
      <c r="T23" s="8">
        <v>18601361</v>
      </c>
      <c r="U23" s="8">
        <v>18601361</v>
      </c>
      <c r="V23" s="8">
        <v>18601361</v>
      </c>
      <c r="W23" s="8">
        <v>18601361</v>
      </c>
      <c r="X23" s="8">
        <v>18601361</v>
      </c>
      <c r="Y23" s="8">
        <v>18601361</v>
      </c>
      <c r="Z23" s="8">
        <v>18601361</v>
      </c>
      <c r="AA23" s="8">
        <v>18601361</v>
      </c>
      <c r="AB23" s="9">
        <f t="shared" si="1"/>
        <v>18601361</v>
      </c>
      <c r="AC23" s="8">
        <v>15586123</v>
      </c>
      <c r="AD23" s="8">
        <v>15586123</v>
      </c>
      <c r="AE23" s="8">
        <v>15586123</v>
      </c>
      <c r="AF23" s="8">
        <v>15586123</v>
      </c>
      <c r="AG23" s="8">
        <v>15586123</v>
      </c>
      <c r="AH23" s="8">
        <v>15586123</v>
      </c>
      <c r="AI23" s="8">
        <v>15586123</v>
      </c>
      <c r="AJ23" s="8">
        <v>15586123</v>
      </c>
      <c r="AK23" s="8">
        <v>15586123</v>
      </c>
      <c r="AL23" s="8">
        <v>15586123</v>
      </c>
      <c r="AM23" s="8">
        <v>15586123</v>
      </c>
      <c r="AN23" s="8">
        <v>15586123</v>
      </c>
      <c r="AO23" s="9">
        <f t="shared" si="2"/>
        <v>15586123</v>
      </c>
      <c r="AP23" s="8">
        <v>18727684</v>
      </c>
      <c r="AQ23" s="8">
        <v>18727684</v>
      </c>
      <c r="AR23" s="8">
        <v>18727684</v>
      </c>
      <c r="AS23" s="8">
        <v>18727684</v>
      </c>
      <c r="AT23" s="8">
        <v>18727684</v>
      </c>
      <c r="AU23" s="8">
        <v>18727684</v>
      </c>
      <c r="AV23" s="8">
        <v>18727684</v>
      </c>
      <c r="AW23" s="8">
        <v>18727684</v>
      </c>
      <c r="AX23" s="8">
        <v>18727684</v>
      </c>
      <c r="AY23" s="8">
        <v>18727684</v>
      </c>
      <c r="AZ23" s="8">
        <v>18727684</v>
      </c>
      <c r="BA23" s="8">
        <v>18727684</v>
      </c>
      <c r="BB23" s="9">
        <f t="shared" si="3"/>
        <v>18727684</v>
      </c>
      <c r="BC23" s="8">
        <v>20592601</v>
      </c>
      <c r="BD23" s="8">
        <v>20592601</v>
      </c>
      <c r="BE23" s="8">
        <v>20592601</v>
      </c>
      <c r="BF23" s="8">
        <v>20592601</v>
      </c>
      <c r="BG23" s="8">
        <v>20592601</v>
      </c>
      <c r="BH23" s="8">
        <v>20592601</v>
      </c>
      <c r="BI23" s="8">
        <v>20592601</v>
      </c>
      <c r="BJ23" s="8">
        <v>20592601</v>
      </c>
      <c r="BK23" s="8">
        <v>20592601</v>
      </c>
      <c r="BL23" s="8">
        <v>20592601</v>
      </c>
      <c r="BM23" s="8">
        <v>20592601</v>
      </c>
      <c r="BN23" s="8">
        <v>20592601</v>
      </c>
      <c r="BO23" s="9">
        <f t="shared" si="4"/>
        <v>20592601</v>
      </c>
      <c r="BP23" s="8">
        <v>20891252</v>
      </c>
      <c r="BQ23" s="8">
        <v>20891252</v>
      </c>
      <c r="BR23" s="8">
        <v>20891252</v>
      </c>
      <c r="BS23" s="8">
        <v>20891252</v>
      </c>
      <c r="BT23" s="8">
        <v>20891252</v>
      </c>
      <c r="BU23" s="8">
        <v>20891252</v>
      </c>
      <c r="BV23" s="8">
        <v>20891252</v>
      </c>
      <c r="BW23" s="8">
        <v>20891252</v>
      </c>
      <c r="BX23" s="8">
        <v>20891252</v>
      </c>
      <c r="BY23" s="8">
        <v>20891252</v>
      </c>
      <c r="BZ23" s="8">
        <v>20891252</v>
      </c>
      <c r="CA23" s="8">
        <v>20891252</v>
      </c>
      <c r="CB23" s="9">
        <f t="shared" si="5"/>
        <v>20891252</v>
      </c>
      <c r="CC23" s="8">
        <v>27675314</v>
      </c>
      <c r="CD23" s="8">
        <v>27675314</v>
      </c>
      <c r="CE23" s="8">
        <v>27675314</v>
      </c>
      <c r="CF23" s="8">
        <v>27675314</v>
      </c>
      <c r="CG23" s="8">
        <v>27675314</v>
      </c>
      <c r="CH23" s="8">
        <v>27675314</v>
      </c>
      <c r="CI23" s="8">
        <v>27675314</v>
      </c>
      <c r="CJ23" s="8">
        <v>27675314</v>
      </c>
      <c r="CK23" s="8">
        <v>27675314</v>
      </c>
      <c r="CL23" s="8">
        <v>27675314</v>
      </c>
      <c r="CM23" s="8">
        <v>27675314</v>
      </c>
      <c r="CN23" s="8">
        <v>27675314</v>
      </c>
      <c r="CO23" s="9">
        <f t="shared" si="6"/>
        <v>27675314</v>
      </c>
      <c r="CP23" s="8">
        <v>30425253</v>
      </c>
      <c r="CQ23" s="8">
        <v>30425253</v>
      </c>
      <c r="CR23" s="8">
        <v>30425253</v>
      </c>
      <c r="CS23" s="8">
        <v>30425253</v>
      </c>
      <c r="CT23" s="8">
        <v>30425253</v>
      </c>
      <c r="CU23" s="8">
        <v>30425253</v>
      </c>
      <c r="CV23" s="8">
        <v>30425253</v>
      </c>
      <c r="CW23" s="8">
        <v>30425253</v>
      </c>
      <c r="CX23" s="8">
        <v>30425253</v>
      </c>
      <c r="CY23" s="8">
        <v>30425253</v>
      </c>
      <c r="CZ23" s="8">
        <v>30425253</v>
      </c>
      <c r="DA23" s="8">
        <v>30425253</v>
      </c>
      <c r="DB23" s="9">
        <f t="shared" si="7"/>
        <v>30425253</v>
      </c>
      <c r="DC23" s="8">
        <v>28701287</v>
      </c>
      <c r="DD23" s="8">
        <v>28701287</v>
      </c>
      <c r="DE23" s="8">
        <v>28701287</v>
      </c>
      <c r="DF23" s="8">
        <v>28701287</v>
      </c>
      <c r="DG23" s="8">
        <v>28701287</v>
      </c>
      <c r="DH23" s="8">
        <v>28701287</v>
      </c>
      <c r="DI23" s="8">
        <v>28701287</v>
      </c>
      <c r="DJ23" s="8">
        <v>28701287</v>
      </c>
      <c r="DK23" s="8">
        <v>28701287</v>
      </c>
      <c r="DL23" s="8">
        <v>28701287</v>
      </c>
      <c r="DM23" s="8">
        <v>28701287</v>
      </c>
      <c r="DN23" s="8">
        <v>28701287</v>
      </c>
      <c r="DO23" s="9">
        <f t="shared" si="8"/>
        <v>28701287</v>
      </c>
      <c r="DP23" s="8">
        <v>21698957</v>
      </c>
      <c r="DQ23" s="8">
        <v>21698957</v>
      </c>
      <c r="DR23" s="8">
        <v>21698957</v>
      </c>
      <c r="DS23" s="8">
        <v>21698957</v>
      </c>
      <c r="DT23" s="8">
        <v>21698957</v>
      </c>
      <c r="DU23" s="8">
        <v>21698957</v>
      </c>
      <c r="DV23" s="8">
        <v>21698957</v>
      </c>
      <c r="DW23" s="8">
        <v>21698957</v>
      </c>
      <c r="DX23" s="8">
        <v>21698957</v>
      </c>
      <c r="DY23" s="8">
        <v>21698957</v>
      </c>
      <c r="DZ23" s="8">
        <v>21698957</v>
      </c>
      <c r="EA23" s="8">
        <v>21698957</v>
      </c>
      <c r="EB23" s="9">
        <f t="shared" si="9"/>
        <v>21698957</v>
      </c>
      <c r="EC23" s="8">
        <v>27536485</v>
      </c>
      <c r="ED23" s="8">
        <v>27536485</v>
      </c>
      <c r="EE23" s="8">
        <v>27536485</v>
      </c>
      <c r="EF23" s="8">
        <v>27536485</v>
      </c>
      <c r="EG23" s="8">
        <v>27536485</v>
      </c>
      <c r="EH23" s="8">
        <v>27536485</v>
      </c>
      <c r="EI23" s="8">
        <v>27536485</v>
      </c>
      <c r="EJ23" s="8">
        <v>27536485</v>
      </c>
      <c r="EK23" s="8">
        <v>27536485</v>
      </c>
      <c r="EL23" s="8">
        <v>27536485</v>
      </c>
      <c r="EM23" s="8">
        <v>27536485</v>
      </c>
      <c r="EN23" s="8">
        <v>27536485</v>
      </c>
      <c r="EO23" s="9">
        <f t="shared" si="10"/>
        <v>27536485</v>
      </c>
      <c r="EP23" s="8">
        <v>21901695</v>
      </c>
      <c r="EQ23" s="8">
        <v>21901695</v>
      </c>
      <c r="ER23" s="8">
        <v>21901695</v>
      </c>
      <c r="ES23" s="8">
        <v>21901695</v>
      </c>
      <c r="ET23" s="8">
        <v>21901695</v>
      </c>
      <c r="EU23" s="8">
        <v>21901695</v>
      </c>
      <c r="EV23" s="8">
        <v>21901695</v>
      </c>
      <c r="EW23" s="8">
        <v>21901695</v>
      </c>
      <c r="EX23" s="8">
        <v>21901695</v>
      </c>
      <c r="EY23" s="8">
        <v>21901695</v>
      </c>
      <c r="EZ23" s="8">
        <v>21901695</v>
      </c>
      <c r="FA23" s="8">
        <v>21901695</v>
      </c>
      <c r="FB23" s="9">
        <f t="shared" si="11"/>
        <v>21901695</v>
      </c>
      <c r="FC23" s="8">
        <v>14354883</v>
      </c>
      <c r="FD23" s="8">
        <v>14354883</v>
      </c>
      <c r="FE23" s="8">
        <v>14354883</v>
      </c>
      <c r="FF23" s="8">
        <v>14354883</v>
      </c>
      <c r="FG23" s="8">
        <v>14354883</v>
      </c>
      <c r="FH23" s="8">
        <v>14354883</v>
      </c>
      <c r="FI23" s="8">
        <v>14354883</v>
      </c>
      <c r="FJ23" s="8"/>
      <c r="FK23" s="8"/>
      <c r="FL23" s="8"/>
      <c r="FM23" s="8"/>
      <c r="FN23" s="8"/>
      <c r="FO23" s="9">
        <f t="shared" si="12"/>
        <v>14354883</v>
      </c>
    </row>
    <row r="24" spans="2:171" ht="14.25" customHeight="1" x14ac:dyDescent="0.3">
      <c r="B24" s="7" t="s">
        <v>59</v>
      </c>
      <c r="C24" s="8">
        <v>5392166</v>
      </c>
      <c r="D24" s="8">
        <v>5392166</v>
      </c>
      <c r="E24" s="8">
        <v>5392166</v>
      </c>
      <c r="F24" s="8">
        <v>5392166</v>
      </c>
      <c r="G24" s="8">
        <v>5392166</v>
      </c>
      <c r="H24" s="8">
        <v>5392166</v>
      </c>
      <c r="I24" s="8">
        <v>5392166</v>
      </c>
      <c r="J24" s="8">
        <v>5392166</v>
      </c>
      <c r="K24" s="8">
        <v>5392166</v>
      </c>
      <c r="L24" s="8">
        <v>5392166</v>
      </c>
      <c r="M24" s="8">
        <v>5392166</v>
      </c>
      <c r="N24" s="8">
        <v>5392166</v>
      </c>
      <c r="O24" s="9">
        <f t="shared" si="0"/>
        <v>5392166</v>
      </c>
      <c r="P24" s="8">
        <v>5699415</v>
      </c>
      <c r="Q24" s="8">
        <v>5699415</v>
      </c>
      <c r="R24" s="8">
        <v>5699415</v>
      </c>
      <c r="S24" s="8">
        <v>5699415</v>
      </c>
      <c r="T24" s="8">
        <v>5699415</v>
      </c>
      <c r="U24" s="8">
        <v>5699415</v>
      </c>
      <c r="V24" s="8">
        <v>5699415</v>
      </c>
      <c r="W24" s="8">
        <v>5699415</v>
      </c>
      <c r="X24" s="8">
        <v>5699415</v>
      </c>
      <c r="Y24" s="8">
        <v>5699415</v>
      </c>
      <c r="Z24" s="8">
        <v>5699415</v>
      </c>
      <c r="AA24" s="8">
        <v>5699415</v>
      </c>
      <c r="AB24" s="9">
        <f t="shared" si="1"/>
        <v>5699415</v>
      </c>
      <c r="AC24" s="8">
        <v>3539833</v>
      </c>
      <c r="AD24" s="8">
        <v>3539833</v>
      </c>
      <c r="AE24" s="8">
        <v>3539833</v>
      </c>
      <c r="AF24" s="8">
        <v>3539833</v>
      </c>
      <c r="AG24" s="8">
        <v>3539833</v>
      </c>
      <c r="AH24" s="8">
        <v>3539833</v>
      </c>
      <c r="AI24" s="8">
        <v>3539833</v>
      </c>
      <c r="AJ24" s="8">
        <v>3539833</v>
      </c>
      <c r="AK24" s="8">
        <v>3539833</v>
      </c>
      <c r="AL24" s="8">
        <v>3539833</v>
      </c>
      <c r="AM24" s="8">
        <v>3539833</v>
      </c>
      <c r="AN24" s="8">
        <v>3539833</v>
      </c>
      <c r="AO24" s="9">
        <f t="shared" si="2"/>
        <v>3539833</v>
      </c>
      <c r="AP24" s="8">
        <v>5128170</v>
      </c>
      <c r="AQ24" s="8">
        <v>5128170</v>
      </c>
      <c r="AR24" s="8">
        <v>5128170</v>
      </c>
      <c r="AS24" s="8">
        <v>5128170</v>
      </c>
      <c r="AT24" s="8">
        <v>5128170</v>
      </c>
      <c r="AU24" s="8">
        <v>5128170</v>
      </c>
      <c r="AV24" s="8">
        <v>5128170</v>
      </c>
      <c r="AW24" s="8">
        <v>5128170</v>
      </c>
      <c r="AX24" s="8">
        <v>5128170</v>
      </c>
      <c r="AY24" s="8">
        <v>5128170</v>
      </c>
      <c r="AZ24" s="8">
        <v>5128170</v>
      </c>
      <c r="BA24" s="8">
        <v>5128170</v>
      </c>
      <c r="BB24" s="9">
        <f t="shared" si="3"/>
        <v>5128170</v>
      </c>
      <c r="BC24" s="8">
        <v>8270637</v>
      </c>
      <c r="BD24" s="8">
        <v>8270637</v>
      </c>
      <c r="BE24" s="8">
        <v>8270637</v>
      </c>
      <c r="BF24" s="8">
        <v>8270637</v>
      </c>
      <c r="BG24" s="8">
        <v>8270637</v>
      </c>
      <c r="BH24" s="8">
        <v>8270637</v>
      </c>
      <c r="BI24" s="8">
        <v>8270637</v>
      </c>
      <c r="BJ24" s="8">
        <v>8270637</v>
      </c>
      <c r="BK24" s="8">
        <v>8270637</v>
      </c>
      <c r="BL24" s="8">
        <v>8270637</v>
      </c>
      <c r="BM24" s="8">
        <v>8270637</v>
      </c>
      <c r="BN24" s="8">
        <v>8270637</v>
      </c>
      <c r="BO24" s="9">
        <f t="shared" si="4"/>
        <v>8270637</v>
      </c>
      <c r="BP24" s="8">
        <v>3270747</v>
      </c>
      <c r="BQ24" s="8">
        <v>3270747</v>
      </c>
      <c r="BR24" s="8">
        <v>3270747</v>
      </c>
      <c r="BS24" s="8">
        <v>3270747</v>
      </c>
      <c r="BT24" s="8">
        <v>3270747</v>
      </c>
      <c r="BU24" s="8">
        <v>3270747</v>
      </c>
      <c r="BV24" s="8">
        <v>3270747</v>
      </c>
      <c r="BW24" s="8">
        <v>3270747</v>
      </c>
      <c r="BX24" s="8">
        <v>3270747</v>
      </c>
      <c r="BY24" s="8">
        <v>3270747</v>
      </c>
      <c r="BZ24" s="8">
        <v>3270747</v>
      </c>
      <c r="CA24" s="8">
        <v>3270747</v>
      </c>
      <c r="CB24" s="9">
        <f t="shared" si="5"/>
        <v>3270747</v>
      </c>
      <c r="CC24" s="8">
        <v>7655072</v>
      </c>
      <c r="CD24" s="8">
        <v>7655072</v>
      </c>
      <c r="CE24" s="8">
        <v>7655072</v>
      </c>
      <c r="CF24" s="8">
        <v>7655072</v>
      </c>
      <c r="CG24" s="8">
        <v>7655072</v>
      </c>
      <c r="CH24" s="8">
        <v>7655072</v>
      </c>
      <c r="CI24" s="8">
        <v>7655072</v>
      </c>
      <c r="CJ24" s="8">
        <v>7655072</v>
      </c>
      <c r="CK24" s="8">
        <v>7655072</v>
      </c>
      <c r="CL24" s="8">
        <v>7655072</v>
      </c>
      <c r="CM24" s="8">
        <v>7655072</v>
      </c>
      <c r="CN24" s="8">
        <v>7655072</v>
      </c>
      <c r="CO24" s="9">
        <f t="shared" si="6"/>
        <v>7655072</v>
      </c>
      <c r="CP24" s="8">
        <v>7006206</v>
      </c>
      <c r="CQ24" s="8">
        <v>7006206</v>
      </c>
      <c r="CR24" s="8">
        <v>7006206</v>
      </c>
      <c r="CS24" s="8">
        <v>7006206</v>
      </c>
      <c r="CT24" s="8">
        <v>7006206</v>
      </c>
      <c r="CU24" s="8">
        <v>7006206</v>
      </c>
      <c r="CV24" s="8">
        <v>7006206</v>
      </c>
      <c r="CW24" s="8">
        <v>7006206</v>
      </c>
      <c r="CX24" s="8">
        <v>7006206</v>
      </c>
      <c r="CY24" s="8">
        <v>7006206</v>
      </c>
      <c r="CZ24" s="8">
        <v>7006206</v>
      </c>
      <c r="DA24" s="8">
        <v>7006206</v>
      </c>
      <c r="DB24" s="9">
        <f t="shared" si="7"/>
        <v>7006206</v>
      </c>
      <c r="DC24" s="8">
        <v>7213147</v>
      </c>
      <c r="DD24" s="8">
        <v>7213147</v>
      </c>
      <c r="DE24" s="8">
        <v>7213147</v>
      </c>
      <c r="DF24" s="8">
        <v>7213147</v>
      </c>
      <c r="DG24" s="8">
        <v>7213147</v>
      </c>
      <c r="DH24" s="8">
        <v>7213147</v>
      </c>
      <c r="DI24" s="8">
        <v>7213147</v>
      </c>
      <c r="DJ24" s="8">
        <v>7213147</v>
      </c>
      <c r="DK24" s="8">
        <v>7213147</v>
      </c>
      <c r="DL24" s="8">
        <v>7213147</v>
      </c>
      <c r="DM24" s="8">
        <v>7213147</v>
      </c>
      <c r="DN24" s="8">
        <v>7213147</v>
      </c>
      <c r="DO24" s="9">
        <f t="shared" si="8"/>
        <v>7213147</v>
      </c>
      <c r="DP24" s="8">
        <v>8696258</v>
      </c>
      <c r="DQ24" s="8">
        <v>8696258</v>
      </c>
      <c r="DR24" s="8">
        <v>8696258</v>
      </c>
      <c r="DS24" s="8">
        <v>8696258</v>
      </c>
      <c r="DT24" s="8">
        <v>8696258</v>
      </c>
      <c r="DU24" s="8">
        <v>8696258</v>
      </c>
      <c r="DV24" s="8">
        <v>8696258</v>
      </c>
      <c r="DW24" s="8">
        <v>8696258</v>
      </c>
      <c r="DX24" s="8">
        <v>8696258</v>
      </c>
      <c r="DY24" s="8">
        <v>8696258</v>
      </c>
      <c r="DZ24" s="8">
        <v>8696258</v>
      </c>
      <c r="EA24" s="8">
        <v>8696258</v>
      </c>
      <c r="EB24" s="9">
        <f t="shared" si="9"/>
        <v>8696258</v>
      </c>
      <c r="EC24" s="8">
        <v>18841858</v>
      </c>
      <c r="ED24" s="8">
        <v>18841858</v>
      </c>
      <c r="EE24" s="8">
        <v>18841858</v>
      </c>
      <c r="EF24" s="8">
        <v>18841858</v>
      </c>
      <c r="EG24" s="8">
        <v>18841858</v>
      </c>
      <c r="EH24" s="8">
        <v>18841858</v>
      </c>
      <c r="EI24" s="8">
        <v>18841858</v>
      </c>
      <c r="EJ24" s="8">
        <v>18841858</v>
      </c>
      <c r="EK24" s="8">
        <v>18841858</v>
      </c>
      <c r="EL24" s="8">
        <v>18841858</v>
      </c>
      <c r="EM24" s="8">
        <v>18841858</v>
      </c>
      <c r="EN24" s="8">
        <v>18841858</v>
      </c>
      <c r="EO24" s="9">
        <f t="shared" si="10"/>
        <v>18841858</v>
      </c>
      <c r="EP24" s="8">
        <v>15973417</v>
      </c>
      <c r="EQ24" s="8">
        <v>15973417</v>
      </c>
      <c r="ER24" s="8">
        <v>15973417</v>
      </c>
      <c r="ES24" s="8">
        <v>15973417</v>
      </c>
      <c r="ET24" s="8">
        <v>15973417</v>
      </c>
      <c r="EU24" s="8">
        <v>15973417</v>
      </c>
      <c r="EV24" s="8">
        <v>15973417</v>
      </c>
      <c r="EW24" s="8">
        <v>15973417</v>
      </c>
      <c r="EX24" s="8">
        <v>15973417</v>
      </c>
      <c r="EY24" s="8">
        <v>15973417</v>
      </c>
      <c r="EZ24" s="8">
        <v>15973417</v>
      </c>
      <c r="FA24" s="8">
        <v>15973417</v>
      </c>
      <c r="FB24" s="9">
        <f t="shared" si="11"/>
        <v>15973417</v>
      </c>
      <c r="FC24" s="8">
        <v>8237296</v>
      </c>
      <c r="FD24" s="8">
        <v>8237296</v>
      </c>
      <c r="FE24" s="8">
        <v>8237296</v>
      </c>
      <c r="FF24" s="8">
        <v>8237296</v>
      </c>
      <c r="FG24" s="8">
        <v>8237296</v>
      </c>
      <c r="FH24" s="8">
        <v>8237296</v>
      </c>
      <c r="FI24" s="8">
        <v>8237296</v>
      </c>
      <c r="FJ24" s="8"/>
      <c r="FK24" s="8"/>
      <c r="FL24" s="8"/>
      <c r="FM24" s="8"/>
      <c r="FN24" s="8"/>
      <c r="FO24" s="9">
        <f t="shared" si="12"/>
        <v>8237296</v>
      </c>
    </row>
    <row r="25" spans="2:171" ht="14.25" customHeight="1" x14ac:dyDescent="0.3">
      <c r="B25" s="7" t="s">
        <v>60</v>
      </c>
      <c r="C25" s="8">
        <v>11406728</v>
      </c>
      <c r="D25" s="8">
        <v>11406728</v>
      </c>
      <c r="E25" s="8">
        <v>11406728</v>
      </c>
      <c r="F25" s="8">
        <v>11406728</v>
      </c>
      <c r="G25" s="8">
        <v>11406728</v>
      </c>
      <c r="H25" s="8">
        <v>11406728</v>
      </c>
      <c r="I25" s="8">
        <v>11406728</v>
      </c>
      <c r="J25" s="8">
        <v>11406728</v>
      </c>
      <c r="K25" s="8">
        <v>11406728</v>
      </c>
      <c r="L25" s="8">
        <v>11406728</v>
      </c>
      <c r="M25" s="8">
        <v>11406728</v>
      </c>
      <c r="N25" s="8">
        <v>11406728</v>
      </c>
      <c r="O25" s="9">
        <f t="shared" si="0"/>
        <v>11406728</v>
      </c>
      <c r="P25" s="8">
        <v>8619188</v>
      </c>
      <c r="Q25" s="8">
        <v>8619188</v>
      </c>
      <c r="R25" s="8">
        <v>8619188</v>
      </c>
      <c r="S25" s="8">
        <v>8619188</v>
      </c>
      <c r="T25" s="8">
        <v>8619188</v>
      </c>
      <c r="U25" s="8">
        <v>8619188</v>
      </c>
      <c r="V25" s="8">
        <v>8619188</v>
      </c>
      <c r="W25" s="8">
        <v>8619188</v>
      </c>
      <c r="X25" s="8">
        <v>8619188</v>
      </c>
      <c r="Y25" s="8">
        <v>8619188</v>
      </c>
      <c r="Z25" s="8">
        <v>8619188</v>
      </c>
      <c r="AA25" s="8">
        <v>8619188</v>
      </c>
      <c r="AB25" s="9">
        <f t="shared" si="1"/>
        <v>8619188</v>
      </c>
      <c r="AC25" s="8">
        <v>8177486</v>
      </c>
      <c r="AD25" s="8">
        <v>8177486</v>
      </c>
      <c r="AE25" s="8">
        <v>8177486</v>
      </c>
      <c r="AF25" s="8">
        <v>8177486</v>
      </c>
      <c r="AG25" s="8">
        <v>8177486</v>
      </c>
      <c r="AH25" s="8">
        <v>8177486</v>
      </c>
      <c r="AI25" s="8">
        <v>8177486</v>
      </c>
      <c r="AJ25" s="8">
        <v>8177486</v>
      </c>
      <c r="AK25" s="8">
        <v>8177486</v>
      </c>
      <c r="AL25" s="8">
        <v>8177486</v>
      </c>
      <c r="AM25" s="8">
        <v>8177486</v>
      </c>
      <c r="AN25" s="8">
        <v>8177486</v>
      </c>
      <c r="AO25" s="9">
        <f t="shared" si="2"/>
        <v>8177486</v>
      </c>
      <c r="AP25" s="8">
        <v>10756255</v>
      </c>
      <c r="AQ25" s="8">
        <v>10756255</v>
      </c>
      <c r="AR25" s="8">
        <v>10756255</v>
      </c>
      <c r="AS25" s="8">
        <v>10756255</v>
      </c>
      <c r="AT25" s="8">
        <v>10756255</v>
      </c>
      <c r="AU25" s="8">
        <v>10756255</v>
      </c>
      <c r="AV25" s="8">
        <v>10756255</v>
      </c>
      <c r="AW25" s="8">
        <v>10756255</v>
      </c>
      <c r="AX25" s="8">
        <v>10756255</v>
      </c>
      <c r="AY25" s="8">
        <v>10756255</v>
      </c>
      <c r="AZ25" s="8">
        <v>10756255</v>
      </c>
      <c r="BA25" s="8">
        <v>10756255</v>
      </c>
      <c r="BB25" s="9">
        <f t="shared" si="3"/>
        <v>10756255</v>
      </c>
      <c r="BC25" s="8">
        <v>11496808</v>
      </c>
      <c r="BD25" s="8">
        <v>11496808</v>
      </c>
      <c r="BE25" s="8">
        <v>11496808</v>
      </c>
      <c r="BF25" s="8">
        <v>11496808</v>
      </c>
      <c r="BG25" s="8">
        <v>11496808</v>
      </c>
      <c r="BH25" s="8">
        <v>11496808</v>
      </c>
      <c r="BI25" s="8">
        <v>11496808</v>
      </c>
      <c r="BJ25" s="8">
        <v>11496808</v>
      </c>
      <c r="BK25" s="8">
        <v>11496808</v>
      </c>
      <c r="BL25" s="8">
        <v>11496808</v>
      </c>
      <c r="BM25" s="8">
        <v>11496808</v>
      </c>
      <c r="BN25" s="8">
        <v>11496808</v>
      </c>
      <c r="BO25" s="9">
        <f t="shared" si="4"/>
        <v>11496808</v>
      </c>
      <c r="BP25" s="8">
        <v>15389832</v>
      </c>
      <c r="BQ25" s="8">
        <v>15389832</v>
      </c>
      <c r="BR25" s="8">
        <v>15389832</v>
      </c>
      <c r="BS25" s="8">
        <v>15389832</v>
      </c>
      <c r="BT25" s="8">
        <v>15389832</v>
      </c>
      <c r="BU25" s="8">
        <v>15389832</v>
      </c>
      <c r="BV25" s="8">
        <v>15389832</v>
      </c>
      <c r="BW25" s="8">
        <v>15389832</v>
      </c>
      <c r="BX25" s="8">
        <v>15389832</v>
      </c>
      <c r="BY25" s="8">
        <v>15389832</v>
      </c>
      <c r="BZ25" s="8">
        <v>15389832</v>
      </c>
      <c r="CA25" s="8">
        <v>15389832</v>
      </c>
      <c r="CB25" s="9">
        <f t="shared" si="5"/>
        <v>15389832</v>
      </c>
      <c r="CC25" s="8">
        <v>12031468</v>
      </c>
      <c r="CD25" s="8">
        <v>12031468</v>
      </c>
      <c r="CE25" s="8">
        <v>12031468</v>
      </c>
      <c r="CF25" s="8">
        <v>12031468</v>
      </c>
      <c r="CG25" s="8">
        <v>12031468</v>
      </c>
      <c r="CH25" s="8">
        <v>12031468</v>
      </c>
      <c r="CI25" s="8">
        <v>12031468</v>
      </c>
      <c r="CJ25" s="8">
        <v>12031468</v>
      </c>
      <c r="CK25" s="8">
        <v>12031468</v>
      </c>
      <c r="CL25" s="8">
        <v>12031468</v>
      </c>
      <c r="CM25" s="8">
        <v>12031468</v>
      </c>
      <c r="CN25" s="8">
        <v>12031468</v>
      </c>
      <c r="CO25" s="9">
        <f t="shared" si="6"/>
        <v>12031468</v>
      </c>
      <c r="CP25" s="8">
        <v>9782662</v>
      </c>
      <c r="CQ25" s="8">
        <v>9782662</v>
      </c>
      <c r="CR25" s="8">
        <v>9782662</v>
      </c>
      <c r="CS25" s="8">
        <v>9782662</v>
      </c>
      <c r="CT25" s="8">
        <v>9782662</v>
      </c>
      <c r="CU25" s="8">
        <v>9782662</v>
      </c>
      <c r="CV25" s="8">
        <v>9782662</v>
      </c>
      <c r="CW25" s="8">
        <v>9782662</v>
      </c>
      <c r="CX25" s="8">
        <v>9782662</v>
      </c>
      <c r="CY25" s="8">
        <v>9782662</v>
      </c>
      <c r="CZ25" s="8">
        <v>9782662</v>
      </c>
      <c r="DA25" s="8">
        <v>9782662</v>
      </c>
      <c r="DB25" s="9">
        <f t="shared" si="7"/>
        <v>9782662</v>
      </c>
      <c r="DC25" s="8">
        <v>14902342</v>
      </c>
      <c r="DD25" s="8">
        <v>14902342</v>
      </c>
      <c r="DE25" s="8">
        <v>14902342</v>
      </c>
      <c r="DF25" s="8">
        <v>14902342</v>
      </c>
      <c r="DG25" s="8">
        <v>14902342</v>
      </c>
      <c r="DH25" s="8">
        <v>14902342</v>
      </c>
      <c r="DI25" s="8">
        <v>14902342</v>
      </c>
      <c r="DJ25" s="8">
        <v>14902342</v>
      </c>
      <c r="DK25" s="8">
        <v>14902342</v>
      </c>
      <c r="DL25" s="8">
        <v>14902342</v>
      </c>
      <c r="DM25" s="8">
        <v>14902342</v>
      </c>
      <c r="DN25" s="8">
        <v>14902342</v>
      </c>
      <c r="DO25" s="9">
        <f t="shared" si="8"/>
        <v>14902342</v>
      </c>
      <c r="DP25" s="8">
        <v>22127832</v>
      </c>
      <c r="DQ25" s="8">
        <v>22127832</v>
      </c>
      <c r="DR25" s="8">
        <v>22127832</v>
      </c>
      <c r="DS25" s="8">
        <v>22127832</v>
      </c>
      <c r="DT25" s="8">
        <v>22127832</v>
      </c>
      <c r="DU25" s="8">
        <v>22127832</v>
      </c>
      <c r="DV25" s="8">
        <v>22127832</v>
      </c>
      <c r="DW25" s="8">
        <v>22127832</v>
      </c>
      <c r="DX25" s="8">
        <v>22127832</v>
      </c>
      <c r="DY25" s="8">
        <v>22127832</v>
      </c>
      <c r="DZ25" s="8">
        <v>22127832</v>
      </c>
      <c r="EA25" s="8">
        <v>22127832</v>
      </c>
      <c r="EB25" s="9">
        <f t="shared" si="9"/>
        <v>22127832</v>
      </c>
      <c r="EC25" s="8">
        <v>22256093</v>
      </c>
      <c r="ED25" s="8">
        <v>22256093</v>
      </c>
      <c r="EE25" s="8">
        <v>22256093</v>
      </c>
      <c r="EF25" s="8">
        <v>22256093</v>
      </c>
      <c r="EG25" s="8">
        <v>22256093</v>
      </c>
      <c r="EH25" s="8">
        <v>22256093</v>
      </c>
      <c r="EI25" s="8">
        <v>22256093</v>
      </c>
      <c r="EJ25" s="8">
        <v>22256093</v>
      </c>
      <c r="EK25" s="8">
        <v>22256093</v>
      </c>
      <c r="EL25" s="8">
        <v>22256093</v>
      </c>
      <c r="EM25" s="8">
        <v>22256093</v>
      </c>
      <c r="EN25" s="8">
        <v>22256093</v>
      </c>
      <c r="EO25" s="9">
        <f t="shared" si="10"/>
        <v>22256093</v>
      </c>
      <c r="EP25" s="8">
        <v>21184028</v>
      </c>
      <c r="EQ25" s="8">
        <v>21184028</v>
      </c>
      <c r="ER25" s="8">
        <v>21184028</v>
      </c>
      <c r="ES25" s="8">
        <v>21184028</v>
      </c>
      <c r="ET25" s="8">
        <v>21184028</v>
      </c>
      <c r="EU25" s="8">
        <v>21184028</v>
      </c>
      <c r="EV25" s="8">
        <v>21184028</v>
      </c>
      <c r="EW25" s="8">
        <v>21184028</v>
      </c>
      <c r="EX25" s="8">
        <v>21184028</v>
      </c>
      <c r="EY25" s="8">
        <v>21184028</v>
      </c>
      <c r="EZ25" s="8">
        <v>21184028</v>
      </c>
      <c r="FA25" s="8">
        <v>21184028</v>
      </c>
      <c r="FB25" s="9">
        <f t="shared" si="11"/>
        <v>21184028</v>
      </c>
      <c r="FC25" s="8">
        <v>24770394</v>
      </c>
      <c r="FD25" s="8">
        <v>24770394</v>
      </c>
      <c r="FE25" s="8">
        <v>24770394</v>
      </c>
      <c r="FF25" s="8">
        <v>24770394</v>
      </c>
      <c r="FG25" s="8">
        <v>24770394</v>
      </c>
      <c r="FH25" s="8">
        <v>24770394</v>
      </c>
      <c r="FI25" s="8">
        <v>24770394</v>
      </c>
      <c r="FJ25" s="8"/>
      <c r="FK25" s="8"/>
      <c r="FL25" s="8"/>
      <c r="FM25" s="8"/>
      <c r="FN25" s="8"/>
      <c r="FO25" s="9">
        <f t="shared" si="12"/>
        <v>24770394</v>
      </c>
    </row>
    <row r="26" spans="2:171" ht="14.25" customHeight="1" x14ac:dyDescent="0.3">
      <c r="B26" s="14" t="s">
        <v>61</v>
      </c>
      <c r="C26" s="16">
        <f t="shared" ref="C26:AH26" si="13">SUM(C8:C25)</f>
        <v>350781874</v>
      </c>
      <c r="D26" s="16">
        <f t="shared" si="13"/>
        <v>350781874</v>
      </c>
      <c r="E26" s="16">
        <f t="shared" si="13"/>
        <v>352072796</v>
      </c>
      <c r="F26" s="16">
        <f t="shared" si="13"/>
        <v>352072796</v>
      </c>
      <c r="G26" s="16">
        <f t="shared" si="13"/>
        <v>352072796</v>
      </c>
      <c r="H26" s="16">
        <f t="shared" si="13"/>
        <v>352072796</v>
      </c>
      <c r="I26" s="16">
        <f t="shared" si="13"/>
        <v>352072796</v>
      </c>
      <c r="J26" s="16">
        <f t="shared" si="13"/>
        <v>352072796</v>
      </c>
      <c r="K26" s="16">
        <f t="shared" si="13"/>
        <v>352072796</v>
      </c>
      <c r="L26" s="16">
        <f t="shared" si="13"/>
        <v>352072796</v>
      </c>
      <c r="M26" s="16">
        <f t="shared" si="13"/>
        <v>352072796</v>
      </c>
      <c r="N26" s="16">
        <f t="shared" si="13"/>
        <v>352072796</v>
      </c>
      <c r="O26" s="16">
        <f t="shared" si="13"/>
        <v>352072796</v>
      </c>
      <c r="P26" s="16">
        <f t="shared" si="13"/>
        <v>433896298</v>
      </c>
      <c r="Q26" s="16">
        <f t="shared" si="13"/>
        <v>433896298</v>
      </c>
      <c r="R26" s="16">
        <f t="shared" si="13"/>
        <v>433896298</v>
      </c>
      <c r="S26" s="16">
        <f t="shared" si="13"/>
        <v>433896298</v>
      </c>
      <c r="T26" s="16">
        <f t="shared" si="13"/>
        <v>433896298</v>
      </c>
      <c r="U26" s="16">
        <f t="shared" si="13"/>
        <v>433896298</v>
      </c>
      <c r="V26" s="16">
        <f t="shared" si="13"/>
        <v>433896298</v>
      </c>
      <c r="W26" s="16">
        <f t="shared" si="13"/>
        <v>433896298</v>
      </c>
      <c r="X26" s="16">
        <f t="shared" si="13"/>
        <v>433896298</v>
      </c>
      <c r="Y26" s="16">
        <f t="shared" si="13"/>
        <v>433896298</v>
      </c>
      <c r="Z26" s="16">
        <f t="shared" si="13"/>
        <v>433896298</v>
      </c>
      <c r="AA26" s="16">
        <f t="shared" si="13"/>
        <v>433896298</v>
      </c>
      <c r="AB26" s="16">
        <f t="shared" si="13"/>
        <v>433896298</v>
      </c>
      <c r="AC26" s="16">
        <f t="shared" si="13"/>
        <v>399195398</v>
      </c>
      <c r="AD26" s="16">
        <f t="shared" si="13"/>
        <v>399195398</v>
      </c>
      <c r="AE26" s="16">
        <f t="shared" si="13"/>
        <v>399195398</v>
      </c>
      <c r="AF26" s="16">
        <f t="shared" si="13"/>
        <v>399195398</v>
      </c>
      <c r="AG26" s="16">
        <f t="shared" si="13"/>
        <v>399195398</v>
      </c>
      <c r="AH26" s="16">
        <f t="shared" si="13"/>
        <v>399195398</v>
      </c>
      <c r="AI26" s="16">
        <f t="shared" ref="AI26:BN26" si="14">SUM(AI8:AI25)</f>
        <v>399195398</v>
      </c>
      <c r="AJ26" s="16">
        <f t="shared" si="14"/>
        <v>399195398</v>
      </c>
      <c r="AK26" s="16">
        <f t="shared" si="14"/>
        <v>399195398</v>
      </c>
      <c r="AL26" s="16">
        <f t="shared" si="14"/>
        <v>399195398</v>
      </c>
      <c r="AM26" s="16">
        <f t="shared" si="14"/>
        <v>399195398</v>
      </c>
      <c r="AN26" s="16">
        <f t="shared" si="14"/>
        <v>399195398</v>
      </c>
      <c r="AO26" s="16">
        <f t="shared" si="14"/>
        <v>399195398</v>
      </c>
      <c r="AP26" s="16">
        <f t="shared" si="14"/>
        <v>452613545</v>
      </c>
      <c r="AQ26" s="16">
        <f t="shared" si="14"/>
        <v>452613545</v>
      </c>
      <c r="AR26" s="16">
        <f t="shared" si="14"/>
        <v>452613545</v>
      </c>
      <c r="AS26" s="16">
        <f t="shared" si="14"/>
        <v>452613545</v>
      </c>
      <c r="AT26" s="16">
        <f t="shared" si="14"/>
        <v>452613545</v>
      </c>
      <c r="AU26" s="16">
        <f t="shared" si="14"/>
        <v>452613545</v>
      </c>
      <c r="AV26" s="16">
        <f t="shared" si="14"/>
        <v>452613545</v>
      </c>
      <c r="AW26" s="16">
        <f t="shared" si="14"/>
        <v>452613545</v>
      </c>
      <c r="AX26" s="16">
        <f t="shared" si="14"/>
        <v>452613545</v>
      </c>
      <c r="AY26" s="16">
        <f t="shared" si="14"/>
        <v>452613545</v>
      </c>
      <c r="AZ26" s="16">
        <f t="shared" si="14"/>
        <v>452613545</v>
      </c>
      <c r="BA26" s="16">
        <f t="shared" si="14"/>
        <v>452613545</v>
      </c>
      <c r="BB26" s="16">
        <f t="shared" si="14"/>
        <v>452613545</v>
      </c>
      <c r="BC26" s="16">
        <f t="shared" si="14"/>
        <v>440734738</v>
      </c>
      <c r="BD26" s="16">
        <f t="shared" si="14"/>
        <v>440734738</v>
      </c>
      <c r="BE26" s="16">
        <f t="shared" si="14"/>
        <v>440734738</v>
      </c>
      <c r="BF26" s="16">
        <f t="shared" si="14"/>
        <v>440734738</v>
      </c>
      <c r="BG26" s="16">
        <f t="shared" si="14"/>
        <v>440734738</v>
      </c>
      <c r="BH26" s="16">
        <f t="shared" si="14"/>
        <v>440734738</v>
      </c>
      <c r="BI26" s="16">
        <f t="shared" si="14"/>
        <v>440734738</v>
      </c>
      <c r="BJ26" s="16">
        <f t="shared" si="14"/>
        <v>440734738</v>
      </c>
      <c r="BK26" s="16">
        <f t="shared" si="14"/>
        <v>440734738</v>
      </c>
      <c r="BL26" s="16">
        <f t="shared" si="14"/>
        <v>440734738</v>
      </c>
      <c r="BM26" s="16">
        <f t="shared" si="14"/>
        <v>440734738</v>
      </c>
      <c r="BN26" s="16">
        <f t="shared" si="14"/>
        <v>440734738</v>
      </c>
      <c r="BO26" s="16">
        <f t="shared" ref="BO26:CT26" si="15">SUM(BO8:BO25)</f>
        <v>440734738</v>
      </c>
      <c r="BP26" s="16">
        <f t="shared" si="15"/>
        <v>395848768</v>
      </c>
      <c r="BQ26" s="16">
        <f t="shared" si="15"/>
        <v>395848768</v>
      </c>
      <c r="BR26" s="16">
        <f t="shared" si="15"/>
        <v>395848768</v>
      </c>
      <c r="BS26" s="16">
        <f t="shared" si="15"/>
        <v>395848768</v>
      </c>
      <c r="BT26" s="16">
        <f t="shared" si="15"/>
        <v>395848768</v>
      </c>
      <c r="BU26" s="16">
        <f t="shared" si="15"/>
        <v>395848768</v>
      </c>
      <c r="BV26" s="16">
        <f t="shared" si="15"/>
        <v>395848768</v>
      </c>
      <c r="BW26" s="16">
        <f t="shared" si="15"/>
        <v>395848768</v>
      </c>
      <c r="BX26" s="16">
        <f t="shared" si="15"/>
        <v>395848768</v>
      </c>
      <c r="BY26" s="16">
        <f t="shared" si="15"/>
        <v>395848768</v>
      </c>
      <c r="BZ26" s="16">
        <f t="shared" si="15"/>
        <v>395848768</v>
      </c>
      <c r="CA26" s="16">
        <f t="shared" si="15"/>
        <v>395848768</v>
      </c>
      <c r="CB26" s="16">
        <f t="shared" si="15"/>
        <v>395848768</v>
      </c>
      <c r="CC26" s="16">
        <f t="shared" si="15"/>
        <v>442669895</v>
      </c>
      <c r="CD26" s="16">
        <f t="shared" si="15"/>
        <v>442669895</v>
      </c>
      <c r="CE26" s="16">
        <f t="shared" si="15"/>
        <v>442669895</v>
      </c>
      <c r="CF26" s="16">
        <f t="shared" si="15"/>
        <v>442669895</v>
      </c>
      <c r="CG26" s="16">
        <f t="shared" si="15"/>
        <v>442669895</v>
      </c>
      <c r="CH26" s="16">
        <f t="shared" si="15"/>
        <v>442669895</v>
      </c>
      <c r="CI26" s="16">
        <f t="shared" si="15"/>
        <v>442669895</v>
      </c>
      <c r="CJ26" s="16">
        <f t="shared" si="15"/>
        <v>442669895</v>
      </c>
      <c r="CK26" s="16">
        <f t="shared" si="15"/>
        <v>442669895</v>
      </c>
      <c r="CL26" s="16">
        <f t="shared" si="15"/>
        <v>442669895</v>
      </c>
      <c r="CM26" s="16">
        <f t="shared" si="15"/>
        <v>442669895</v>
      </c>
      <c r="CN26" s="16">
        <f t="shared" si="15"/>
        <v>442669895</v>
      </c>
      <c r="CO26" s="16">
        <f t="shared" si="15"/>
        <v>442669895</v>
      </c>
      <c r="CP26" s="16">
        <f t="shared" si="15"/>
        <v>469564689</v>
      </c>
      <c r="CQ26" s="16">
        <f t="shared" si="15"/>
        <v>469564689</v>
      </c>
      <c r="CR26" s="16">
        <f t="shared" si="15"/>
        <v>469564689</v>
      </c>
      <c r="CS26" s="16">
        <f t="shared" si="15"/>
        <v>469564689</v>
      </c>
      <c r="CT26" s="16">
        <f t="shared" si="15"/>
        <v>469564689</v>
      </c>
      <c r="CU26" s="16">
        <f t="shared" ref="CU26:DZ26" si="16">SUM(CU8:CU25)</f>
        <v>469564689</v>
      </c>
      <c r="CV26" s="16">
        <f t="shared" si="16"/>
        <v>469564689</v>
      </c>
      <c r="CW26" s="16">
        <f t="shared" si="16"/>
        <v>469564689</v>
      </c>
      <c r="CX26" s="16">
        <f t="shared" si="16"/>
        <v>469564689</v>
      </c>
      <c r="CY26" s="16">
        <f t="shared" si="16"/>
        <v>469564689</v>
      </c>
      <c r="CZ26" s="16">
        <f t="shared" si="16"/>
        <v>469564689</v>
      </c>
      <c r="DA26" s="16">
        <f t="shared" si="16"/>
        <v>469564689</v>
      </c>
      <c r="DB26" s="16">
        <f t="shared" si="16"/>
        <v>469564689</v>
      </c>
      <c r="DC26" s="16">
        <f t="shared" si="16"/>
        <v>532634315</v>
      </c>
      <c r="DD26" s="16">
        <f t="shared" si="16"/>
        <v>532634315</v>
      </c>
      <c r="DE26" s="16">
        <f t="shared" si="16"/>
        <v>532634315</v>
      </c>
      <c r="DF26" s="16">
        <f t="shared" si="16"/>
        <v>532634315</v>
      </c>
      <c r="DG26" s="16">
        <f t="shared" si="16"/>
        <v>532634315</v>
      </c>
      <c r="DH26" s="16">
        <f t="shared" si="16"/>
        <v>532634315</v>
      </c>
      <c r="DI26" s="16">
        <f t="shared" si="16"/>
        <v>532634315</v>
      </c>
      <c r="DJ26" s="16">
        <f t="shared" si="16"/>
        <v>532634315</v>
      </c>
      <c r="DK26" s="16">
        <f t="shared" si="16"/>
        <v>532634315</v>
      </c>
      <c r="DL26" s="16">
        <f t="shared" si="16"/>
        <v>532634315</v>
      </c>
      <c r="DM26" s="16">
        <f t="shared" si="16"/>
        <v>532634315</v>
      </c>
      <c r="DN26" s="16">
        <f t="shared" si="16"/>
        <v>532634315</v>
      </c>
      <c r="DO26" s="16">
        <f t="shared" si="16"/>
        <v>532634315</v>
      </c>
      <c r="DP26" s="16">
        <f t="shared" si="16"/>
        <v>542047913</v>
      </c>
      <c r="DQ26" s="16">
        <f t="shared" si="16"/>
        <v>542047913</v>
      </c>
      <c r="DR26" s="16">
        <f t="shared" si="16"/>
        <v>542047913</v>
      </c>
      <c r="DS26" s="16">
        <f t="shared" si="16"/>
        <v>542047913</v>
      </c>
      <c r="DT26" s="16">
        <f t="shared" si="16"/>
        <v>542047913</v>
      </c>
      <c r="DU26" s="16">
        <f t="shared" si="16"/>
        <v>542047913</v>
      </c>
      <c r="DV26" s="16">
        <f t="shared" si="16"/>
        <v>542047913</v>
      </c>
      <c r="DW26" s="16">
        <f t="shared" si="16"/>
        <v>542047913</v>
      </c>
      <c r="DX26" s="16">
        <f t="shared" si="16"/>
        <v>542047913</v>
      </c>
      <c r="DY26" s="16">
        <f t="shared" si="16"/>
        <v>542047913</v>
      </c>
      <c r="DZ26" s="16">
        <f t="shared" si="16"/>
        <v>542047913</v>
      </c>
      <c r="EA26" s="16">
        <f t="shared" ref="EA26:FF26" si="17">SUM(EA8:EA25)</f>
        <v>542047913</v>
      </c>
      <c r="EB26" s="16">
        <f t="shared" si="17"/>
        <v>542047913</v>
      </c>
      <c r="EC26" s="16">
        <f t="shared" si="17"/>
        <v>560704016</v>
      </c>
      <c r="ED26" s="16">
        <f t="shared" si="17"/>
        <v>560704016</v>
      </c>
      <c r="EE26" s="16">
        <f t="shared" si="17"/>
        <v>560704016</v>
      </c>
      <c r="EF26" s="16">
        <f t="shared" si="17"/>
        <v>560704016</v>
      </c>
      <c r="EG26" s="16">
        <f t="shared" si="17"/>
        <v>560704016</v>
      </c>
      <c r="EH26" s="16">
        <f t="shared" si="17"/>
        <v>560704016</v>
      </c>
      <c r="EI26" s="16">
        <f t="shared" si="17"/>
        <v>560704016</v>
      </c>
      <c r="EJ26" s="16">
        <f t="shared" si="17"/>
        <v>560704016</v>
      </c>
      <c r="EK26" s="16">
        <f t="shared" si="17"/>
        <v>560704016</v>
      </c>
      <c r="EL26" s="16">
        <f t="shared" si="17"/>
        <v>560704016</v>
      </c>
      <c r="EM26" s="16">
        <f t="shared" si="17"/>
        <v>560704016</v>
      </c>
      <c r="EN26" s="16">
        <f t="shared" si="17"/>
        <v>560704016</v>
      </c>
      <c r="EO26" s="16">
        <f t="shared" si="17"/>
        <v>560704016</v>
      </c>
      <c r="EP26" s="16">
        <f t="shared" si="17"/>
        <v>502221494</v>
      </c>
      <c r="EQ26" s="16">
        <f t="shared" si="17"/>
        <v>502221494</v>
      </c>
      <c r="ER26" s="16">
        <f t="shared" si="17"/>
        <v>502221494</v>
      </c>
      <c r="ES26" s="16">
        <f t="shared" si="17"/>
        <v>502221494</v>
      </c>
      <c r="ET26" s="16">
        <f t="shared" si="17"/>
        <v>502221494</v>
      </c>
      <c r="EU26" s="16">
        <f t="shared" si="17"/>
        <v>502221494</v>
      </c>
      <c r="EV26" s="16">
        <f t="shared" si="17"/>
        <v>502221494</v>
      </c>
      <c r="EW26" s="16">
        <f t="shared" si="17"/>
        <v>502221494</v>
      </c>
      <c r="EX26" s="16">
        <f t="shared" si="17"/>
        <v>502221494</v>
      </c>
      <c r="EY26" s="16">
        <f t="shared" si="17"/>
        <v>502221494</v>
      </c>
      <c r="EZ26" s="16">
        <f t="shared" si="17"/>
        <v>502221494</v>
      </c>
      <c r="FA26" s="16">
        <f t="shared" si="17"/>
        <v>502221494</v>
      </c>
      <c r="FB26" s="16">
        <f t="shared" si="17"/>
        <v>502221494</v>
      </c>
      <c r="FC26" s="16">
        <f t="shared" si="17"/>
        <v>465461219</v>
      </c>
      <c r="FD26" s="16">
        <f t="shared" si="17"/>
        <v>465461219</v>
      </c>
      <c r="FE26" s="16">
        <f t="shared" si="17"/>
        <v>465461219</v>
      </c>
      <c r="FF26" s="16">
        <f t="shared" si="17"/>
        <v>465461219</v>
      </c>
      <c r="FG26" s="16">
        <f t="shared" ref="FG26:GL26" si="18">SUM(FG8:FG25)</f>
        <v>465461219</v>
      </c>
      <c r="FH26" s="16">
        <f t="shared" si="18"/>
        <v>465461219</v>
      </c>
      <c r="FI26" s="16">
        <f t="shared" si="18"/>
        <v>465461219</v>
      </c>
      <c r="FJ26" s="16">
        <f t="shared" si="18"/>
        <v>0</v>
      </c>
      <c r="FK26" s="16">
        <f t="shared" si="18"/>
        <v>0</v>
      </c>
      <c r="FL26" s="16">
        <f t="shared" si="18"/>
        <v>0</v>
      </c>
      <c r="FM26" s="16">
        <f t="shared" si="18"/>
        <v>0</v>
      </c>
      <c r="FN26" s="16">
        <f t="shared" si="18"/>
        <v>0</v>
      </c>
      <c r="FO26" s="16">
        <f t="shared" si="18"/>
        <v>465461219</v>
      </c>
    </row>
    <row r="27" spans="2:171" ht="14.25" customHeight="1" x14ac:dyDescent="0.3">
      <c r="B27" s="4" t="s">
        <v>62</v>
      </c>
    </row>
    <row r="28" spans="2:171" ht="14.25" customHeight="1" x14ac:dyDescent="0.3">
      <c r="C28" s="33" t="s">
        <v>4</v>
      </c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3" t="s">
        <v>5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3" t="s">
        <v>6</v>
      </c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3" t="s">
        <v>7</v>
      </c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3" t="s">
        <v>8</v>
      </c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3" t="s">
        <v>9</v>
      </c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3" t="s">
        <v>10</v>
      </c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3" t="s">
        <v>11</v>
      </c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3" t="s">
        <v>12</v>
      </c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3" t="s">
        <v>13</v>
      </c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3" t="s">
        <v>14</v>
      </c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3" t="s">
        <v>15</v>
      </c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3" t="s">
        <v>16</v>
      </c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</row>
    <row r="29" spans="2:171" ht="14.25" customHeight="1" x14ac:dyDescent="0.3">
      <c r="B29" s="5" t="s">
        <v>17</v>
      </c>
      <c r="C29" s="6" t="s">
        <v>18</v>
      </c>
      <c r="D29" s="6" t="s">
        <v>19</v>
      </c>
      <c r="E29" s="6" t="s">
        <v>20</v>
      </c>
      <c r="F29" s="6" t="s">
        <v>21</v>
      </c>
      <c r="G29" s="6" t="s">
        <v>22</v>
      </c>
      <c r="H29" s="6" t="s">
        <v>23</v>
      </c>
      <c r="I29" s="6" t="s">
        <v>24</v>
      </c>
      <c r="J29" s="6" t="s">
        <v>25</v>
      </c>
      <c r="K29" s="6" t="s">
        <v>26</v>
      </c>
      <c r="L29" s="6" t="s">
        <v>27</v>
      </c>
      <c r="M29" s="6" t="s">
        <v>28</v>
      </c>
      <c r="N29" s="6" t="s">
        <v>29</v>
      </c>
      <c r="O29" s="6" t="s">
        <v>30</v>
      </c>
      <c r="P29" s="6" t="s">
        <v>18</v>
      </c>
      <c r="Q29" s="6" t="s">
        <v>19</v>
      </c>
      <c r="R29" s="6" t="s">
        <v>20</v>
      </c>
      <c r="S29" s="6" t="s">
        <v>21</v>
      </c>
      <c r="T29" s="6" t="s">
        <v>22</v>
      </c>
      <c r="U29" s="6" t="s">
        <v>23</v>
      </c>
      <c r="V29" s="6" t="s">
        <v>24</v>
      </c>
      <c r="W29" s="6" t="s">
        <v>25</v>
      </c>
      <c r="X29" s="6" t="s">
        <v>26</v>
      </c>
      <c r="Y29" s="6" t="s">
        <v>27</v>
      </c>
      <c r="Z29" s="6" t="s">
        <v>28</v>
      </c>
      <c r="AA29" s="6" t="s">
        <v>29</v>
      </c>
      <c r="AB29" s="6" t="s">
        <v>31</v>
      </c>
      <c r="AC29" s="6" t="s">
        <v>18</v>
      </c>
      <c r="AD29" s="6" t="s">
        <v>19</v>
      </c>
      <c r="AE29" s="6" t="s">
        <v>20</v>
      </c>
      <c r="AF29" s="6" t="s">
        <v>21</v>
      </c>
      <c r="AG29" s="6" t="s">
        <v>22</v>
      </c>
      <c r="AH29" s="6" t="s">
        <v>23</v>
      </c>
      <c r="AI29" s="6" t="s">
        <v>24</v>
      </c>
      <c r="AJ29" s="6" t="s">
        <v>25</v>
      </c>
      <c r="AK29" s="6" t="s">
        <v>26</v>
      </c>
      <c r="AL29" s="6" t="s">
        <v>27</v>
      </c>
      <c r="AM29" s="6" t="s">
        <v>28</v>
      </c>
      <c r="AN29" s="6" t="s">
        <v>29</v>
      </c>
      <c r="AO29" s="6" t="s">
        <v>32</v>
      </c>
      <c r="AP29" s="6" t="s">
        <v>18</v>
      </c>
      <c r="AQ29" s="6" t="s">
        <v>19</v>
      </c>
      <c r="AR29" s="6" t="s">
        <v>20</v>
      </c>
      <c r="AS29" s="6" t="s">
        <v>21</v>
      </c>
      <c r="AT29" s="6" t="s">
        <v>22</v>
      </c>
      <c r="AU29" s="6" t="s">
        <v>23</v>
      </c>
      <c r="AV29" s="6" t="s">
        <v>24</v>
      </c>
      <c r="AW29" s="6" t="s">
        <v>25</v>
      </c>
      <c r="AX29" s="6" t="s">
        <v>26</v>
      </c>
      <c r="AY29" s="6" t="s">
        <v>27</v>
      </c>
      <c r="AZ29" s="6" t="s">
        <v>28</v>
      </c>
      <c r="BA29" s="6" t="s">
        <v>29</v>
      </c>
      <c r="BB29" s="6" t="s">
        <v>33</v>
      </c>
      <c r="BC29" s="6" t="s">
        <v>18</v>
      </c>
      <c r="BD29" s="6" t="s">
        <v>19</v>
      </c>
      <c r="BE29" s="6" t="s">
        <v>20</v>
      </c>
      <c r="BF29" s="6" t="s">
        <v>21</v>
      </c>
      <c r="BG29" s="6" t="s">
        <v>22</v>
      </c>
      <c r="BH29" s="6" t="s">
        <v>23</v>
      </c>
      <c r="BI29" s="6" t="s">
        <v>24</v>
      </c>
      <c r="BJ29" s="6" t="s">
        <v>25</v>
      </c>
      <c r="BK29" s="6" t="s">
        <v>26</v>
      </c>
      <c r="BL29" s="6" t="s">
        <v>27</v>
      </c>
      <c r="BM29" s="6" t="s">
        <v>28</v>
      </c>
      <c r="BN29" s="6" t="s">
        <v>29</v>
      </c>
      <c r="BO29" s="6" t="s">
        <v>34</v>
      </c>
      <c r="BP29" s="6" t="s">
        <v>18</v>
      </c>
      <c r="BQ29" s="6" t="s">
        <v>19</v>
      </c>
      <c r="BR29" s="6" t="s">
        <v>20</v>
      </c>
      <c r="BS29" s="6" t="s">
        <v>21</v>
      </c>
      <c r="BT29" s="6" t="s">
        <v>22</v>
      </c>
      <c r="BU29" s="6" t="s">
        <v>23</v>
      </c>
      <c r="BV29" s="6" t="s">
        <v>24</v>
      </c>
      <c r="BW29" s="6" t="s">
        <v>25</v>
      </c>
      <c r="BX29" s="6" t="s">
        <v>26</v>
      </c>
      <c r="BY29" s="6" t="s">
        <v>27</v>
      </c>
      <c r="BZ29" s="6" t="s">
        <v>28</v>
      </c>
      <c r="CA29" s="6" t="s">
        <v>29</v>
      </c>
      <c r="CB29" s="6" t="s">
        <v>35</v>
      </c>
      <c r="CC29" s="6" t="s">
        <v>18</v>
      </c>
      <c r="CD29" s="6" t="s">
        <v>19</v>
      </c>
      <c r="CE29" s="6" t="s">
        <v>20</v>
      </c>
      <c r="CF29" s="6" t="s">
        <v>21</v>
      </c>
      <c r="CG29" s="6" t="s">
        <v>22</v>
      </c>
      <c r="CH29" s="6" t="s">
        <v>23</v>
      </c>
      <c r="CI29" s="6" t="s">
        <v>24</v>
      </c>
      <c r="CJ29" s="6" t="s">
        <v>25</v>
      </c>
      <c r="CK29" s="6" t="s">
        <v>26</v>
      </c>
      <c r="CL29" s="6" t="s">
        <v>27</v>
      </c>
      <c r="CM29" s="6" t="s">
        <v>28</v>
      </c>
      <c r="CN29" s="6" t="s">
        <v>29</v>
      </c>
      <c r="CO29" s="6" t="s">
        <v>36</v>
      </c>
      <c r="CP29" s="6" t="s">
        <v>18</v>
      </c>
      <c r="CQ29" s="6" t="s">
        <v>19</v>
      </c>
      <c r="CR29" s="6" t="s">
        <v>20</v>
      </c>
      <c r="CS29" s="6" t="s">
        <v>21</v>
      </c>
      <c r="CT29" s="6" t="s">
        <v>22</v>
      </c>
      <c r="CU29" s="6" t="s">
        <v>23</v>
      </c>
      <c r="CV29" s="6" t="s">
        <v>24</v>
      </c>
      <c r="CW29" s="6" t="s">
        <v>25</v>
      </c>
      <c r="CX29" s="6" t="s">
        <v>26</v>
      </c>
      <c r="CY29" s="6" t="s">
        <v>27</v>
      </c>
      <c r="CZ29" s="6" t="s">
        <v>28</v>
      </c>
      <c r="DA29" s="6" t="s">
        <v>29</v>
      </c>
      <c r="DB29" s="6" t="s">
        <v>37</v>
      </c>
      <c r="DC29" s="6" t="s">
        <v>18</v>
      </c>
      <c r="DD29" s="6" t="s">
        <v>19</v>
      </c>
      <c r="DE29" s="6" t="s">
        <v>20</v>
      </c>
      <c r="DF29" s="6" t="s">
        <v>21</v>
      </c>
      <c r="DG29" s="6" t="s">
        <v>22</v>
      </c>
      <c r="DH29" s="6" t="s">
        <v>23</v>
      </c>
      <c r="DI29" s="6" t="s">
        <v>24</v>
      </c>
      <c r="DJ29" s="6" t="s">
        <v>25</v>
      </c>
      <c r="DK29" s="6" t="s">
        <v>26</v>
      </c>
      <c r="DL29" s="6" t="s">
        <v>27</v>
      </c>
      <c r="DM29" s="6" t="s">
        <v>28</v>
      </c>
      <c r="DN29" s="6" t="s">
        <v>29</v>
      </c>
      <c r="DO29" s="6" t="s">
        <v>38</v>
      </c>
      <c r="DP29" s="6" t="s">
        <v>18</v>
      </c>
      <c r="DQ29" s="6" t="s">
        <v>19</v>
      </c>
      <c r="DR29" s="6" t="s">
        <v>20</v>
      </c>
      <c r="DS29" s="6" t="s">
        <v>21</v>
      </c>
      <c r="DT29" s="6" t="s">
        <v>22</v>
      </c>
      <c r="DU29" s="6" t="s">
        <v>23</v>
      </c>
      <c r="DV29" s="6" t="s">
        <v>24</v>
      </c>
      <c r="DW29" s="6" t="s">
        <v>25</v>
      </c>
      <c r="DX29" s="6" t="s">
        <v>26</v>
      </c>
      <c r="DY29" s="6" t="s">
        <v>27</v>
      </c>
      <c r="DZ29" s="6" t="s">
        <v>28</v>
      </c>
      <c r="EA29" s="6" t="s">
        <v>29</v>
      </c>
      <c r="EB29" s="6" t="s">
        <v>39</v>
      </c>
      <c r="EC29" s="6" t="s">
        <v>18</v>
      </c>
      <c r="ED29" s="6" t="s">
        <v>19</v>
      </c>
      <c r="EE29" s="6" t="s">
        <v>20</v>
      </c>
      <c r="EF29" s="6" t="s">
        <v>21</v>
      </c>
      <c r="EG29" s="6" t="s">
        <v>22</v>
      </c>
      <c r="EH29" s="6" t="s">
        <v>23</v>
      </c>
      <c r="EI29" s="6" t="s">
        <v>24</v>
      </c>
      <c r="EJ29" s="6" t="s">
        <v>25</v>
      </c>
      <c r="EK29" s="6" t="s">
        <v>26</v>
      </c>
      <c r="EL29" s="6" t="s">
        <v>27</v>
      </c>
      <c r="EM29" s="6" t="s">
        <v>28</v>
      </c>
      <c r="EN29" s="6" t="s">
        <v>29</v>
      </c>
      <c r="EO29" s="6" t="s">
        <v>40</v>
      </c>
      <c r="EP29" s="6" t="s">
        <v>18</v>
      </c>
      <c r="EQ29" s="6" t="s">
        <v>19</v>
      </c>
      <c r="ER29" s="6" t="s">
        <v>20</v>
      </c>
      <c r="ES29" s="6" t="s">
        <v>21</v>
      </c>
      <c r="ET29" s="6" t="s">
        <v>22</v>
      </c>
      <c r="EU29" s="6" t="s">
        <v>23</v>
      </c>
      <c r="EV29" s="6" t="s">
        <v>24</v>
      </c>
      <c r="EW29" s="6" t="s">
        <v>25</v>
      </c>
      <c r="EX29" s="6" t="s">
        <v>26</v>
      </c>
      <c r="EY29" s="6" t="s">
        <v>27</v>
      </c>
      <c r="EZ29" s="6" t="s">
        <v>28</v>
      </c>
      <c r="FA29" s="6" t="s">
        <v>29</v>
      </c>
      <c r="FB29" s="6" t="s">
        <v>41</v>
      </c>
      <c r="FC29" s="6" t="s">
        <v>18</v>
      </c>
      <c r="FD29" s="6" t="s">
        <v>19</v>
      </c>
      <c r="FE29" s="6" t="s">
        <v>20</v>
      </c>
      <c r="FF29" s="6" t="s">
        <v>21</v>
      </c>
      <c r="FG29" s="6" t="s">
        <v>22</v>
      </c>
      <c r="FH29" s="6" t="s">
        <v>23</v>
      </c>
      <c r="FI29" s="6" t="s">
        <v>24</v>
      </c>
      <c r="FJ29" s="6" t="s">
        <v>25</v>
      </c>
      <c r="FK29" s="6" t="s">
        <v>26</v>
      </c>
      <c r="FL29" s="6" t="s">
        <v>27</v>
      </c>
      <c r="FM29" s="6" t="s">
        <v>28</v>
      </c>
      <c r="FN29" s="6" t="s">
        <v>29</v>
      </c>
      <c r="FO29" s="6" t="s">
        <v>42</v>
      </c>
    </row>
    <row r="30" spans="2:171" ht="14.25" customHeight="1" x14ac:dyDescent="0.3">
      <c r="B30" s="7" t="s">
        <v>43</v>
      </c>
      <c r="C30" s="8">
        <v>46689781</v>
      </c>
      <c r="D30" s="8">
        <v>46689781</v>
      </c>
      <c r="E30" s="8">
        <v>36108344</v>
      </c>
      <c r="F30" s="8">
        <v>36108344</v>
      </c>
      <c r="G30" s="8">
        <v>35108344</v>
      </c>
      <c r="H30" s="8">
        <v>35051835</v>
      </c>
      <c r="I30" s="8">
        <v>35051835</v>
      </c>
      <c r="J30" s="8">
        <v>30460971</v>
      </c>
      <c r="K30" s="8">
        <v>27254831</v>
      </c>
      <c r="L30" s="8">
        <v>27083752</v>
      </c>
      <c r="M30" s="8">
        <v>26230314</v>
      </c>
      <c r="N30" s="8">
        <v>25082082</v>
      </c>
      <c r="O30" s="9">
        <f t="shared" ref="O30:O47" si="19">N30</f>
        <v>25082082</v>
      </c>
      <c r="P30" s="8">
        <v>52447510</v>
      </c>
      <c r="Q30" s="8">
        <v>34707828</v>
      </c>
      <c r="R30" s="8">
        <v>34637698</v>
      </c>
      <c r="S30" s="8">
        <v>34637698</v>
      </c>
      <c r="T30" s="8">
        <v>34577698</v>
      </c>
      <c r="U30" s="8">
        <v>34213379</v>
      </c>
      <c r="V30" s="8">
        <v>33826803</v>
      </c>
      <c r="W30" s="8">
        <v>33964676</v>
      </c>
      <c r="X30" s="8">
        <v>34237560</v>
      </c>
      <c r="Y30" s="8">
        <v>31614904</v>
      </c>
      <c r="Z30" s="8">
        <v>31384850</v>
      </c>
      <c r="AA30" s="8">
        <v>27202285</v>
      </c>
      <c r="AB30" s="9">
        <f t="shared" ref="AB30:AB47" si="20">AA30</f>
        <v>27202285</v>
      </c>
      <c r="AC30" s="8">
        <v>49700606</v>
      </c>
      <c r="AD30" s="8">
        <v>29051988</v>
      </c>
      <c r="AE30" s="8">
        <v>28882887</v>
      </c>
      <c r="AF30" s="8">
        <v>28882887</v>
      </c>
      <c r="AG30" s="8">
        <v>28814489</v>
      </c>
      <c r="AH30" s="8">
        <v>28814489</v>
      </c>
      <c r="AI30" s="8">
        <v>28739993</v>
      </c>
      <c r="AJ30" s="8">
        <v>28639393</v>
      </c>
      <c r="AK30" s="8">
        <v>28639393</v>
      </c>
      <c r="AL30" s="8">
        <v>28573867</v>
      </c>
      <c r="AM30" s="8">
        <v>28561967</v>
      </c>
      <c r="AN30" s="8">
        <v>27769919</v>
      </c>
      <c r="AO30" s="9">
        <f t="shared" ref="AO30:AO47" si="21">AN30</f>
        <v>27769919</v>
      </c>
      <c r="AP30" s="8">
        <v>45980831</v>
      </c>
      <c r="AQ30" s="8">
        <v>29828531</v>
      </c>
      <c r="AR30" s="8">
        <v>29828531</v>
      </c>
      <c r="AS30" s="8">
        <v>29785271</v>
      </c>
      <c r="AT30" s="8">
        <v>29785271</v>
      </c>
      <c r="AU30" s="8">
        <v>29837531</v>
      </c>
      <c r="AV30" s="8">
        <v>29837531</v>
      </c>
      <c r="AW30" s="8">
        <v>29703072</v>
      </c>
      <c r="AX30" s="8">
        <v>29703072</v>
      </c>
      <c r="AY30" s="8">
        <v>29738991</v>
      </c>
      <c r="AZ30" s="8">
        <v>29239385</v>
      </c>
      <c r="BA30" s="8">
        <v>29123116</v>
      </c>
      <c r="BB30" s="9">
        <f t="shared" ref="BB30:BB47" si="22">BA30</f>
        <v>29123116</v>
      </c>
      <c r="BC30" s="8">
        <v>45443730</v>
      </c>
      <c r="BD30" s="8">
        <v>32561425</v>
      </c>
      <c r="BE30" s="8">
        <v>32561425</v>
      </c>
      <c r="BF30" s="8">
        <v>32561425</v>
      </c>
      <c r="BG30" s="8">
        <v>32561425</v>
      </c>
      <c r="BH30" s="8">
        <v>32561425</v>
      </c>
      <c r="BI30" s="8">
        <v>32504329</v>
      </c>
      <c r="BJ30" s="8">
        <v>32732984</v>
      </c>
      <c r="BK30" s="8">
        <v>32732984</v>
      </c>
      <c r="BL30" s="8">
        <v>31962688</v>
      </c>
      <c r="BM30" s="8">
        <v>31506727</v>
      </c>
      <c r="BN30" s="8">
        <v>30554750</v>
      </c>
      <c r="BO30" s="9">
        <f t="shared" ref="BO30:BO47" si="23">BN30</f>
        <v>30554750</v>
      </c>
      <c r="BP30" s="8">
        <v>51220903</v>
      </c>
      <c r="BQ30" s="8">
        <v>51220903</v>
      </c>
      <c r="BR30" s="8">
        <v>36026667</v>
      </c>
      <c r="BS30" s="8">
        <v>36026667</v>
      </c>
      <c r="BT30" s="8">
        <v>36026667</v>
      </c>
      <c r="BU30" s="8">
        <v>36026667</v>
      </c>
      <c r="BV30" s="8">
        <v>34946790</v>
      </c>
      <c r="BW30" s="8">
        <v>34745372</v>
      </c>
      <c r="BX30" s="8">
        <v>36026667</v>
      </c>
      <c r="BY30" s="8">
        <v>51220903</v>
      </c>
      <c r="BZ30" s="8">
        <v>51220903</v>
      </c>
      <c r="CA30" s="8">
        <v>38081494</v>
      </c>
      <c r="CB30" s="9">
        <f t="shared" ref="CB30:CB47" si="24">CA30</f>
        <v>38081494</v>
      </c>
      <c r="CC30" s="8">
        <v>51587816</v>
      </c>
      <c r="CD30" s="8">
        <v>51587816</v>
      </c>
      <c r="CE30" s="8">
        <v>51587816</v>
      </c>
      <c r="CF30" s="8">
        <v>45777900</v>
      </c>
      <c r="CG30" s="8">
        <v>45777900</v>
      </c>
      <c r="CH30" s="8">
        <v>45919780</v>
      </c>
      <c r="CI30" s="8">
        <v>46321227</v>
      </c>
      <c r="CJ30" s="8">
        <v>46321227</v>
      </c>
      <c r="CK30" s="8">
        <v>36664247</v>
      </c>
      <c r="CL30" s="8">
        <v>36102413</v>
      </c>
      <c r="CM30" s="8">
        <v>36087871</v>
      </c>
      <c r="CN30" s="8">
        <v>35129581</v>
      </c>
      <c r="CO30" s="9">
        <f t="shared" ref="CO30:CO47" si="25">CN30</f>
        <v>35129581</v>
      </c>
      <c r="CP30" s="8">
        <v>35339308</v>
      </c>
      <c r="CQ30" s="8">
        <v>34095082</v>
      </c>
      <c r="CR30" s="8">
        <v>30900763</v>
      </c>
      <c r="CS30" s="8">
        <v>30000165</v>
      </c>
      <c r="CT30" s="8">
        <v>28431391</v>
      </c>
      <c r="CU30" s="8">
        <v>28482712</v>
      </c>
      <c r="CV30" s="8">
        <v>28482712</v>
      </c>
      <c r="CW30" s="8">
        <v>28482712</v>
      </c>
      <c r="CX30" s="8">
        <v>28482712</v>
      </c>
      <c r="CY30" s="8">
        <v>26544090</v>
      </c>
      <c r="CZ30" s="8">
        <v>27401071</v>
      </c>
      <c r="DA30" s="8">
        <v>26558777</v>
      </c>
      <c r="DB30" s="9">
        <f t="shared" ref="DB30:DB47" si="26">DA30</f>
        <v>26558777</v>
      </c>
      <c r="DC30" s="8">
        <v>22751821</v>
      </c>
      <c r="DD30" s="8">
        <v>14162616</v>
      </c>
      <c r="DE30" s="8">
        <v>14162616</v>
      </c>
      <c r="DF30" s="8">
        <v>14162616</v>
      </c>
      <c r="DG30" s="8">
        <v>14094265</v>
      </c>
      <c r="DH30" s="8">
        <v>14094265</v>
      </c>
      <c r="DI30" s="8">
        <v>13994333</v>
      </c>
      <c r="DJ30" s="8">
        <v>14199833</v>
      </c>
      <c r="DK30" s="8">
        <v>14199833</v>
      </c>
      <c r="DL30" s="8">
        <v>14215569</v>
      </c>
      <c r="DM30" s="8">
        <v>13257545</v>
      </c>
      <c r="DN30" s="8">
        <v>11513633</v>
      </c>
      <c r="DO30" s="9">
        <f t="shared" ref="DO30:DO47" si="27">DN30</f>
        <v>11513633</v>
      </c>
      <c r="DP30" s="8">
        <v>22326757</v>
      </c>
      <c r="DQ30" s="8">
        <v>12413948</v>
      </c>
      <c r="DR30" s="8">
        <v>12413948</v>
      </c>
      <c r="DS30" s="8">
        <v>12169459</v>
      </c>
      <c r="DT30" s="8">
        <v>11694537</v>
      </c>
      <c r="DU30" s="8">
        <v>11453537</v>
      </c>
      <c r="DV30" s="8">
        <v>11207907</v>
      </c>
      <c r="DW30" s="8">
        <v>11175513</v>
      </c>
      <c r="DX30" s="8">
        <v>11175513</v>
      </c>
      <c r="DY30" s="8">
        <v>11175513</v>
      </c>
      <c r="DZ30" s="8">
        <v>3304471</v>
      </c>
      <c r="EA30" s="8">
        <v>2258817</v>
      </c>
      <c r="EB30" s="9">
        <f t="shared" ref="EB30:EB47" si="28">EA30</f>
        <v>2258817</v>
      </c>
      <c r="EC30" s="8">
        <v>65885700</v>
      </c>
      <c r="ED30" s="8">
        <v>65885700</v>
      </c>
      <c r="EE30" s="8">
        <v>40863396</v>
      </c>
      <c r="EF30" s="8">
        <v>40863396</v>
      </c>
      <c r="EG30" s="8">
        <v>40441434</v>
      </c>
      <c r="EH30" s="8">
        <v>40130157</v>
      </c>
      <c r="EI30" s="8">
        <v>40110894</v>
      </c>
      <c r="EJ30" s="8">
        <v>35322619</v>
      </c>
      <c r="EK30" s="8">
        <v>31954975</v>
      </c>
      <c r="EL30" s="8">
        <v>31882527</v>
      </c>
      <c r="EM30" s="8">
        <v>19631668</v>
      </c>
      <c r="EN30" s="8">
        <v>1858597</v>
      </c>
      <c r="EO30" s="9">
        <f t="shared" ref="EO30:EO47" si="29">EN30</f>
        <v>1858597</v>
      </c>
      <c r="EP30" s="8">
        <v>31496963</v>
      </c>
      <c r="EQ30" s="8">
        <v>21938918</v>
      </c>
      <c r="ER30" s="8">
        <v>17774772</v>
      </c>
      <c r="ES30" s="8">
        <v>17594772</v>
      </c>
      <c r="ET30" s="8">
        <v>17439772</v>
      </c>
      <c r="EU30" s="8">
        <v>16908124</v>
      </c>
      <c r="EV30" s="8">
        <v>10908124</v>
      </c>
      <c r="EW30" s="8">
        <v>10908124</v>
      </c>
      <c r="EX30" s="8">
        <v>10908124</v>
      </c>
      <c r="EY30" s="8">
        <v>4377527</v>
      </c>
      <c r="EZ30" s="8">
        <v>4377527</v>
      </c>
      <c r="FA30" s="8">
        <v>2042428</v>
      </c>
      <c r="FB30" s="9">
        <f t="shared" ref="FB30:FB47" si="30">FA30</f>
        <v>2042428</v>
      </c>
      <c r="FC30" s="8">
        <v>15772873</v>
      </c>
      <c r="FD30" s="8">
        <v>15772873</v>
      </c>
      <c r="FE30" s="8">
        <v>15772873</v>
      </c>
      <c r="FF30" s="8">
        <v>15772873</v>
      </c>
      <c r="FG30" s="8">
        <v>3763881</v>
      </c>
      <c r="FH30" s="8">
        <v>3874066</v>
      </c>
      <c r="FI30" s="8">
        <v>2591940</v>
      </c>
      <c r="FJ30" s="8"/>
      <c r="FK30" s="8"/>
      <c r="FL30" s="8"/>
      <c r="FM30" s="8"/>
      <c r="FN30" s="8"/>
      <c r="FO30" s="9">
        <f t="shared" ref="FO30:FO47" si="31">FI30</f>
        <v>2591940</v>
      </c>
    </row>
    <row r="31" spans="2:171" ht="14.25" customHeight="1" x14ac:dyDescent="0.3">
      <c r="B31" s="7" t="s">
        <v>44</v>
      </c>
      <c r="C31" s="8">
        <v>11852830</v>
      </c>
      <c r="D31" s="8">
        <v>11852830</v>
      </c>
      <c r="E31" s="8">
        <v>11852830</v>
      </c>
      <c r="F31" s="8">
        <v>11852830</v>
      </c>
      <c r="G31" s="8">
        <v>11852830</v>
      </c>
      <c r="H31" s="8">
        <v>11852830</v>
      </c>
      <c r="I31" s="8">
        <v>11852830</v>
      </c>
      <c r="J31" s="8">
        <v>11852830</v>
      </c>
      <c r="K31" s="8">
        <v>11852830</v>
      </c>
      <c r="L31" s="8">
        <v>11852830</v>
      </c>
      <c r="M31" s="8">
        <v>11852830</v>
      </c>
      <c r="N31" s="8">
        <v>11623749</v>
      </c>
      <c r="O31" s="9">
        <f t="shared" si="19"/>
        <v>11623749</v>
      </c>
      <c r="P31" s="8">
        <v>12432312</v>
      </c>
      <c r="Q31" s="8">
        <v>15452289</v>
      </c>
      <c r="R31" s="8">
        <v>15452289</v>
      </c>
      <c r="S31" s="8">
        <v>15452289</v>
      </c>
      <c r="T31" s="8">
        <v>15452289</v>
      </c>
      <c r="U31" s="8">
        <v>15452289</v>
      </c>
      <c r="V31" s="8">
        <v>15452289</v>
      </c>
      <c r="W31" s="8">
        <v>15463341</v>
      </c>
      <c r="X31" s="8">
        <v>15463341</v>
      </c>
      <c r="Y31" s="8">
        <v>15653813</v>
      </c>
      <c r="Z31" s="8">
        <v>15653813</v>
      </c>
      <c r="AA31" s="8">
        <v>15653813</v>
      </c>
      <c r="AB31" s="9">
        <f t="shared" si="20"/>
        <v>15653813</v>
      </c>
      <c r="AC31" s="8">
        <v>15376817</v>
      </c>
      <c r="AD31" s="8">
        <v>15376817</v>
      </c>
      <c r="AE31" s="8">
        <v>15545918</v>
      </c>
      <c r="AF31" s="8">
        <v>15545918</v>
      </c>
      <c r="AG31" s="8">
        <v>15545918</v>
      </c>
      <c r="AH31" s="8">
        <v>15545918</v>
      </c>
      <c r="AI31" s="8">
        <v>15545918</v>
      </c>
      <c r="AJ31" s="8">
        <v>16102418</v>
      </c>
      <c r="AK31" s="8">
        <v>16102418</v>
      </c>
      <c r="AL31" s="8">
        <v>16102418</v>
      </c>
      <c r="AM31" s="8">
        <v>16102418</v>
      </c>
      <c r="AN31" s="8">
        <v>16102418</v>
      </c>
      <c r="AO31" s="9">
        <f t="shared" si="21"/>
        <v>16102418</v>
      </c>
      <c r="AP31" s="8">
        <v>19125128</v>
      </c>
      <c r="AQ31" s="8">
        <v>19125128</v>
      </c>
      <c r="AR31" s="8">
        <v>19125128</v>
      </c>
      <c r="AS31" s="8">
        <v>19125128</v>
      </c>
      <c r="AT31" s="8">
        <v>19125128</v>
      </c>
      <c r="AU31" s="8">
        <v>19125128</v>
      </c>
      <c r="AV31" s="8">
        <v>19125128</v>
      </c>
      <c r="AW31" s="8">
        <v>19125128</v>
      </c>
      <c r="AX31" s="8">
        <v>19125128</v>
      </c>
      <c r="AY31" s="8">
        <v>19125128</v>
      </c>
      <c r="AZ31" s="8">
        <v>19125128</v>
      </c>
      <c r="BA31" s="8">
        <v>19125128</v>
      </c>
      <c r="BB31" s="9">
        <f t="shared" si="22"/>
        <v>19125128</v>
      </c>
      <c r="BC31" s="8">
        <v>22875150</v>
      </c>
      <c r="BD31" s="8">
        <v>22875150</v>
      </c>
      <c r="BE31" s="8">
        <v>22875150</v>
      </c>
      <c r="BF31" s="8">
        <v>22875150</v>
      </c>
      <c r="BG31" s="8">
        <v>22875150</v>
      </c>
      <c r="BH31" s="8">
        <v>22875150</v>
      </c>
      <c r="BI31" s="8">
        <v>22875150</v>
      </c>
      <c r="BJ31" s="8">
        <v>22875150</v>
      </c>
      <c r="BK31" s="8">
        <v>22875150</v>
      </c>
      <c r="BL31" s="8">
        <v>22875150</v>
      </c>
      <c r="BM31" s="8">
        <v>22875150</v>
      </c>
      <c r="BN31" s="8">
        <v>20559175</v>
      </c>
      <c r="BO31" s="9">
        <f t="shared" si="23"/>
        <v>20559175</v>
      </c>
      <c r="BP31" s="8">
        <v>23805335</v>
      </c>
      <c r="BQ31" s="8">
        <v>23805335</v>
      </c>
      <c r="BR31" s="8">
        <v>23805335</v>
      </c>
      <c r="BS31" s="8">
        <v>23805335</v>
      </c>
      <c r="BT31" s="8">
        <v>23805335</v>
      </c>
      <c r="BU31" s="8">
        <v>23805335</v>
      </c>
      <c r="BV31" s="8">
        <v>23805335</v>
      </c>
      <c r="BW31" s="8">
        <v>23805335</v>
      </c>
      <c r="BX31" s="8">
        <v>24082775</v>
      </c>
      <c r="BY31" s="8">
        <v>24082775</v>
      </c>
      <c r="BZ31" s="8">
        <v>24082775</v>
      </c>
      <c r="CA31" s="8">
        <v>23199865</v>
      </c>
      <c r="CB31" s="9">
        <f t="shared" si="24"/>
        <v>23199865</v>
      </c>
      <c r="CC31" s="8">
        <v>30005711</v>
      </c>
      <c r="CD31" s="8">
        <v>30005711</v>
      </c>
      <c r="CE31" s="8">
        <v>30005711</v>
      </c>
      <c r="CF31" s="8">
        <v>30005711</v>
      </c>
      <c r="CG31" s="8">
        <v>30005711</v>
      </c>
      <c r="CH31" s="8">
        <v>30005711</v>
      </c>
      <c r="CI31" s="8">
        <v>30005711</v>
      </c>
      <c r="CJ31" s="8">
        <v>30005711</v>
      </c>
      <c r="CK31" s="8">
        <v>24363947</v>
      </c>
      <c r="CL31" s="8">
        <v>24363947</v>
      </c>
      <c r="CM31" s="8">
        <v>24363947</v>
      </c>
      <c r="CN31" s="8">
        <v>23514290</v>
      </c>
      <c r="CO31" s="9">
        <f t="shared" si="25"/>
        <v>23514290</v>
      </c>
      <c r="CP31" s="8">
        <v>28313204</v>
      </c>
      <c r="CQ31" s="8">
        <v>30808704</v>
      </c>
      <c r="CR31" s="8">
        <v>30808704</v>
      </c>
      <c r="CS31" s="8">
        <v>30808704</v>
      </c>
      <c r="CT31" s="8">
        <v>30808704</v>
      </c>
      <c r="CU31" s="8">
        <v>30808704</v>
      </c>
      <c r="CV31" s="8">
        <v>30808704</v>
      </c>
      <c r="CW31" s="8">
        <v>30808704</v>
      </c>
      <c r="CX31" s="8">
        <v>30808704</v>
      </c>
      <c r="CY31" s="8">
        <v>30808704</v>
      </c>
      <c r="CZ31" s="8">
        <v>30808704</v>
      </c>
      <c r="DA31" s="8">
        <v>30377501</v>
      </c>
      <c r="DB31" s="9">
        <f t="shared" si="26"/>
        <v>30377501</v>
      </c>
      <c r="DC31" s="8">
        <v>26279513</v>
      </c>
      <c r="DD31" s="8">
        <v>26279513</v>
      </c>
      <c r="DE31" s="8">
        <v>26279513</v>
      </c>
      <c r="DF31" s="8">
        <v>26279513</v>
      </c>
      <c r="DG31" s="8">
        <v>26279513</v>
      </c>
      <c r="DH31" s="8">
        <v>26279513</v>
      </c>
      <c r="DI31" s="8">
        <v>26279513</v>
      </c>
      <c r="DJ31" s="8">
        <v>26279513</v>
      </c>
      <c r="DK31" s="8">
        <v>26279513</v>
      </c>
      <c r="DL31" s="8">
        <v>26279513</v>
      </c>
      <c r="DM31" s="8">
        <v>23402444</v>
      </c>
      <c r="DN31" s="8">
        <v>23403944</v>
      </c>
      <c r="DO31" s="9">
        <f t="shared" si="27"/>
        <v>23403944</v>
      </c>
      <c r="DP31" s="8">
        <v>23921092</v>
      </c>
      <c r="DQ31" s="8">
        <v>23921092</v>
      </c>
      <c r="DR31" s="8">
        <v>23921092</v>
      </c>
      <c r="DS31" s="8">
        <v>23921092</v>
      </c>
      <c r="DT31" s="8">
        <v>23921092</v>
      </c>
      <c r="DU31" s="8">
        <v>23921092</v>
      </c>
      <c r="DV31" s="8">
        <v>23998690</v>
      </c>
      <c r="DW31" s="8">
        <v>23998690</v>
      </c>
      <c r="DX31" s="8">
        <v>23998690</v>
      </c>
      <c r="DY31" s="8">
        <v>23998690</v>
      </c>
      <c r="DZ31" s="8">
        <v>23228459</v>
      </c>
      <c r="EA31" s="8">
        <v>22242755</v>
      </c>
      <c r="EB31" s="9">
        <f t="shared" si="28"/>
        <v>22242755</v>
      </c>
      <c r="EC31" s="8">
        <v>32623118</v>
      </c>
      <c r="ED31" s="8">
        <v>32623118</v>
      </c>
      <c r="EE31" s="8">
        <v>32623118</v>
      </c>
      <c r="EF31" s="8">
        <v>32623118</v>
      </c>
      <c r="EG31" s="8">
        <v>32623118</v>
      </c>
      <c r="EH31" s="8">
        <v>32623118</v>
      </c>
      <c r="EI31" s="8">
        <v>32623118</v>
      </c>
      <c r="EJ31" s="8">
        <v>32388971</v>
      </c>
      <c r="EK31" s="8">
        <v>31969868</v>
      </c>
      <c r="EL31" s="8">
        <v>31969868</v>
      </c>
      <c r="EM31" s="8">
        <v>28971461</v>
      </c>
      <c r="EN31" s="8">
        <v>27933416</v>
      </c>
      <c r="EO31" s="9">
        <f t="shared" si="29"/>
        <v>27933416</v>
      </c>
      <c r="EP31" s="8">
        <v>31388552</v>
      </c>
      <c r="EQ31" s="8">
        <v>31388552</v>
      </c>
      <c r="ER31" s="8">
        <v>31388552</v>
      </c>
      <c r="ES31" s="8">
        <v>31388552</v>
      </c>
      <c r="ET31" s="8">
        <v>31388552</v>
      </c>
      <c r="EU31" s="8">
        <v>31388552</v>
      </c>
      <c r="EV31" s="8">
        <v>31388552</v>
      </c>
      <c r="EW31" s="8">
        <v>31388552</v>
      </c>
      <c r="EX31" s="8">
        <v>31388552</v>
      </c>
      <c r="EY31" s="8">
        <v>31049772</v>
      </c>
      <c r="EZ31" s="8">
        <v>31049772</v>
      </c>
      <c r="FA31" s="8">
        <v>30251792</v>
      </c>
      <c r="FB31" s="9">
        <f t="shared" si="30"/>
        <v>30251792</v>
      </c>
      <c r="FC31" s="8">
        <v>32099544</v>
      </c>
      <c r="FD31" s="8">
        <v>32099544</v>
      </c>
      <c r="FE31" s="8">
        <v>32099544</v>
      </c>
      <c r="FF31" s="8">
        <v>32099544</v>
      </c>
      <c r="FG31" s="8">
        <v>32099544</v>
      </c>
      <c r="FH31" s="8">
        <v>32099544</v>
      </c>
      <c r="FI31" s="8">
        <v>32099544</v>
      </c>
      <c r="FJ31" s="8"/>
      <c r="FK31" s="8"/>
      <c r="FL31" s="8"/>
      <c r="FM31" s="8"/>
      <c r="FN31" s="8"/>
      <c r="FO31" s="9">
        <f t="shared" si="31"/>
        <v>32099544</v>
      </c>
    </row>
    <row r="32" spans="2:171" ht="14.25" customHeight="1" x14ac:dyDescent="0.3">
      <c r="B32" s="7" t="s">
        <v>45</v>
      </c>
      <c r="C32" s="8">
        <v>5502314</v>
      </c>
      <c r="D32" s="8">
        <v>5502314</v>
      </c>
      <c r="E32" s="8">
        <v>5975273</v>
      </c>
      <c r="F32" s="8">
        <v>5975273</v>
      </c>
      <c r="G32" s="8">
        <v>5975273</v>
      </c>
      <c r="H32" s="8">
        <v>5975273</v>
      </c>
      <c r="I32" s="8">
        <v>5975273</v>
      </c>
      <c r="J32" s="8">
        <v>6076123</v>
      </c>
      <c r="K32" s="8">
        <v>6081001</v>
      </c>
      <c r="L32" s="8">
        <v>6070217</v>
      </c>
      <c r="M32" s="8">
        <v>6070217</v>
      </c>
      <c r="N32" s="8">
        <v>5726238</v>
      </c>
      <c r="O32" s="9">
        <f t="shared" si="19"/>
        <v>5726238</v>
      </c>
      <c r="P32" s="8">
        <v>7116496</v>
      </c>
      <c r="Q32" s="8">
        <v>7918169</v>
      </c>
      <c r="R32" s="8">
        <v>7918169</v>
      </c>
      <c r="S32" s="8">
        <v>7918169</v>
      </c>
      <c r="T32" s="8">
        <v>8068747</v>
      </c>
      <c r="U32" s="8">
        <v>8068747</v>
      </c>
      <c r="V32" s="8">
        <v>8068747</v>
      </c>
      <c r="W32" s="8">
        <v>8521337</v>
      </c>
      <c r="X32" s="8">
        <v>8521337</v>
      </c>
      <c r="Y32" s="8">
        <v>8741191</v>
      </c>
      <c r="Z32" s="8">
        <v>8741191</v>
      </c>
      <c r="AA32" s="8">
        <v>8051916</v>
      </c>
      <c r="AB32" s="9">
        <f t="shared" si="20"/>
        <v>8051916</v>
      </c>
      <c r="AC32" s="8">
        <v>7118243</v>
      </c>
      <c r="AD32" s="8">
        <v>8303389</v>
      </c>
      <c r="AE32" s="8">
        <v>9807240</v>
      </c>
      <c r="AF32" s="8">
        <v>9807240</v>
      </c>
      <c r="AG32" s="8">
        <v>9807240</v>
      </c>
      <c r="AH32" s="8">
        <v>9807240</v>
      </c>
      <c r="AI32" s="8">
        <v>10530390</v>
      </c>
      <c r="AJ32" s="8">
        <v>10530390</v>
      </c>
      <c r="AK32" s="8">
        <v>10530390</v>
      </c>
      <c r="AL32" s="8">
        <v>10530390</v>
      </c>
      <c r="AM32" s="8">
        <v>9994370</v>
      </c>
      <c r="AN32" s="8">
        <v>9419196</v>
      </c>
      <c r="AO32" s="9">
        <f t="shared" si="21"/>
        <v>9419196</v>
      </c>
      <c r="AP32" s="8">
        <v>6360483</v>
      </c>
      <c r="AQ32" s="8">
        <v>7408519</v>
      </c>
      <c r="AR32" s="8">
        <v>7408519</v>
      </c>
      <c r="AS32" s="8">
        <v>7408519</v>
      </c>
      <c r="AT32" s="8">
        <v>7408519</v>
      </c>
      <c r="AU32" s="8">
        <v>7542057</v>
      </c>
      <c r="AV32" s="8">
        <v>7685652</v>
      </c>
      <c r="AW32" s="8">
        <v>7685652</v>
      </c>
      <c r="AX32" s="8">
        <v>8741294</v>
      </c>
      <c r="AY32" s="8">
        <v>9731912</v>
      </c>
      <c r="AZ32" s="8">
        <v>9712114</v>
      </c>
      <c r="BA32" s="8">
        <v>9325032</v>
      </c>
      <c r="BB32" s="9">
        <f t="shared" si="22"/>
        <v>9325032</v>
      </c>
      <c r="BC32" s="8">
        <v>8905218</v>
      </c>
      <c r="BD32" s="8">
        <v>9754722</v>
      </c>
      <c r="BE32" s="8">
        <v>9754722</v>
      </c>
      <c r="BF32" s="8">
        <v>9754722</v>
      </c>
      <c r="BG32" s="8">
        <v>9754722</v>
      </c>
      <c r="BH32" s="8">
        <v>9754722</v>
      </c>
      <c r="BI32" s="8">
        <v>9725723</v>
      </c>
      <c r="BJ32" s="8">
        <v>8926953</v>
      </c>
      <c r="BK32" s="8">
        <v>8926953</v>
      </c>
      <c r="BL32" s="8">
        <v>7126953</v>
      </c>
      <c r="BM32" s="8">
        <v>7126953</v>
      </c>
      <c r="BN32" s="8">
        <v>5732079</v>
      </c>
      <c r="BO32" s="9">
        <f t="shared" si="23"/>
        <v>5732079</v>
      </c>
      <c r="BP32" s="8">
        <v>5657692</v>
      </c>
      <c r="BQ32" s="8">
        <v>5657692</v>
      </c>
      <c r="BR32" s="8">
        <v>6371024</v>
      </c>
      <c r="BS32" s="8">
        <v>6371024</v>
      </c>
      <c r="BT32" s="8">
        <v>6220569</v>
      </c>
      <c r="BU32" s="8">
        <v>5955169</v>
      </c>
      <c r="BV32" s="8">
        <v>5955169</v>
      </c>
      <c r="BW32" s="8">
        <v>5256757</v>
      </c>
      <c r="BX32" s="8">
        <v>5256757</v>
      </c>
      <c r="BY32" s="8">
        <v>5256757</v>
      </c>
      <c r="BZ32" s="8">
        <v>5256757</v>
      </c>
      <c r="CA32" s="8">
        <v>3514334</v>
      </c>
      <c r="CB32" s="9">
        <f t="shared" si="24"/>
        <v>3514334</v>
      </c>
      <c r="CC32" s="8">
        <v>8447722</v>
      </c>
      <c r="CD32" s="8">
        <v>8447722</v>
      </c>
      <c r="CE32" s="8">
        <v>8447722</v>
      </c>
      <c r="CF32" s="8">
        <v>7952427</v>
      </c>
      <c r="CG32" s="8">
        <v>7952427</v>
      </c>
      <c r="CH32" s="8">
        <v>7952427</v>
      </c>
      <c r="CI32" s="8">
        <v>7952427</v>
      </c>
      <c r="CJ32" s="8">
        <v>7952427</v>
      </c>
      <c r="CK32" s="8">
        <v>7952427</v>
      </c>
      <c r="CL32" s="8">
        <v>7867785</v>
      </c>
      <c r="CM32" s="8">
        <v>7867785</v>
      </c>
      <c r="CN32" s="8">
        <v>5737629</v>
      </c>
      <c r="CO32" s="9">
        <f t="shared" si="25"/>
        <v>5737629</v>
      </c>
      <c r="CP32" s="8">
        <v>10293909</v>
      </c>
      <c r="CQ32" s="8">
        <v>10084346</v>
      </c>
      <c r="CR32" s="8">
        <v>10084346</v>
      </c>
      <c r="CS32" s="8">
        <v>10084346</v>
      </c>
      <c r="CT32" s="8">
        <v>9752272</v>
      </c>
      <c r="CU32" s="8">
        <v>9660314</v>
      </c>
      <c r="CV32" s="8">
        <v>10182785</v>
      </c>
      <c r="CW32" s="8">
        <v>10182785</v>
      </c>
      <c r="CX32" s="8">
        <v>10182785</v>
      </c>
      <c r="CY32" s="8">
        <v>10341874</v>
      </c>
      <c r="CZ32" s="8">
        <v>9584765</v>
      </c>
      <c r="DA32" s="8">
        <v>8277587</v>
      </c>
      <c r="DB32" s="9">
        <f t="shared" si="26"/>
        <v>8277587</v>
      </c>
      <c r="DC32" s="8">
        <v>8027524</v>
      </c>
      <c r="DD32" s="8">
        <v>8983763</v>
      </c>
      <c r="DE32" s="8">
        <v>8983763</v>
      </c>
      <c r="DF32" s="8">
        <v>8983763</v>
      </c>
      <c r="DG32" s="8">
        <v>8983763</v>
      </c>
      <c r="DH32" s="8">
        <v>8983763</v>
      </c>
      <c r="DI32" s="8">
        <v>8402412</v>
      </c>
      <c r="DJ32" s="8">
        <v>8402412</v>
      </c>
      <c r="DK32" s="8">
        <v>8402412</v>
      </c>
      <c r="DL32" s="8">
        <v>8402412</v>
      </c>
      <c r="DM32" s="8">
        <v>7108557</v>
      </c>
      <c r="DN32" s="8">
        <v>6707203</v>
      </c>
      <c r="DO32" s="9">
        <f t="shared" si="27"/>
        <v>6707203</v>
      </c>
      <c r="DP32" s="8">
        <v>9623696</v>
      </c>
      <c r="DQ32" s="8">
        <v>9643166</v>
      </c>
      <c r="DR32" s="8">
        <v>9643166</v>
      </c>
      <c r="DS32" s="8">
        <v>9643166</v>
      </c>
      <c r="DT32" s="8">
        <v>9643166</v>
      </c>
      <c r="DU32" s="8">
        <v>9643166</v>
      </c>
      <c r="DV32" s="8">
        <v>9643166</v>
      </c>
      <c r="DW32" s="8">
        <v>6911926</v>
      </c>
      <c r="DX32" s="8">
        <v>6911926</v>
      </c>
      <c r="DY32" s="8">
        <v>6911926</v>
      </c>
      <c r="DZ32" s="8">
        <v>5346460</v>
      </c>
      <c r="EA32" s="8">
        <v>5348904</v>
      </c>
      <c r="EB32" s="9">
        <f t="shared" si="28"/>
        <v>5348904</v>
      </c>
      <c r="EC32" s="8">
        <v>7002032</v>
      </c>
      <c r="ED32" s="8">
        <v>7002032</v>
      </c>
      <c r="EE32" s="8">
        <v>7171646</v>
      </c>
      <c r="EF32" s="8">
        <v>7171646</v>
      </c>
      <c r="EG32" s="8">
        <v>6646025</v>
      </c>
      <c r="EH32" s="8">
        <v>6646025</v>
      </c>
      <c r="EI32" s="8">
        <v>6646025</v>
      </c>
      <c r="EJ32" s="8">
        <v>6646025</v>
      </c>
      <c r="EK32" s="8">
        <v>6646025</v>
      </c>
      <c r="EL32" s="8">
        <v>6646025</v>
      </c>
      <c r="EM32" s="8">
        <v>6646025</v>
      </c>
      <c r="EN32" s="8">
        <v>4403210</v>
      </c>
      <c r="EO32" s="9">
        <f t="shared" si="29"/>
        <v>4403210</v>
      </c>
      <c r="EP32" s="8">
        <v>7819491</v>
      </c>
      <c r="EQ32" s="8">
        <v>8230260</v>
      </c>
      <c r="ER32" s="8">
        <v>10011051</v>
      </c>
      <c r="ES32" s="8">
        <v>10424875</v>
      </c>
      <c r="ET32" s="8">
        <v>10424875</v>
      </c>
      <c r="EU32" s="8">
        <v>10424875</v>
      </c>
      <c r="EV32" s="8">
        <v>10424875</v>
      </c>
      <c r="EW32" s="8">
        <v>10424875</v>
      </c>
      <c r="EX32" s="8">
        <v>10424875</v>
      </c>
      <c r="EY32" s="8">
        <v>10350160</v>
      </c>
      <c r="EZ32" s="8">
        <v>10350160</v>
      </c>
      <c r="FA32" s="8">
        <v>9544096</v>
      </c>
      <c r="FB32" s="9">
        <f t="shared" si="30"/>
        <v>9544096</v>
      </c>
      <c r="FC32" s="8">
        <v>2323330</v>
      </c>
      <c r="FD32" s="8">
        <v>2323330</v>
      </c>
      <c r="FE32" s="8">
        <v>2323330</v>
      </c>
      <c r="FF32" s="8">
        <v>2323330</v>
      </c>
      <c r="FG32" s="8">
        <v>2764330</v>
      </c>
      <c r="FH32" s="8">
        <v>3209529</v>
      </c>
      <c r="FI32" s="8">
        <v>3209529</v>
      </c>
      <c r="FJ32" s="8"/>
      <c r="FK32" s="8"/>
      <c r="FL32" s="8"/>
      <c r="FM32" s="8"/>
      <c r="FN32" s="8"/>
      <c r="FO32" s="9">
        <f t="shared" si="31"/>
        <v>3209529</v>
      </c>
    </row>
    <row r="33" spans="2:171" ht="14.25" customHeight="1" x14ac:dyDescent="0.3">
      <c r="B33" s="7" t="s">
        <v>46</v>
      </c>
      <c r="C33" s="8">
        <v>17762256</v>
      </c>
      <c r="D33" s="8">
        <v>17762256</v>
      </c>
      <c r="E33" s="8">
        <v>16843046</v>
      </c>
      <c r="F33" s="8">
        <v>15777268</v>
      </c>
      <c r="G33" s="8">
        <v>15328807</v>
      </c>
      <c r="H33" s="8">
        <v>15328807</v>
      </c>
      <c r="I33" s="8">
        <v>15328807</v>
      </c>
      <c r="J33" s="8">
        <v>14379335</v>
      </c>
      <c r="K33" s="8">
        <v>15106156</v>
      </c>
      <c r="L33" s="8">
        <v>12897017</v>
      </c>
      <c r="M33" s="8">
        <v>11231074</v>
      </c>
      <c r="N33" s="8">
        <v>10238076</v>
      </c>
      <c r="O33" s="9">
        <f t="shared" si="19"/>
        <v>10238076</v>
      </c>
      <c r="P33" s="8">
        <v>21803885</v>
      </c>
      <c r="Q33" s="8">
        <v>22132341</v>
      </c>
      <c r="R33" s="8">
        <v>24937185</v>
      </c>
      <c r="S33" s="8">
        <v>25576034</v>
      </c>
      <c r="T33" s="8">
        <v>25728577</v>
      </c>
      <c r="U33" s="8">
        <v>25728577</v>
      </c>
      <c r="V33" s="8">
        <v>25905683</v>
      </c>
      <c r="W33" s="8">
        <v>25905683</v>
      </c>
      <c r="X33" s="8">
        <v>25905683</v>
      </c>
      <c r="Y33" s="8">
        <v>25735021</v>
      </c>
      <c r="Z33" s="8">
        <v>23856857</v>
      </c>
      <c r="AA33" s="8">
        <v>21579945</v>
      </c>
      <c r="AB33" s="9">
        <f t="shared" si="20"/>
        <v>21579945</v>
      </c>
      <c r="AC33" s="8">
        <v>20753826</v>
      </c>
      <c r="AD33" s="8">
        <v>21247771</v>
      </c>
      <c r="AE33" s="8">
        <v>21247771</v>
      </c>
      <c r="AF33" s="8">
        <v>21247771</v>
      </c>
      <c r="AG33" s="8">
        <v>23956472</v>
      </c>
      <c r="AH33" s="8">
        <v>23956472</v>
      </c>
      <c r="AI33" s="8">
        <v>23956472</v>
      </c>
      <c r="AJ33" s="8">
        <v>23956472</v>
      </c>
      <c r="AK33" s="8">
        <v>23956472</v>
      </c>
      <c r="AL33" s="8">
        <v>23956472</v>
      </c>
      <c r="AM33" s="8">
        <v>22883013</v>
      </c>
      <c r="AN33" s="8">
        <v>21082046</v>
      </c>
      <c r="AO33" s="9">
        <f t="shared" si="21"/>
        <v>21082046</v>
      </c>
      <c r="AP33" s="8">
        <v>19705469</v>
      </c>
      <c r="AQ33" s="8">
        <v>20496863</v>
      </c>
      <c r="AR33" s="8">
        <v>20496863</v>
      </c>
      <c r="AS33" s="8">
        <v>20496863</v>
      </c>
      <c r="AT33" s="8">
        <v>18696863</v>
      </c>
      <c r="AU33" s="8">
        <v>18438053</v>
      </c>
      <c r="AV33" s="8">
        <v>18192873</v>
      </c>
      <c r="AW33" s="8">
        <v>18242873</v>
      </c>
      <c r="AX33" s="8">
        <v>15496860</v>
      </c>
      <c r="AY33" s="8">
        <v>15917562</v>
      </c>
      <c r="AZ33" s="8">
        <v>14889946</v>
      </c>
      <c r="BA33" s="8">
        <v>13127480</v>
      </c>
      <c r="BB33" s="9">
        <f t="shared" si="22"/>
        <v>13127480</v>
      </c>
      <c r="BC33" s="8">
        <v>20697782</v>
      </c>
      <c r="BD33" s="8">
        <v>21356232</v>
      </c>
      <c r="BE33" s="8">
        <v>21356232</v>
      </c>
      <c r="BF33" s="8">
        <v>21356232</v>
      </c>
      <c r="BG33" s="8">
        <v>21356232</v>
      </c>
      <c r="BH33" s="8">
        <v>21356232</v>
      </c>
      <c r="BI33" s="8">
        <v>21356232</v>
      </c>
      <c r="BJ33" s="8">
        <v>22033428</v>
      </c>
      <c r="BK33" s="8">
        <v>22033428</v>
      </c>
      <c r="BL33" s="8">
        <v>17880851</v>
      </c>
      <c r="BM33" s="8">
        <v>17880851</v>
      </c>
      <c r="BN33" s="8">
        <v>12103850</v>
      </c>
      <c r="BO33" s="9">
        <f t="shared" si="23"/>
        <v>12103850</v>
      </c>
      <c r="BP33" s="8">
        <v>12609240</v>
      </c>
      <c r="BQ33" s="8">
        <v>13569680</v>
      </c>
      <c r="BR33" s="8">
        <v>13633063</v>
      </c>
      <c r="BS33" s="8">
        <v>13836663</v>
      </c>
      <c r="BT33" s="8">
        <v>13916153</v>
      </c>
      <c r="BU33" s="8">
        <v>14370533</v>
      </c>
      <c r="BV33" s="8">
        <v>15029835</v>
      </c>
      <c r="BW33" s="8">
        <v>15029835</v>
      </c>
      <c r="BX33" s="8">
        <v>15029835</v>
      </c>
      <c r="BY33" s="8">
        <v>15029835</v>
      </c>
      <c r="BZ33" s="8">
        <v>15029835</v>
      </c>
      <c r="CA33" s="8">
        <v>12459105</v>
      </c>
      <c r="CB33" s="9">
        <f t="shared" si="24"/>
        <v>12459105</v>
      </c>
      <c r="CC33" s="8">
        <v>8704861</v>
      </c>
      <c r="CD33" s="8">
        <v>8704861</v>
      </c>
      <c r="CE33" s="8">
        <v>8704861</v>
      </c>
      <c r="CF33" s="8">
        <v>10539515</v>
      </c>
      <c r="CG33" s="8">
        <v>10539515</v>
      </c>
      <c r="CH33" s="8">
        <v>10539515</v>
      </c>
      <c r="CI33" s="8">
        <v>10539515</v>
      </c>
      <c r="CJ33" s="8">
        <v>10539515</v>
      </c>
      <c r="CK33" s="8">
        <v>10539515</v>
      </c>
      <c r="CL33" s="8">
        <v>11158228</v>
      </c>
      <c r="CM33" s="8">
        <v>11158228</v>
      </c>
      <c r="CN33" s="8">
        <v>10127399</v>
      </c>
      <c r="CO33" s="9">
        <f t="shared" si="25"/>
        <v>10127399</v>
      </c>
      <c r="CP33" s="8">
        <v>10606403</v>
      </c>
      <c r="CQ33" s="8">
        <v>10981562</v>
      </c>
      <c r="CR33" s="8">
        <v>10981562</v>
      </c>
      <c r="CS33" s="8">
        <v>10981562</v>
      </c>
      <c r="CT33" s="8">
        <v>9508988</v>
      </c>
      <c r="CU33" s="8">
        <v>10027957</v>
      </c>
      <c r="CV33" s="8">
        <v>9376062</v>
      </c>
      <c r="CW33" s="8">
        <v>9426062</v>
      </c>
      <c r="CX33" s="8">
        <v>9426062</v>
      </c>
      <c r="CY33" s="8">
        <v>9426062</v>
      </c>
      <c r="CZ33" s="8">
        <v>8375529</v>
      </c>
      <c r="DA33" s="8">
        <v>5044955</v>
      </c>
      <c r="DB33" s="9">
        <f t="shared" si="26"/>
        <v>5044955</v>
      </c>
      <c r="DC33" s="8">
        <v>4659283</v>
      </c>
      <c r="DD33" s="8">
        <v>8287823</v>
      </c>
      <c r="DE33" s="8">
        <v>8287823</v>
      </c>
      <c r="DF33" s="8">
        <v>8287823</v>
      </c>
      <c r="DG33" s="8">
        <v>8088031</v>
      </c>
      <c r="DH33" s="8">
        <v>9085876</v>
      </c>
      <c r="DI33" s="8">
        <v>8230787</v>
      </c>
      <c r="DJ33" s="8">
        <v>9146287</v>
      </c>
      <c r="DK33" s="8">
        <v>9160548</v>
      </c>
      <c r="DL33" s="8">
        <v>9229516</v>
      </c>
      <c r="DM33" s="8">
        <v>8217063</v>
      </c>
      <c r="DN33" s="8">
        <v>5987379</v>
      </c>
      <c r="DO33" s="9">
        <f t="shared" si="27"/>
        <v>5987379</v>
      </c>
      <c r="DP33" s="8">
        <v>9013306</v>
      </c>
      <c r="DQ33" s="8">
        <v>9013306</v>
      </c>
      <c r="DR33" s="8">
        <v>9013306</v>
      </c>
      <c r="DS33" s="8">
        <v>9013306</v>
      </c>
      <c r="DT33" s="8">
        <v>9013306</v>
      </c>
      <c r="DU33" s="8">
        <v>9013306</v>
      </c>
      <c r="DV33" s="8">
        <v>9013306</v>
      </c>
      <c r="DW33" s="8">
        <v>9013306</v>
      </c>
      <c r="DX33" s="8">
        <v>9013306</v>
      </c>
      <c r="DY33" s="8">
        <v>9013306</v>
      </c>
      <c r="DZ33" s="8">
        <v>8829146</v>
      </c>
      <c r="EA33" s="8">
        <v>6845802</v>
      </c>
      <c r="EB33" s="9">
        <f t="shared" si="28"/>
        <v>6845802</v>
      </c>
      <c r="EC33" s="8">
        <v>11846836</v>
      </c>
      <c r="ED33" s="8">
        <v>11846836</v>
      </c>
      <c r="EE33" s="8">
        <v>13988953</v>
      </c>
      <c r="EF33" s="8">
        <v>13988953</v>
      </c>
      <c r="EG33" s="8">
        <v>14532621</v>
      </c>
      <c r="EH33" s="8">
        <v>15344415</v>
      </c>
      <c r="EI33" s="8">
        <v>15354765</v>
      </c>
      <c r="EJ33" s="8">
        <v>15354765</v>
      </c>
      <c r="EK33" s="8">
        <v>15735185</v>
      </c>
      <c r="EL33" s="8">
        <v>15735185</v>
      </c>
      <c r="EM33" s="8">
        <v>15739683</v>
      </c>
      <c r="EN33" s="8">
        <v>8998445</v>
      </c>
      <c r="EO33" s="9">
        <f t="shared" si="29"/>
        <v>8998445</v>
      </c>
      <c r="EP33" s="8">
        <v>9956278</v>
      </c>
      <c r="EQ33" s="8">
        <v>9956278</v>
      </c>
      <c r="ER33" s="8">
        <v>11346159</v>
      </c>
      <c r="ES33" s="8">
        <v>11346159</v>
      </c>
      <c r="ET33" s="8">
        <v>11346159</v>
      </c>
      <c r="EU33" s="8">
        <v>11544512</v>
      </c>
      <c r="EV33" s="8">
        <v>11544512</v>
      </c>
      <c r="EW33" s="8">
        <v>11544512</v>
      </c>
      <c r="EX33" s="8">
        <v>11544512</v>
      </c>
      <c r="EY33" s="8">
        <v>11559267</v>
      </c>
      <c r="EZ33" s="8">
        <v>11166267</v>
      </c>
      <c r="FA33" s="8">
        <v>10095312</v>
      </c>
      <c r="FB33" s="9">
        <f t="shared" si="30"/>
        <v>10095312</v>
      </c>
      <c r="FC33" s="8">
        <v>8706346</v>
      </c>
      <c r="FD33" s="8">
        <v>8706346</v>
      </c>
      <c r="FE33" s="8">
        <v>8811028</v>
      </c>
      <c r="FF33" s="8">
        <v>8811028</v>
      </c>
      <c r="FG33" s="8">
        <v>9302509</v>
      </c>
      <c r="FH33" s="8">
        <v>9302509</v>
      </c>
      <c r="FI33" s="8">
        <v>9302509</v>
      </c>
      <c r="FJ33" s="8"/>
      <c r="FK33" s="8"/>
      <c r="FL33" s="8"/>
      <c r="FM33" s="8"/>
      <c r="FN33" s="8"/>
      <c r="FO33" s="9">
        <f t="shared" si="31"/>
        <v>9302509</v>
      </c>
    </row>
    <row r="34" spans="2:171" ht="14.25" customHeight="1" x14ac:dyDescent="0.3">
      <c r="B34" s="7" t="s">
        <v>47</v>
      </c>
      <c r="C34" s="8">
        <v>8823051</v>
      </c>
      <c r="D34" s="8">
        <v>8823051</v>
      </c>
      <c r="E34" s="8">
        <v>9505842</v>
      </c>
      <c r="F34" s="8">
        <v>9505842</v>
      </c>
      <c r="G34" s="8">
        <v>9505842</v>
      </c>
      <c r="H34" s="8">
        <v>9505842</v>
      </c>
      <c r="I34" s="8">
        <v>9616562</v>
      </c>
      <c r="J34" s="8">
        <v>10028392</v>
      </c>
      <c r="K34" s="8">
        <v>10028392</v>
      </c>
      <c r="L34" s="8">
        <v>10048392</v>
      </c>
      <c r="M34" s="8">
        <v>10085392</v>
      </c>
      <c r="N34" s="8">
        <v>7373739</v>
      </c>
      <c r="O34" s="9">
        <f t="shared" si="19"/>
        <v>7373739</v>
      </c>
      <c r="P34" s="8">
        <v>9265514</v>
      </c>
      <c r="Q34" s="8">
        <v>15060572</v>
      </c>
      <c r="R34" s="8">
        <v>19686983</v>
      </c>
      <c r="S34" s="8">
        <v>19686983</v>
      </c>
      <c r="T34" s="8">
        <v>16002928</v>
      </c>
      <c r="U34" s="8">
        <v>16002928</v>
      </c>
      <c r="V34" s="8">
        <v>16002928</v>
      </c>
      <c r="W34" s="8">
        <v>16002928</v>
      </c>
      <c r="X34" s="8">
        <v>16002928</v>
      </c>
      <c r="Y34" s="8">
        <v>16020518</v>
      </c>
      <c r="Z34" s="8">
        <v>16020518</v>
      </c>
      <c r="AA34" s="8">
        <v>15294380</v>
      </c>
      <c r="AB34" s="9">
        <f t="shared" si="20"/>
        <v>15294380</v>
      </c>
      <c r="AC34" s="8">
        <v>17751422</v>
      </c>
      <c r="AD34" s="8">
        <v>27457900</v>
      </c>
      <c r="AE34" s="8">
        <v>27457900</v>
      </c>
      <c r="AF34" s="8">
        <v>27457900</v>
      </c>
      <c r="AG34" s="8">
        <v>27457900</v>
      </c>
      <c r="AH34" s="8">
        <v>27457900</v>
      </c>
      <c r="AI34" s="8">
        <v>26307220</v>
      </c>
      <c r="AJ34" s="8">
        <v>26307220</v>
      </c>
      <c r="AK34" s="8">
        <v>26307220</v>
      </c>
      <c r="AL34" s="8">
        <v>26209950</v>
      </c>
      <c r="AM34" s="8">
        <v>24799962</v>
      </c>
      <c r="AN34" s="8">
        <v>24193416</v>
      </c>
      <c r="AO34" s="9">
        <f t="shared" si="21"/>
        <v>24193416</v>
      </c>
      <c r="AP34" s="8">
        <v>23414402</v>
      </c>
      <c r="AQ34" s="8">
        <v>24408861</v>
      </c>
      <c r="AR34" s="8">
        <v>23962611</v>
      </c>
      <c r="AS34" s="8">
        <v>23341783</v>
      </c>
      <c r="AT34" s="8">
        <v>23341783</v>
      </c>
      <c r="AU34" s="8">
        <v>22408598</v>
      </c>
      <c r="AV34" s="8">
        <v>18990965</v>
      </c>
      <c r="AW34" s="8">
        <v>18639711</v>
      </c>
      <c r="AX34" s="8">
        <v>17502371</v>
      </c>
      <c r="AY34" s="8">
        <v>17107364</v>
      </c>
      <c r="AZ34" s="8">
        <v>17068751</v>
      </c>
      <c r="BA34" s="8">
        <v>16553142</v>
      </c>
      <c r="BB34" s="9">
        <f t="shared" si="22"/>
        <v>16553142</v>
      </c>
      <c r="BC34" s="8">
        <v>16518133</v>
      </c>
      <c r="BD34" s="8">
        <v>17451307</v>
      </c>
      <c r="BE34" s="8">
        <v>17451307</v>
      </c>
      <c r="BF34" s="8">
        <v>17451307</v>
      </c>
      <c r="BG34" s="8">
        <v>17451307</v>
      </c>
      <c r="BH34" s="8">
        <v>17451307</v>
      </c>
      <c r="BI34" s="8">
        <v>17451307</v>
      </c>
      <c r="BJ34" s="8">
        <v>17451307</v>
      </c>
      <c r="BK34" s="8">
        <v>17438995</v>
      </c>
      <c r="BL34" s="8">
        <v>16741821</v>
      </c>
      <c r="BM34" s="8">
        <v>16741821</v>
      </c>
      <c r="BN34" s="8">
        <v>14566468</v>
      </c>
      <c r="BO34" s="9">
        <f t="shared" si="23"/>
        <v>14566468</v>
      </c>
      <c r="BP34" s="8">
        <v>9624594</v>
      </c>
      <c r="BQ34" s="8">
        <v>9624594</v>
      </c>
      <c r="BR34" s="8">
        <v>10797605</v>
      </c>
      <c r="BS34" s="8">
        <v>10797605</v>
      </c>
      <c r="BT34" s="8">
        <v>11006605</v>
      </c>
      <c r="BU34" s="8">
        <v>12295984</v>
      </c>
      <c r="BV34" s="8">
        <v>15844488</v>
      </c>
      <c r="BW34" s="8">
        <v>15883036</v>
      </c>
      <c r="BX34" s="8">
        <v>15408225</v>
      </c>
      <c r="BY34" s="8">
        <v>15408225</v>
      </c>
      <c r="BZ34" s="8">
        <v>15408225</v>
      </c>
      <c r="CA34" s="8">
        <v>14279469</v>
      </c>
      <c r="CB34" s="9">
        <f t="shared" si="24"/>
        <v>14279469</v>
      </c>
      <c r="CC34" s="8">
        <v>25370209</v>
      </c>
      <c r="CD34" s="8">
        <v>25370209</v>
      </c>
      <c r="CE34" s="8">
        <v>33570209</v>
      </c>
      <c r="CF34" s="8">
        <v>25324968</v>
      </c>
      <c r="CG34" s="8">
        <v>25324968</v>
      </c>
      <c r="CH34" s="8">
        <v>25324968</v>
      </c>
      <c r="CI34" s="8">
        <v>20467573</v>
      </c>
      <c r="CJ34" s="8">
        <v>20467573</v>
      </c>
      <c r="CK34" s="8">
        <v>21469756</v>
      </c>
      <c r="CL34" s="8">
        <v>21524754</v>
      </c>
      <c r="CM34" s="8">
        <v>21431831</v>
      </c>
      <c r="CN34" s="8">
        <v>17737601</v>
      </c>
      <c r="CO34" s="9">
        <f t="shared" si="25"/>
        <v>17737601</v>
      </c>
      <c r="CP34" s="8">
        <v>41468112</v>
      </c>
      <c r="CQ34" s="8">
        <v>36245332</v>
      </c>
      <c r="CR34" s="8">
        <v>36663632</v>
      </c>
      <c r="CS34" s="8">
        <v>36698206</v>
      </c>
      <c r="CT34" s="8">
        <v>36732779</v>
      </c>
      <c r="CU34" s="8">
        <v>36266351</v>
      </c>
      <c r="CV34" s="8">
        <v>35758811</v>
      </c>
      <c r="CW34" s="8">
        <v>35758811</v>
      </c>
      <c r="CX34" s="8">
        <v>35758811</v>
      </c>
      <c r="CY34" s="8">
        <v>35859421</v>
      </c>
      <c r="CZ34" s="8">
        <v>34878248</v>
      </c>
      <c r="DA34" s="8">
        <v>29916675</v>
      </c>
      <c r="DB34" s="9">
        <f t="shared" si="26"/>
        <v>29916675</v>
      </c>
      <c r="DC34" s="8">
        <v>35548395</v>
      </c>
      <c r="DD34" s="8">
        <v>41225450</v>
      </c>
      <c r="DE34" s="8">
        <v>41757245</v>
      </c>
      <c r="DF34" s="8">
        <v>41757245</v>
      </c>
      <c r="DG34" s="8">
        <v>41771744</v>
      </c>
      <c r="DH34" s="8">
        <v>41771744</v>
      </c>
      <c r="DI34" s="8">
        <v>41815242</v>
      </c>
      <c r="DJ34" s="8">
        <v>40323711</v>
      </c>
      <c r="DK34" s="8">
        <v>32895617</v>
      </c>
      <c r="DL34" s="8">
        <v>32895617</v>
      </c>
      <c r="DM34" s="8">
        <v>28719484</v>
      </c>
      <c r="DN34" s="8">
        <v>26431429</v>
      </c>
      <c r="DO34" s="9">
        <f t="shared" si="27"/>
        <v>26431429</v>
      </c>
      <c r="DP34" s="8">
        <v>30263070</v>
      </c>
      <c r="DQ34" s="8">
        <v>31368555</v>
      </c>
      <c r="DR34" s="8">
        <v>31368555</v>
      </c>
      <c r="DS34" s="8">
        <v>31368555</v>
      </c>
      <c r="DT34" s="8">
        <v>31368555</v>
      </c>
      <c r="DU34" s="8">
        <v>31368555</v>
      </c>
      <c r="DV34" s="8">
        <v>31368555</v>
      </c>
      <c r="DW34" s="8">
        <v>31368555</v>
      </c>
      <c r="DX34" s="8">
        <v>31368555</v>
      </c>
      <c r="DY34" s="8">
        <v>31368555</v>
      </c>
      <c r="DZ34" s="8">
        <v>24948049</v>
      </c>
      <c r="EA34" s="8">
        <v>17979056</v>
      </c>
      <c r="EB34" s="9">
        <f t="shared" si="28"/>
        <v>17979056</v>
      </c>
      <c r="EC34" s="8">
        <v>10878804</v>
      </c>
      <c r="ED34" s="8">
        <v>10878804</v>
      </c>
      <c r="EE34" s="8">
        <v>17648371</v>
      </c>
      <c r="EF34" s="8">
        <v>17845366</v>
      </c>
      <c r="EG34" s="8">
        <v>17871737</v>
      </c>
      <c r="EH34" s="8">
        <v>19717940</v>
      </c>
      <c r="EI34" s="8">
        <v>19717940</v>
      </c>
      <c r="EJ34" s="8">
        <v>19717940</v>
      </c>
      <c r="EK34" s="8">
        <v>19480742</v>
      </c>
      <c r="EL34" s="8">
        <v>19480742</v>
      </c>
      <c r="EM34" s="8">
        <v>18903775</v>
      </c>
      <c r="EN34" s="8">
        <v>15465604</v>
      </c>
      <c r="EO34" s="9">
        <f t="shared" si="29"/>
        <v>15465604</v>
      </c>
      <c r="EP34" s="8">
        <v>13585888</v>
      </c>
      <c r="EQ34" s="8">
        <v>14789146</v>
      </c>
      <c r="ER34" s="8">
        <v>15123006</v>
      </c>
      <c r="ES34" s="8">
        <v>15123006</v>
      </c>
      <c r="ET34" s="8">
        <v>15123006</v>
      </c>
      <c r="EU34" s="8">
        <v>15123006</v>
      </c>
      <c r="EV34" s="8">
        <v>15123006</v>
      </c>
      <c r="EW34" s="8">
        <v>15123006</v>
      </c>
      <c r="EX34" s="8">
        <v>15123006</v>
      </c>
      <c r="EY34" s="8">
        <v>14248096</v>
      </c>
      <c r="EZ34" s="8">
        <v>14248096</v>
      </c>
      <c r="FA34" s="8">
        <v>12638840</v>
      </c>
      <c r="FB34" s="9">
        <f t="shared" si="30"/>
        <v>12638840</v>
      </c>
      <c r="FC34" s="8">
        <v>13197867</v>
      </c>
      <c r="FD34" s="8">
        <v>12480252</v>
      </c>
      <c r="FE34" s="8">
        <v>12480252</v>
      </c>
      <c r="FF34" s="8">
        <v>12480252</v>
      </c>
      <c r="FG34" s="8">
        <v>14209379</v>
      </c>
      <c r="FH34" s="8">
        <v>14209379</v>
      </c>
      <c r="FI34" s="8">
        <v>14209379</v>
      </c>
      <c r="FJ34" s="8"/>
      <c r="FK34" s="8"/>
      <c r="FL34" s="8"/>
      <c r="FM34" s="8"/>
      <c r="FN34" s="8"/>
      <c r="FO34" s="9">
        <f t="shared" si="31"/>
        <v>14209379</v>
      </c>
    </row>
    <row r="35" spans="2:171" ht="14.25" customHeight="1" x14ac:dyDescent="0.3">
      <c r="B35" s="7" t="s">
        <v>48</v>
      </c>
      <c r="C35" s="8">
        <v>5303372</v>
      </c>
      <c r="D35" s="8">
        <v>5303372</v>
      </c>
      <c r="E35" s="8">
        <v>6632621</v>
      </c>
      <c r="F35" s="8">
        <v>7095200</v>
      </c>
      <c r="G35" s="8">
        <v>8383749</v>
      </c>
      <c r="H35" s="8">
        <v>8383749</v>
      </c>
      <c r="I35" s="8">
        <v>8383749</v>
      </c>
      <c r="J35" s="8">
        <v>11541278</v>
      </c>
      <c r="K35" s="8">
        <v>11554154</v>
      </c>
      <c r="L35" s="8">
        <v>11554154</v>
      </c>
      <c r="M35" s="8">
        <v>11593154</v>
      </c>
      <c r="N35" s="8">
        <v>9346642</v>
      </c>
      <c r="O35" s="9">
        <f t="shared" si="19"/>
        <v>9346642</v>
      </c>
      <c r="P35" s="8">
        <v>10483676</v>
      </c>
      <c r="Q35" s="8">
        <v>11262255</v>
      </c>
      <c r="R35" s="8">
        <v>11262255</v>
      </c>
      <c r="S35" s="8">
        <v>11262255</v>
      </c>
      <c r="T35" s="8">
        <v>11262255</v>
      </c>
      <c r="U35" s="8">
        <v>11262255</v>
      </c>
      <c r="V35" s="8">
        <v>11262255</v>
      </c>
      <c r="W35" s="8">
        <v>11036169</v>
      </c>
      <c r="X35" s="8">
        <v>11036169</v>
      </c>
      <c r="Y35" s="8">
        <v>11036169</v>
      </c>
      <c r="Z35" s="8">
        <v>10916856</v>
      </c>
      <c r="AA35" s="8">
        <v>4089941</v>
      </c>
      <c r="AB35" s="9">
        <f t="shared" si="20"/>
        <v>4089941</v>
      </c>
      <c r="AC35" s="8">
        <v>7956960</v>
      </c>
      <c r="AD35" s="8">
        <v>9020805</v>
      </c>
      <c r="AE35" s="8">
        <v>10052277</v>
      </c>
      <c r="AF35" s="8">
        <v>10052277</v>
      </c>
      <c r="AG35" s="8">
        <v>10154821</v>
      </c>
      <c r="AH35" s="8">
        <v>10154821</v>
      </c>
      <c r="AI35" s="8">
        <v>10220130</v>
      </c>
      <c r="AJ35" s="8">
        <v>14581092</v>
      </c>
      <c r="AK35" s="8">
        <v>14581092</v>
      </c>
      <c r="AL35" s="8">
        <v>14581092</v>
      </c>
      <c r="AM35" s="8">
        <v>14581092</v>
      </c>
      <c r="AN35" s="8">
        <v>14433260</v>
      </c>
      <c r="AO35" s="9">
        <f t="shared" si="21"/>
        <v>14433260</v>
      </c>
      <c r="AP35" s="8">
        <v>22558714</v>
      </c>
      <c r="AQ35" s="8">
        <v>23324716</v>
      </c>
      <c r="AR35" s="8">
        <v>23324716</v>
      </c>
      <c r="AS35" s="8">
        <v>23324716</v>
      </c>
      <c r="AT35" s="8">
        <v>27372752</v>
      </c>
      <c r="AU35" s="8">
        <v>24657172</v>
      </c>
      <c r="AV35" s="8">
        <v>24657172</v>
      </c>
      <c r="AW35" s="8">
        <v>24721802</v>
      </c>
      <c r="AX35" s="8">
        <v>24721802</v>
      </c>
      <c r="AY35" s="8">
        <v>24737302</v>
      </c>
      <c r="AZ35" s="8">
        <v>24615368</v>
      </c>
      <c r="BA35" s="8">
        <v>19553460</v>
      </c>
      <c r="BB35" s="9">
        <f t="shared" si="22"/>
        <v>19553460</v>
      </c>
      <c r="BC35" s="8">
        <v>26064643</v>
      </c>
      <c r="BD35" s="8">
        <v>26628701</v>
      </c>
      <c r="BE35" s="8">
        <v>26536361</v>
      </c>
      <c r="BF35" s="8">
        <v>23620186</v>
      </c>
      <c r="BG35" s="8">
        <v>23620186</v>
      </c>
      <c r="BH35" s="8">
        <v>20766385</v>
      </c>
      <c r="BI35" s="8">
        <v>19983496</v>
      </c>
      <c r="BJ35" s="8">
        <v>18871332</v>
      </c>
      <c r="BK35" s="8">
        <v>18871332</v>
      </c>
      <c r="BL35" s="8">
        <v>17871332</v>
      </c>
      <c r="BM35" s="8">
        <v>17688332</v>
      </c>
      <c r="BN35" s="8">
        <v>15072183</v>
      </c>
      <c r="BO35" s="9">
        <f t="shared" si="23"/>
        <v>15072183</v>
      </c>
      <c r="BP35" s="8">
        <v>16889432</v>
      </c>
      <c r="BQ35" s="8">
        <v>16889432</v>
      </c>
      <c r="BR35" s="8">
        <v>17238420</v>
      </c>
      <c r="BS35" s="8">
        <v>17238420</v>
      </c>
      <c r="BT35" s="8">
        <v>15942666</v>
      </c>
      <c r="BU35" s="8">
        <v>14567498</v>
      </c>
      <c r="BV35" s="8">
        <v>14533639</v>
      </c>
      <c r="BW35" s="8">
        <v>14542725</v>
      </c>
      <c r="BX35" s="8">
        <v>14294652</v>
      </c>
      <c r="BY35" s="8">
        <v>14294652</v>
      </c>
      <c r="BZ35" s="8">
        <v>14294652</v>
      </c>
      <c r="CA35" s="8">
        <v>14082606</v>
      </c>
      <c r="CB35" s="9">
        <f t="shared" si="24"/>
        <v>14082606</v>
      </c>
      <c r="CC35" s="8">
        <v>17341145</v>
      </c>
      <c r="CD35" s="8">
        <v>17341145</v>
      </c>
      <c r="CE35" s="8">
        <v>17341145</v>
      </c>
      <c r="CF35" s="8">
        <v>18075017</v>
      </c>
      <c r="CG35" s="8">
        <v>18075017</v>
      </c>
      <c r="CH35" s="8">
        <v>18075017</v>
      </c>
      <c r="CI35" s="8">
        <v>18042642</v>
      </c>
      <c r="CJ35" s="8">
        <v>18042642</v>
      </c>
      <c r="CK35" s="8">
        <v>16389750</v>
      </c>
      <c r="CL35" s="8">
        <v>16389750</v>
      </c>
      <c r="CM35" s="8">
        <v>19659750</v>
      </c>
      <c r="CN35" s="8">
        <v>12812259</v>
      </c>
      <c r="CO35" s="9">
        <f t="shared" si="25"/>
        <v>12812259</v>
      </c>
      <c r="CP35" s="8">
        <v>21129078</v>
      </c>
      <c r="CQ35" s="8">
        <v>22568239</v>
      </c>
      <c r="CR35" s="8">
        <v>22568239</v>
      </c>
      <c r="CS35" s="8">
        <v>22774239</v>
      </c>
      <c r="CT35" s="8">
        <v>22814239</v>
      </c>
      <c r="CU35" s="8">
        <v>22814239</v>
      </c>
      <c r="CV35" s="8">
        <v>22814239</v>
      </c>
      <c r="CW35" s="8">
        <v>23235030</v>
      </c>
      <c r="CX35" s="8">
        <v>23235030</v>
      </c>
      <c r="CY35" s="8">
        <v>23235030</v>
      </c>
      <c r="CZ35" s="8">
        <v>18518157</v>
      </c>
      <c r="DA35" s="8">
        <v>15731773</v>
      </c>
      <c r="DB35" s="9">
        <f t="shared" si="26"/>
        <v>15731773</v>
      </c>
      <c r="DC35" s="8">
        <v>24875325</v>
      </c>
      <c r="DD35" s="8">
        <v>31089481</v>
      </c>
      <c r="DE35" s="8">
        <v>27688501</v>
      </c>
      <c r="DF35" s="8">
        <v>27688501</v>
      </c>
      <c r="DG35" s="8">
        <v>27688501</v>
      </c>
      <c r="DH35" s="8">
        <v>27688501</v>
      </c>
      <c r="DI35" s="8">
        <v>25851245</v>
      </c>
      <c r="DJ35" s="8">
        <v>25851245</v>
      </c>
      <c r="DK35" s="8">
        <v>25846245</v>
      </c>
      <c r="DL35" s="8">
        <v>25846245</v>
      </c>
      <c r="DM35" s="8">
        <v>19964707</v>
      </c>
      <c r="DN35" s="8">
        <v>18388246</v>
      </c>
      <c r="DO35" s="9">
        <f t="shared" si="27"/>
        <v>18388246</v>
      </c>
      <c r="DP35" s="8">
        <v>21315123</v>
      </c>
      <c r="DQ35" s="8">
        <v>21455123</v>
      </c>
      <c r="DR35" s="8">
        <v>21455123</v>
      </c>
      <c r="DS35" s="8">
        <v>21455123</v>
      </c>
      <c r="DT35" s="8">
        <v>22632742</v>
      </c>
      <c r="DU35" s="8">
        <v>22632742</v>
      </c>
      <c r="DV35" s="8">
        <v>22688742</v>
      </c>
      <c r="DW35" s="8">
        <v>22688742</v>
      </c>
      <c r="DX35" s="8">
        <v>22688742</v>
      </c>
      <c r="DY35" s="8">
        <v>22688742</v>
      </c>
      <c r="DZ35" s="8">
        <v>23118118</v>
      </c>
      <c r="EA35" s="8">
        <v>24322778</v>
      </c>
      <c r="EB35" s="9">
        <f t="shared" si="28"/>
        <v>24322778</v>
      </c>
      <c r="EC35" s="8">
        <v>21518444</v>
      </c>
      <c r="ED35" s="8">
        <v>21518444</v>
      </c>
      <c r="EE35" s="8">
        <v>17812520</v>
      </c>
      <c r="EF35" s="8">
        <v>17812520</v>
      </c>
      <c r="EG35" s="8">
        <v>17812520</v>
      </c>
      <c r="EH35" s="8">
        <v>17812520</v>
      </c>
      <c r="EI35" s="8">
        <v>17812520</v>
      </c>
      <c r="EJ35" s="8">
        <v>17812520</v>
      </c>
      <c r="EK35" s="8">
        <v>17188321</v>
      </c>
      <c r="EL35" s="8">
        <v>17188321</v>
      </c>
      <c r="EM35" s="8">
        <v>17188321</v>
      </c>
      <c r="EN35" s="8">
        <v>8570431</v>
      </c>
      <c r="EO35" s="9">
        <f t="shared" si="29"/>
        <v>8570431</v>
      </c>
      <c r="EP35" s="8">
        <v>24183340</v>
      </c>
      <c r="EQ35" s="8">
        <v>24535980</v>
      </c>
      <c r="ER35" s="8">
        <v>24535980</v>
      </c>
      <c r="ES35" s="8">
        <v>24535980</v>
      </c>
      <c r="ET35" s="8">
        <v>24535980</v>
      </c>
      <c r="EU35" s="8">
        <v>23536162</v>
      </c>
      <c r="EV35" s="8">
        <v>20536162</v>
      </c>
      <c r="EW35" s="8">
        <v>20536162</v>
      </c>
      <c r="EX35" s="8">
        <v>20536162</v>
      </c>
      <c r="EY35" s="8">
        <v>20589662</v>
      </c>
      <c r="EZ35" s="8">
        <v>20589662</v>
      </c>
      <c r="FA35" s="8">
        <v>15483238</v>
      </c>
      <c r="FB35" s="9">
        <f t="shared" si="30"/>
        <v>15483238</v>
      </c>
      <c r="FC35" s="8">
        <v>9416801</v>
      </c>
      <c r="FD35" s="8">
        <v>5916801</v>
      </c>
      <c r="FE35" s="8">
        <v>5916801</v>
      </c>
      <c r="FF35" s="8">
        <v>5916801</v>
      </c>
      <c r="FG35" s="8">
        <v>5916801</v>
      </c>
      <c r="FH35" s="8">
        <v>9175869</v>
      </c>
      <c r="FI35" s="8">
        <v>9175869</v>
      </c>
      <c r="FJ35" s="8"/>
      <c r="FK35" s="8"/>
      <c r="FL35" s="8"/>
      <c r="FM35" s="8"/>
      <c r="FN35" s="8"/>
      <c r="FO35" s="9">
        <f t="shared" si="31"/>
        <v>9175869</v>
      </c>
    </row>
    <row r="36" spans="2:171" ht="14.25" customHeight="1" x14ac:dyDescent="0.3">
      <c r="B36" s="7" t="s">
        <v>49</v>
      </c>
      <c r="C36" s="8">
        <v>16064354</v>
      </c>
      <c r="D36" s="8">
        <v>16064354</v>
      </c>
      <c r="E36" s="8">
        <v>16064354</v>
      </c>
      <c r="F36" s="8">
        <v>16064354</v>
      </c>
      <c r="G36" s="8">
        <v>14464354</v>
      </c>
      <c r="H36" s="8">
        <v>14438110</v>
      </c>
      <c r="I36" s="8">
        <v>14199670</v>
      </c>
      <c r="J36" s="8">
        <v>13832426</v>
      </c>
      <c r="K36" s="8">
        <v>14068983</v>
      </c>
      <c r="L36" s="8">
        <v>14068983</v>
      </c>
      <c r="M36" s="8">
        <v>14068983</v>
      </c>
      <c r="N36" s="8">
        <v>15762470</v>
      </c>
      <c r="O36" s="9">
        <f t="shared" si="19"/>
        <v>15762470</v>
      </c>
      <c r="P36" s="8">
        <v>19283793</v>
      </c>
      <c r="Q36" s="8">
        <v>19861023</v>
      </c>
      <c r="R36" s="8">
        <v>19863023</v>
      </c>
      <c r="S36" s="8">
        <v>19930814</v>
      </c>
      <c r="T36" s="8">
        <v>21712910</v>
      </c>
      <c r="U36" s="8">
        <v>21712910</v>
      </c>
      <c r="V36" s="8">
        <v>21836318</v>
      </c>
      <c r="W36" s="8">
        <v>16295088</v>
      </c>
      <c r="X36" s="8">
        <v>16277488</v>
      </c>
      <c r="Y36" s="8">
        <v>16228128</v>
      </c>
      <c r="Z36" s="8">
        <v>16228128</v>
      </c>
      <c r="AA36" s="8">
        <v>13034803</v>
      </c>
      <c r="AB36" s="9">
        <f t="shared" si="20"/>
        <v>13034803</v>
      </c>
      <c r="AC36" s="8">
        <v>18570059</v>
      </c>
      <c r="AD36" s="8">
        <v>18623459</v>
      </c>
      <c r="AE36" s="8">
        <v>18623459</v>
      </c>
      <c r="AF36" s="8">
        <v>18700786</v>
      </c>
      <c r="AG36" s="8">
        <v>18988098</v>
      </c>
      <c r="AH36" s="8">
        <v>18988098</v>
      </c>
      <c r="AI36" s="8">
        <v>19620339</v>
      </c>
      <c r="AJ36" s="8">
        <v>19149477</v>
      </c>
      <c r="AK36" s="8">
        <v>19149477</v>
      </c>
      <c r="AL36" s="8">
        <v>19158377</v>
      </c>
      <c r="AM36" s="8">
        <v>18658871</v>
      </c>
      <c r="AN36" s="8">
        <v>18073209</v>
      </c>
      <c r="AO36" s="9">
        <f t="shared" si="21"/>
        <v>18073209</v>
      </c>
      <c r="AP36" s="8">
        <v>27391856</v>
      </c>
      <c r="AQ36" s="8">
        <v>27433256</v>
      </c>
      <c r="AR36" s="8">
        <v>27433256</v>
      </c>
      <c r="AS36" s="8">
        <v>26321074</v>
      </c>
      <c r="AT36" s="8">
        <v>22321074</v>
      </c>
      <c r="AU36" s="8">
        <v>20513352</v>
      </c>
      <c r="AV36" s="8">
        <v>21017110</v>
      </c>
      <c r="AW36" s="8">
        <v>21017110</v>
      </c>
      <c r="AX36" s="8">
        <v>21113163</v>
      </c>
      <c r="AY36" s="8">
        <v>21230101</v>
      </c>
      <c r="AZ36" s="8">
        <v>20389893</v>
      </c>
      <c r="BA36" s="8">
        <v>20127284</v>
      </c>
      <c r="BB36" s="9">
        <f t="shared" si="22"/>
        <v>20127284</v>
      </c>
      <c r="BC36" s="8">
        <v>16967208</v>
      </c>
      <c r="BD36" s="8">
        <v>17005608</v>
      </c>
      <c r="BE36" s="8">
        <v>17005608</v>
      </c>
      <c r="BF36" s="8">
        <v>17005608</v>
      </c>
      <c r="BG36" s="8">
        <v>17005608</v>
      </c>
      <c r="BH36" s="8">
        <v>20812835</v>
      </c>
      <c r="BI36" s="8">
        <v>20864674</v>
      </c>
      <c r="BJ36" s="8">
        <v>20948585</v>
      </c>
      <c r="BK36" s="8">
        <v>20948585</v>
      </c>
      <c r="BL36" s="8">
        <v>20927435</v>
      </c>
      <c r="BM36" s="8">
        <v>20927435</v>
      </c>
      <c r="BN36" s="8">
        <v>16701870</v>
      </c>
      <c r="BO36" s="9">
        <f t="shared" si="23"/>
        <v>16701870</v>
      </c>
      <c r="BP36" s="8">
        <v>14997280</v>
      </c>
      <c r="BQ36" s="8">
        <v>14997280</v>
      </c>
      <c r="BR36" s="8">
        <v>15034080</v>
      </c>
      <c r="BS36" s="8">
        <v>15034080</v>
      </c>
      <c r="BT36" s="8">
        <v>15034080</v>
      </c>
      <c r="BU36" s="8">
        <v>15034080</v>
      </c>
      <c r="BV36" s="8">
        <v>14052695</v>
      </c>
      <c r="BW36" s="8">
        <v>14059646</v>
      </c>
      <c r="BX36" s="8">
        <v>14106446</v>
      </c>
      <c r="BY36" s="8">
        <v>14106446</v>
      </c>
      <c r="BZ36" s="8">
        <v>14106446</v>
      </c>
      <c r="CA36" s="8">
        <v>11002790</v>
      </c>
      <c r="CB36" s="9">
        <f t="shared" si="24"/>
        <v>11002790</v>
      </c>
      <c r="CC36" s="8">
        <v>15408322</v>
      </c>
      <c r="CD36" s="8">
        <v>15408322</v>
      </c>
      <c r="CE36" s="8">
        <v>15408322</v>
      </c>
      <c r="CF36" s="8">
        <v>14908322</v>
      </c>
      <c r="CG36" s="8">
        <v>14908322</v>
      </c>
      <c r="CH36" s="8">
        <v>14908322</v>
      </c>
      <c r="CI36" s="8">
        <v>15293629</v>
      </c>
      <c r="CJ36" s="8">
        <v>15293629</v>
      </c>
      <c r="CK36" s="8">
        <v>15385629</v>
      </c>
      <c r="CL36" s="8">
        <v>15390229</v>
      </c>
      <c r="CM36" s="8">
        <v>15390229</v>
      </c>
      <c r="CN36" s="8">
        <v>11446802</v>
      </c>
      <c r="CO36" s="9">
        <f t="shared" si="25"/>
        <v>11446802</v>
      </c>
      <c r="CP36" s="8">
        <v>22488189</v>
      </c>
      <c r="CQ36" s="8">
        <v>20626973</v>
      </c>
      <c r="CR36" s="8">
        <v>18390489</v>
      </c>
      <c r="CS36" s="8">
        <v>18727330</v>
      </c>
      <c r="CT36" s="8">
        <v>19034787</v>
      </c>
      <c r="CU36" s="8">
        <v>19143744</v>
      </c>
      <c r="CV36" s="8">
        <v>19143744</v>
      </c>
      <c r="CW36" s="8">
        <v>19143744</v>
      </c>
      <c r="CX36" s="8">
        <v>19561023</v>
      </c>
      <c r="CY36" s="8">
        <v>19561023</v>
      </c>
      <c r="CZ36" s="8">
        <v>19550402</v>
      </c>
      <c r="DA36" s="8">
        <v>12602298</v>
      </c>
      <c r="DB36" s="9">
        <f t="shared" si="26"/>
        <v>12602298</v>
      </c>
      <c r="DC36" s="8">
        <v>29291800</v>
      </c>
      <c r="DD36" s="8">
        <v>34195489</v>
      </c>
      <c r="DE36" s="8">
        <v>34195489</v>
      </c>
      <c r="DF36" s="8">
        <v>34195489</v>
      </c>
      <c r="DG36" s="8">
        <v>34245489</v>
      </c>
      <c r="DH36" s="8">
        <v>34245489</v>
      </c>
      <c r="DI36" s="8">
        <v>34245489</v>
      </c>
      <c r="DJ36" s="8">
        <v>34245489</v>
      </c>
      <c r="DK36" s="8">
        <v>34062778</v>
      </c>
      <c r="DL36" s="8">
        <v>33922765</v>
      </c>
      <c r="DM36" s="8">
        <v>25336066</v>
      </c>
      <c r="DN36" s="8">
        <v>12697850</v>
      </c>
      <c r="DO36" s="9">
        <f t="shared" si="27"/>
        <v>12697850</v>
      </c>
      <c r="DP36" s="8">
        <v>36352142</v>
      </c>
      <c r="DQ36" s="8">
        <v>36370290</v>
      </c>
      <c r="DR36" s="8">
        <v>36370290</v>
      </c>
      <c r="DS36" s="8">
        <v>36370290</v>
      </c>
      <c r="DT36" s="8">
        <v>36370290</v>
      </c>
      <c r="DU36" s="8">
        <v>36361716</v>
      </c>
      <c r="DV36" s="8">
        <v>36391716</v>
      </c>
      <c r="DW36" s="8">
        <v>36391716</v>
      </c>
      <c r="DX36" s="8">
        <v>36391716</v>
      </c>
      <c r="DY36" s="8">
        <v>36391716</v>
      </c>
      <c r="DZ36" s="8">
        <v>35187465</v>
      </c>
      <c r="EA36" s="8">
        <v>21098315</v>
      </c>
      <c r="EB36" s="9">
        <f t="shared" si="28"/>
        <v>21098315</v>
      </c>
      <c r="EC36" s="8">
        <v>38254690</v>
      </c>
      <c r="ED36" s="8">
        <v>38254690</v>
      </c>
      <c r="EE36" s="8">
        <v>38299930</v>
      </c>
      <c r="EF36" s="8">
        <v>38299930</v>
      </c>
      <c r="EG36" s="8">
        <v>37058319</v>
      </c>
      <c r="EH36" s="8">
        <v>31127009</v>
      </c>
      <c r="EI36" s="8">
        <v>31127009</v>
      </c>
      <c r="EJ36" s="8">
        <v>31127009</v>
      </c>
      <c r="EK36" s="8">
        <v>30852784</v>
      </c>
      <c r="EL36" s="8">
        <v>31053963</v>
      </c>
      <c r="EM36" s="8">
        <v>27696869</v>
      </c>
      <c r="EN36" s="8">
        <v>18466482</v>
      </c>
      <c r="EO36" s="9">
        <f t="shared" si="29"/>
        <v>18466482</v>
      </c>
      <c r="EP36" s="8">
        <v>27966487</v>
      </c>
      <c r="EQ36" s="8">
        <v>27966487</v>
      </c>
      <c r="ER36" s="8">
        <v>27966487</v>
      </c>
      <c r="ES36" s="8">
        <v>27966487</v>
      </c>
      <c r="ET36" s="8">
        <v>27966487</v>
      </c>
      <c r="EU36" s="8">
        <v>27958887</v>
      </c>
      <c r="EV36" s="8">
        <v>27958887</v>
      </c>
      <c r="EW36" s="8">
        <v>27958887</v>
      </c>
      <c r="EX36" s="8">
        <v>27958887</v>
      </c>
      <c r="EY36" s="8">
        <v>24576889</v>
      </c>
      <c r="EZ36" s="8">
        <v>24265859</v>
      </c>
      <c r="FA36" s="8">
        <v>18613719</v>
      </c>
      <c r="FB36" s="9">
        <f t="shared" si="30"/>
        <v>18613719</v>
      </c>
      <c r="FC36" s="8">
        <v>30615904</v>
      </c>
      <c r="FD36" s="8">
        <v>26615904</v>
      </c>
      <c r="FE36" s="8">
        <v>26615904</v>
      </c>
      <c r="FF36" s="8">
        <v>26615904</v>
      </c>
      <c r="FG36" s="8">
        <v>26615904</v>
      </c>
      <c r="FH36" s="8">
        <v>24556836</v>
      </c>
      <c r="FI36" s="8">
        <v>24556836</v>
      </c>
      <c r="FJ36" s="8"/>
      <c r="FK36" s="8"/>
      <c r="FL36" s="8"/>
      <c r="FM36" s="8"/>
      <c r="FN36" s="8"/>
      <c r="FO36" s="9">
        <f t="shared" si="31"/>
        <v>24556836</v>
      </c>
    </row>
    <row r="37" spans="2:171" ht="14.25" customHeight="1" x14ac:dyDescent="0.3">
      <c r="B37" s="7" t="s">
        <v>50</v>
      </c>
      <c r="C37" s="8">
        <v>18833256</v>
      </c>
      <c r="D37" s="8">
        <v>18833256</v>
      </c>
      <c r="E37" s="8">
        <v>23731558</v>
      </c>
      <c r="F37" s="8">
        <v>23731558</v>
      </c>
      <c r="G37" s="8">
        <v>25990242</v>
      </c>
      <c r="H37" s="8">
        <v>26046751</v>
      </c>
      <c r="I37" s="8">
        <v>26046751</v>
      </c>
      <c r="J37" s="8">
        <v>27425407</v>
      </c>
      <c r="K37" s="8">
        <v>27959179</v>
      </c>
      <c r="L37" s="8">
        <v>29929355</v>
      </c>
      <c r="M37" s="8">
        <v>29929355</v>
      </c>
      <c r="N37" s="8">
        <v>26931572</v>
      </c>
      <c r="O37" s="9">
        <f t="shared" si="19"/>
        <v>26931572</v>
      </c>
      <c r="P37" s="8">
        <v>34473321</v>
      </c>
      <c r="Q37" s="8">
        <v>38317295</v>
      </c>
      <c r="R37" s="8">
        <v>38317295</v>
      </c>
      <c r="S37" s="8">
        <v>38317295</v>
      </c>
      <c r="T37" s="8">
        <v>38317295</v>
      </c>
      <c r="U37" s="8">
        <v>38495890</v>
      </c>
      <c r="V37" s="8">
        <v>38495890</v>
      </c>
      <c r="W37" s="8">
        <v>38495890</v>
      </c>
      <c r="X37" s="8">
        <v>38495890</v>
      </c>
      <c r="Y37" s="8">
        <v>37978006</v>
      </c>
      <c r="Z37" s="8">
        <v>38164607</v>
      </c>
      <c r="AA37" s="8">
        <v>35142226</v>
      </c>
      <c r="AB37" s="9">
        <f t="shared" si="20"/>
        <v>35142226</v>
      </c>
      <c r="AC37" s="8">
        <v>32958542</v>
      </c>
      <c r="AD37" s="8">
        <v>37919651</v>
      </c>
      <c r="AE37" s="8">
        <v>37919651</v>
      </c>
      <c r="AF37" s="8">
        <v>37919651</v>
      </c>
      <c r="AG37" s="8">
        <v>38074183</v>
      </c>
      <c r="AH37" s="8">
        <v>38074183</v>
      </c>
      <c r="AI37" s="8">
        <v>34426571</v>
      </c>
      <c r="AJ37" s="8">
        <v>34544571</v>
      </c>
      <c r="AK37" s="8">
        <v>34544571</v>
      </c>
      <c r="AL37" s="8">
        <v>31386419</v>
      </c>
      <c r="AM37" s="8">
        <v>31411870</v>
      </c>
      <c r="AN37" s="8">
        <v>30142222</v>
      </c>
      <c r="AO37" s="9">
        <f t="shared" si="21"/>
        <v>30142222</v>
      </c>
      <c r="AP37" s="8">
        <v>41283218</v>
      </c>
      <c r="AQ37" s="8">
        <v>46964338</v>
      </c>
      <c r="AR37" s="8">
        <v>46589212</v>
      </c>
      <c r="AS37" s="8">
        <v>46589212</v>
      </c>
      <c r="AT37" s="8">
        <v>44014691</v>
      </c>
      <c r="AU37" s="8">
        <v>44463135</v>
      </c>
      <c r="AV37" s="8">
        <v>45427885</v>
      </c>
      <c r="AW37" s="8">
        <v>44378695</v>
      </c>
      <c r="AX37" s="8">
        <v>44387659</v>
      </c>
      <c r="AY37" s="8">
        <v>44297659</v>
      </c>
      <c r="AZ37" s="8">
        <v>41556873</v>
      </c>
      <c r="BA37" s="8">
        <v>38915790</v>
      </c>
      <c r="BB37" s="9">
        <f t="shared" si="22"/>
        <v>38915790</v>
      </c>
      <c r="BC37" s="8">
        <v>30569054</v>
      </c>
      <c r="BD37" s="8">
        <v>33820152</v>
      </c>
      <c r="BE37" s="8">
        <v>33820152</v>
      </c>
      <c r="BF37" s="8">
        <v>33820152</v>
      </c>
      <c r="BG37" s="8">
        <v>33820152</v>
      </c>
      <c r="BH37" s="8">
        <v>33820152</v>
      </c>
      <c r="BI37" s="8">
        <v>33758144</v>
      </c>
      <c r="BJ37" s="8">
        <v>33477644</v>
      </c>
      <c r="BK37" s="8">
        <v>33130707</v>
      </c>
      <c r="BL37" s="8">
        <v>31630707</v>
      </c>
      <c r="BM37" s="8">
        <v>31606728</v>
      </c>
      <c r="BN37" s="8">
        <v>27912775</v>
      </c>
      <c r="BO37" s="9">
        <f t="shared" si="23"/>
        <v>27912775</v>
      </c>
      <c r="BP37" s="8">
        <v>28738435</v>
      </c>
      <c r="BQ37" s="8">
        <v>28738435</v>
      </c>
      <c r="BR37" s="8">
        <v>32660016</v>
      </c>
      <c r="BS37" s="8">
        <v>32660016</v>
      </c>
      <c r="BT37" s="8">
        <v>32660016</v>
      </c>
      <c r="BU37" s="8">
        <v>32660016</v>
      </c>
      <c r="BV37" s="8">
        <v>32278214</v>
      </c>
      <c r="BW37" s="8">
        <v>32282208</v>
      </c>
      <c r="BX37" s="8">
        <v>32453284</v>
      </c>
      <c r="BY37" s="8">
        <v>32453284</v>
      </c>
      <c r="BZ37" s="8">
        <v>32453284</v>
      </c>
      <c r="CA37" s="8">
        <v>32820875</v>
      </c>
      <c r="CB37" s="9">
        <f t="shared" si="24"/>
        <v>32820875</v>
      </c>
      <c r="CC37" s="8">
        <v>33362165</v>
      </c>
      <c r="CD37" s="8">
        <v>33362165</v>
      </c>
      <c r="CE37" s="8">
        <v>33362165</v>
      </c>
      <c r="CF37" s="8">
        <v>34938757</v>
      </c>
      <c r="CG37" s="8">
        <v>34938757</v>
      </c>
      <c r="CH37" s="8">
        <v>35708483</v>
      </c>
      <c r="CI37" s="8">
        <v>35948235</v>
      </c>
      <c r="CJ37" s="8">
        <v>35948235</v>
      </c>
      <c r="CK37" s="8">
        <v>35948235</v>
      </c>
      <c r="CL37" s="8">
        <v>37738172</v>
      </c>
      <c r="CM37" s="8">
        <v>35365279</v>
      </c>
      <c r="CN37" s="8">
        <v>34255045</v>
      </c>
      <c r="CO37" s="9">
        <f t="shared" si="25"/>
        <v>34255045</v>
      </c>
      <c r="CP37" s="8">
        <v>62699377</v>
      </c>
      <c r="CQ37" s="8">
        <v>59024248</v>
      </c>
      <c r="CR37" s="8">
        <v>60396733</v>
      </c>
      <c r="CS37" s="8">
        <v>61299623</v>
      </c>
      <c r="CT37" s="8">
        <v>61366769</v>
      </c>
      <c r="CU37" s="8">
        <v>63349580</v>
      </c>
      <c r="CV37" s="8">
        <v>63349580</v>
      </c>
      <c r="CW37" s="8">
        <v>63259012</v>
      </c>
      <c r="CX37" s="8">
        <v>62320472</v>
      </c>
      <c r="CY37" s="8">
        <v>55598596</v>
      </c>
      <c r="CZ37" s="8">
        <v>55550496</v>
      </c>
      <c r="DA37" s="8">
        <v>41461609</v>
      </c>
      <c r="DB37" s="9">
        <f t="shared" si="26"/>
        <v>41461609</v>
      </c>
      <c r="DC37" s="8">
        <v>43170852</v>
      </c>
      <c r="DD37" s="8">
        <v>52549754</v>
      </c>
      <c r="DE37" s="8">
        <v>52549754</v>
      </c>
      <c r="DF37" s="8">
        <v>52549754</v>
      </c>
      <c r="DG37" s="8">
        <v>52549754</v>
      </c>
      <c r="DH37" s="8">
        <v>52549754</v>
      </c>
      <c r="DI37" s="8">
        <v>52549754</v>
      </c>
      <c r="DJ37" s="8">
        <v>51105545</v>
      </c>
      <c r="DK37" s="8">
        <v>38395230</v>
      </c>
      <c r="DL37" s="8">
        <v>38337494</v>
      </c>
      <c r="DM37" s="8">
        <v>36725387</v>
      </c>
      <c r="DN37" s="8">
        <v>35464491</v>
      </c>
      <c r="DO37" s="9">
        <f t="shared" si="27"/>
        <v>35464491</v>
      </c>
      <c r="DP37" s="8">
        <v>40478579</v>
      </c>
      <c r="DQ37" s="8">
        <v>42614131</v>
      </c>
      <c r="DR37" s="8">
        <v>42614131</v>
      </c>
      <c r="DS37" s="8">
        <v>42858620</v>
      </c>
      <c r="DT37" s="8">
        <v>42976422</v>
      </c>
      <c r="DU37" s="8">
        <v>43076422</v>
      </c>
      <c r="DV37" s="8">
        <v>43076422</v>
      </c>
      <c r="DW37" s="8">
        <v>44994598</v>
      </c>
      <c r="DX37" s="8">
        <v>44994598</v>
      </c>
      <c r="DY37" s="8">
        <v>44994598</v>
      </c>
      <c r="DZ37" s="8">
        <v>46728628</v>
      </c>
      <c r="EA37" s="8">
        <v>45394938</v>
      </c>
      <c r="EB37" s="9">
        <f t="shared" si="28"/>
        <v>45394938</v>
      </c>
      <c r="EC37" s="8">
        <v>44262543</v>
      </c>
      <c r="ED37" s="8">
        <v>44262543</v>
      </c>
      <c r="EE37" s="8">
        <v>48159048</v>
      </c>
      <c r="EF37" s="8">
        <v>48159048</v>
      </c>
      <c r="EG37" s="8">
        <v>48260848</v>
      </c>
      <c r="EH37" s="8">
        <v>48260848</v>
      </c>
      <c r="EI37" s="8">
        <v>48260848</v>
      </c>
      <c r="EJ37" s="8">
        <v>52963275</v>
      </c>
      <c r="EK37" s="8">
        <v>54672379</v>
      </c>
      <c r="EL37" s="8">
        <v>54187315</v>
      </c>
      <c r="EM37" s="8">
        <v>52019214</v>
      </c>
      <c r="EN37" s="8">
        <v>37750186</v>
      </c>
      <c r="EO37" s="9">
        <f t="shared" si="29"/>
        <v>37750186</v>
      </c>
      <c r="EP37" s="8">
        <v>42009797</v>
      </c>
      <c r="EQ37" s="8">
        <v>52978932</v>
      </c>
      <c r="ER37" s="8">
        <v>54382452</v>
      </c>
      <c r="ES37" s="8">
        <v>56213503</v>
      </c>
      <c r="ET37" s="8">
        <v>56213503</v>
      </c>
      <c r="EU37" s="8">
        <v>56953012</v>
      </c>
      <c r="EV37" s="8">
        <v>56953012</v>
      </c>
      <c r="EW37" s="8">
        <v>56953012</v>
      </c>
      <c r="EX37" s="8">
        <v>56953012</v>
      </c>
      <c r="EY37" s="8">
        <v>57115499</v>
      </c>
      <c r="EZ37" s="8">
        <v>57115499</v>
      </c>
      <c r="FA37" s="8">
        <v>58076198</v>
      </c>
      <c r="FB37" s="9">
        <f t="shared" si="30"/>
        <v>58076198</v>
      </c>
      <c r="FC37" s="8">
        <v>55214851</v>
      </c>
      <c r="FD37" s="8">
        <v>55906268</v>
      </c>
      <c r="FE37" s="8">
        <v>56878200</v>
      </c>
      <c r="FF37" s="8">
        <v>56878200</v>
      </c>
      <c r="FG37" s="8">
        <v>59441918</v>
      </c>
      <c r="FH37" s="8">
        <v>59526130</v>
      </c>
      <c r="FI37" s="8">
        <v>59526130</v>
      </c>
      <c r="FJ37" s="8"/>
      <c r="FK37" s="8"/>
      <c r="FL37" s="8"/>
      <c r="FM37" s="8"/>
      <c r="FN37" s="8"/>
      <c r="FO37" s="9">
        <f t="shared" si="31"/>
        <v>59526130</v>
      </c>
    </row>
    <row r="38" spans="2:171" ht="14.25" customHeight="1" x14ac:dyDescent="0.3">
      <c r="B38" s="7" t="s">
        <v>51</v>
      </c>
      <c r="C38" s="8">
        <v>58929368</v>
      </c>
      <c r="D38" s="8">
        <v>58929368</v>
      </c>
      <c r="E38" s="8">
        <v>61299428</v>
      </c>
      <c r="F38" s="8">
        <v>61299428</v>
      </c>
      <c r="G38" s="8">
        <v>61035428</v>
      </c>
      <c r="H38" s="8">
        <v>68835428</v>
      </c>
      <c r="I38" s="8">
        <v>68835428</v>
      </c>
      <c r="J38" s="8">
        <v>68835428</v>
      </c>
      <c r="K38" s="8">
        <v>66996084</v>
      </c>
      <c r="L38" s="8">
        <v>66996084</v>
      </c>
      <c r="M38" s="8">
        <v>64608849</v>
      </c>
      <c r="N38" s="8">
        <v>58609167</v>
      </c>
      <c r="O38" s="9">
        <f t="shared" si="19"/>
        <v>58609167</v>
      </c>
      <c r="P38" s="8">
        <v>63938761</v>
      </c>
      <c r="Q38" s="8">
        <v>66340139</v>
      </c>
      <c r="R38" s="8">
        <v>66340139</v>
      </c>
      <c r="S38" s="8">
        <v>66340139</v>
      </c>
      <c r="T38" s="8">
        <v>69049481</v>
      </c>
      <c r="U38" s="8">
        <v>69091853</v>
      </c>
      <c r="V38" s="8">
        <v>69091853</v>
      </c>
      <c r="W38" s="8">
        <v>69100103</v>
      </c>
      <c r="X38" s="8">
        <v>69375103</v>
      </c>
      <c r="Y38" s="8">
        <v>75090311</v>
      </c>
      <c r="Z38" s="8">
        <v>78353961</v>
      </c>
      <c r="AA38" s="8">
        <v>78751322</v>
      </c>
      <c r="AB38" s="9">
        <f t="shared" si="20"/>
        <v>78751322</v>
      </c>
      <c r="AC38" s="8">
        <v>60602895</v>
      </c>
      <c r="AD38" s="8">
        <v>63153473</v>
      </c>
      <c r="AE38" s="8">
        <v>63153473</v>
      </c>
      <c r="AF38" s="8">
        <v>63153473</v>
      </c>
      <c r="AG38" s="8">
        <v>64307218</v>
      </c>
      <c r="AH38" s="8">
        <v>64307218</v>
      </c>
      <c r="AI38" s="8">
        <v>64178967</v>
      </c>
      <c r="AJ38" s="8">
        <v>64060967</v>
      </c>
      <c r="AK38" s="8">
        <v>64060967</v>
      </c>
      <c r="AL38" s="8">
        <v>63775967</v>
      </c>
      <c r="AM38" s="8">
        <v>63749839</v>
      </c>
      <c r="AN38" s="8">
        <v>62651641</v>
      </c>
      <c r="AO38" s="9">
        <f t="shared" si="21"/>
        <v>62651641</v>
      </c>
      <c r="AP38" s="8">
        <v>56615435</v>
      </c>
      <c r="AQ38" s="8">
        <v>62385158</v>
      </c>
      <c r="AR38" s="8">
        <v>62385158</v>
      </c>
      <c r="AS38" s="8">
        <v>62385158</v>
      </c>
      <c r="AT38" s="8">
        <v>67437677</v>
      </c>
      <c r="AU38" s="8">
        <v>68574813</v>
      </c>
      <c r="AV38" s="8">
        <v>68574813</v>
      </c>
      <c r="AW38" s="8">
        <v>68596763</v>
      </c>
      <c r="AX38" s="8">
        <v>69045256</v>
      </c>
      <c r="AY38" s="8">
        <v>68724707</v>
      </c>
      <c r="AZ38" s="8">
        <v>68359363</v>
      </c>
      <c r="BA38" s="8">
        <v>66642401</v>
      </c>
      <c r="BB38" s="9">
        <f t="shared" si="22"/>
        <v>66642401</v>
      </c>
      <c r="BC38" s="8">
        <v>45393646</v>
      </c>
      <c r="BD38" s="8">
        <v>48998646</v>
      </c>
      <c r="BE38" s="8">
        <v>48998646</v>
      </c>
      <c r="BF38" s="8">
        <v>51246966</v>
      </c>
      <c r="BG38" s="8">
        <v>51246966</v>
      </c>
      <c r="BH38" s="8">
        <v>55888503</v>
      </c>
      <c r="BI38" s="8">
        <v>56119392</v>
      </c>
      <c r="BJ38" s="8">
        <v>56287885</v>
      </c>
      <c r="BK38" s="8">
        <v>56578626</v>
      </c>
      <c r="BL38" s="8">
        <v>60353589</v>
      </c>
      <c r="BM38" s="8">
        <v>60242577</v>
      </c>
      <c r="BN38" s="8">
        <v>58209053</v>
      </c>
      <c r="BO38" s="9">
        <f t="shared" si="23"/>
        <v>58209053</v>
      </c>
      <c r="BP38" s="8">
        <v>50282027</v>
      </c>
      <c r="BQ38" s="8">
        <v>50282027</v>
      </c>
      <c r="BR38" s="8">
        <v>53009671</v>
      </c>
      <c r="BS38" s="8">
        <v>53009671</v>
      </c>
      <c r="BT38" s="8">
        <v>53009671</v>
      </c>
      <c r="BU38" s="8">
        <v>57977327</v>
      </c>
      <c r="BV38" s="8">
        <v>58340687</v>
      </c>
      <c r="BW38" s="8">
        <v>58388581</v>
      </c>
      <c r="BX38" s="8">
        <v>58458181</v>
      </c>
      <c r="BY38" s="8">
        <v>58458181</v>
      </c>
      <c r="BZ38" s="8">
        <v>58084101</v>
      </c>
      <c r="CA38" s="8">
        <v>51683997</v>
      </c>
      <c r="CB38" s="9">
        <f t="shared" si="24"/>
        <v>51683997</v>
      </c>
      <c r="CC38" s="8">
        <v>68935312</v>
      </c>
      <c r="CD38" s="8">
        <v>68935312</v>
      </c>
      <c r="CE38" s="8">
        <v>68935312</v>
      </c>
      <c r="CF38" s="8">
        <v>75620186</v>
      </c>
      <c r="CG38" s="8">
        <v>75620186</v>
      </c>
      <c r="CH38" s="8">
        <v>75844049</v>
      </c>
      <c r="CI38" s="8">
        <v>80679015</v>
      </c>
      <c r="CJ38" s="8">
        <v>80679015</v>
      </c>
      <c r="CK38" s="8">
        <v>80774930</v>
      </c>
      <c r="CL38" s="8">
        <v>79030699</v>
      </c>
      <c r="CM38" s="8">
        <v>77186172</v>
      </c>
      <c r="CN38" s="8">
        <v>64493832</v>
      </c>
      <c r="CO38" s="9">
        <f t="shared" si="25"/>
        <v>64493832</v>
      </c>
      <c r="CP38" s="8">
        <v>121451476</v>
      </c>
      <c r="CQ38" s="8">
        <v>129722304</v>
      </c>
      <c r="CR38" s="8">
        <v>126707424</v>
      </c>
      <c r="CS38" s="8">
        <v>126938685</v>
      </c>
      <c r="CT38" s="8">
        <v>132323787</v>
      </c>
      <c r="CU38" s="8">
        <v>128389149</v>
      </c>
      <c r="CV38" s="8">
        <v>125484432</v>
      </c>
      <c r="CW38" s="8">
        <v>125153718</v>
      </c>
      <c r="CX38" s="8">
        <v>123524150</v>
      </c>
      <c r="CY38" s="8">
        <v>122714026</v>
      </c>
      <c r="CZ38" s="8">
        <v>109967510</v>
      </c>
      <c r="DA38" s="8">
        <v>95169709</v>
      </c>
      <c r="DB38" s="9">
        <f t="shared" si="26"/>
        <v>95169709</v>
      </c>
      <c r="DC38" s="8">
        <v>100098472</v>
      </c>
      <c r="DD38" s="8">
        <v>121303403</v>
      </c>
      <c r="DE38" s="8">
        <v>121303403</v>
      </c>
      <c r="DF38" s="8">
        <v>120570587</v>
      </c>
      <c r="DG38" s="8">
        <v>120556703</v>
      </c>
      <c r="DH38" s="8">
        <v>119765730</v>
      </c>
      <c r="DI38" s="8">
        <v>120443102</v>
      </c>
      <c r="DJ38" s="8">
        <v>118390115</v>
      </c>
      <c r="DK38" s="8">
        <v>118390115</v>
      </c>
      <c r="DL38" s="8">
        <v>115077894</v>
      </c>
      <c r="DM38" s="8">
        <v>101166870</v>
      </c>
      <c r="DN38" s="8">
        <v>94520917</v>
      </c>
      <c r="DO38" s="9">
        <f t="shared" si="27"/>
        <v>94520917</v>
      </c>
      <c r="DP38" s="8">
        <v>105488522</v>
      </c>
      <c r="DQ38" s="8">
        <v>108633999</v>
      </c>
      <c r="DR38" s="8">
        <v>108633999</v>
      </c>
      <c r="DS38" s="8">
        <v>108633999</v>
      </c>
      <c r="DT38" s="8">
        <v>108633999</v>
      </c>
      <c r="DU38" s="8">
        <v>108774999</v>
      </c>
      <c r="DV38" s="8">
        <v>108897149</v>
      </c>
      <c r="DW38" s="8">
        <v>108897149</v>
      </c>
      <c r="DX38" s="8">
        <v>108897149</v>
      </c>
      <c r="DY38" s="8">
        <v>108897149</v>
      </c>
      <c r="DZ38" s="8">
        <v>92376604</v>
      </c>
      <c r="EA38" s="8">
        <v>73346177</v>
      </c>
      <c r="EB38" s="9">
        <f t="shared" si="28"/>
        <v>73346177</v>
      </c>
      <c r="EC38" s="8">
        <v>87253576</v>
      </c>
      <c r="ED38" s="8">
        <v>87253576</v>
      </c>
      <c r="EE38" s="8">
        <v>93927139</v>
      </c>
      <c r="EF38" s="8">
        <v>93927139</v>
      </c>
      <c r="EG38" s="8">
        <v>94027910</v>
      </c>
      <c r="EH38" s="8">
        <v>94051385</v>
      </c>
      <c r="EI38" s="8">
        <v>96196920</v>
      </c>
      <c r="EJ38" s="8">
        <v>101535195</v>
      </c>
      <c r="EK38" s="8">
        <v>101582093</v>
      </c>
      <c r="EL38" s="8">
        <v>101562510</v>
      </c>
      <c r="EM38" s="8">
        <v>100432485</v>
      </c>
      <c r="EN38" s="8">
        <v>86087430</v>
      </c>
      <c r="EO38" s="9">
        <f t="shared" si="29"/>
        <v>86087430</v>
      </c>
      <c r="EP38" s="8">
        <v>74587862</v>
      </c>
      <c r="EQ38" s="8">
        <v>76570114</v>
      </c>
      <c r="ER38" s="8">
        <v>76595114</v>
      </c>
      <c r="ES38" s="8">
        <v>76595114</v>
      </c>
      <c r="ET38" s="8">
        <v>76595114</v>
      </c>
      <c r="EU38" s="8">
        <v>80153860</v>
      </c>
      <c r="EV38" s="8">
        <v>80153860</v>
      </c>
      <c r="EW38" s="8">
        <v>80153860</v>
      </c>
      <c r="EX38" s="8">
        <v>80153860</v>
      </c>
      <c r="EY38" s="8">
        <v>80236491</v>
      </c>
      <c r="EZ38" s="8">
        <v>80236491</v>
      </c>
      <c r="FA38" s="8">
        <v>81413921</v>
      </c>
      <c r="FB38" s="9">
        <f t="shared" si="30"/>
        <v>81413921</v>
      </c>
      <c r="FC38" s="8">
        <v>90590002</v>
      </c>
      <c r="FD38" s="8">
        <v>90590002</v>
      </c>
      <c r="FE38" s="8">
        <v>90590002</v>
      </c>
      <c r="FF38" s="8">
        <v>90590002</v>
      </c>
      <c r="FG38" s="8">
        <v>92970431</v>
      </c>
      <c r="FH38" s="8">
        <v>92970431</v>
      </c>
      <c r="FI38" s="8">
        <v>93624803</v>
      </c>
      <c r="FJ38" s="8"/>
      <c r="FK38" s="8"/>
      <c r="FL38" s="8"/>
      <c r="FM38" s="8"/>
      <c r="FN38" s="8"/>
      <c r="FO38" s="9">
        <f t="shared" si="31"/>
        <v>93624803</v>
      </c>
    </row>
    <row r="39" spans="2:171" ht="14.25" customHeight="1" x14ac:dyDescent="0.3">
      <c r="B39" s="7" t="s">
        <v>52</v>
      </c>
      <c r="C39" s="8">
        <v>26277535</v>
      </c>
      <c r="D39" s="8">
        <v>26277535</v>
      </c>
      <c r="E39" s="8">
        <v>26748312</v>
      </c>
      <c r="F39" s="8">
        <v>26748312</v>
      </c>
      <c r="G39" s="8">
        <v>26748312</v>
      </c>
      <c r="H39" s="8">
        <v>26748312</v>
      </c>
      <c r="I39" s="8">
        <v>26748312</v>
      </c>
      <c r="J39" s="8">
        <v>26726738</v>
      </c>
      <c r="K39" s="8">
        <v>26292618</v>
      </c>
      <c r="L39" s="8">
        <v>26329678</v>
      </c>
      <c r="M39" s="8">
        <v>26998781</v>
      </c>
      <c r="N39" s="8">
        <v>24040927</v>
      </c>
      <c r="O39" s="9">
        <f t="shared" si="19"/>
        <v>24040927</v>
      </c>
      <c r="P39" s="8">
        <v>18864208</v>
      </c>
      <c r="Q39" s="8">
        <v>19338496</v>
      </c>
      <c r="R39" s="8">
        <v>19338496</v>
      </c>
      <c r="S39" s="8">
        <v>19338496</v>
      </c>
      <c r="T39" s="8">
        <v>19338496</v>
      </c>
      <c r="U39" s="8">
        <v>19524220</v>
      </c>
      <c r="V39" s="8">
        <v>19524220</v>
      </c>
      <c r="W39" s="8">
        <v>19839063</v>
      </c>
      <c r="X39" s="8">
        <v>19845063</v>
      </c>
      <c r="Y39" s="8">
        <v>19607579</v>
      </c>
      <c r="Z39" s="8">
        <v>19607579</v>
      </c>
      <c r="AA39" s="8">
        <v>17888887</v>
      </c>
      <c r="AB39" s="9">
        <f t="shared" si="20"/>
        <v>17888887</v>
      </c>
      <c r="AC39" s="8">
        <v>16417514</v>
      </c>
      <c r="AD39" s="8">
        <v>16997144</v>
      </c>
      <c r="AE39" s="8">
        <v>16997144</v>
      </c>
      <c r="AF39" s="8">
        <v>16997144</v>
      </c>
      <c r="AG39" s="8">
        <v>17037144</v>
      </c>
      <c r="AH39" s="8">
        <v>17037144</v>
      </c>
      <c r="AI39" s="8">
        <v>16028382</v>
      </c>
      <c r="AJ39" s="8">
        <v>16028382</v>
      </c>
      <c r="AK39" s="8">
        <v>16028382</v>
      </c>
      <c r="AL39" s="8">
        <v>16175789</v>
      </c>
      <c r="AM39" s="8">
        <v>16038369</v>
      </c>
      <c r="AN39" s="8">
        <v>13977385</v>
      </c>
      <c r="AO39" s="9">
        <f t="shared" si="21"/>
        <v>13977385</v>
      </c>
      <c r="AP39" s="8">
        <v>7822380</v>
      </c>
      <c r="AQ39" s="8">
        <v>10397259</v>
      </c>
      <c r="AR39" s="8">
        <v>11033081</v>
      </c>
      <c r="AS39" s="8">
        <v>11363963</v>
      </c>
      <c r="AT39" s="8">
        <v>12077458</v>
      </c>
      <c r="AU39" s="8">
        <v>13068971</v>
      </c>
      <c r="AV39" s="8">
        <v>12819084</v>
      </c>
      <c r="AW39" s="8">
        <v>12819084</v>
      </c>
      <c r="AX39" s="8">
        <v>13047301</v>
      </c>
      <c r="AY39" s="8">
        <v>12557081</v>
      </c>
      <c r="AZ39" s="8">
        <v>12476081</v>
      </c>
      <c r="BA39" s="8">
        <v>12055519</v>
      </c>
      <c r="BB39" s="9">
        <f t="shared" si="22"/>
        <v>12055519</v>
      </c>
      <c r="BC39" s="8">
        <v>14195819</v>
      </c>
      <c r="BD39" s="8">
        <v>14956513</v>
      </c>
      <c r="BE39" s="8">
        <v>14956513</v>
      </c>
      <c r="BF39" s="8">
        <v>14956513</v>
      </c>
      <c r="BG39" s="8">
        <v>14956513</v>
      </c>
      <c r="BH39" s="8">
        <v>14956513</v>
      </c>
      <c r="BI39" s="8">
        <v>15542566</v>
      </c>
      <c r="BJ39" s="8">
        <v>15677746</v>
      </c>
      <c r="BK39" s="8">
        <v>15677746</v>
      </c>
      <c r="BL39" s="8">
        <v>15677746</v>
      </c>
      <c r="BM39" s="8">
        <v>15677746</v>
      </c>
      <c r="BN39" s="8">
        <v>14104034</v>
      </c>
      <c r="BO39" s="9">
        <f t="shared" si="23"/>
        <v>14104034</v>
      </c>
      <c r="BP39" s="8">
        <v>10934837</v>
      </c>
      <c r="BQ39" s="8">
        <v>10934837</v>
      </c>
      <c r="BR39" s="8">
        <v>11287404</v>
      </c>
      <c r="BS39" s="8">
        <v>11287404</v>
      </c>
      <c r="BT39" s="8">
        <v>11287404</v>
      </c>
      <c r="BU39" s="8">
        <v>9987404</v>
      </c>
      <c r="BV39" s="8">
        <v>9197242</v>
      </c>
      <c r="BW39" s="8">
        <v>12512242</v>
      </c>
      <c r="BX39" s="8">
        <v>12589806</v>
      </c>
      <c r="BY39" s="8">
        <v>12589806</v>
      </c>
      <c r="BZ39" s="8">
        <v>12589806</v>
      </c>
      <c r="CA39" s="8">
        <v>12717694</v>
      </c>
      <c r="CB39" s="9">
        <f t="shared" si="24"/>
        <v>12717694</v>
      </c>
      <c r="CC39" s="8">
        <v>12638831</v>
      </c>
      <c r="CD39" s="8">
        <v>12638831</v>
      </c>
      <c r="CE39" s="8">
        <v>14888831</v>
      </c>
      <c r="CF39" s="8">
        <v>15345095</v>
      </c>
      <c r="CG39" s="8">
        <v>15345095</v>
      </c>
      <c r="CH39" s="8">
        <v>15345095</v>
      </c>
      <c r="CI39" s="8">
        <v>15345095</v>
      </c>
      <c r="CJ39" s="8">
        <v>15345095</v>
      </c>
      <c r="CK39" s="8">
        <v>15345095</v>
      </c>
      <c r="CL39" s="8">
        <v>16871832</v>
      </c>
      <c r="CM39" s="8">
        <v>16871832</v>
      </c>
      <c r="CN39" s="8">
        <v>14102964</v>
      </c>
      <c r="CO39" s="9">
        <f t="shared" si="25"/>
        <v>14102964</v>
      </c>
      <c r="CP39" s="8">
        <v>14249499</v>
      </c>
      <c r="CQ39" s="8">
        <v>10546312</v>
      </c>
      <c r="CR39" s="8">
        <v>12796312</v>
      </c>
      <c r="CS39" s="8">
        <v>15015842</v>
      </c>
      <c r="CT39" s="8">
        <v>15685395</v>
      </c>
      <c r="CU39" s="8">
        <v>15785389</v>
      </c>
      <c r="CV39" s="8">
        <v>15787719</v>
      </c>
      <c r="CW39" s="8">
        <v>15831289</v>
      </c>
      <c r="CX39" s="8">
        <v>16583631</v>
      </c>
      <c r="CY39" s="8">
        <v>16483631</v>
      </c>
      <c r="CZ39" s="8">
        <v>13839062</v>
      </c>
      <c r="DA39" s="8">
        <v>9678227</v>
      </c>
      <c r="DB39" s="9">
        <f t="shared" si="26"/>
        <v>9678227</v>
      </c>
      <c r="DC39" s="8">
        <v>11870060</v>
      </c>
      <c r="DD39" s="8">
        <v>13917678</v>
      </c>
      <c r="DE39" s="8">
        <v>14847860</v>
      </c>
      <c r="DF39" s="8">
        <v>14847860</v>
      </c>
      <c r="DG39" s="8">
        <v>14847860</v>
      </c>
      <c r="DH39" s="8">
        <v>15300817</v>
      </c>
      <c r="DI39" s="8">
        <v>15300817</v>
      </c>
      <c r="DJ39" s="8">
        <v>16297538</v>
      </c>
      <c r="DK39" s="8">
        <v>16297538</v>
      </c>
      <c r="DL39" s="8">
        <v>16297538</v>
      </c>
      <c r="DM39" s="8">
        <v>11021810</v>
      </c>
      <c r="DN39" s="8">
        <v>7220234</v>
      </c>
      <c r="DO39" s="9">
        <f t="shared" si="27"/>
        <v>7220234</v>
      </c>
      <c r="DP39" s="8">
        <v>16473882</v>
      </c>
      <c r="DQ39" s="8">
        <v>16473882</v>
      </c>
      <c r="DR39" s="8">
        <v>16473882</v>
      </c>
      <c r="DS39" s="8">
        <v>16473882</v>
      </c>
      <c r="DT39" s="8">
        <v>16473882</v>
      </c>
      <c r="DU39" s="8">
        <v>16649669</v>
      </c>
      <c r="DV39" s="8">
        <v>16649669</v>
      </c>
      <c r="DW39" s="8">
        <v>16649669</v>
      </c>
      <c r="DX39" s="8">
        <v>16649669</v>
      </c>
      <c r="DY39" s="8">
        <v>16649669</v>
      </c>
      <c r="DZ39" s="8">
        <v>16911235</v>
      </c>
      <c r="EA39" s="8">
        <v>9607053</v>
      </c>
      <c r="EB39" s="9">
        <f t="shared" si="28"/>
        <v>9607053</v>
      </c>
      <c r="EC39" s="8">
        <v>16690085</v>
      </c>
      <c r="ED39" s="8">
        <v>16690085</v>
      </c>
      <c r="EE39" s="8">
        <v>16690085</v>
      </c>
      <c r="EF39" s="8">
        <v>16556501</v>
      </c>
      <c r="EG39" s="8">
        <v>14974879</v>
      </c>
      <c r="EH39" s="8">
        <v>14803771</v>
      </c>
      <c r="EI39" s="8">
        <v>12925518</v>
      </c>
      <c r="EJ39" s="8">
        <v>12925518</v>
      </c>
      <c r="EK39" s="8">
        <v>11911329</v>
      </c>
      <c r="EL39" s="8">
        <v>12498650</v>
      </c>
      <c r="EM39" s="8">
        <v>12535400</v>
      </c>
      <c r="EN39" s="8">
        <v>5515173</v>
      </c>
      <c r="EO39" s="9">
        <f t="shared" si="29"/>
        <v>5515173</v>
      </c>
      <c r="EP39" s="8">
        <v>17865780</v>
      </c>
      <c r="EQ39" s="8">
        <v>17865780</v>
      </c>
      <c r="ER39" s="8">
        <v>17865780</v>
      </c>
      <c r="ES39" s="8">
        <v>17865780</v>
      </c>
      <c r="ET39" s="8">
        <v>17865780</v>
      </c>
      <c r="EU39" s="8">
        <v>17865780</v>
      </c>
      <c r="EV39" s="8">
        <v>17865780</v>
      </c>
      <c r="EW39" s="8">
        <v>17865780</v>
      </c>
      <c r="EX39" s="8">
        <v>17865780</v>
      </c>
      <c r="EY39" s="8">
        <v>16353696</v>
      </c>
      <c r="EZ39" s="8">
        <v>14508227</v>
      </c>
      <c r="FA39" s="8">
        <v>9555042</v>
      </c>
      <c r="FB39" s="9">
        <f t="shared" si="30"/>
        <v>9555042</v>
      </c>
      <c r="FC39" s="8">
        <v>14196992</v>
      </c>
      <c r="FD39" s="8">
        <v>14196992</v>
      </c>
      <c r="FE39" s="8">
        <v>14196992</v>
      </c>
      <c r="FF39" s="8">
        <v>14196992</v>
      </c>
      <c r="FG39" s="8">
        <v>14196992</v>
      </c>
      <c r="FH39" s="8">
        <v>14707834</v>
      </c>
      <c r="FI39" s="8">
        <v>15769553</v>
      </c>
      <c r="FJ39" s="8"/>
      <c r="FK39" s="8"/>
      <c r="FL39" s="8"/>
      <c r="FM39" s="8"/>
      <c r="FN39" s="8"/>
      <c r="FO39" s="9">
        <f t="shared" si="31"/>
        <v>15769553</v>
      </c>
    </row>
    <row r="40" spans="2:171" ht="14.25" customHeight="1" x14ac:dyDescent="0.3">
      <c r="B40" s="7" t="s">
        <v>53</v>
      </c>
      <c r="C40" s="8">
        <v>18959297</v>
      </c>
      <c r="D40" s="8">
        <v>18959297</v>
      </c>
      <c r="E40" s="8">
        <v>19317682</v>
      </c>
      <c r="F40" s="8">
        <v>19317682</v>
      </c>
      <c r="G40" s="8">
        <v>19317682</v>
      </c>
      <c r="H40" s="8">
        <v>19317682</v>
      </c>
      <c r="I40" s="8">
        <v>19317682</v>
      </c>
      <c r="J40" s="8">
        <v>17427743</v>
      </c>
      <c r="K40" s="8">
        <v>14211891</v>
      </c>
      <c r="L40" s="8">
        <v>14221791</v>
      </c>
      <c r="M40" s="8">
        <v>11511175</v>
      </c>
      <c r="N40" s="8">
        <v>11912008</v>
      </c>
      <c r="O40" s="9">
        <f t="shared" si="19"/>
        <v>11912008</v>
      </c>
      <c r="P40" s="8">
        <v>28078883</v>
      </c>
      <c r="Q40" s="8">
        <v>27662312</v>
      </c>
      <c r="R40" s="8">
        <v>24925916</v>
      </c>
      <c r="S40" s="8">
        <v>23490672</v>
      </c>
      <c r="T40" s="8">
        <v>23490672</v>
      </c>
      <c r="U40" s="8">
        <v>23701391</v>
      </c>
      <c r="V40" s="8">
        <v>24524439</v>
      </c>
      <c r="W40" s="8">
        <v>24586738</v>
      </c>
      <c r="X40" s="8">
        <v>24586738</v>
      </c>
      <c r="Y40" s="8">
        <v>24586738</v>
      </c>
      <c r="Z40" s="8">
        <v>24583209</v>
      </c>
      <c r="AA40" s="8">
        <v>22379587</v>
      </c>
      <c r="AB40" s="9">
        <f t="shared" si="20"/>
        <v>22379587</v>
      </c>
      <c r="AC40" s="8">
        <v>27091258</v>
      </c>
      <c r="AD40" s="8">
        <v>27371836</v>
      </c>
      <c r="AE40" s="8">
        <v>27371836</v>
      </c>
      <c r="AF40" s="8">
        <v>27371836</v>
      </c>
      <c r="AG40" s="8">
        <v>24871836</v>
      </c>
      <c r="AH40" s="8">
        <v>24871836</v>
      </c>
      <c r="AI40" s="8">
        <v>25203264</v>
      </c>
      <c r="AJ40" s="8">
        <v>25203264</v>
      </c>
      <c r="AK40" s="8">
        <v>25203264</v>
      </c>
      <c r="AL40" s="8">
        <v>25363764</v>
      </c>
      <c r="AM40" s="8">
        <v>25363764</v>
      </c>
      <c r="AN40" s="8">
        <v>25497404</v>
      </c>
      <c r="AO40" s="9">
        <f t="shared" si="21"/>
        <v>25497404</v>
      </c>
      <c r="AP40" s="8">
        <v>41060039</v>
      </c>
      <c r="AQ40" s="8">
        <v>41469511</v>
      </c>
      <c r="AR40" s="8">
        <v>41469511</v>
      </c>
      <c r="AS40" s="8">
        <v>41469511</v>
      </c>
      <c r="AT40" s="8">
        <v>36763321</v>
      </c>
      <c r="AU40" s="8">
        <v>38373607</v>
      </c>
      <c r="AV40" s="8">
        <v>37223431</v>
      </c>
      <c r="AW40" s="8">
        <v>33725901</v>
      </c>
      <c r="AX40" s="8">
        <v>33390089</v>
      </c>
      <c r="AY40" s="8">
        <v>32241794</v>
      </c>
      <c r="AZ40" s="8">
        <v>32210326</v>
      </c>
      <c r="BA40" s="8">
        <v>26016012</v>
      </c>
      <c r="BB40" s="9">
        <f t="shared" si="22"/>
        <v>26016012</v>
      </c>
      <c r="BC40" s="8">
        <v>44459639</v>
      </c>
      <c r="BD40" s="8">
        <v>44483207</v>
      </c>
      <c r="BE40" s="8">
        <v>44483207</v>
      </c>
      <c r="BF40" s="8">
        <v>44483207</v>
      </c>
      <c r="BG40" s="8">
        <v>44483207</v>
      </c>
      <c r="BH40" s="8">
        <v>44483207</v>
      </c>
      <c r="BI40" s="8">
        <v>44459639</v>
      </c>
      <c r="BJ40" s="8">
        <v>44459639</v>
      </c>
      <c r="BK40" s="8">
        <v>44459639</v>
      </c>
      <c r="BL40" s="8">
        <v>41459639</v>
      </c>
      <c r="BM40" s="8">
        <v>41459639</v>
      </c>
      <c r="BN40" s="8">
        <v>29944592</v>
      </c>
      <c r="BO40" s="9">
        <f t="shared" si="23"/>
        <v>29944592</v>
      </c>
      <c r="BP40" s="8">
        <v>36664986</v>
      </c>
      <c r="BQ40" s="8">
        <v>35704546</v>
      </c>
      <c r="BR40" s="8">
        <v>35704546</v>
      </c>
      <c r="BS40" s="8">
        <v>35704546</v>
      </c>
      <c r="BT40" s="8">
        <v>35704546</v>
      </c>
      <c r="BU40" s="8">
        <v>34871320</v>
      </c>
      <c r="BV40" s="8">
        <v>33717390</v>
      </c>
      <c r="BW40" s="8">
        <v>34207244</v>
      </c>
      <c r="BX40" s="8">
        <v>33707244</v>
      </c>
      <c r="BY40" s="8">
        <v>33707244</v>
      </c>
      <c r="BZ40" s="8">
        <v>33617481</v>
      </c>
      <c r="CA40" s="8">
        <v>30614544</v>
      </c>
      <c r="CB40" s="9">
        <f t="shared" si="24"/>
        <v>30614544</v>
      </c>
      <c r="CC40" s="8">
        <v>28819307</v>
      </c>
      <c r="CD40" s="8">
        <v>28819307</v>
      </c>
      <c r="CE40" s="8">
        <v>28819307</v>
      </c>
      <c r="CF40" s="8">
        <v>29046589</v>
      </c>
      <c r="CG40" s="8">
        <v>29046589</v>
      </c>
      <c r="CH40" s="8">
        <v>29046589</v>
      </c>
      <c r="CI40" s="8">
        <v>29046589</v>
      </c>
      <c r="CJ40" s="8">
        <v>29046589</v>
      </c>
      <c r="CK40" s="8">
        <v>29447160</v>
      </c>
      <c r="CL40" s="8">
        <v>29447160</v>
      </c>
      <c r="CM40" s="8">
        <v>29374095</v>
      </c>
      <c r="CN40" s="8">
        <v>23515061</v>
      </c>
      <c r="CO40" s="9">
        <f t="shared" si="25"/>
        <v>23515061</v>
      </c>
      <c r="CP40" s="8">
        <v>38209083</v>
      </c>
      <c r="CQ40" s="8">
        <v>41100597</v>
      </c>
      <c r="CR40" s="8">
        <v>41100597</v>
      </c>
      <c r="CS40" s="8">
        <v>39600597</v>
      </c>
      <c r="CT40" s="8">
        <v>39025073</v>
      </c>
      <c r="CU40" s="8">
        <v>37516423</v>
      </c>
      <c r="CV40" s="8">
        <v>37516423</v>
      </c>
      <c r="CW40" s="8">
        <v>37460264</v>
      </c>
      <c r="CX40" s="8">
        <v>38573604</v>
      </c>
      <c r="CY40" s="8">
        <v>37732094</v>
      </c>
      <c r="CZ40" s="8">
        <v>32604846</v>
      </c>
      <c r="DA40" s="8">
        <v>24635036</v>
      </c>
      <c r="DB40" s="9">
        <f t="shared" si="26"/>
        <v>24635036</v>
      </c>
      <c r="DC40" s="8">
        <v>41575245</v>
      </c>
      <c r="DD40" s="8">
        <v>44644684</v>
      </c>
      <c r="DE40" s="8">
        <v>44911603</v>
      </c>
      <c r="DF40" s="8">
        <v>44911603</v>
      </c>
      <c r="DG40" s="8">
        <v>44911603</v>
      </c>
      <c r="DH40" s="8">
        <v>44911603</v>
      </c>
      <c r="DI40" s="8">
        <v>44911603</v>
      </c>
      <c r="DJ40" s="8">
        <v>44911603</v>
      </c>
      <c r="DK40" s="8">
        <v>37982134</v>
      </c>
      <c r="DL40" s="8">
        <v>39377760</v>
      </c>
      <c r="DM40" s="8">
        <v>27569422</v>
      </c>
      <c r="DN40" s="8">
        <v>20988334</v>
      </c>
      <c r="DO40" s="9">
        <f t="shared" si="27"/>
        <v>20988334</v>
      </c>
      <c r="DP40" s="8">
        <v>34076619</v>
      </c>
      <c r="DQ40" s="8">
        <v>34076619</v>
      </c>
      <c r="DR40" s="8">
        <v>34076619</v>
      </c>
      <c r="DS40" s="8">
        <v>34076619</v>
      </c>
      <c r="DT40" s="8">
        <v>34076619</v>
      </c>
      <c r="DU40" s="8">
        <v>34076619</v>
      </c>
      <c r="DV40" s="8">
        <v>34076619</v>
      </c>
      <c r="DW40" s="8">
        <v>34076619</v>
      </c>
      <c r="DX40" s="8">
        <v>34076619</v>
      </c>
      <c r="DY40" s="8">
        <v>34076619</v>
      </c>
      <c r="DZ40" s="8">
        <v>26897358</v>
      </c>
      <c r="EA40" s="8">
        <v>16700770</v>
      </c>
      <c r="EB40" s="9">
        <f t="shared" si="28"/>
        <v>16700770</v>
      </c>
      <c r="EC40" s="8">
        <v>28318956</v>
      </c>
      <c r="ED40" s="8">
        <v>28318956</v>
      </c>
      <c r="EE40" s="8">
        <v>28318956</v>
      </c>
      <c r="EF40" s="8">
        <v>28318956</v>
      </c>
      <c r="EG40" s="8">
        <v>28007698</v>
      </c>
      <c r="EH40" s="8">
        <v>28007698</v>
      </c>
      <c r="EI40" s="8">
        <v>26950239</v>
      </c>
      <c r="EJ40" s="8">
        <v>26950239</v>
      </c>
      <c r="EK40" s="8">
        <v>26321544</v>
      </c>
      <c r="EL40" s="8">
        <v>26321544</v>
      </c>
      <c r="EM40" s="8">
        <v>26138228</v>
      </c>
      <c r="EN40" s="8">
        <v>20053849</v>
      </c>
      <c r="EO40" s="9">
        <f t="shared" si="29"/>
        <v>20053849</v>
      </c>
      <c r="EP40" s="8">
        <v>30628977</v>
      </c>
      <c r="EQ40" s="8">
        <v>30628977</v>
      </c>
      <c r="ER40" s="8">
        <v>30628977</v>
      </c>
      <c r="ES40" s="8">
        <v>30628977</v>
      </c>
      <c r="ET40" s="8">
        <v>30628977</v>
      </c>
      <c r="EU40" s="8">
        <v>30628977</v>
      </c>
      <c r="EV40" s="8">
        <v>27628977</v>
      </c>
      <c r="EW40" s="8">
        <v>27628977</v>
      </c>
      <c r="EX40" s="8">
        <v>27628977</v>
      </c>
      <c r="EY40" s="8">
        <v>24859588</v>
      </c>
      <c r="EZ40" s="8">
        <v>24859588</v>
      </c>
      <c r="FA40" s="8">
        <v>17628176</v>
      </c>
      <c r="FB40" s="9">
        <f t="shared" si="30"/>
        <v>17628176</v>
      </c>
      <c r="FC40" s="8">
        <v>25030745</v>
      </c>
      <c r="FD40" s="8">
        <v>25030745</v>
      </c>
      <c r="FE40" s="8">
        <v>25030745</v>
      </c>
      <c r="FF40" s="8">
        <v>25030745</v>
      </c>
      <c r="FG40" s="8">
        <v>25030745</v>
      </c>
      <c r="FH40" s="8">
        <v>24845745</v>
      </c>
      <c r="FI40" s="8">
        <v>24845745</v>
      </c>
      <c r="FJ40" s="8"/>
      <c r="FK40" s="8"/>
      <c r="FL40" s="8"/>
      <c r="FM40" s="8"/>
      <c r="FN40" s="8"/>
      <c r="FO40" s="9">
        <f t="shared" si="31"/>
        <v>24845745</v>
      </c>
    </row>
    <row r="41" spans="2:171" ht="14.25" customHeight="1" x14ac:dyDescent="0.3">
      <c r="B41" s="7" t="s">
        <v>54</v>
      </c>
      <c r="C41" s="8">
        <v>0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9">
        <f t="shared" si="19"/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9">
        <f t="shared" si="20"/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9">
        <f t="shared" si="21"/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0</v>
      </c>
      <c r="AY41" s="8">
        <v>0</v>
      </c>
      <c r="AZ41" s="8">
        <v>0</v>
      </c>
      <c r="BA41" s="8">
        <v>0</v>
      </c>
      <c r="BB41" s="9">
        <f t="shared" si="22"/>
        <v>0</v>
      </c>
      <c r="BC41" s="8">
        <v>0</v>
      </c>
      <c r="BD41" s="8">
        <v>0</v>
      </c>
      <c r="BE41" s="8">
        <v>0</v>
      </c>
      <c r="BF41" s="8">
        <v>0</v>
      </c>
      <c r="BG41" s="8">
        <v>0</v>
      </c>
      <c r="BH41" s="8">
        <v>0</v>
      </c>
      <c r="BI41" s="8">
        <v>0</v>
      </c>
      <c r="BJ41" s="8">
        <v>0</v>
      </c>
      <c r="BK41" s="8">
        <v>0</v>
      </c>
      <c r="BL41" s="8">
        <v>0</v>
      </c>
      <c r="BM41" s="8">
        <v>0</v>
      </c>
      <c r="BN41" s="8">
        <v>0</v>
      </c>
      <c r="BO41" s="9">
        <f t="shared" si="23"/>
        <v>0</v>
      </c>
      <c r="BP41" s="8">
        <v>3063155</v>
      </c>
      <c r="BQ41" s="8">
        <v>3063155</v>
      </c>
      <c r="BR41" s="8">
        <v>3063155</v>
      </c>
      <c r="BS41" s="8">
        <v>3063155</v>
      </c>
      <c r="BT41" s="8">
        <v>3063155</v>
      </c>
      <c r="BU41" s="8">
        <v>3063155</v>
      </c>
      <c r="BV41" s="8">
        <v>3063155</v>
      </c>
      <c r="BW41" s="8">
        <v>3018835</v>
      </c>
      <c r="BX41" s="8">
        <v>2944526</v>
      </c>
      <c r="BY41" s="8">
        <v>2944526</v>
      </c>
      <c r="BZ41" s="8">
        <v>2944526</v>
      </c>
      <c r="CA41" s="8">
        <v>1577035</v>
      </c>
      <c r="CB41" s="9">
        <f t="shared" si="24"/>
        <v>1577035</v>
      </c>
      <c r="CC41" s="8">
        <v>7620030</v>
      </c>
      <c r="CD41" s="8">
        <v>7620030</v>
      </c>
      <c r="CE41" s="8">
        <v>7620030</v>
      </c>
      <c r="CF41" s="8">
        <v>7620030</v>
      </c>
      <c r="CG41" s="8">
        <v>7620030</v>
      </c>
      <c r="CH41" s="8">
        <v>7620030</v>
      </c>
      <c r="CI41" s="8">
        <v>9971216</v>
      </c>
      <c r="CJ41" s="8">
        <v>9971216</v>
      </c>
      <c r="CK41" s="8">
        <v>10446130</v>
      </c>
      <c r="CL41" s="8">
        <v>10481188</v>
      </c>
      <c r="CM41" s="8">
        <v>10481188</v>
      </c>
      <c r="CN41" s="8">
        <v>8072817</v>
      </c>
      <c r="CO41" s="9">
        <f t="shared" si="25"/>
        <v>8072817</v>
      </c>
      <c r="CP41" s="8">
        <v>26096695</v>
      </c>
      <c r="CQ41" s="8">
        <v>30290020</v>
      </c>
      <c r="CR41" s="8">
        <v>30290020</v>
      </c>
      <c r="CS41" s="8">
        <v>29448401</v>
      </c>
      <c r="CT41" s="8">
        <v>31148401</v>
      </c>
      <c r="CU41" s="8">
        <v>30456420</v>
      </c>
      <c r="CV41" s="8">
        <v>30468420</v>
      </c>
      <c r="CW41" s="8">
        <v>30456420</v>
      </c>
      <c r="CX41" s="8">
        <v>30456420</v>
      </c>
      <c r="CY41" s="8">
        <v>30456420</v>
      </c>
      <c r="CZ41" s="8">
        <v>27581404</v>
      </c>
      <c r="DA41" s="8">
        <v>24250403</v>
      </c>
      <c r="DB41" s="9">
        <f t="shared" si="26"/>
        <v>24250403</v>
      </c>
      <c r="DC41" s="8">
        <v>36920320</v>
      </c>
      <c r="DD41" s="8">
        <v>39555349</v>
      </c>
      <c r="DE41" s="8">
        <v>39555349</v>
      </c>
      <c r="DF41" s="8">
        <v>40193554</v>
      </c>
      <c r="DG41" s="8">
        <v>40193554</v>
      </c>
      <c r="DH41" s="8">
        <v>39518691</v>
      </c>
      <c r="DI41" s="8">
        <v>37297808</v>
      </c>
      <c r="DJ41" s="8">
        <v>37247808</v>
      </c>
      <c r="DK41" s="8">
        <v>31996367</v>
      </c>
      <c r="DL41" s="8">
        <v>31996367</v>
      </c>
      <c r="DM41" s="8">
        <v>21418055</v>
      </c>
      <c r="DN41" s="8">
        <v>20235644</v>
      </c>
      <c r="DO41" s="9">
        <f t="shared" si="27"/>
        <v>20235644</v>
      </c>
      <c r="DP41" s="8">
        <v>23700733</v>
      </c>
      <c r="DQ41" s="8">
        <v>23700733</v>
      </c>
      <c r="DR41" s="8">
        <v>23700733</v>
      </c>
      <c r="DS41" s="8">
        <v>24725452</v>
      </c>
      <c r="DT41" s="8">
        <v>24923952</v>
      </c>
      <c r="DU41" s="8">
        <v>24923952</v>
      </c>
      <c r="DV41" s="8">
        <v>24923952</v>
      </c>
      <c r="DW41" s="8">
        <v>24923952</v>
      </c>
      <c r="DX41" s="8">
        <v>24923952</v>
      </c>
      <c r="DY41" s="8">
        <v>24923952</v>
      </c>
      <c r="DZ41" s="8">
        <v>25399952</v>
      </c>
      <c r="EA41" s="8">
        <v>23943054</v>
      </c>
      <c r="EB41" s="9">
        <f t="shared" si="28"/>
        <v>23943054</v>
      </c>
      <c r="EC41" s="8">
        <v>23113535</v>
      </c>
      <c r="ED41" s="8">
        <v>23113535</v>
      </c>
      <c r="EE41" s="8">
        <v>23113535</v>
      </c>
      <c r="EF41" s="8">
        <v>23113535</v>
      </c>
      <c r="EG41" s="8">
        <v>23113535</v>
      </c>
      <c r="EH41" s="8">
        <v>25829486</v>
      </c>
      <c r="EI41" s="8">
        <v>26688903</v>
      </c>
      <c r="EJ41" s="8">
        <v>26688903</v>
      </c>
      <c r="EK41" s="8">
        <v>25705903</v>
      </c>
      <c r="EL41" s="8">
        <v>25705903</v>
      </c>
      <c r="EM41" s="8">
        <v>25705903</v>
      </c>
      <c r="EN41" s="8">
        <v>19120001</v>
      </c>
      <c r="EO41" s="9">
        <f t="shared" si="29"/>
        <v>19120001</v>
      </c>
      <c r="EP41" s="8">
        <v>22079448</v>
      </c>
      <c r="EQ41" s="8">
        <v>22079448</v>
      </c>
      <c r="ER41" s="8">
        <v>22079448</v>
      </c>
      <c r="ES41" s="8">
        <v>22079448</v>
      </c>
      <c r="ET41" s="8">
        <v>22234448</v>
      </c>
      <c r="EU41" s="8">
        <v>22234448</v>
      </c>
      <c r="EV41" s="8">
        <v>22234448</v>
      </c>
      <c r="EW41" s="8">
        <v>22234448</v>
      </c>
      <c r="EX41" s="8">
        <v>22234448</v>
      </c>
      <c r="EY41" s="8">
        <v>21553827</v>
      </c>
      <c r="EZ41" s="8">
        <v>21553827</v>
      </c>
      <c r="FA41" s="8">
        <v>21538828</v>
      </c>
      <c r="FB41" s="9">
        <f t="shared" si="30"/>
        <v>21538828</v>
      </c>
      <c r="FC41" s="8">
        <v>24086756</v>
      </c>
      <c r="FD41" s="8">
        <v>21586756</v>
      </c>
      <c r="FE41" s="8">
        <v>21586756</v>
      </c>
      <c r="FF41" s="8">
        <v>21586756</v>
      </c>
      <c r="FG41" s="8">
        <v>21586756</v>
      </c>
      <c r="FH41" s="8">
        <v>21586756</v>
      </c>
      <c r="FI41" s="8">
        <v>20525037</v>
      </c>
      <c r="FJ41" s="8"/>
      <c r="FK41" s="8"/>
      <c r="FL41" s="8"/>
      <c r="FM41" s="8"/>
      <c r="FN41" s="8"/>
      <c r="FO41" s="9">
        <f t="shared" si="31"/>
        <v>20525037</v>
      </c>
    </row>
    <row r="42" spans="2:171" ht="14.25" customHeight="1" x14ac:dyDescent="0.3">
      <c r="B42" s="7" t="s">
        <v>55</v>
      </c>
      <c r="C42" s="8">
        <v>49314354</v>
      </c>
      <c r="D42" s="8">
        <v>49314354</v>
      </c>
      <c r="E42" s="8">
        <v>49741699</v>
      </c>
      <c r="F42" s="8">
        <v>49741699</v>
      </c>
      <c r="G42" s="8">
        <v>49641699</v>
      </c>
      <c r="H42" s="8">
        <v>49641699</v>
      </c>
      <c r="I42" s="8">
        <v>49641699</v>
      </c>
      <c r="J42" s="8">
        <v>49641699</v>
      </c>
      <c r="K42" s="8">
        <v>51895364</v>
      </c>
      <c r="L42" s="8">
        <v>51895364</v>
      </c>
      <c r="M42" s="8">
        <v>51916494</v>
      </c>
      <c r="N42" s="8">
        <v>51700292</v>
      </c>
      <c r="O42" s="9">
        <f t="shared" si="19"/>
        <v>51700292</v>
      </c>
      <c r="P42" s="8">
        <v>70718333</v>
      </c>
      <c r="Q42" s="8">
        <v>68447760</v>
      </c>
      <c r="R42" s="8">
        <v>63821349</v>
      </c>
      <c r="S42" s="8">
        <v>63821349</v>
      </c>
      <c r="T42" s="8">
        <v>63821349</v>
      </c>
      <c r="U42" s="8">
        <v>63763062</v>
      </c>
      <c r="V42" s="8">
        <v>63763062</v>
      </c>
      <c r="W42" s="8">
        <v>63096363</v>
      </c>
      <c r="X42" s="8">
        <v>60588370</v>
      </c>
      <c r="Y42" s="8">
        <v>57626144</v>
      </c>
      <c r="Z42" s="8">
        <v>57372753</v>
      </c>
      <c r="AA42" s="8">
        <v>53708565</v>
      </c>
      <c r="AB42" s="9">
        <f t="shared" si="20"/>
        <v>53708565</v>
      </c>
      <c r="AC42" s="8">
        <v>51886359</v>
      </c>
      <c r="AD42" s="8">
        <v>51853900</v>
      </c>
      <c r="AE42" s="8">
        <v>49318577</v>
      </c>
      <c r="AF42" s="8">
        <v>48352636</v>
      </c>
      <c r="AG42" s="8">
        <v>47728510</v>
      </c>
      <c r="AH42" s="8">
        <v>47728510</v>
      </c>
      <c r="AI42" s="8">
        <v>47101829</v>
      </c>
      <c r="AJ42" s="8">
        <v>47101829</v>
      </c>
      <c r="AK42" s="8">
        <v>47101829</v>
      </c>
      <c r="AL42" s="8">
        <v>47237829</v>
      </c>
      <c r="AM42" s="8">
        <v>47427094</v>
      </c>
      <c r="AN42" s="8">
        <v>48151520</v>
      </c>
      <c r="AO42" s="9">
        <f t="shared" si="21"/>
        <v>48151520</v>
      </c>
      <c r="AP42" s="8">
        <v>59883317</v>
      </c>
      <c r="AQ42" s="8">
        <v>60201940</v>
      </c>
      <c r="AR42" s="8">
        <v>60201940</v>
      </c>
      <c r="AS42" s="8">
        <v>60201940</v>
      </c>
      <c r="AT42" s="8">
        <v>67225673</v>
      </c>
      <c r="AU42" s="8">
        <v>67190851</v>
      </c>
      <c r="AV42" s="8">
        <v>66465607</v>
      </c>
      <c r="AW42" s="8">
        <v>65844451</v>
      </c>
      <c r="AX42" s="8">
        <v>65849031</v>
      </c>
      <c r="AY42" s="8">
        <v>65285469</v>
      </c>
      <c r="AZ42" s="8">
        <v>62668349</v>
      </c>
      <c r="BA42" s="8">
        <v>61082143</v>
      </c>
      <c r="BB42" s="9">
        <f t="shared" si="22"/>
        <v>61082143</v>
      </c>
      <c r="BC42" s="8">
        <v>54929952</v>
      </c>
      <c r="BD42" s="8">
        <v>55049152</v>
      </c>
      <c r="BE42" s="8">
        <v>55049152</v>
      </c>
      <c r="BF42" s="8">
        <v>55049152</v>
      </c>
      <c r="BG42" s="8">
        <v>54646244</v>
      </c>
      <c r="BH42" s="8">
        <v>49010976</v>
      </c>
      <c r="BI42" s="8">
        <v>48967776</v>
      </c>
      <c r="BJ42" s="8">
        <v>50035450</v>
      </c>
      <c r="BK42" s="8">
        <v>50035450</v>
      </c>
      <c r="BL42" s="8">
        <v>50119906</v>
      </c>
      <c r="BM42" s="8">
        <v>50119906</v>
      </c>
      <c r="BN42" s="8">
        <v>44635724</v>
      </c>
      <c r="BO42" s="9">
        <f t="shared" si="23"/>
        <v>44635724</v>
      </c>
      <c r="BP42" s="8">
        <v>33228726</v>
      </c>
      <c r="BQ42" s="8">
        <v>33228726</v>
      </c>
      <c r="BR42" s="8">
        <v>33294549</v>
      </c>
      <c r="BS42" s="8">
        <v>33294549</v>
      </c>
      <c r="BT42" s="8">
        <v>33294549</v>
      </c>
      <c r="BU42" s="8">
        <v>31994549</v>
      </c>
      <c r="BV42" s="8">
        <v>34004964</v>
      </c>
      <c r="BW42" s="8">
        <v>34014688</v>
      </c>
      <c r="BX42" s="8">
        <v>34014688</v>
      </c>
      <c r="BY42" s="8">
        <v>34014688</v>
      </c>
      <c r="BZ42" s="8">
        <v>34014688</v>
      </c>
      <c r="CA42" s="8">
        <v>34665138</v>
      </c>
      <c r="CB42" s="9">
        <f t="shared" si="24"/>
        <v>34665138</v>
      </c>
      <c r="CC42" s="8">
        <v>34241496</v>
      </c>
      <c r="CD42" s="8">
        <v>34241496</v>
      </c>
      <c r="CE42" s="8">
        <v>34241496</v>
      </c>
      <c r="CF42" s="8">
        <v>33885894</v>
      </c>
      <c r="CG42" s="8">
        <v>33885894</v>
      </c>
      <c r="CH42" s="8">
        <v>36467194</v>
      </c>
      <c r="CI42" s="8">
        <v>31609800</v>
      </c>
      <c r="CJ42" s="8">
        <v>31609800</v>
      </c>
      <c r="CK42" s="8">
        <v>30602697</v>
      </c>
      <c r="CL42" s="8">
        <v>30602697</v>
      </c>
      <c r="CM42" s="8">
        <v>30587937</v>
      </c>
      <c r="CN42" s="8">
        <v>29234031</v>
      </c>
      <c r="CO42" s="9">
        <f t="shared" si="25"/>
        <v>29234031</v>
      </c>
      <c r="CP42" s="8">
        <v>47480114</v>
      </c>
      <c r="CQ42" s="8">
        <v>46808523</v>
      </c>
      <c r="CR42" s="8">
        <v>46838561</v>
      </c>
      <c r="CS42" s="8">
        <v>46859061</v>
      </c>
      <c r="CT42" s="8">
        <v>48764408</v>
      </c>
      <c r="CU42" s="8">
        <v>51014336</v>
      </c>
      <c r="CV42" s="8">
        <v>51014336</v>
      </c>
      <c r="CW42" s="8">
        <v>51000336</v>
      </c>
      <c r="CX42" s="8">
        <v>51070336</v>
      </c>
      <c r="CY42" s="8">
        <v>51066806</v>
      </c>
      <c r="CZ42" s="8">
        <v>50450459</v>
      </c>
      <c r="DA42" s="8">
        <v>50960348</v>
      </c>
      <c r="DB42" s="9">
        <f t="shared" si="26"/>
        <v>50960348</v>
      </c>
      <c r="DC42" s="8">
        <v>40895295</v>
      </c>
      <c r="DD42" s="8">
        <v>42599913</v>
      </c>
      <c r="DE42" s="8">
        <v>44538916</v>
      </c>
      <c r="DF42" s="8">
        <v>44538916</v>
      </c>
      <c r="DG42" s="8">
        <v>44610581</v>
      </c>
      <c r="DH42" s="8">
        <v>44610581</v>
      </c>
      <c r="DI42" s="8">
        <v>46801119</v>
      </c>
      <c r="DJ42" s="8">
        <v>46908560</v>
      </c>
      <c r="DK42" s="8">
        <v>43111435</v>
      </c>
      <c r="DL42" s="8">
        <v>43042467</v>
      </c>
      <c r="DM42" s="8">
        <v>37591875</v>
      </c>
      <c r="DN42" s="8">
        <v>34363905</v>
      </c>
      <c r="DO42" s="9">
        <f t="shared" si="27"/>
        <v>34363905</v>
      </c>
      <c r="DP42" s="8">
        <v>51373264</v>
      </c>
      <c r="DQ42" s="8">
        <v>51373264</v>
      </c>
      <c r="DR42" s="8">
        <v>51373264</v>
      </c>
      <c r="DS42" s="8">
        <v>51373264</v>
      </c>
      <c r="DT42" s="8">
        <v>51373264</v>
      </c>
      <c r="DU42" s="8">
        <v>51373264</v>
      </c>
      <c r="DV42" s="8">
        <v>51508435</v>
      </c>
      <c r="DW42" s="8">
        <v>52353893</v>
      </c>
      <c r="DX42" s="8">
        <v>52353893</v>
      </c>
      <c r="DY42" s="8">
        <v>52353893</v>
      </c>
      <c r="DZ42" s="8">
        <v>51000922</v>
      </c>
      <c r="EA42" s="8">
        <v>46007599</v>
      </c>
      <c r="EB42" s="9">
        <f t="shared" si="28"/>
        <v>46007599</v>
      </c>
      <c r="EC42" s="8">
        <v>52751667</v>
      </c>
      <c r="ED42" s="8">
        <v>52751667</v>
      </c>
      <c r="EE42" s="8">
        <v>52751667</v>
      </c>
      <c r="EF42" s="8">
        <v>52751667</v>
      </c>
      <c r="EG42" s="8">
        <v>57337319</v>
      </c>
      <c r="EH42" s="8">
        <v>57405826</v>
      </c>
      <c r="EI42" s="8">
        <v>57956571</v>
      </c>
      <c r="EJ42" s="8">
        <v>57956571</v>
      </c>
      <c r="EK42" s="8">
        <v>61190275</v>
      </c>
      <c r="EL42" s="8">
        <v>61303735</v>
      </c>
      <c r="EM42" s="8">
        <v>61308735</v>
      </c>
      <c r="EN42" s="8">
        <v>52850218</v>
      </c>
      <c r="EO42" s="9">
        <f t="shared" si="29"/>
        <v>52850218</v>
      </c>
      <c r="EP42" s="8">
        <v>51417843</v>
      </c>
      <c r="EQ42" s="8">
        <v>51517443</v>
      </c>
      <c r="ER42" s="8">
        <v>55313770</v>
      </c>
      <c r="ES42" s="8">
        <v>55553881</v>
      </c>
      <c r="ET42" s="8">
        <v>56534745</v>
      </c>
      <c r="EU42" s="8">
        <v>61534745</v>
      </c>
      <c r="EV42" s="8">
        <v>61534745</v>
      </c>
      <c r="EW42" s="8">
        <v>63834745</v>
      </c>
      <c r="EX42" s="8">
        <v>63834745</v>
      </c>
      <c r="EY42" s="8">
        <v>64880577</v>
      </c>
      <c r="EZ42" s="8">
        <v>70760325</v>
      </c>
      <c r="FA42" s="8">
        <v>70312669</v>
      </c>
      <c r="FB42" s="9">
        <f t="shared" si="30"/>
        <v>70312669</v>
      </c>
      <c r="FC42" s="8">
        <v>69100458</v>
      </c>
      <c r="FD42" s="8">
        <v>69100458</v>
      </c>
      <c r="FE42" s="8">
        <v>69100458</v>
      </c>
      <c r="FF42" s="8">
        <v>69100458</v>
      </c>
      <c r="FG42" s="8">
        <v>69434215</v>
      </c>
      <c r="FH42" s="8">
        <v>69434215</v>
      </c>
      <c r="FI42" s="8">
        <v>69434215</v>
      </c>
      <c r="FJ42" s="8"/>
      <c r="FK42" s="8"/>
      <c r="FL42" s="8"/>
      <c r="FM42" s="8"/>
      <c r="FN42" s="8"/>
      <c r="FO42" s="9">
        <f t="shared" si="31"/>
        <v>69434215</v>
      </c>
    </row>
    <row r="43" spans="2:171" ht="14.25" customHeight="1" x14ac:dyDescent="0.3">
      <c r="B43" s="7" t="s">
        <v>56</v>
      </c>
      <c r="C43" s="8">
        <v>24778757</v>
      </c>
      <c r="D43" s="8">
        <v>24778757</v>
      </c>
      <c r="E43" s="8">
        <v>24792079</v>
      </c>
      <c r="F43" s="8">
        <v>24792079</v>
      </c>
      <c r="G43" s="8">
        <v>23045967</v>
      </c>
      <c r="H43" s="8">
        <v>23045967</v>
      </c>
      <c r="I43" s="8">
        <v>23045967</v>
      </c>
      <c r="J43" s="8">
        <v>22601659</v>
      </c>
      <c r="K43" s="8">
        <v>24069017</v>
      </c>
      <c r="L43" s="8">
        <v>24088083</v>
      </c>
      <c r="M43" s="8">
        <v>24117689</v>
      </c>
      <c r="N43" s="8">
        <v>22853097</v>
      </c>
      <c r="O43" s="9">
        <f t="shared" si="19"/>
        <v>22853097</v>
      </c>
      <c r="P43" s="8">
        <v>37063011</v>
      </c>
      <c r="Q43" s="8">
        <v>37710881</v>
      </c>
      <c r="R43" s="8">
        <v>37710881</v>
      </c>
      <c r="S43" s="8">
        <v>39094557</v>
      </c>
      <c r="T43" s="8">
        <v>38835185</v>
      </c>
      <c r="U43" s="8">
        <v>38835185</v>
      </c>
      <c r="V43" s="8">
        <v>38835185</v>
      </c>
      <c r="W43" s="8">
        <v>38342160</v>
      </c>
      <c r="X43" s="8">
        <v>38402160</v>
      </c>
      <c r="Y43" s="8">
        <v>33282155</v>
      </c>
      <c r="Z43" s="8">
        <v>33536235</v>
      </c>
      <c r="AA43" s="8">
        <v>31766678</v>
      </c>
      <c r="AB43" s="9">
        <f t="shared" si="20"/>
        <v>31766678</v>
      </c>
      <c r="AC43" s="8">
        <v>36934807</v>
      </c>
      <c r="AD43" s="8">
        <v>39403550</v>
      </c>
      <c r="AE43" s="8">
        <v>39403550</v>
      </c>
      <c r="AF43" s="8">
        <v>39403550</v>
      </c>
      <c r="AG43" s="8">
        <v>39453550</v>
      </c>
      <c r="AH43" s="8">
        <v>39453550</v>
      </c>
      <c r="AI43" s="8">
        <v>41789401</v>
      </c>
      <c r="AJ43" s="8">
        <v>41789401</v>
      </c>
      <c r="AK43" s="8">
        <v>41789401</v>
      </c>
      <c r="AL43" s="8">
        <v>42309220</v>
      </c>
      <c r="AM43" s="8">
        <v>42749318</v>
      </c>
      <c r="AN43" s="8">
        <v>42244358</v>
      </c>
      <c r="AO43" s="9">
        <f t="shared" si="21"/>
        <v>42244358</v>
      </c>
      <c r="AP43" s="8">
        <v>37348326</v>
      </c>
      <c r="AQ43" s="8">
        <v>40079063</v>
      </c>
      <c r="AR43" s="8">
        <v>40079063</v>
      </c>
      <c r="AS43" s="8">
        <v>40079063</v>
      </c>
      <c r="AT43" s="8">
        <v>40078063</v>
      </c>
      <c r="AU43" s="8">
        <v>40419981</v>
      </c>
      <c r="AV43" s="8">
        <v>40438632</v>
      </c>
      <c r="AW43" s="8">
        <v>42486063</v>
      </c>
      <c r="AX43" s="8">
        <v>42486063</v>
      </c>
      <c r="AY43" s="8">
        <v>42380063</v>
      </c>
      <c r="AZ43" s="8">
        <v>41900965</v>
      </c>
      <c r="BA43" s="8">
        <v>34608750</v>
      </c>
      <c r="BB43" s="9">
        <f t="shared" si="22"/>
        <v>34608750</v>
      </c>
      <c r="BC43" s="8">
        <v>35129087</v>
      </c>
      <c r="BD43" s="8">
        <v>36458894</v>
      </c>
      <c r="BE43" s="8">
        <v>36458894</v>
      </c>
      <c r="BF43" s="8">
        <v>36458894</v>
      </c>
      <c r="BG43" s="8">
        <v>36458894</v>
      </c>
      <c r="BH43" s="8">
        <v>36458894</v>
      </c>
      <c r="BI43" s="8">
        <v>36458894</v>
      </c>
      <c r="BJ43" s="8">
        <v>37140681</v>
      </c>
      <c r="BK43" s="8">
        <v>37140681</v>
      </c>
      <c r="BL43" s="8">
        <v>37140681</v>
      </c>
      <c r="BM43" s="8">
        <v>37140681</v>
      </c>
      <c r="BN43" s="8">
        <v>30568395</v>
      </c>
      <c r="BO43" s="9">
        <f t="shared" si="23"/>
        <v>30568395</v>
      </c>
      <c r="BP43" s="8">
        <v>42601193</v>
      </c>
      <c r="BQ43" s="8">
        <v>42601193</v>
      </c>
      <c r="BR43" s="8">
        <v>42601193</v>
      </c>
      <c r="BS43" s="8">
        <v>42601193</v>
      </c>
      <c r="BT43" s="8">
        <v>42601193</v>
      </c>
      <c r="BU43" s="8">
        <v>43518359</v>
      </c>
      <c r="BV43" s="8">
        <v>43592616</v>
      </c>
      <c r="BW43" s="8">
        <v>43622616</v>
      </c>
      <c r="BX43" s="8">
        <v>43622616</v>
      </c>
      <c r="BY43" s="8">
        <v>43622616</v>
      </c>
      <c r="BZ43" s="8">
        <v>43622616</v>
      </c>
      <c r="CA43" s="8">
        <v>43760619</v>
      </c>
      <c r="CB43" s="9">
        <f t="shared" si="24"/>
        <v>43760619</v>
      </c>
      <c r="CC43" s="8">
        <v>36381316</v>
      </c>
      <c r="CD43" s="8">
        <v>36381316</v>
      </c>
      <c r="CE43" s="8">
        <v>36381316</v>
      </c>
      <c r="CF43" s="8">
        <v>43629375</v>
      </c>
      <c r="CG43" s="8">
        <v>43629375</v>
      </c>
      <c r="CH43" s="8">
        <v>40034251</v>
      </c>
      <c r="CI43" s="8">
        <v>40034251</v>
      </c>
      <c r="CJ43" s="8">
        <v>40034251</v>
      </c>
      <c r="CK43" s="8">
        <v>40034251</v>
      </c>
      <c r="CL43" s="8">
        <v>40034251</v>
      </c>
      <c r="CM43" s="8">
        <v>40034251</v>
      </c>
      <c r="CN43" s="8">
        <v>39232088</v>
      </c>
      <c r="CO43" s="9">
        <f t="shared" si="25"/>
        <v>39232088</v>
      </c>
      <c r="CP43" s="8">
        <v>39627096</v>
      </c>
      <c r="CQ43" s="8">
        <v>47554865</v>
      </c>
      <c r="CR43" s="8">
        <v>47841231</v>
      </c>
      <c r="CS43" s="8">
        <v>46883758</v>
      </c>
      <c r="CT43" s="8">
        <v>47694518</v>
      </c>
      <c r="CU43" s="8">
        <v>47407812</v>
      </c>
      <c r="CV43" s="8">
        <v>47407812</v>
      </c>
      <c r="CW43" s="8">
        <v>47407812</v>
      </c>
      <c r="CX43" s="8">
        <v>47407812</v>
      </c>
      <c r="CY43" s="8">
        <v>48624906</v>
      </c>
      <c r="CZ43" s="8">
        <v>55571871</v>
      </c>
      <c r="DA43" s="8">
        <v>43086424</v>
      </c>
      <c r="DB43" s="9">
        <f t="shared" si="26"/>
        <v>43086424</v>
      </c>
      <c r="DC43" s="8">
        <v>26390042</v>
      </c>
      <c r="DD43" s="8">
        <v>32646316</v>
      </c>
      <c r="DE43" s="8">
        <v>31150252</v>
      </c>
      <c r="DF43" s="8">
        <v>31150252</v>
      </c>
      <c r="DG43" s="8">
        <v>31106983</v>
      </c>
      <c r="DH43" s="8">
        <v>31106983</v>
      </c>
      <c r="DI43" s="8">
        <v>30755092</v>
      </c>
      <c r="DJ43" s="8">
        <v>33656157</v>
      </c>
      <c r="DK43" s="8">
        <v>33656157</v>
      </c>
      <c r="DL43" s="8">
        <v>33656157</v>
      </c>
      <c r="DM43" s="8">
        <v>30153019</v>
      </c>
      <c r="DN43" s="8">
        <v>23972510</v>
      </c>
      <c r="DO43" s="9">
        <f t="shared" si="27"/>
        <v>23972510</v>
      </c>
      <c r="DP43" s="8">
        <v>30128321</v>
      </c>
      <c r="DQ43" s="8">
        <v>30534738</v>
      </c>
      <c r="DR43" s="8">
        <v>30534738</v>
      </c>
      <c r="DS43" s="8">
        <v>30534738</v>
      </c>
      <c r="DT43" s="8">
        <v>30534738</v>
      </c>
      <c r="DU43" s="8">
        <v>30534738</v>
      </c>
      <c r="DV43" s="8">
        <v>30622218</v>
      </c>
      <c r="DW43" s="8">
        <v>30622218</v>
      </c>
      <c r="DX43" s="8">
        <v>30622218</v>
      </c>
      <c r="DY43" s="8">
        <v>30622218</v>
      </c>
      <c r="DZ43" s="8">
        <v>23521092</v>
      </c>
      <c r="EA43" s="8">
        <v>20238360</v>
      </c>
      <c r="EB43" s="9">
        <f t="shared" si="28"/>
        <v>20238360</v>
      </c>
      <c r="EC43" s="8">
        <v>30054838</v>
      </c>
      <c r="ED43" s="8">
        <v>30054838</v>
      </c>
      <c r="EE43" s="8">
        <v>31282527</v>
      </c>
      <c r="EF43" s="8">
        <v>31282527</v>
      </c>
      <c r="EG43" s="8">
        <v>31409727</v>
      </c>
      <c r="EH43" s="8">
        <v>31409727</v>
      </c>
      <c r="EI43" s="8">
        <v>31418490</v>
      </c>
      <c r="EJ43" s="8">
        <v>31418490</v>
      </c>
      <c r="EK43" s="8">
        <v>36356084</v>
      </c>
      <c r="EL43" s="8">
        <v>36296984</v>
      </c>
      <c r="EM43" s="8">
        <v>36296984</v>
      </c>
      <c r="EN43" s="8">
        <v>36728957</v>
      </c>
      <c r="EO43" s="9">
        <f t="shared" si="29"/>
        <v>36728957</v>
      </c>
      <c r="EP43" s="8">
        <v>33768075</v>
      </c>
      <c r="EQ43" s="8">
        <v>35204845</v>
      </c>
      <c r="ER43" s="8">
        <v>35894043</v>
      </c>
      <c r="ES43" s="8">
        <v>35894043</v>
      </c>
      <c r="ET43" s="8">
        <v>35894043</v>
      </c>
      <c r="EU43" s="8">
        <v>39784839</v>
      </c>
      <c r="EV43" s="8">
        <v>39784839</v>
      </c>
      <c r="EW43" s="8">
        <v>39784839</v>
      </c>
      <c r="EX43" s="8">
        <v>39784839</v>
      </c>
      <c r="EY43" s="8">
        <v>39784839</v>
      </c>
      <c r="EZ43" s="8">
        <v>39784839</v>
      </c>
      <c r="FA43" s="8">
        <v>38538359</v>
      </c>
      <c r="FB43" s="9">
        <f t="shared" si="30"/>
        <v>38538359</v>
      </c>
      <c r="FC43" s="8">
        <v>19941082</v>
      </c>
      <c r="FD43" s="8">
        <v>19941082</v>
      </c>
      <c r="FE43" s="8">
        <v>19941082</v>
      </c>
      <c r="FF43" s="8">
        <v>19941082</v>
      </c>
      <c r="FG43" s="8">
        <v>21783783</v>
      </c>
      <c r="FH43" s="8">
        <v>21338584</v>
      </c>
      <c r="FI43" s="8">
        <v>21338584</v>
      </c>
      <c r="FJ43" s="8"/>
      <c r="FK43" s="8"/>
      <c r="FL43" s="8"/>
      <c r="FM43" s="8"/>
      <c r="FN43" s="8"/>
      <c r="FO43" s="9">
        <f t="shared" si="31"/>
        <v>21338584</v>
      </c>
    </row>
    <row r="44" spans="2:171" ht="14.25" customHeight="1" x14ac:dyDescent="0.3">
      <c r="B44" s="7" t="s">
        <v>57</v>
      </c>
      <c r="C44" s="8">
        <v>10105857</v>
      </c>
      <c r="D44" s="8">
        <v>10105857</v>
      </c>
      <c r="E44" s="8">
        <v>10371801</v>
      </c>
      <c r="F44" s="8">
        <v>10975000</v>
      </c>
      <c r="G44" s="8">
        <v>11903432</v>
      </c>
      <c r="H44" s="8">
        <v>11903432</v>
      </c>
      <c r="I44" s="8">
        <v>12031152</v>
      </c>
      <c r="J44" s="8">
        <v>12232681</v>
      </c>
      <c r="K44" s="8">
        <v>13132461</v>
      </c>
      <c r="L44" s="8">
        <v>14386514</v>
      </c>
      <c r="M44" s="8">
        <v>14431955</v>
      </c>
      <c r="N44" s="8">
        <v>13948112</v>
      </c>
      <c r="O44" s="9">
        <f t="shared" si="19"/>
        <v>13948112</v>
      </c>
      <c r="P44" s="8">
        <v>15006631</v>
      </c>
      <c r="Q44" s="8">
        <v>15531309</v>
      </c>
      <c r="R44" s="8">
        <v>15531309</v>
      </c>
      <c r="S44" s="8">
        <v>15531309</v>
      </c>
      <c r="T44" s="8">
        <v>15531309</v>
      </c>
      <c r="U44" s="8">
        <v>14467569</v>
      </c>
      <c r="V44" s="8">
        <v>13558613</v>
      </c>
      <c r="W44" s="8">
        <v>13689833</v>
      </c>
      <c r="X44" s="8">
        <v>13689833</v>
      </c>
      <c r="Y44" s="8">
        <v>13746333</v>
      </c>
      <c r="Z44" s="8">
        <v>13746333</v>
      </c>
      <c r="AA44" s="8">
        <v>11396403</v>
      </c>
      <c r="AB44" s="9">
        <f t="shared" si="20"/>
        <v>11396403</v>
      </c>
      <c r="AC44" s="8">
        <v>8772648</v>
      </c>
      <c r="AD44" s="8">
        <v>9130922</v>
      </c>
      <c r="AE44" s="8">
        <v>9130922</v>
      </c>
      <c r="AF44" s="8">
        <v>9280449</v>
      </c>
      <c r="AG44" s="8">
        <v>9328927</v>
      </c>
      <c r="AH44" s="8">
        <v>9328927</v>
      </c>
      <c r="AI44" s="8">
        <v>10974123</v>
      </c>
      <c r="AJ44" s="8">
        <v>10974123</v>
      </c>
      <c r="AK44" s="8">
        <v>11017793</v>
      </c>
      <c r="AL44" s="8">
        <v>11037793</v>
      </c>
      <c r="AM44" s="8">
        <v>11015955</v>
      </c>
      <c r="AN44" s="8">
        <v>11015955</v>
      </c>
      <c r="AO44" s="9">
        <f t="shared" si="21"/>
        <v>11015955</v>
      </c>
      <c r="AP44" s="8">
        <v>9451838</v>
      </c>
      <c r="AQ44" s="8">
        <v>10924798</v>
      </c>
      <c r="AR44" s="8">
        <v>11886824</v>
      </c>
      <c r="AS44" s="8">
        <v>12001670</v>
      </c>
      <c r="AT44" s="8">
        <v>12526814</v>
      </c>
      <c r="AU44" s="8">
        <v>12087414</v>
      </c>
      <c r="AV44" s="8">
        <v>12087414</v>
      </c>
      <c r="AW44" s="8">
        <v>12089875</v>
      </c>
      <c r="AX44" s="8">
        <v>12089875</v>
      </c>
      <c r="AY44" s="8">
        <v>12100875</v>
      </c>
      <c r="AZ44" s="8">
        <v>11981502</v>
      </c>
      <c r="BA44" s="8">
        <v>11058601</v>
      </c>
      <c r="BB44" s="9">
        <f t="shared" si="22"/>
        <v>11058601</v>
      </c>
      <c r="BC44" s="8">
        <v>18225631</v>
      </c>
      <c r="BD44" s="8">
        <v>19225631</v>
      </c>
      <c r="BE44" s="8">
        <v>19225631</v>
      </c>
      <c r="BF44" s="8">
        <v>19225631</v>
      </c>
      <c r="BG44" s="8">
        <v>19225631</v>
      </c>
      <c r="BH44" s="8">
        <v>19225631</v>
      </c>
      <c r="BI44" s="8">
        <v>19225631</v>
      </c>
      <c r="BJ44" s="8">
        <v>18739669</v>
      </c>
      <c r="BK44" s="8">
        <v>18739669</v>
      </c>
      <c r="BL44" s="8">
        <v>18039669</v>
      </c>
      <c r="BM44" s="8">
        <v>17610357</v>
      </c>
      <c r="BN44" s="8">
        <v>15698443</v>
      </c>
      <c r="BO44" s="9">
        <f t="shared" si="23"/>
        <v>15698443</v>
      </c>
      <c r="BP44" s="8">
        <v>15979102</v>
      </c>
      <c r="BQ44" s="8">
        <v>15979102</v>
      </c>
      <c r="BR44" s="8">
        <v>16072167</v>
      </c>
      <c r="BS44" s="8">
        <v>16072167</v>
      </c>
      <c r="BT44" s="8">
        <v>16072167</v>
      </c>
      <c r="BU44" s="8">
        <v>15372167</v>
      </c>
      <c r="BV44" s="8">
        <v>15372167</v>
      </c>
      <c r="BW44" s="8">
        <v>15521748</v>
      </c>
      <c r="BX44" s="8">
        <v>15584769</v>
      </c>
      <c r="BY44" s="8">
        <v>15584769</v>
      </c>
      <c r="BZ44" s="8">
        <v>15586769</v>
      </c>
      <c r="CA44" s="8">
        <v>15483977</v>
      </c>
      <c r="CB44" s="9">
        <f t="shared" si="24"/>
        <v>15483977</v>
      </c>
      <c r="CC44" s="8">
        <v>16443798</v>
      </c>
      <c r="CD44" s="8">
        <v>16443798</v>
      </c>
      <c r="CE44" s="8">
        <v>16443798</v>
      </c>
      <c r="CF44" s="8">
        <v>11143798</v>
      </c>
      <c r="CG44" s="8">
        <v>11143798</v>
      </c>
      <c r="CH44" s="8">
        <v>11143798</v>
      </c>
      <c r="CI44" s="8">
        <v>11143798</v>
      </c>
      <c r="CJ44" s="8">
        <v>11143798</v>
      </c>
      <c r="CK44" s="8">
        <v>11143798</v>
      </c>
      <c r="CL44" s="8">
        <v>11143798</v>
      </c>
      <c r="CM44" s="8">
        <v>10896624</v>
      </c>
      <c r="CN44" s="8">
        <v>9519362</v>
      </c>
      <c r="CO44" s="9">
        <f t="shared" si="25"/>
        <v>9519362</v>
      </c>
      <c r="CP44" s="8">
        <v>20649564</v>
      </c>
      <c r="CQ44" s="8">
        <v>16814763</v>
      </c>
      <c r="CR44" s="8">
        <v>22285572</v>
      </c>
      <c r="CS44" s="8">
        <v>22285572</v>
      </c>
      <c r="CT44" s="8">
        <v>14609091</v>
      </c>
      <c r="CU44" s="8">
        <v>15388049</v>
      </c>
      <c r="CV44" s="8">
        <v>17930371</v>
      </c>
      <c r="CW44" s="8">
        <v>17919451</v>
      </c>
      <c r="CX44" s="8">
        <v>17919451</v>
      </c>
      <c r="CY44" s="8">
        <v>17922981</v>
      </c>
      <c r="CZ44" s="8">
        <v>17587981</v>
      </c>
      <c r="DA44" s="8">
        <v>14338421</v>
      </c>
      <c r="DB44" s="9">
        <f t="shared" si="26"/>
        <v>14338421</v>
      </c>
      <c r="DC44" s="8">
        <v>29463592</v>
      </c>
      <c r="DD44" s="8">
        <v>32222606</v>
      </c>
      <c r="DE44" s="8">
        <v>32222606</v>
      </c>
      <c r="DF44" s="8">
        <v>32222606</v>
      </c>
      <c r="DG44" s="8">
        <v>32222606</v>
      </c>
      <c r="DH44" s="8">
        <v>32222606</v>
      </c>
      <c r="DI44" s="8">
        <v>30325222</v>
      </c>
      <c r="DJ44" s="8">
        <v>30325222</v>
      </c>
      <c r="DK44" s="8">
        <v>23177772</v>
      </c>
      <c r="DL44" s="8">
        <v>23177772</v>
      </c>
      <c r="DM44" s="8">
        <v>20376650</v>
      </c>
      <c r="DN44" s="8">
        <v>18334752</v>
      </c>
      <c r="DO44" s="9">
        <f t="shared" si="27"/>
        <v>18334752</v>
      </c>
      <c r="DP44" s="8">
        <v>34989760</v>
      </c>
      <c r="DQ44" s="8">
        <v>34989760</v>
      </c>
      <c r="DR44" s="8">
        <v>34989760</v>
      </c>
      <c r="DS44" s="8">
        <v>33800482</v>
      </c>
      <c r="DT44" s="8">
        <v>30874894</v>
      </c>
      <c r="DU44" s="8">
        <v>30699107</v>
      </c>
      <c r="DV44" s="8">
        <v>30436338</v>
      </c>
      <c r="DW44" s="8">
        <v>30436338</v>
      </c>
      <c r="DX44" s="8">
        <v>30436338</v>
      </c>
      <c r="DY44" s="8">
        <v>30436338</v>
      </c>
      <c r="DZ44" s="8">
        <v>21760124</v>
      </c>
      <c r="EA44" s="8">
        <v>10583667</v>
      </c>
      <c r="EB44" s="9">
        <f t="shared" si="28"/>
        <v>10583667</v>
      </c>
      <c r="EC44" s="8">
        <v>21614756</v>
      </c>
      <c r="ED44" s="8">
        <v>21614756</v>
      </c>
      <c r="EE44" s="8">
        <v>25085426</v>
      </c>
      <c r="EF44" s="8">
        <v>25022015</v>
      </c>
      <c r="EG44" s="8">
        <v>24451976</v>
      </c>
      <c r="EH44" s="8">
        <v>23099237</v>
      </c>
      <c r="EI44" s="8">
        <v>22144605</v>
      </c>
      <c r="EJ44" s="8">
        <v>19996116</v>
      </c>
      <c r="EK44" s="8">
        <v>18783276</v>
      </c>
      <c r="EL44" s="8">
        <v>18783276</v>
      </c>
      <c r="EM44" s="8">
        <v>16286502</v>
      </c>
      <c r="EN44" s="8">
        <v>13330524</v>
      </c>
      <c r="EO44" s="9">
        <f t="shared" si="29"/>
        <v>13330524</v>
      </c>
      <c r="EP44" s="8">
        <v>24407573</v>
      </c>
      <c r="EQ44" s="8">
        <v>24407573</v>
      </c>
      <c r="ER44" s="8">
        <v>20199526</v>
      </c>
      <c r="ES44" s="8">
        <v>19621185</v>
      </c>
      <c r="ET44" s="8">
        <v>19621185</v>
      </c>
      <c r="EU44" s="8">
        <v>19621185</v>
      </c>
      <c r="EV44" s="8">
        <v>19621185</v>
      </c>
      <c r="EW44" s="8">
        <v>17321185</v>
      </c>
      <c r="EX44" s="8">
        <v>17321185</v>
      </c>
      <c r="EY44" s="8">
        <v>16366982</v>
      </c>
      <c r="EZ44" s="8">
        <v>16366982</v>
      </c>
      <c r="FA44" s="8">
        <v>9559039</v>
      </c>
      <c r="FB44" s="9">
        <f t="shared" si="30"/>
        <v>9559039</v>
      </c>
      <c r="FC44" s="8">
        <v>26486066</v>
      </c>
      <c r="FD44" s="8">
        <v>20486066</v>
      </c>
      <c r="FE44" s="8">
        <v>20381384</v>
      </c>
      <c r="FF44" s="8">
        <v>20381384</v>
      </c>
      <c r="FG44" s="8">
        <v>21613538</v>
      </c>
      <c r="FH44" s="8">
        <v>20281537</v>
      </c>
      <c r="FI44" s="8">
        <v>20281537</v>
      </c>
      <c r="FJ44" s="8"/>
      <c r="FK44" s="8"/>
      <c r="FL44" s="8"/>
      <c r="FM44" s="8"/>
      <c r="FN44" s="8"/>
      <c r="FO44" s="9">
        <f t="shared" si="31"/>
        <v>20281537</v>
      </c>
    </row>
    <row r="45" spans="2:171" ht="14.25" customHeight="1" x14ac:dyDescent="0.3">
      <c r="B45" s="7" t="s">
        <v>58</v>
      </c>
      <c r="C45" s="8">
        <v>14786598</v>
      </c>
      <c r="D45" s="8">
        <v>14786598</v>
      </c>
      <c r="E45" s="8">
        <v>15995695</v>
      </c>
      <c r="F45" s="8">
        <v>15995695</v>
      </c>
      <c r="G45" s="8">
        <v>17212293</v>
      </c>
      <c r="H45" s="8">
        <v>17238537</v>
      </c>
      <c r="I45" s="8">
        <v>17238537</v>
      </c>
      <c r="J45" s="8">
        <v>17343250</v>
      </c>
      <c r="K45" s="8">
        <v>17968810</v>
      </c>
      <c r="L45" s="8">
        <v>17668927</v>
      </c>
      <c r="M45" s="8">
        <v>17680948</v>
      </c>
      <c r="N45" s="8">
        <v>17531466</v>
      </c>
      <c r="O45" s="9">
        <f t="shared" si="19"/>
        <v>17531466</v>
      </c>
      <c r="P45" s="8">
        <v>18601361</v>
      </c>
      <c r="Q45" s="8">
        <v>20281845</v>
      </c>
      <c r="R45" s="8">
        <v>21781845</v>
      </c>
      <c r="S45" s="8">
        <v>21781845</v>
      </c>
      <c r="T45" s="8">
        <v>21781845</v>
      </c>
      <c r="U45" s="8">
        <v>22845585</v>
      </c>
      <c r="V45" s="8">
        <v>22845585</v>
      </c>
      <c r="W45" s="8">
        <v>23351585</v>
      </c>
      <c r="X45" s="8">
        <v>23351585</v>
      </c>
      <c r="Y45" s="8">
        <v>23253275</v>
      </c>
      <c r="Z45" s="8">
        <v>23138555</v>
      </c>
      <c r="AA45" s="8">
        <v>21519945</v>
      </c>
      <c r="AB45" s="9">
        <f t="shared" si="20"/>
        <v>21519945</v>
      </c>
      <c r="AC45" s="8">
        <v>15586123</v>
      </c>
      <c r="AD45" s="8">
        <v>17394161</v>
      </c>
      <c r="AE45" s="8">
        <v>17394161</v>
      </c>
      <c r="AF45" s="8">
        <v>17394161</v>
      </c>
      <c r="AG45" s="8">
        <v>17394161</v>
      </c>
      <c r="AH45" s="8">
        <v>17394161</v>
      </c>
      <c r="AI45" s="8">
        <v>17634186</v>
      </c>
      <c r="AJ45" s="8">
        <v>21619258</v>
      </c>
      <c r="AK45" s="8">
        <v>21619258</v>
      </c>
      <c r="AL45" s="8">
        <v>21689873</v>
      </c>
      <c r="AM45" s="8">
        <v>22130094</v>
      </c>
      <c r="AN45" s="8">
        <v>21852843</v>
      </c>
      <c r="AO45" s="9">
        <f t="shared" si="21"/>
        <v>21852843</v>
      </c>
      <c r="AP45" s="8">
        <v>18727684</v>
      </c>
      <c r="AQ45" s="8">
        <v>18978520</v>
      </c>
      <c r="AR45" s="8">
        <v>17177913</v>
      </c>
      <c r="AS45" s="8">
        <v>16809379</v>
      </c>
      <c r="AT45" s="8">
        <v>16809379</v>
      </c>
      <c r="AU45" s="8">
        <v>17152258</v>
      </c>
      <c r="AV45" s="8">
        <v>17152258</v>
      </c>
      <c r="AW45" s="8">
        <v>18523758</v>
      </c>
      <c r="AX45" s="8">
        <v>18523758</v>
      </c>
      <c r="AY45" s="8">
        <v>18523758</v>
      </c>
      <c r="AZ45" s="8">
        <v>18523758</v>
      </c>
      <c r="BA45" s="8">
        <v>18133751</v>
      </c>
      <c r="BB45" s="9">
        <f t="shared" si="22"/>
        <v>18133751</v>
      </c>
      <c r="BC45" s="8">
        <v>20592601</v>
      </c>
      <c r="BD45" s="8">
        <v>21692601</v>
      </c>
      <c r="BE45" s="8">
        <v>21692601</v>
      </c>
      <c r="BF45" s="8">
        <v>21692601</v>
      </c>
      <c r="BG45" s="8">
        <v>21692601</v>
      </c>
      <c r="BH45" s="8">
        <v>21692601</v>
      </c>
      <c r="BI45" s="8">
        <v>21692601</v>
      </c>
      <c r="BJ45" s="8">
        <v>20913523</v>
      </c>
      <c r="BK45" s="8">
        <v>20913523</v>
      </c>
      <c r="BL45" s="8">
        <v>18364567</v>
      </c>
      <c r="BM45" s="8">
        <v>18364567</v>
      </c>
      <c r="BN45" s="8">
        <v>16740627</v>
      </c>
      <c r="BO45" s="9">
        <f t="shared" si="23"/>
        <v>16740627</v>
      </c>
      <c r="BP45" s="8">
        <v>20891252</v>
      </c>
      <c r="BQ45" s="8">
        <v>20891252</v>
      </c>
      <c r="BR45" s="8">
        <v>19165368</v>
      </c>
      <c r="BS45" s="8">
        <v>19165368</v>
      </c>
      <c r="BT45" s="8">
        <v>19165368</v>
      </c>
      <c r="BU45" s="8">
        <v>18836553</v>
      </c>
      <c r="BV45" s="8">
        <v>18836553</v>
      </c>
      <c r="BW45" s="8">
        <v>18677215</v>
      </c>
      <c r="BX45" s="8">
        <v>18728097</v>
      </c>
      <c r="BY45" s="8">
        <v>18728097</v>
      </c>
      <c r="BZ45" s="8">
        <v>18728097</v>
      </c>
      <c r="CA45" s="8">
        <v>18663289</v>
      </c>
      <c r="CB45" s="9">
        <f t="shared" si="24"/>
        <v>18663289</v>
      </c>
      <c r="CC45" s="8">
        <v>27675314</v>
      </c>
      <c r="CD45" s="8">
        <v>27675314</v>
      </c>
      <c r="CE45" s="8">
        <v>27675314</v>
      </c>
      <c r="CF45" s="8">
        <v>27069236</v>
      </c>
      <c r="CG45" s="8">
        <v>27069236</v>
      </c>
      <c r="CH45" s="8">
        <v>27089471</v>
      </c>
      <c r="CI45" s="8">
        <v>27089471</v>
      </c>
      <c r="CJ45" s="8">
        <v>27089471</v>
      </c>
      <c r="CK45" s="8">
        <v>27162810</v>
      </c>
      <c r="CL45" s="8">
        <v>25367875</v>
      </c>
      <c r="CM45" s="8">
        <v>25367875</v>
      </c>
      <c r="CN45" s="8">
        <v>18602374</v>
      </c>
      <c r="CO45" s="9">
        <f t="shared" si="25"/>
        <v>18602374</v>
      </c>
      <c r="CP45" s="8">
        <v>35490972</v>
      </c>
      <c r="CQ45" s="8">
        <v>35570986</v>
      </c>
      <c r="CR45" s="8">
        <v>35950671</v>
      </c>
      <c r="CS45" s="8">
        <v>36197967</v>
      </c>
      <c r="CT45" s="8">
        <v>36059125</v>
      </c>
      <c r="CU45" s="8">
        <v>37177468</v>
      </c>
      <c r="CV45" s="8">
        <v>37177468</v>
      </c>
      <c r="CW45" s="8">
        <v>37177468</v>
      </c>
      <c r="CX45" s="8">
        <v>37177468</v>
      </c>
      <c r="CY45" s="8">
        <v>36797468</v>
      </c>
      <c r="CZ45" s="8">
        <v>29953458</v>
      </c>
      <c r="DA45" s="8">
        <v>23812324</v>
      </c>
      <c r="DB45" s="9">
        <f t="shared" si="26"/>
        <v>23812324</v>
      </c>
      <c r="DC45" s="8">
        <v>28701287</v>
      </c>
      <c r="DD45" s="8">
        <v>31588212</v>
      </c>
      <c r="DE45" s="8">
        <v>32817357</v>
      </c>
      <c r="DF45" s="8">
        <v>32817357</v>
      </c>
      <c r="DG45" s="8">
        <v>32981716</v>
      </c>
      <c r="DH45" s="8">
        <v>32981716</v>
      </c>
      <c r="DI45" s="8">
        <v>33158944</v>
      </c>
      <c r="DJ45" s="8">
        <v>33158944</v>
      </c>
      <c r="DK45" s="8">
        <v>29588365</v>
      </c>
      <c r="DL45" s="8">
        <v>29630365</v>
      </c>
      <c r="DM45" s="8">
        <v>27837224</v>
      </c>
      <c r="DN45" s="8">
        <v>24477657</v>
      </c>
      <c r="DO45" s="9">
        <f t="shared" si="27"/>
        <v>24477657</v>
      </c>
      <c r="DP45" s="8">
        <v>21698957</v>
      </c>
      <c r="DQ45" s="8">
        <v>23809291</v>
      </c>
      <c r="DR45" s="8">
        <v>23809291</v>
      </c>
      <c r="DS45" s="8">
        <v>23809291</v>
      </c>
      <c r="DT45" s="8">
        <v>23809291</v>
      </c>
      <c r="DU45" s="8">
        <v>23809291</v>
      </c>
      <c r="DV45" s="8">
        <v>23809291</v>
      </c>
      <c r="DW45" s="8">
        <v>23809291</v>
      </c>
      <c r="DX45" s="8">
        <v>23809291</v>
      </c>
      <c r="DY45" s="8">
        <v>23809291</v>
      </c>
      <c r="DZ45" s="8">
        <v>19188762</v>
      </c>
      <c r="EA45" s="8">
        <v>18810220</v>
      </c>
      <c r="EB45" s="9">
        <f t="shared" si="28"/>
        <v>18810220</v>
      </c>
      <c r="EC45" s="8">
        <v>27536485</v>
      </c>
      <c r="ED45" s="8">
        <v>27536485</v>
      </c>
      <c r="EE45" s="8">
        <v>27802859</v>
      </c>
      <c r="EF45" s="8">
        <v>27802859</v>
      </c>
      <c r="EG45" s="8">
        <v>27802859</v>
      </c>
      <c r="EH45" s="8">
        <v>27802859</v>
      </c>
      <c r="EI45" s="8">
        <v>27802859</v>
      </c>
      <c r="EJ45" s="8">
        <v>27802859</v>
      </c>
      <c r="EK45" s="8">
        <v>26759664</v>
      </c>
      <c r="EL45" s="8">
        <v>26759664</v>
      </c>
      <c r="EM45" s="8">
        <v>25442818</v>
      </c>
      <c r="EN45" s="8">
        <v>17300120</v>
      </c>
      <c r="EO45" s="9">
        <f t="shared" si="29"/>
        <v>17300120</v>
      </c>
      <c r="EP45" s="8">
        <v>21901695</v>
      </c>
      <c r="EQ45" s="8">
        <v>23883040</v>
      </c>
      <c r="ER45" s="8">
        <v>23883040</v>
      </c>
      <c r="ES45" s="8">
        <v>23883040</v>
      </c>
      <c r="ET45" s="8">
        <v>23883040</v>
      </c>
      <c r="EU45" s="8">
        <v>20324294</v>
      </c>
      <c r="EV45" s="8">
        <v>20324294</v>
      </c>
      <c r="EW45" s="8">
        <v>20324294</v>
      </c>
      <c r="EX45" s="8">
        <v>20324294</v>
      </c>
      <c r="EY45" s="8">
        <v>16716316</v>
      </c>
      <c r="EZ45" s="8">
        <v>15529632</v>
      </c>
      <c r="FA45" s="8">
        <v>14458089</v>
      </c>
      <c r="FB45" s="9">
        <f t="shared" si="30"/>
        <v>14458089</v>
      </c>
      <c r="FC45" s="8">
        <v>14354883</v>
      </c>
      <c r="FD45" s="8">
        <v>14354883</v>
      </c>
      <c r="FE45" s="8">
        <v>14354883</v>
      </c>
      <c r="FF45" s="8">
        <v>14354883</v>
      </c>
      <c r="FG45" s="8">
        <v>14887377</v>
      </c>
      <c r="FH45" s="8">
        <v>14986549</v>
      </c>
      <c r="FI45" s="8">
        <v>14986549</v>
      </c>
      <c r="FJ45" s="8"/>
      <c r="FK45" s="8"/>
      <c r="FL45" s="8"/>
      <c r="FM45" s="8"/>
      <c r="FN45" s="8"/>
      <c r="FO45" s="9">
        <f t="shared" si="31"/>
        <v>14986549</v>
      </c>
    </row>
    <row r="46" spans="2:171" ht="14.25" customHeight="1" x14ac:dyDescent="0.3">
      <c r="B46" s="7" t="s">
        <v>59</v>
      </c>
      <c r="C46" s="8">
        <v>5392166</v>
      </c>
      <c r="D46" s="8">
        <v>5392166</v>
      </c>
      <c r="E46" s="8">
        <v>5496178</v>
      </c>
      <c r="F46" s="8">
        <v>5496178</v>
      </c>
      <c r="G46" s="8">
        <v>5496178</v>
      </c>
      <c r="H46" s="8">
        <v>5496178</v>
      </c>
      <c r="I46" s="8">
        <v>5496178</v>
      </c>
      <c r="J46" s="8">
        <v>5079437</v>
      </c>
      <c r="K46" s="8">
        <v>5261807</v>
      </c>
      <c r="L46" s="8">
        <v>5581936</v>
      </c>
      <c r="M46" s="8">
        <v>5581936</v>
      </c>
      <c r="N46" s="8">
        <v>3640100</v>
      </c>
      <c r="O46" s="9">
        <f t="shared" si="19"/>
        <v>3640100</v>
      </c>
      <c r="P46" s="8">
        <v>5699415</v>
      </c>
      <c r="Q46" s="8">
        <v>7232915</v>
      </c>
      <c r="R46" s="8">
        <v>7285676</v>
      </c>
      <c r="S46" s="8">
        <v>7285676</v>
      </c>
      <c r="T46" s="8">
        <v>7285676</v>
      </c>
      <c r="U46" s="8">
        <v>7434582</v>
      </c>
      <c r="V46" s="8">
        <v>7606552</v>
      </c>
      <c r="W46" s="8">
        <v>7633782</v>
      </c>
      <c r="X46" s="8">
        <v>7448852</v>
      </c>
      <c r="Y46" s="8">
        <v>7605753</v>
      </c>
      <c r="Z46" s="8">
        <v>7605753</v>
      </c>
      <c r="AA46" s="8">
        <v>3826980</v>
      </c>
      <c r="AB46" s="9">
        <f t="shared" si="20"/>
        <v>3826980</v>
      </c>
      <c r="AC46" s="8">
        <v>3539833</v>
      </c>
      <c r="AD46" s="8">
        <v>4083603</v>
      </c>
      <c r="AE46" s="8">
        <v>4083603</v>
      </c>
      <c r="AF46" s="8">
        <v>4822690</v>
      </c>
      <c r="AG46" s="8">
        <v>6359648</v>
      </c>
      <c r="AH46" s="8">
        <v>6359648</v>
      </c>
      <c r="AI46" s="8">
        <v>6515348</v>
      </c>
      <c r="AJ46" s="8">
        <v>6553665</v>
      </c>
      <c r="AK46" s="8">
        <v>6553665</v>
      </c>
      <c r="AL46" s="8">
        <v>6387817</v>
      </c>
      <c r="AM46" s="8">
        <v>6387817</v>
      </c>
      <c r="AN46" s="8">
        <v>5372703</v>
      </c>
      <c r="AO46" s="9">
        <f t="shared" si="21"/>
        <v>5372703</v>
      </c>
      <c r="AP46" s="8">
        <v>5128170</v>
      </c>
      <c r="AQ46" s="8">
        <v>5628627</v>
      </c>
      <c r="AR46" s="8">
        <v>5628627</v>
      </c>
      <c r="AS46" s="8">
        <v>5628627</v>
      </c>
      <c r="AT46" s="8">
        <v>5628627</v>
      </c>
      <c r="AU46" s="8">
        <v>6728763</v>
      </c>
      <c r="AV46" s="8">
        <v>7472297</v>
      </c>
      <c r="AW46" s="8">
        <v>7522797</v>
      </c>
      <c r="AX46" s="8">
        <v>7522797</v>
      </c>
      <c r="AY46" s="8">
        <v>7522797</v>
      </c>
      <c r="AZ46" s="8">
        <v>7563797</v>
      </c>
      <c r="BA46" s="8">
        <v>5152825</v>
      </c>
      <c r="BB46" s="9">
        <f t="shared" si="22"/>
        <v>5152825</v>
      </c>
      <c r="BC46" s="8">
        <v>8270637</v>
      </c>
      <c r="BD46" s="8">
        <v>8850205</v>
      </c>
      <c r="BE46" s="8">
        <v>8942545</v>
      </c>
      <c r="BF46" s="8">
        <v>9610400</v>
      </c>
      <c r="BG46" s="8">
        <v>9610400</v>
      </c>
      <c r="BH46" s="8">
        <v>9650705</v>
      </c>
      <c r="BI46" s="8">
        <v>9752406</v>
      </c>
      <c r="BJ46" s="8">
        <v>10165984</v>
      </c>
      <c r="BK46" s="8">
        <v>10234492</v>
      </c>
      <c r="BL46" s="8">
        <v>10337091</v>
      </c>
      <c r="BM46" s="8">
        <v>10337091</v>
      </c>
      <c r="BN46" s="8">
        <v>6101604</v>
      </c>
      <c r="BO46" s="9">
        <f t="shared" si="23"/>
        <v>6101604</v>
      </c>
      <c r="BP46" s="8">
        <v>3270747</v>
      </c>
      <c r="BQ46" s="8">
        <v>3270747</v>
      </c>
      <c r="BR46" s="8">
        <v>5872626</v>
      </c>
      <c r="BS46" s="8">
        <v>5872626</v>
      </c>
      <c r="BT46" s="8">
        <v>6879890</v>
      </c>
      <c r="BU46" s="8">
        <v>7074275</v>
      </c>
      <c r="BV46" s="8">
        <v>7071862</v>
      </c>
      <c r="BW46" s="8">
        <v>7071862</v>
      </c>
      <c r="BX46" s="8">
        <v>6993652</v>
      </c>
      <c r="BY46" s="8">
        <v>6993652</v>
      </c>
      <c r="BZ46" s="8">
        <v>7081415</v>
      </c>
      <c r="CA46" s="8">
        <v>5829258</v>
      </c>
      <c r="CB46" s="9">
        <f t="shared" si="24"/>
        <v>5829258</v>
      </c>
      <c r="CC46" s="8">
        <v>7655072</v>
      </c>
      <c r="CD46" s="8">
        <v>7655072</v>
      </c>
      <c r="CE46" s="8">
        <v>7655072</v>
      </c>
      <c r="CF46" s="8">
        <v>7050307</v>
      </c>
      <c r="CG46" s="8">
        <v>7050307</v>
      </c>
      <c r="CH46" s="8">
        <v>7254634</v>
      </c>
      <c r="CI46" s="8">
        <v>9782153</v>
      </c>
      <c r="CJ46" s="8">
        <v>9782153</v>
      </c>
      <c r="CK46" s="8">
        <v>9978152</v>
      </c>
      <c r="CL46" s="8">
        <v>9978152</v>
      </c>
      <c r="CM46" s="8">
        <v>9978152</v>
      </c>
      <c r="CN46" s="8">
        <v>6924407</v>
      </c>
      <c r="CO46" s="9">
        <f t="shared" si="25"/>
        <v>6924407</v>
      </c>
      <c r="CP46" s="8">
        <v>12792533</v>
      </c>
      <c r="CQ46" s="8">
        <v>12652191</v>
      </c>
      <c r="CR46" s="8">
        <v>12652191</v>
      </c>
      <c r="CS46" s="8">
        <v>12652191</v>
      </c>
      <c r="CT46" s="8">
        <v>12468744</v>
      </c>
      <c r="CU46" s="8">
        <v>11115840</v>
      </c>
      <c r="CV46" s="8">
        <v>12100869</v>
      </c>
      <c r="CW46" s="8">
        <v>12100869</v>
      </c>
      <c r="CX46" s="8">
        <v>12100869</v>
      </c>
      <c r="CY46" s="8">
        <v>13362040</v>
      </c>
      <c r="CZ46" s="8">
        <v>12117369</v>
      </c>
      <c r="DA46" s="8">
        <v>9734933</v>
      </c>
      <c r="DB46" s="9">
        <f t="shared" si="26"/>
        <v>9734933</v>
      </c>
      <c r="DC46" s="8">
        <v>7213147</v>
      </c>
      <c r="DD46" s="8">
        <v>8126083</v>
      </c>
      <c r="DE46" s="8">
        <v>8126083</v>
      </c>
      <c r="DF46" s="8">
        <v>8220694</v>
      </c>
      <c r="DG46" s="8">
        <v>8271882</v>
      </c>
      <c r="DH46" s="8">
        <v>8286916</v>
      </c>
      <c r="DI46" s="8">
        <v>8286916</v>
      </c>
      <c r="DJ46" s="8">
        <v>8286916</v>
      </c>
      <c r="DK46" s="8">
        <v>8286916</v>
      </c>
      <c r="DL46" s="8">
        <v>9750211</v>
      </c>
      <c r="DM46" s="8">
        <v>7376607</v>
      </c>
      <c r="DN46" s="8">
        <v>5191120</v>
      </c>
      <c r="DO46" s="9">
        <f t="shared" si="27"/>
        <v>5191120</v>
      </c>
      <c r="DP46" s="8">
        <v>8696258</v>
      </c>
      <c r="DQ46" s="8">
        <v>8696258</v>
      </c>
      <c r="DR46" s="8">
        <v>8696258</v>
      </c>
      <c r="DS46" s="8">
        <v>8860817</v>
      </c>
      <c r="DT46" s="8">
        <v>8889917</v>
      </c>
      <c r="DU46" s="8">
        <v>8889917</v>
      </c>
      <c r="DV46" s="8">
        <v>8889917</v>
      </c>
      <c r="DW46" s="8">
        <v>8889917</v>
      </c>
      <c r="DX46" s="8">
        <v>8889917</v>
      </c>
      <c r="DY46" s="8">
        <v>8889917</v>
      </c>
      <c r="DZ46" s="8">
        <v>8889917</v>
      </c>
      <c r="EA46" s="8">
        <v>5694857</v>
      </c>
      <c r="EB46" s="9">
        <f t="shared" si="28"/>
        <v>5694857</v>
      </c>
      <c r="EC46" s="8">
        <v>18841858</v>
      </c>
      <c r="ED46" s="8">
        <v>18841858</v>
      </c>
      <c r="EE46" s="8">
        <v>16341858</v>
      </c>
      <c r="EF46" s="8">
        <v>16341858</v>
      </c>
      <c r="EG46" s="8">
        <v>15315547</v>
      </c>
      <c r="EH46" s="8">
        <v>13380621</v>
      </c>
      <c r="EI46" s="8">
        <v>13464918</v>
      </c>
      <c r="EJ46" s="8">
        <v>13464918</v>
      </c>
      <c r="EK46" s="8">
        <v>13701920</v>
      </c>
      <c r="EL46" s="8">
        <v>13770418</v>
      </c>
      <c r="EM46" s="8">
        <v>13770418</v>
      </c>
      <c r="EN46" s="8">
        <v>7723948</v>
      </c>
      <c r="EO46" s="9">
        <f t="shared" si="29"/>
        <v>7723948</v>
      </c>
      <c r="EP46" s="8">
        <v>15973417</v>
      </c>
      <c r="EQ46" s="8">
        <v>15973417</v>
      </c>
      <c r="ER46" s="8">
        <v>14927033</v>
      </c>
      <c r="ES46" s="8">
        <v>14851439</v>
      </c>
      <c r="ET46" s="8">
        <v>13870575</v>
      </c>
      <c r="EU46" s="8">
        <v>13870575</v>
      </c>
      <c r="EV46" s="8">
        <v>10870575</v>
      </c>
      <c r="EW46" s="8">
        <v>10870575</v>
      </c>
      <c r="EX46" s="8">
        <v>10870575</v>
      </c>
      <c r="EY46" s="8">
        <v>7792083</v>
      </c>
      <c r="EZ46" s="8">
        <v>5648518</v>
      </c>
      <c r="FA46" s="8">
        <v>5494061</v>
      </c>
      <c r="FB46" s="9">
        <f t="shared" si="30"/>
        <v>5494061</v>
      </c>
      <c r="FC46" s="8">
        <v>8237296</v>
      </c>
      <c r="FD46" s="8">
        <v>4954911</v>
      </c>
      <c r="FE46" s="8">
        <v>4954911</v>
      </c>
      <c r="FF46" s="8">
        <v>4954911</v>
      </c>
      <c r="FG46" s="8">
        <v>4954911</v>
      </c>
      <c r="FH46" s="8">
        <v>4954911</v>
      </c>
      <c r="FI46" s="8">
        <v>4954911</v>
      </c>
      <c r="FJ46" s="8"/>
      <c r="FK46" s="8"/>
      <c r="FL46" s="8"/>
      <c r="FM46" s="8"/>
      <c r="FN46" s="8"/>
      <c r="FO46" s="9">
        <f t="shared" si="31"/>
        <v>4954911</v>
      </c>
    </row>
    <row r="47" spans="2:171" ht="14.25" customHeight="1" x14ac:dyDescent="0.3">
      <c r="B47" s="7" t="s">
        <v>60</v>
      </c>
      <c r="C47" s="8">
        <v>11406728</v>
      </c>
      <c r="D47" s="8">
        <v>11406728</v>
      </c>
      <c r="E47" s="8">
        <v>11596054</v>
      </c>
      <c r="F47" s="8">
        <v>11596054</v>
      </c>
      <c r="G47" s="8">
        <v>10709092</v>
      </c>
      <c r="H47" s="8">
        <v>10709092</v>
      </c>
      <c r="I47" s="8">
        <v>10709092</v>
      </c>
      <c r="J47" s="8">
        <v>9709092</v>
      </c>
      <c r="K47" s="8">
        <v>10655843</v>
      </c>
      <c r="L47" s="8">
        <v>9272796</v>
      </c>
      <c r="M47" s="8">
        <v>9608738</v>
      </c>
      <c r="N47" s="8">
        <v>10205658</v>
      </c>
      <c r="O47" s="9">
        <f t="shared" si="19"/>
        <v>10205658</v>
      </c>
      <c r="P47" s="8">
        <v>8619188</v>
      </c>
      <c r="Q47" s="8">
        <v>8726852</v>
      </c>
      <c r="R47" s="8">
        <v>8726852</v>
      </c>
      <c r="S47" s="8">
        <v>8071780</v>
      </c>
      <c r="T47" s="8">
        <v>7220648</v>
      </c>
      <c r="U47" s="8">
        <v>6876938</v>
      </c>
      <c r="V47" s="8">
        <v>6876938</v>
      </c>
      <c r="W47" s="8">
        <v>6876938</v>
      </c>
      <c r="X47" s="8">
        <v>6876938</v>
      </c>
      <c r="Y47" s="8">
        <v>7319883</v>
      </c>
      <c r="Z47" s="8">
        <v>7330434</v>
      </c>
      <c r="AA47" s="8">
        <v>7353631</v>
      </c>
      <c r="AB47" s="9">
        <f t="shared" si="20"/>
        <v>7353631</v>
      </c>
      <c r="AC47" s="8">
        <v>8177486</v>
      </c>
      <c r="AD47" s="8">
        <v>8615461</v>
      </c>
      <c r="AE47" s="8">
        <v>8615461</v>
      </c>
      <c r="AF47" s="8">
        <v>8615461</v>
      </c>
      <c r="AG47" s="8">
        <v>6799663</v>
      </c>
      <c r="AH47" s="8">
        <v>6799663</v>
      </c>
      <c r="AI47" s="8">
        <v>7307245</v>
      </c>
      <c r="AJ47" s="8">
        <v>7307245</v>
      </c>
      <c r="AK47" s="8">
        <v>7307245</v>
      </c>
      <c r="AL47" s="8">
        <v>7205749</v>
      </c>
      <c r="AM47" s="8">
        <v>7205749</v>
      </c>
      <c r="AN47" s="8">
        <v>6998201</v>
      </c>
      <c r="AO47" s="9">
        <f t="shared" si="21"/>
        <v>6998201</v>
      </c>
      <c r="AP47" s="8">
        <v>10756255</v>
      </c>
      <c r="AQ47" s="8">
        <v>11373660</v>
      </c>
      <c r="AR47" s="8">
        <v>12022669</v>
      </c>
      <c r="AS47" s="8">
        <v>12197769</v>
      </c>
      <c r="AT47" s="8">
        <v>12911553</v>
      </c>
      <c r="AU47" s="8">
        <v>12911553</v>
      </c>
      <c r="AV47" s="8">
        <v>12911553</v>
      </c>
      <c r="AW47" s="8">
        <v>12911553</v>
      </c>
      <c r="AX47" s="8">
        <v>12921162</v>
      </c>
      <c r="AY47" s="8">
        <v>12855946</v>
      </c>
      <c r="AZ47" s="8">
        <v>12334496</v>
      </c>
      <c r="BA47" s="8">
        <v>12237771</v>
      </c>
      <c r="BB47" s="9">
        <f t="shared" si="22"/>
        <v>12237771</v>
      </c>
      <c r="BC47" s="8">
        <v>11496808</v>
      </c>
      <c r="BD47" s="8">
        <v>11867162</v>
      </c>
      <c r="BE47" s="8">
        <v>11867162</v>
      </c>
      <c r="BF47" s="8">
        <v>11867162</v>
      </c>
      <c r="BG47" s="8">
        <v>11867162</v>
      </c>
      <c r="BH47" s="8">
        <v>11867162</v>
      </c>
      <c r="BI47" s="8">
        <v>11497185</v>
      </c>
      <c r="BJ47" s="8">
        <v>11497185</v>
      </c>
      <c r="BK47" s="8">
        <v>11497185</v>
      </c>
      <c r="BL47" s="8">
        <v>10297185</v>
      </c>
      <c r="BM47" s="8">
        <v>10066422</v>
      </c>
      <c r="BN47" s="8">
        <v>8367091</v>
      </c>
      <c r="BO47" s="9">
        <f t="shared" si="23"/>
        <v>8367091</v>
      </c>
      <c r="BP47" s="8">
        <v>15389832</v>
      </c>
      <c r="BQ47" s="8">
        <v>15389832</v>
      </c>
      <c r="BR47" s="8">
        <v>15190745</v>
      </c>
      <c r="BS47" s="8">
        <v>14987145</v>
      </c>
      <c r="BT47" s="8">
        <v>14987145</v>
      </c>
      <c r="BU47" s="8">
        <v>13966788</v>
      </c>
      <c r="BV47" s="8">
        <v>13944098</v>
      </c>
      <c r="BW47" s="8">
        <v>13375246</v>
      </c>
      <c r="BX47" s="8">
        <v>12516314</v>
      </c>
      <c r="BY47" s="8">
        <v>12516314</v>
      </c>
      <c r="BZ47" s="8">
        <v>12516314</v>
      </c>
      <c r="CA47" s="8">
        <v>11596560</v>
      </c>
      <c r="CB47" s="9">
        <f t="shared" si="24"/>
        <v>11596560</v>
      </c>
      <c r="CC47" s="8">
        <v>12031468</v>
      </c>
      <c r="CD47" s="8">
        <v>12031468</v>
      </c>
      <c r="CE47" s="8">
        <v>12031468</v>
      </c>
      <c r="CF47" s="8">
        <v>12837885</v>
      </c>
      <c r="CG47" s="8">
        <v>12837885</v>
      </c>
      <c r="CH47" s="8">
        <v>12837885</v>
      </c>
      <c r="CI47" s="8">
        <v>12837885</v>
      </c>
      <c r="CJ47" s="8">
        <v>12837885</v>
      </c>
      <c r="CK47" s="8">
        <v>12837885</v>
      </c>
      <c r="CL47" s="8">
        <v>11333156</v>
      </c>
      <c r="CM47" s="8">
        <v>11333156</v>
      </c>
      <c r="CN47" s="8">
        <v>9230697</v>
      </c>
      <c r="CO47" s="9">
        <f t="shared" si="25"/>
        <v>9230697</v>
      </c>
      <c r="CP47" s="8">
        <v>11914112</v>
      </c>
      <c r="CQ47" s="8">
        <v>11776677</v>
      </c>
      <c r="CR47" s="8">
        <v>11776677</v>
      </c>
      <c r="CS47" s="8">
        <v>11777475</v>
      </c>
      <c r="CT47" s="8">
        <v>11777475</v>
      </c>
      <c r="CU47" s="8">
        <v>13201459</v>
      </c>
      <c r="CV47" s="8">
        <v>13201459</v>
      </c>
      <c r="CW47" s="8">
        <v>13201459</v>
      </c>
      <c r="CX47" s="8">
        <v>13201459</v>
      </c>
      <c r="CY47" s="8">
        <v>14214829</v>
      </c>
      <c r="CZ47" s="8">
        <v>12939967</v>
      </c>
      <c r="DA47" s="8">
        <v>10741343</v>
      </c>
      <c r="DB47" s="9">
        <f t="shared" si="26"/>
        <v>10741343</v>
      </c>
      <c r="DC47" s="8">
        <v>14902342</v>
      </c>
      <c r="DD47" s="8">
        <v>19316051</v>
      </c>
      <c r="DE47" s="8">
        <v>19316051</v>
      </c>
      <c r="DF47" s="8">
        <v>19316051</v>
      </c>
      <c r="DG47" s="8">
        <v>19244386</v>
      </c>
      <c r="DH47" s="8">
        <v>19174386</v>
      </c>
      <c r="DI47" s="8">
        <v>16328330</v>
      </c>
      <c r="DJ47" s="8">
        <v>16328330</v>
      </c>
      <c r="DK47" s="8">
        <v>16328330</v>
      </c>
      <c r="DL47" s="8">
        <v>16328330</v>
      </c>
      <c r="DM47" s="8">
        <v>12234667</v>
      </c>
      <c r="DN47" s="8">
        <v>9450641</v>
      </c>
      <c r="DO47" s="9">
        <f t="shared" si="27"/>
        <v>9450641</v>
      </c>
      <c r="DP47" s="8">
        <v>22127832</v>
      </c>
      <c r="DQ47" s="8">
        <v>22959758</v>
      </c>
      <c r="DR47" s="8">
        <v>22959758</v>
      </c>
      <c r="DS47" s="8">
        <v>22959758</v>
      </c>
      <c r="DT47" s="8">
        <v>24837247</v>
      </c>
      <c r="DU47" s="8">
        <v>24837247</v>
      </c>
      <c r="DV47" s="8">
        <v>24837247</v>
      </c>
      <c r="DW47" s="8">
        <v>24837247</v>
      </c>
      <c r="DX47" s="8">
        <v>24837247</v>
      </c>
      <c r="DY47" s="8">
        <v>24837247</v>
      </c>
      <c r="DZ47" s="8">
        <v>24074302</v>
      </c>
      <c r="EA47" s="8">
        <v>13086048</v>
      </c>
      <c r="EB47" s="9">
        <f t="shared" si="28"/>
        <v>13086048</v>
      </c>
      <c r="EC47" s="8">
        <v>22256093</v>
      </c>
      <c r="ED47" s="8">
        <v>22256093</v>
      </c>
      <c r="EE47" s="8">
        <v>22256093</v>
      </c>
      <c r="EF47" s="8">
        <v>22256093</v>
      </c>
      <c r="EG47" s="8">
        <v>22356143</v>
      </c>
      <c r="EH47" s="8">
        <v>23540375</v>
      </c>
      <c r="EI47" s="8">
        <v>23790875</v>
      </c>
      <c r="EJ47" s="8">
        <v>23790875</v>
      </c>
      <c r="EK47" s="8">
        <v>22870441</v>
      </c>
      <c r="EL47" s="8">
        <v>22870441</v>
      </c>
      <c r="EM47" s="8">
        <v>20253560</v>
      </c>
      <c r="EN47" s="8">
        <v>17985481</v>
      </c>
      <c r="EO47" s="9">
        <f t="shared" si="29"/>
        <v>17985481</v>
      </c>
      <c r="EP47" s="8">
        <v>21184028</v>
      </c>
      <c r="EQ47" s="8">
        <v>21881248</v>
      </c>
      <c r="ER47" s="8">
        <v>21881248</v>
      </c>
      <c r="ES47" s="8">
        <v>21881248</v>
      </c>
      <c r="ET47" s="8">
        <v>21881248</v>
      </c>
      <c r="EU47" s="8">
        <v>14331165</v>
      </c>
      <c r="EV47" s="8">
        <v>14331165</v>
      </c>
      <c r="EW47" s="8">
        <v>14331165</v>
      </c>
      <c r="EX47" s="8">
        <v>14331165</v>
      </c>
      <c r="EY47" s="8">
        <v>14275594</v>
      </c>
      <c r="EZ47" s="8">
        <v>14275594</v>
      </c>
      <c r="FA47" s="8">
        <v>14465044</v>
      </c>
      <c r="FB47" s="9">
        <f t="shared" si="30"/>
        <v>14465044</v>
      </c>
      <c r="FC47" s="8">
        <v>24770394</v>
      </c>
      <c r="FD47" s="8">
        <v>24770394</v>
      </c>
      <c r="FE47" s="8">
        <v>24770394</v>
      </c>
      <c r="FF47" s="8">
        <v>24770394</v>
      </c>
      <c r="FG47" s="8">
        <v>25550699</v>
      </c>
      <c r="FH47" s="8">
        <v>25550699</v>
      </c>
      <c r="FI47" s="8">
        <v>26178453</v>
      </c>
      <c r="FJ47" s="8"/>
      <c r="FK47" s="8"/>
      <c r="FL47" s="8"/>
      <c r="FM47" s="8"/>
      <c r="FN47" s="8"/>
      <c r="FO47" s="9">
        <f t="shared" si="31"/>
        <v>26178453</v>
      </c>
    </row>
    <row r="48" spans="2:171" ht="14.25" customHeight="1" x14ac:dyDescent="0.3">
      <c r="B48" s="14" t="s">
        <v>63</v>
      </c>
      <c r="C48" s="16">
        <f t="shared" ref="C48:AH48" si="32">SUM(C30:C47)</f>
        <v>350781874</v>
      </c>
      <c r="D48" s="16">
        <f t="shared" si="32"/>
        <v>350781874</v>
      </c>
      <c r="E48" s="16">
        <f t="shared" si="32"/>
        <v>352072796</v>
      </c>
      <c r="F48" s="16">
        <f t="shared" si="32"/>
        <v>352072796</v>
      </c>
      <c r="G48" s="16">
        <f t="shared" si="32"/>
        <v>351719524</v>
      </c>
      <c r="H48" s="16">
        <f t="shared" si="32"/>
        <v>359519524</v>
      </c>
      <c r="I48" s="16">
        <f t="shared" si="32"/>
        <v>359519524</v>
      </c>
      <c r="J48" s="16">
        <f t="shared" si="32"/>
        <v>355194489</v>
      </c>
      <c r="K48" s="16">
        <f t="shared" si="32"/>
        <v>354389421</v>
      </c>
      <c r="L48" s="16">
        <f t="shared" si="32"/>
        <v>353945873</v>
      </c>
      <c r="M48" s="16">
        <f t="shared" si="32"/>
        <v>347517884</v>
      </c>
      <c r="N48" s="16">
        <f t="shared" si="32"/>
        <v>326525395</v>
      </c>
      <c r="O48" s="16">
        <f t="shared" si="32"/>
        <v>326525395</v>
      </c>
      <c r="P48" s="16">
        <f t="shared" si="32"/>
        <v>433896298</v>
      </c>
      <c r="Q48" s="16">
        <f t="shared" si="32"/>
        <v>435984281</v>
      </c>
      <c r="R48" s="16">
        <f t="shared" si="32"/>
        <v>437537360</v>
      </c>
      <c r="S48" s="16">
        <f t="shared" si="32"/>
        <v>437537360</v>
      </c>
      <c r="T48" s="16">
        <f t="shared" si="32"/>
        <v>437477360</v>
      </c>
      <c r="U48" s="16">
        <f t="shared" si="32"/>
        <v>437477360</v>
      </c>
      <c r="V48" s="16">
        <f t="shared" si="32"/>
        <v>437477360</v>
      </c>
      <c r="W48" s="16">
        <f t="shared" si="32"/>
        <v>432201677</v>
      </c>
      <c r="X48" s="16">
        <f t="shared" si="32"/>
        <v>430105038</v>
      </c>
      <c r="Y48" s="16">
        <f t="shared" si="32"/>
        <v>425125921</v>
      </c>
      <c r="Z48" s="16">
        <f t="shared" si="32"/>
        <v>426241632</v>
      </c>
      <c r="AA48" s="16">
        <f t="shared" si="32"/>
        <v>388641307</v>
      </c>
      <c r="AB48" s="16">
        <f t="shared" si="32"/>
        <v>388641307</v>
      </c>
      <c r="AC48" s="16">
        <f t="shared" si="32"/>
        <v>399195398</v>
      </c>
      <c r="AD48" s="16">
        <f t="shared" si="32"/>
        <v>405005830</v>
      </c>
      <c r="AE48" s="16">
        <f t="shared" si="32"/>
        <v>405005830</v>
      </c>
      <c r="AF48" s="16">
        <f t="shared" si="32"/>
        <v>405005830</v>
      </c>
      <c r="AG48" s="16">
        <f t="shared" si="32"/>
        <v>406079778</v>
      </c>
      <c r="AH48" s="16">
        <f t="shared" si="32"/>
        <v>406079778</v>
      </c>
      <c r="AI48" s="16">
        <f t="shared" ref="AI48:BN48" si="33">SUM(AI30:AI47)</f>
        <v>406079778</v>
      </c>
      <c r="AJ48" s="16">
        <f t="shared" si="33"/>
        <v>414449167</v>
      </c>
      <c r="AK48" s="16">
        <f t="shared" si="33"/>
        <v>414492837</v>
      </c>
      <c r="AL48" s="16">
        <f t="shared" si="33"/>
        <v>411682786</v>
      </c>
      <c r="AM48" s="16">
        <f t="shared" si="33"/>
        <v>409061562</v>
      </c>
      <c r="AN48" s="16">
        <f t="shared" si="33"/>
        <v>398977696</v>
      </c>
      <c r="AO48" s="16">
        <f t="shared" si="33"/>
        <v>398977696</v>
      </c>
      <c r="AP48" s="16">
        <f t="shared" si="33"/>
        <v>452613545</v>
      </c>
      <c r="AQ48" s="16">
        <f t="shared" si="33"/>
        <v>460428748</v>
      </c>
      <c r="AR48" s="16">
        <f t="shared" si="33"/>
        <v>460053622</v>
      </c>
      <c r="AS48" s="16">
        <f t="shared" si="33"/>
        <v>458529646</v>
      </c>
      <c r="AT48" s="16">
        <f t="shared" si="33"/>
        <v>463524646</v>
      </c>
      <c r="AU48" s="16">
        <f t="shared" si="33"/>
        <v>463493237</v>
      </c>
      <c r="AV48" s="16">
        <f t="shared" si="33"/>
        <v>460079405</v>
      </c>
      <c r="AW48" s="16">
        <f t="shared" si="33"/>
        <v>458034288</v>
      </c>
      <c r="AX48" s="16">
        <f t="shared" si="33"/>
        <v>455666681</v>
      </c>
      <c r="AY48" s="16">
        <f t="shared" si="33"/>
        <v>454078509</v>
      </c>
      <c r="AZ48" s="16">
        <f t="shared" si="33"/>
        <v>444616095</v>
      </c>
      <c r="BA48" s="16">
        <f t="shared" si="33"/>
        <v>412838205</v>
      </c>
      <c r="BB48" s="16">
        <f t="shared" si="33"/>
        <v>412838205</v>
      </c>
      <c r="BC48" s="16">
        <f t="shared" si="33"/>
        <v>440734738</v>
      </c>
      <c r="BD48" s="16">
        <f t="shared" si="33"/>
        <v>443035308</v>
      </c>
      <c r="BE48" s="16">
        <f t="shared" si="33"/>
        <v>443035308</v>
      </c>
      <c r="BF48" s="16">
        <f t="shared" si="33"/>
        <v>443035308</v>
      </c>
      <c r="BG48" s="16">
        <f t="shared" si="33"/>
        <v>442632400</v>
      </c>
      <c r="BH48" s="16">
        <f t="shared" si="33"/>
        <v>442632400</v>
      </c>
      <c r="BI48" s="16">
        <f t="shared" si="33"/>
        <v>442235145</v>
      </c>
      <c r="BJ48" s="16">
        <f t="shared" si="33"/>
        <v>442235145</v>
      </c>
      <c r="BK48" s="16">
        <f t="shared" si="33"/>
        <v>442235145</v>
      </c>
      <c r="BL48" s="16">
        <f t="shared" si="33"/>
        <v>428807010</v>
      </c>
      <c r="BM48" s="16">
        <f t="shared" si="33"/>
        <v>427372983</v>
      </c>
      <c r="BN48" s="16">
        <f t="shared" si="33"/>
        <v>367572713</v>
      </c>
      <c r="BO48" s="16">
        <f t="shared" ref="BO48:CT48" si="34">SUM(BO30:BO47)</f>
        <v>367572713</v>
      </c>
      <c r="BP48" s="16">
        <f t="shared" si="34"/>
        <v>395848768</v>
      </c>
      <c r="BQ48" s="16">
        <f t="shared" si="34"/>
        <v>395848768</v>
      </c>
      <c r="BR48" s="16">
        <f t="shared" si="34"/>
        <v>390827634</v>
      </c>
      <c r="BS48" s="16">
        <f t="shared" si="34"/>
        <v>390827634</v>
      </c>
      <c r="BT48" s="16">
        <f t="shared" si="34"/>
        <v>390677179</v>
      </c>
      <c r="BU48" s="16">
        <f t="shared" si="34"/>
        <v>391377179</v>
      </c>
      <c r="BV48" s="16">
        <f t="shared" si="34"/>
        <v>393586899</v>
      </c>
      <c r="BW48" s="16">
        <f t="shared" si="34"/>
        <v>396015191</v>
      </c>
      <c r="BX48" s="16">
        <f t="shared" si="34"/>
        <v>395818534</v>
      </c>
      <c r="BY48" s="16">
        <f t="shared" si="34"/>
        <v>411012770</v>
      </c>
      <c r="BZ48" s="16">
        <f t="shared" si="34"/>
        <v>410638690</v>
      </c>
      <c r="CA48" s="16">
        <f t="shared" si="34"/>
        <v>376032649</v>
      </c>
      <c r="CB48" s="16">
        <f t="shared" si="34"/>
        <v>376032649</v>
      </c>
      <c r="CC48" s="16">
        <f t="shared" si="34"/>
        <v>442669895</v>
      </c>
      <c r="CD48" s="16">
        <f t="shared" si="34"/>
        <v>442669895</v>
      </c>
      <c r="CE48" s="16">
        <f t="shared" si="34"/>
        <v>453119895</v>
      </c>
      <c r="CF48" s="16">
        <f t="shared" si="34"/>
        <v>450771012</v>
      </c>
      <c r="CG48" s="16">
        <f t="shared" si="34"/>
        <v>450771012</v>
      </c>
      <c r="CH48" s="16">
        <f t="shared" si="34"/>
        <v>451117219</v>
      </c>
      <c r="CI48" s="16">
        <f t="shared" si="34"/>
        <v>452110232</v>
      </c>
      <c r="CJ48" s="16">
        <f t="shared" si="34"/>
        <v>452110232</v>
      </c>
      <c r="CK48" s="16">
        <f t="shared" si="34"/>
        <v>436486414</v>
      </c>
      <c r="CL48" s="16">
        <f t="shared" si="34"/>
        <v>434826086</v>
      </c>
      <c r="CM48" s="16">
        <f t="shared" si="34"/>
        <v>433436202</v>
      </c>
      <c r="CN48" s="16">
        <f t="shared" si="34"/>
        <v>373688239</v>
      </c>
      <c r="CO48" s="16">
        <f t="shared" si="34"/>
        <v>373688239</v>
      </c>
      <c r="CP48" s="16">
        <f t="shared" si="34"/>
        <v>600298724</v>
      </c>
      <c r="CQ48" s="16">
        <f t="shared" si="34"/>
        <v>607271724</v>
      </c>
      <c r="CR48" s="16">
        <f t="shared" si="34"/>
        <v>609033724</v>
      </c>
      <c r="CS48" s="16">
        <f t="shared" si="34"/>
        <v>609033724</v>
      </c>
      <c r="CT48" s="16">
        <f t="shared" si="34"/>
        <v>608005946</v>
      </c>
      <c r="CU48" s="16">
        <f t="shared" ref="CU48:DZ48" si="35">SUM(CU30:CU47)</f>
        <v>608005946</v>
      </c>
      <c r="CV48" s="16">
        <f t="shared" si="35"/>
        <v>608005946</v>
      </c>
      <c r="CW48" s="16">
        <f t="shared" si="35"/>
        <v>608005946</v>
      </c>
      <c r="CX48" s="16">
        <f t="shared" si="35"/>
        <v>607790799</v>
      </c>
      <c r="CY48" s="16">
        <f t="shared" si="35"/>
        <v>600750001</v>
      </c>
      <c r="CZ48" s="16">
        <f t="shared" si="35"/>
        <v>567281299</v>
      </c>
      <c r="DA48" s="16">
        <f t="shared" si="35"/>
        <v>476378343</v>
      </c>
      <c r="DB48" s="16">
        <f t="shared" si="35"/>
        <v>476378343</v>
      </c>
      <c r="DC48" s="16">
        <f t="shared" si="35"/>
        <v>532634315</v>
      </c>
      <c r="DD48" s="16">
        <f t="shared" si="35"/>
        <v>602694184</v>
      </c>
      <c r="DE48" s="16">
        <f t="shared" si="35"/>
        <v>602694184</v>
      </c>
      <c r="DF48" s="16">
        <f t="shared" si="35"/>
        <v>602694184</v>
      </c>
      <c r="DG48" s="16">
        <f t="shared" si="35"/>
        <v>602648934</v>
      </c>
      <c r="DH48" s="16">
        <f t="shared" si="35"/>
        <v>602578934</v>
      </c>
      <c r="DI48" s="16">
        <f t="shared" si="35"/>
        <v>594977728</v>
      </c>
      <c r="DJ48" s="16">
        <f t="shared" si="35"/>
        <v>595065228</v>
      </c>
      <c r="DK48" s="16">
        <f t="shared" si="35"/>
        <v>548057305</v>
      </c>
      <c r="DL48" s="16">
        <f t="shared" si="35"/>
        <v>547463992</v>
      </c>
      <c r="DM48" s="16">
        <f t="shared" si="35"/>
        <v>459477452</v>
      </c>
      <c r="DN48" s="16">
        <f t="shared" si="35"/>
        <v>399349889</v>
      </c>
      <c r="DO48" s="16">
        <f t="shared" si="35"/>
        <v>399349889</v>
      </c>
      <c r="DP48" s="16">
        <f t="shared" si="35"/>
        <v>542047913</v>
      </c>
      <c r="DQ48" s="16">
        <f t="shared" si="35"/>
        <v>542047913</v>
      </c>
      <c r="DR48" s="16">
        <f t="shared" si="35"/>
        <v>542047913</v>
      </c>
      <c r="DS48" s="16">
        <f t="shared" si="35"/>
        <v>542047913</v>
      </c>
      <c r="DT48" s="16">
        <f t="shared" si="35"/>
        <v>542047913</v>
      </c>
      <c r="DU48" s="16">
        <f t="shared" si="35"/>
        <v>542039339</v>
      </c>
      <c r="DV48" s="16">
        <f t="shared" si="35"/>
        <v>542039339</v>
      </c>
      <c r="DW48" s="16">
        <f t="shared" si="35"/>
        <v>542039339</v>
      </c>
      <c r="DX48" s="16">
        <f t="shared" si="35"/>
        <v>542039339</v>
      </c>
      <c r="DY48" s="16">
        <f t="shared" si="35"/>
        <v>542039339</v>
      </c>
      <c r="DZ48" s="16">
        <f t="shared" si="35"/>
        <v>480711064</v>
      </c>
      <c r="EA48" s="16">
        <f t="shared" ref="EA48:FF48" si="36">SUM(EA30:EA47)</f>
        <v>383509170</v>
      </c>
      <c r="EB48" s="16">
        <f t="shared" si="36"/>
        <v>383509170</v>
      </c>
      <c r="EC48" s="16">
        <f t="shared" si="36"/>
        <v>560704016</v>
      </c>
      <c r="ED48" s="16">
        <f t="shared" si="36"/>
        <v>560704016</v>
      </c>
      <c r="EE48" s="16">
        <f t="shared" si="36"/>
        <v>554137127</v>
      </c>
      <c r="EF48" s="16">
        <f t="shared" si="36"/>
        <v>554137127</v>
      </c>
      <c r="EG48" s="16">
        <f t="shared" si="36"/>
        <v>554044215</v>
      </c>
      <c r="EH48" s="16">
        <f t="shared" si="36"/>
        <v>550993017</v>
      </c>
      <c r="EI48" s="16">
        <f t="shared" si="36"/>
        <v>550993017</v>
      </c>
      <c r="EJ48" s="16">
        <f t="shared" si="36"/>
        <v>553862808</v>
      </c>
      <c r="EK48" s="16">
        <f t="shared" si="36"/>
        <v>553682808</v>
      </c>
      <c r="EL48" s="16">
        <f t="shared" si="36"/>
        <v>554017071</v>
      </c>
      <c r="EM48" s="16">
        <f t="shared" si="36"/>
        <v>524968049</v>
      </c>
      <c r="EN48" s="16">
        <f t="shared" si="36"/>
        <v>400142072</v>
      </c>
      <c r="EO48" s="16">
        <f t="shared" si="36"/>
        <v>400142072</v>
      </c>
      <c r="EP48" s="16">
        <f t="shared" si="36"/>
        <v>502221494</v>
      </c>
      <c r="EQ48" s="16">
        <f t="shared" si="36"/>
        <v>511796438</v>
      </c>
      <c r="ER48" s="16">
        <f t="shared" si="36"/>
        <v>511796438</v>
      </c>
      <c r="ES48" s="16">
        <f t="shared" si="36"/>
        <v>513447489</v>
      </c>
      <c r="ET48" s="16">
        <f t="shared" si="36"/>
        <v>513447489</v>
      </c>
      <c r="EU48" s="16">
        <f t="shared" si="36"/>
        <v>514186998</v>
      </c>
      <c r="EV48" s="16">
        <f t="shared" si="36"/>
        <v>499186998</v>
      </c>
      <c r="EW48" s="16">
        <f t="shared" si="36"/>
        <v>499186998</v>
      </c>
      <c r="EX48" s="16">
        <f t="shared" si="36"/>
        <v>499186998</v>
      </c>
      <c r="EY48" s="16">
        <f t="shared" si="36"/>
        <v>476686865</v>
      </c>
      <c r="EZ48" s="16">
        <f t="shared" si="36"/>
        <v>476686865</v>
      </c>
      <c r="FA48" s="16">
        <f t="shared" si="36"/>
        <v>439708851</v>
      </c>
      <c r="FB48" s="16">
        <f t="shared" si="36"/>
        <v>439708851</v>
      </c>
      <c r="FC48" s="16">
        <f t="shared" si="36"/>
        <v>484142190</v>
      </c>
      <c r="FD48" s="16">
        <f t="shared" si="36"/>
        <v>464833607</v>
      </c>
      <c r="FE48" s="16">
        <f t="shared" si="36"/>
        <v>465805539</v>
      </c>
      <c r="FF48" s="16">
        <f t="shared" si="36"/>
        <v>465805539</v>
      </c>
      <c r="FG48" s="16">
        <f t="shared" ref="FG48:GL48" si="37">SUM(FG30:FG47)</f>
        <v>466123713</v>
      </c>
      <c r="FH48" s="16">
        <f t="shared" si="37"/>
        <v>466611123</v>
      </c>
      <c r="FI48" s="16">
        <f t="shared" si="37"/>
        <v>466611123</v>
      </c>
      <c r="FJ48" s="16">
        <f t="shared" si="37"/>
        <v>0</v>
      </c>
      <c r="FK48" s="16">
        <f t="shared" si="37"/>
        <v>0</v>
      </c>
      <c r="FL48" s="16">
        <f t="shared" si="37"/>
        <v>0</v>
      </c>
      <c r="FM48" s="16">
        <f t="shared" si="37"/>
        <v>0</v>
      </c>
      <c r="FN48" s="16">
        <f t="shared" si="37"/>
        <v>0</v>
      </c>
      <c r="FO48" s="16">
        <f t="shared" si="37"/>
        <v>466611123</v>
      </c>
    </row>
    <row r="49" spans="2:171" ht="14.25" customHeight="1" x14ac:dyDescent="0.3">
      <c r="B49" s="4" t="s">
        <v>64</v>
      </c>
    </row>
    <row r="50" spans="2:171" ht="14.25" customHeight="1" x14ac:dyDescent="0.3">
      <c r="C50" s="33" t="s">
        <v>4</v>
      </c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3" t="s">
        <v>5</v>
      </c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3" t="s">
        <v>6</v>
      </c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3" t="s">
        <v>7</v>
      </c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3" t="s">
        <v>8</v>
      </c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3" t="s">
        <v>9</v>
      </c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3" t="s">
        <v>10</v>
      </c>
      <c r="CD50" s="34"/>
      <c r="CE50" s="34"/>
      <c r="CF50" s="34"/>
      <c r="CG50" s="34"/>
      <c r="CH50" s="34"/>
      <c r="CI50" s="34"/>
      <c r="CJ50" s="34"/>
      <c r="CK50" s="34"/>
      <c r="CL50" s="34"/>
      <c r="CM50" s="34"/>
      <c r="CN50" s="34"/>
      <c r="CO50" s="34"/>
      <c r="CP50" s="33" t="s">
        <v>11</v>
      </c>
      <c r="CQ50" s="34"/>
      <c r="CR50" s="34"/>
      <c r="CS50" s="34"/>
      <c r="CT50" s="34"/>
      <c r="CU50" s="34"/>
      <c r="CV50" s="34"/>
      <c r="CW50" s="34"/>
      <c r="CX50" s="34"/>
      <c r="CY50" s="34"/>
      <c r="CZ50" s="34"/>
      <c r="DA50" s="34"/>
      <c r="DB50" s="34"/>
      <c r="DC50" s="33" t="s">
        <v>12</v>
      </c>
      <c r="DD50" s="34"/>
      <c r="DE50" s="34"/>
      <c r="DF50" s="34"/>
      <c r="DG50" s="34"/>
      <c r="DH50" s="34"/>
      <c r="DI50" s="34"/>
      <c r="DJ50" s="34"/>
      <c r="DK50" s="34"/>
      <c r="DL50" s="34"/>
      <c r="DM50" s="34"/>
      <c r="DN50" s="34"/>
      <c r="DO50" s="34"/>
      <c r="DP50" s="33" t="s">
        <v>13</v>
      </c>
      <c r="DQ50" s="34"/>
      <c r="DR50" s="34"/>
      <c r="DS50" s="34"/>
      <c r="DT50" s="34"/>
      <c r="DU50" s="34"/>
      <c r="DV50" s="34"/>
      <c r="DW50" s="34"/>
      <c r="DX50" s="34"/>
      <c r="DY50" s="34"/>
      <c r="DZ50" s="34"/>
      <c r="EA50" s="34"/>
      <c r="EB50" s="34"/>
      <c r="EC50" s="33" t="s">
        <v>14</v>
      </c>
      <c r="ED50" s="34"/>
      <c r="EE50" s="34"/>
      <c r="EF50" s="34"/>
      <c r="EG50" s="34"/>
      <c r="EH50" s="34"/>
      <c r="EI50" s="34"/>
      <c r="EJ50" s="34"/>
      <c r="EK50" s="34"/>
      <c r="EL50" s="34"/>
      <c r="EM50" s="34"/>
      <c r="EN50" s="34"/>
      <c r="EO50" s="34"/>
      <c r="EP50" s="33" t="s">
        <v>15</v>
      </c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3" t="s">
        <v>16</v>
      </c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</row>
    <row r="51" spans="2:171" ht="14.25" customHeight="1" x14ac:dyDescent="0.3">
      <c r="B51" s="5" t="s">
        <v>17</v>
      </c>
      <c r="C51" s="6" t="s">
        <v>18</v>
      </c>
      <c r="D51" s="6" t="s">
        <v>19</v>
      </c>
      <c r="E51" s="6" t="s">
        <v>20</v>
      </c>
      <c r="F51" s="6" t="s">
        <v>21</v>
      </c>
      <c r="G51" s="6" t="s">
        <v>22</v>
      </c>
      <c r="H51" s="6" t="s">
        <v>23</v>
      </c>
      <c r="I51" s="6" t="s">
        <v>24</v>
      </c>
      <c r="J51" s="6" t="s">
        <v>25</v>
      </c>
      <c r="K51" s="6" t="s">
        <v>26</v>
      </c>
      <c r="L51" s="6" t="s">
        <v>27</v>
      </c>
      <c r="M51" s="6" t="s">
        <v>28</v>
      </c>
      <c r="N51" s="6" t="s">
        <v>29</v>
      </c>
      <c r="O51" s="6" t="s">
        <v>30</v>
      </c>
      <c r="P51" s="6" t="s">
        <v>18</v>
      </c>
      <c r="Q51" s="6" t="s">
        <v>19</v>
      </c>
      <c r="R51" s="6" t="s">
        <v>20</v>
      </c>
      <c r="S51" s="6" t="s">
        <v>21</v>
      </c>
      <c r="T51" s="6" t="s">
        <v>22</v>
      </c>
      <c r="U51" s="6" t="s">
        <v>23</v>
      </c>
      <c r="V51" s="6" t="s">
        <v>24</v>
      </c>
      <c r="W51" s="6" t="s">
        <v>25</v>
      </c>
      <c r="X51" s="6" t="s">
        <v>26</v>
      </c>
      <c r="Y51" s="6" t="s">
        <v>27</v>
      </c>
      <c r="Z51" s="6" t="s">
        <v>28</v>
      </c>
      <c r="AA51" s="6" t="s">
        <v>29</v>
      </c>
      <c r="AB51" s="6" t="s">
        <v>31</v>
      </c>
      <c r="AC51" s="6" t="s">
        <v>18</v>
      </c>
      <c r="AD51" s="6" t="s">
        <v>19</v>
      </c>
      <c r="AE51" s="6" t="s">
        <v>20</v>
      </c>
      <c r="AF51" s="6" t="s">
        <v>21</v>
      </c>
      <c r="AG51" s="6" t="s">
        <v>22</v>
      </c>
      <c r="AH51" s="6" t="s">
        <v>23</v>
      </c>
      <c r="AI51" s="6" t="s">
        <v>24</v>
      </c>
      <c r="AJ51" s="6" t="s">
        <v>25</v>
      </c>
      <c r="AK51" s="6" t="s">
        <v>26</v>
      </c>
      <c r="AL51" s="6" t="s">
        <v>27</v>
      </c>
      <c r="AM51" s="6" t="s">
        <v>28</v>
      </c>
      <c r="AN51" s="6" t="s">
        <v>29</v>
      </c>
      <c r="AO51" s="6" t="s">
        <v>32</v>
      </c>
      <c r="AP51" s="6" t="s">
        <v>18</v>
      </c>
      <c r="AQ51" s="6" t="s">
        <v>19</v>
      </c>
      <c r="AR51" s="6" t="s">
        <v>20</v>
      </c>
      <c r="AS51" s="6" t="s">
        <v>21</v>
      </c>
      <c r="AT51" s="6" t="s">
        <v>22</v>
      </c>
      <c r="AU51" s="6" t="s">
        <v>23</v>
      </c>
      <c r="AV51" s="6" t="s">
        <v>24</v>
      </c>
      <c r="AW51" s="6" t="s">
        <v>25</v>
      </c>
      <c r="AX51" s="6" t="s">
        <v>26</v>
      </c>
      <c r="AY51" s="6" t="s">
        <v>27</v>
      </c>
      <c r="AZ51" s="6" t="s">
        <v>28</v>
      </c>
      <c r="BA51" s="6" t="s">
        <v>29</v>
      </c>
      <c r="BB51" s="6" t="s">
        <v>33</v>
      </c>
      <c r="BC51" s="6" t="s">
        <v>18</v>
      </c>
      <c r="BD51" s="6" t="s">
        <v>19</v>
      </c>
      <c r="BE51" s="6" t="s">
        <v>20</v>
      </c>
      <c r="BF51" s="6" t="s">
        <v>21</v>
      </c>
      <c r="BG51" s="6" t="s">
        <v>22</v>
      </c>
      <c r="BH51" s="6" t="s">
        <v>23</v>
      </c>
      <c r="BI51" s="6" t="s">
        <v>24</v>
      </c>
      <c r="BJ51" s="6" t="s">
        <v>25</v>
      </c>
      <c r="BK51" s="6" t="s">
        <v>26</v>
      </c>
      <c r="BL51" s="6" t="s">
        <v>27</v>
      </c>
      <c r="BM51" s="6" t="s">
        <v>28</v>
      </c>
      <c r="BN51" s="6" t="s">
        <v>29</v>
      </c>
      <c r="BO51" s="6" t="s">
        <v>34</v>
      </c>
      <c r="BP51" s="6" t="s">
        <v>18</v>
      </c>
      <c r="BQ51" s="6" t="s">
        <v>19</v>
      </c>
      <c r="BR51" s="6" t="s">
        <v>20</v>
      </c>
      <c r="BS51" s="6" t="s">
        <v>21</v>
      </c>
      <c r="BT51" s="6" t="s">
        <v>22</v>
      </c>
      <c r="BU51" s="6" t="s">
        <v>23</v>
      </c>
      <c r="BV51" s="6" t="s">
        <v>24</v>
      </c>
      <c r="BW51" s="6" t="s">
        <v>25</v>
      </c>
      <c r="BX51" s="6" t="s">
        <v>26</v>
      </c>
      <c r="BY51" s="6" t="s">
        <v>27</v>
      </c>
      <c r="BZ51" s="6" t="s">
        <v>28</v>
      </c>
      <c r="CA51" s="6" t="s">
        <v>29</v>
      </c>
      <c r="CB51" s="6" t="s">
        <v>35</v>
      </c>
      <c r="CC51" s="6" t="s">
        <v>18</v>
      </c>
      <c r="CD51" s="6" t="s">
        <v>19</v>
      </c>
      <c r="CE51" s="6" t="s">
        <v>20</v>
      </c>
      <c r="CF51" s="6" t="s">
        <v>21</v>
      </c>
      <c r="CG51" s="6" t="s">
        <v>22</v>
      </c>
      <c r="CH51" s="6" t="s">
        <v>23</v>
      </c>
      <c r="CI51" s="6" t="s">
        <v>24</v>
      </c>
      <c r="CJ51" s="6" t="s">
        <v>25</v>
      </c>
      <c r="CK51" s="6" t="s">
        <v>26</v>
      </c>
      <c r="CL51" s="6" t="s">
        <v>27</v>
      </c>
      <c r="CM51" s="6" t="s">
        <v>28</v>
      </c>
      <c r="CN51" s="6" t="s">
        <v>29</v>
      </c>
      <c r="CO51" s="6" t="s">
        <v>36</v>
      </c>
      <c r="CP51" s="6" t="s">
        <v>18</v>
      </c>
      <c r="CQ51" s="6" t="s">
        <v>19</v>
      </c>
      <c r="CR51" s="6" t="s">
        <v>20</v>
      </c>
      <c r="CS51" s="6" t="s">
        <v>21</v>
      </c>
      <c r="CT51" s="6" t="s">
        <v>22</v>
      </c>
      <c r="CU51" s="6" t="s">
        <v>23</v>
      </c>
      <c r="CV51" s="6" t="s">
        <v>24</v>
      </c>
      <c r="CW51" s="6" t="s">
        <v>25</v>
      </c>
      <c r="CX51" s="6" t="s">
        <v>26</v>
      </c>
      <c r="CY51" s="6" t="s">
        <v>27</v>
      </c>
      <c r="CZ51" s="6" t="s">
        <v>28</v>
      </c>
      <c r="DA51" s="6" t="s">
        <v>29</v>
      </c>
      <c r="DB51" s="6" t="s">
        <v>37</v>
      </c>
      <c r="DC51" s="6" t="s">
        <v>18</v>
      </c>
      <c r="DD51" s="6" t="s">
        <v>19</v>
      </c>
      <c r="DE51" s="6" t="s">
        <v>20</v>
      </c>
      <c r="DF51" s="6" t="s">
        <v>21</v>
      </c>
      <c r="DG51" s="6" t="s">
        <v>22</v>
      </c>
      <c r="DH51" s="6" t="s">
        <v>23</v>
      </c>
      <c r="DI51" s="6" t="s">
        <v>24</v>
      </c>
      <c r="DJ51" s="6" t="s">
        <v>25</v>
      </c>
      <c r="DK51" s="6" t="s">
        <v>26</v>
      </c>
      <c r="DL51" s="6" t="s">
        <v>27</v>
      </c>
      <c r="DM51" s="6" t="s">
        <v>28</v>
      </c>
      <c r="DN51" s="6" t="s">
        <v>29</v>
      </c>
      <c r="DO51" s="6" t="s">
        <v>38</v>
      </c>
      <c r="DP51" s="6" t="s">
        <v>18</v>
      </c>
      <c r="DQ51" s="6" t="s">
        <v>19</v>
      </c>
      <c r="DR51" s="6" t="s">
        <v>20</v>
      </c>
      <c r="DS51" s="6" t="s">
        <v>21</v>
      </c>
      <c r="DT51" s="6" t="s">
        <v>22</v>
      </c>
      <c r="DU51" s="6" t="s">
        <v>23</v>
      </c>
      <c r="DV51" s="6" t="s">
        <v>24</v>
      </c>
      <c r="DW51" s="6" t="s">
        <v>25</v>
      </c>
      <c r="DX51" s="6" t="s">
        <v>26</v>
      </c>
      <c r="DY51" s="6" t="s">
        <v>27</v>
      </c>
      <c r="DZ51" s="6" t="s">
        <v>28</v>
      </c>
      <c r="EA51" s="6" t="s">
        <v>29</v>
      </c>
      <c r="EB51" s="6" t="s">
        <v>39</v>
      </c>
      <c r="EC51" s="6" t="s">
        <v>18</v>
      </c>
      <c r="ED51" s="6" t="s">
        <v>19</v>
      </c>
      <c r="EE51" s="6" t="s">
        <v>20</v>
      </c>
      <c r="EF51" s="6" t="s">
        <v>21</v>
      </c>
      <c r="EG51" s="6" t="s">
        <v>22</v>
      </c>
      <c r="EH51" s="6" t="s">
        <v>23</v>
      </c>
      <c r="EI51" s="6" t="s">
        <v>24</v>
      </c>
      <c r="EJ51" s="6" t="s">
        <v>25</v>
      </c>
      <c r="EK51" s="6" t="s">
        <v>26</v>
      </c>
      <c r="EL51" s="6" t="s">
        <v>27</v>
      </c>
      <c r="EM51" s="6" t="s">
        <v>28</v>
      </c>
      <c r="EN51" s="6" t="s">
        <v>29</v>
      </c>
      <c r="EO51" s="6" t="s">
        <v>40</v>
      </c>
      <c r="EP51" s="6" t="s">
        <v>18</v>
      </c>
      <c r="EQ51" s="6" t="s">
        <v>19</v>
      </c>
      <c r="ER51" s="6" t="s">
        <v>20</v>
      </c>
      <c r="ES51" s="6" t="s">
        <v>21</v>
      </c>
      <c r="ET51" s="6" t="s">
        <v>22</v>
      </c>
      <c r="EU51" s="6" t="s">
        <v>23</v>
      </c>
      <c r="EV51" s="6" t="s">
        <v>24</v>
      </c>
      <c r="EW51" s="6" t="s">
        <v>25</v>
      </c>
      <c r="EX51" s="6" t="s">
        <v>26</v>
      </c>
      <c r="EY51" s="6" t="s">
        <v>27</v>
      </c>
      <c r="EZ51" s="6" t="s">
        <v>28</v>
      </c>
      <c r="FA51" s="6" t="s">
        <v>29</v>
      </c>
      <c r="FB51" s="6" t="s">
        <v>41</v>
      </c>
      <c r="FC51" s="6" t="s">
        <v>18</v>
      </c>
      <c r="FD51" s="6" t="s">
        <v>19</v>
      </c>
      <c r="FE51" s="6" t="s">
        <v>20</v>
      </c>
      <c r="FF51" s="6" t="s">
        <v>21</v>
      </c>
      <c r="FG51" s="6" t="s">
        <v>22</v>
      </c>
      <c r="FH51" s="6" t="s">
        <v>23</v>
      </c>
      <c r="FI51" s="6" t="s">
        <v>24</v>
      </c>
      <c r="FJ51" s="6" t="s">
        <v>25</v>
      </c>
      <c r="FK51" s="6" t="s">
        <v>26</v>
      </c>
      <c r="FL51" s="6" t="s">
        <v>27</v>
      </c>
      <c r="FM51" s="6" t="s">
        <v>28</v>
      </c>
      <c r="FN51" s="6" t="s">
        <v>29</v>
      </c>
      <c r="FO51" s="6" t="s">
        <v>42</v>
      </c>
    </row>
    <row r="52" spans="2:171" ht="14.25" customHeight="1" x14ac:dyDescent="0.3">
      <c r="B52" s="7" t="s">
        <v>43</v>
      </c>
      <c r="C52" s="8">
        <v>0</v>
      </c>
      <c r="D52" s="8">
        <v>0</v>
      </c>
      <c r="E52" s="8">
        <v>5285526</v>
      </c>
      <c r="F52" s="8">
        <v>7623650</v>
      </c>
      <c r="G52" s="8">
        <v>9325202</v>
      </c>
      <c r="H52" s="8">
        <v>12053628</v>
      </c>
      <c r="I52" s="8">
        <v>13741951</v>
      </c>
      <c r="J52" s="8">
        <v>15547865</v>
      </c>
      <c r="K52" s="8">
        <v>17642904</v>
      </c>
      <c r="L52" s="8">
        <v>20087428</v>
      </c>
      <c r="M52" s="8">
        <v>21872533</v>
      </c>
      <c r="N52" s="8">
        <v>24973612</v>
      </c>
      <c r="O52" s="9">
        <f t="shared" ref="O52:O69" si="38">N52</f>
        <v>24973612</v>
      </c>
      <c r="P52" s="8">
        <v>0</v>
      </c>
      <c r="Q52" s="8">
        <v>1758080</v>
      </c>
      <c r="R52" s="8">
        <v>4631663</v>
      </c>
      <c r="S52" s="8">
        <v>9239327</v>
      </c>
      <c r="T52" s="8">
        <v>12855540</v>
      </c>
      <c r="U52" s="8">
        <v>13605003</v>
      </c>
      <c r="V52" s="8">
        <v>14696740</v>
      </c>
      <c r="W52" s="8">
        <v>17668687</v>
      </c>
      <c r="X52" s="8">
        <v>17774175</v>
      </c>
      <c r="Y52" s="8">
        <v>21589336</v>
      </c>
      <c r="Z52" s="8">
        <v>26515869</v>
      </c>
      <c r="AA52" s="8">
        <v>27016469</v>
      </c>
      <c r="AB52" s="9">
        <f t="shared" ref="AB52:AB69" si="39">AA52</f>
        <v>27016469</v>
      </c>
      <c r="AC52" s="8">
        <v>0</v>
      </c>
      <c r="AD52" s="8">
        <v>1863635</v>
      </c>
      <c r="AE52" s="8">
        <v>6804559</v>
      </c>
      <c r="AF52" s="8">
        <v>7685073</v>
      </c>
      <c r="AG52" s="8">
        <v>9596517</v>
      </c>
      <c r="AH52" s="8">
        <v>15770650</v>
      </c>
      <c r="AI52" s="8">
        <v>16662929</v>
      </c>
      <c r="AJ52" s="8">
        <v>19835636</v>
      </c>
      <c r="AK52" s="8">
        <v>22980290</v>
      </c>
      <c r="AL52" s="8">
        <v>23070304</v>
      </c>
      <c r="AM52" s="8">
        <v>23979944</v>
      </c>
      <c r="AN52" s="8">
        <v>27734905</v>
      </c>
      <c r="AO52" s="9">
        <f t="shared" ref="AO52:AO69" si="40">AN52</f>
        <v>27734905</v>
      </c>
      <c r="AP52" s="8">
        <v>0</v>
      </c>
      <c r="AQ52" s="8">
        <v>3138006</v>
      </c>
      <c r="AR52" s="8">
        <v>5957303</v>
      </c>
      <c r="AS52" s="8">
        <v>9592357</v>
      </c>
      <c r="AT52" s="8">
        <v>12505841</v>
      </c>
      <c r="AU52" s="8">
        <v>15864053</v>
      </c>
      <c r="AV52" s="8">
        <v>16695010</v>
      </c>
      <c r="AW52" s="8">
        <v>19238755</v>
      </c>
      <c r="AX52" s="8">
        <v>21312957</v>
      </c>
      <c r="AY52" s="8">
        <v>24223205</v>
      </c>
      <c r="AZ52" s="8">
        <v>25481206</v>
      </c>
      <c r="BA52" s="8">
        <v>29097157</v>
      </c>
      <c r="BB52" s="9">
        <f t="shared" ref="BB52:BB69" si="41">BA52</f>
        <v>29097157</v>
      </c>
      <c r="BC52" s="8">
        <v>0</v>
      </c>
      <c r="BD52" s="8">
        <v>0</v>
      </c>
      <c r="BE52" s="8">
        <v>4912430</v>
      </c>
      <c r="BF52" s="8">
        <v>9544573</v>
      </c>
      <c r="BG52" s="8">
        <v>11637935</v>
      </c>
      <c r="BH52" s="8">
        <v>17194468</v>
      </c>
      <c r="BI52" s="8">
        <v>17302017</v>
      </c>
      <c r="BJ52" s="8">
        <v>20698610</v>
      </c>
      <c r="BK52" s="8">
        <v>24113608</v>
      </c>
      <c r="BL52" s="8">
        <v>26282403</v>
      </c>
      <c r="BM52" s="8">
        <v>27158567</v>
      </c>
      <c r="BN52" s="8">
        <v>30353278</v>
      </c>
      <c r="BO52" s="9">
        <f t="shared" ref="BO52:BO69" si="42">BN52</f>
        <v>30353278</v>
      </c>
      <c r="BP52" s="8">
        <v>0</v>
      </c>
      <c r="BQ52" s="8">
        <v>0</v>
      </c>
      <c r="BR52" s="8">
        <v>4719</v>
      </c>
      <c r="BS52" s="8">
        <v>12020540</v>
      </c>
      <c r="BT52" s="8">
        <v>14213957</v>
      </c>
      <c r="BU52" s="8">
        <v>18659162</v>
      </c>
      <c r="BV52" s="8">
        <v>22278794</v>
      </c>
      <c r="BW52" s="8">
        <v>24650799</v>
      </c>
      <c r="BX52" s="8">
        <v>26091556</v>
      </c>
      <c r="BY52" s="8">
        <v>29407809</v>
      </c>
      <c r="BZ52" s="8">
        <v>29702698</v>
      </c>
      <c r="CA52" s="8">
        <v>36560931</v>
      </c>
      <c r="CB52" s="9">
        <f t="shared" ref="CB52:CB69" si="43">CA52</f>
        <v>36560931</v>
      </c>
      <c r="CC52" s="8">
        <v>0</v>
      </c>
      <c r="CD52" s="8">
        <v>0</v>
      </c>
      <c r="CE52" s="8">
        <v>10363502</v>
      </c>
      <c r="CF52" s="8">
        <v>10363502</v>
      </c>
      <c r="CG52" s="8">
        <v>14129290</v>
      </c>
      <c r="CH52" s="8">
        <v>16729630</v>
      </c>
      <c r="CI52" s="8">
        <v>19583264</v>
      </c>
      <c r="CJ52" s="8">
        <v>21955379</v>
      </c>
      <c r="CK52" s="8">
        <v>25977625</v>
      </c>
      <c r="CL52" s="8">
        <v>28409070</v>
      </c>
      <c r="CM52" s="8">
        <v>30885382</v>
      </c>
      <c r="CN52" s="8">
        <v>35016199</v>
      </c>
      <c r="CO52" s="9">
        <f t="shared" ref="CO52:CO69" si="44">CN52</f>
        <v>35016199</v>
      </c>
      <c r="CP52" s="8">
        <v>0</v>
      </c>
      <c r="CQ52" s="8">
        <v>0</v>
      </c>
      <c r="CR52" s="8">
        <v>7994378</v>
      </c>
      <c r="CS52" s="8">
        <v>10551196</v>
      </c>
      <c r="CT52" s="8">
        <v>12133475</v>
      </c>
      <c r="CU52" s="8">
        <v>13900836</v>
      </c>
      <c r="CV52" s="8">
        <v>15529648</v>
      </c>
      <c r="CW52" s="8">
        <v>18642687</v>
      </c>
      <c r="CX52" s="8">
        <v>20263881</v>
      </c>
      <c r="CY52" s="8">
        <v>21873659</v>
      </c>
      <c r="CZ52" s="8">
        <v>22125896</v>
      </c>
      <c r="DA52" s="8">
        <v>26495705</v>
      </c>
      <c r="DB52" s="9">
        <f t="shared" ref="DB52:DB69" si="45">DA52</f>
        <v>26495705</v>
      </c>
      <c r="DC52" s="8">
        <v>0</v>
      </c>
      <c r="DD52" s="8">
        <v>2975466</v>
      </c>
      <c r="DE52" s="8">
        <v>6036009</v>
      </c>
      <c r="DF52" s="8">
        <v>7664334</v>
      </c>
      <c r="DG52" s="8">
        <v>7756822</v>
      </c>
      <c r="DH52" s="8">
        <v>10134446</v>
      </c>
      <c r="DI52" s="8">
        <v>10176894</v>
      </c>
      <c r="DJ52" s="8">
        <v>10261274</v>
      </c>
      <c r="DK52" s="8">
        <v>10365403</v>
      </c>
      <c r="DL52" s="8">
        <v>10441208</v>
      </c>
      <c r="DM52" s="8">
        <v>10657419</v>
      </c>
      <c r="DN52" s="8">
        <v>11364777</v>
      </c>
      <c r="DO52" s="9">
        <f t="shared" ref="DO52:DO69" si="46">DN52</f>
        <v>11364777</v>
      </c>
      <c r="DP52" s="8">
        <v>0</v>
      </c>
      <c r="DQ52" s="8">
        <v>0</v>
      </c>
      <c r="DR52" s="8">
        <v>114234</v>
      </c>
      <c r="DS52" s="8">
        <v>147709</v>
      </c>
      <c r="DT52" s="8">
        <v>159046</v>
      </c>
      <c r="DU52" s="8">
        <v>295667</v>
      </c>
      <c r="DV52" s="8">
        <v>389978</v>
      </c>
      <c r="DW52" s="8">
        <v>1558507</v>
      </c>
      <c r="DX52" s="8">
        <v>1630507</v>
      </c>
      <c r="DY52" s="8">
        <v>1760374</v>
      </c>
      <c r="DZ52" s="8">
        <v>1835548</v>
      </c>
      <c r="EA52" s="8">
        <v>2230114</v>
      </c>
      <c r="EB52" s="9">
        <f t="shared" ref="EB52:EB69" si="47">EA52</f>
        <v>2230114</v>
      </c>
      <c r="EC52" s="8">
        <v>0</v>
      </c>
      <c r="ED52" s="8">
        <v>0</v>
      </c>
      <c r="EE52" s="8">
        <v>32400</v>
      </c>
      <c r="EF52" s="8">
        <v>125776</v>
      </c>
      <c r="EG52" s="8">
        <v>162026</v>
      </c>
      <c r="EH52" s="8">
        <v>240908</v>
      </c>
      <c r="EI52" s="8">
        <v>382321</v>
      </c>
      <c r="EJ52" s="8">
        <v>420077</v>
      </c>
      <c r="EK52" s="8">
        <v>584298</v>
      </c>
      <c r="EL52" s="8">
        <v>593996</v>
      </c>
      <c r="EM52" s="8">
        <v>846439</v>
      </c>
      <c r="EN52" s="8">
        <v>1765056</v>
      </c>
      <c r="EO52" s="9">
        <f t="shared" ref="EO52:EO69" si="48">EN52</f>
        <v>1765056</v>
      </c>
      <c r="EP52" s="8">
        <v>0</v>
      </c>
      <c r="EQ52" s="8">
        <v>61271</v>
      </c>
      <c r="ER52" s="8">
        <v>185603</v>
      </c>
      <c r="ES52" s="8">
        <v>372200</v>
      </c>
      <c r="ET52" s="8">
        <v>416377</v>
      </c>
      <c r="EU52" s="8">
        <v>504460</v>
      </c>
      <c r="EV52" s="8">
        <v>639487</v>
      </c>
      <c r="EW52" s="8">
        <v>752002</v>
      </c>
      <c r="EX52" s="8">
        <v>889001</v>
      </c>
      <c r="EY52" s="8">
        <v>1218727</v>
      </c>
      <c r="EZ52" s="8">
        <v>1379310</v>
      </c>
      <c r="FA52" s="8">
        <v>1735258</v>
      </c>
      <c r="FB52" s="9">
        <f t="shared" ref="FB52:FB69" si="49">FA52</f>
        <v>1735258</v>
      </c>
      <c r="FC52" s="8">
        <v>0</v>
      </c>
      <c r="FD52" s="8">
        <v>0</v>
      </c>
      <c r="FE52" s="8">
        <v>50564</v>
      </c>
      <c r="FF52" s="8">
        <v>218816</v>
      </c>
      <c r="FG52" s="8">
        <v>272078</v>
      </c>
      <c r="FH52" s="8">
        <v>533936</v>
      </c>
      <c r="FI52" s="8">
        <v>570336</v>
      </c>
      <c r="FJ52" s="8"/>
      <c r="FK52" s="8"/>
      <c r="FL52" s="8"/>
      <c r="FM52" s="8"/>
      <c r="FN52" s="8"/>
      <c r="FO52" s="9">
        <f t="shared" ref="FO52:FO69" si="50">FI52</f>
        <v>570336</v>
      </c>
    </row>
    <row r="53" spans="2:171" ht="14.25" customHeight="1" x14ac:dyDescent="0.3">
      <c r="B53" s="7" t="s">
        <v>44</v>
      </c>
      <c r="C53" s="8">
        <v>0</v>
      </c>
      <c r="D53" s="8">
        <v>0</v>
      </c>
      <c r="E53" s="8">
        <v>0</v>
      </c>
      <c r="F53" s="8">
        <v>256695</v>
      </c>
      <c r="G53" s="8">
        <v>1260954</v>
      </c>
      <c r="H53" s="8">
        <v>2618062</v>
      </c>
      <c r="I53" s="8">
        <v>3986048</v>
      </c>
      <c r="J53" s="8">
        <v>4527877</v>
      </c>
      <c r="K53" s="8">
        <v>5436701</v>
      </c>
      <c r="L53" s="8">
        <v>6976481</v>
      </c>
      <c r="M53" s="8">
        <v>8024790</v>
      </c>
      <c r="N53" s="8">
        <v>11568395</v>
      </c>
      <c r="O53" s="9">
        <f t="shared" si="38"/>
        <v>11568395</v>
      </c>
      <c r="P53" s="8">
        <v>0</v>
      </c>
      <c r="Q53" s="8">
        <v>322765</v>
      </c>
      <c r="R53" s="8">
        <v>1378821</v>
      </c>
      <c r="S53" s="8">
        <v>2177878</v>
      </c>
      <c r="T53" s="8">
        <v>3049262</v>
      </c>
      <c r="U53" s="8">
        <v>3932935</v>
      </c>
      <c r="V53" s="8">
        <v>4839319</v>
      </c>
      <c r="W53" s="8">
        <v>5752684</v>
      </c>
      <c r="X53" s="8">
        <v>6731018</v>
      </c>
      <c r="Y53" s="8">
        <v>8443169</v>
      </c>
      <c r="Z53" s="8">
        <v>11177887</v>
      </c>
      <c r="AA53" s="8">
        <v>15633949</v>
      </c>
      <c r="AB53" s="9">
        <f t="shared" si="39"/>
        <v>15633949</v>
      </c>
      <c r="AC53" s="8">
        <v>0</v>
      </c>
      <c r="AD53" s="8">
        <v>0</v>
      </c>
      <c r="AE53" s="8">
        <v>1397625</v>
      </c>
      <c r="AF53" s="8">
        <v>2424727</v>
      </c>
      <c r="AG53" s="8">
        <v>3828005</v>
      </c>
      <c r="AH53" s="8">
        <v>5306869</v>
      </c>
      <c r="AI53" s="8">
        <v>6332630</v>
      </c>
      <c r="AJ53" s="8">
        <v>7366283</v>
      </c>
      <c r="AK53" s="8">
        <v>8793796</v>
      </c>
      <c r="AL53" s="8">
        <v>9939273</v>
      </c>
      <c r="AM53" s="8">
        <v>11474269</v>
      </c>
      <c r="AN53" s="8">
        <v>16092199</v>
      </c>
      <c r="AO53" s="9">
        <f t="shared" si="40"/>
        <v>16092199</v>
      </c>
      <c r="AP53" s="8">
        <v>0</v>
      </c>
      <c r="AQ53" s="8">
        <v>0</v>
      </c>
      <c r="AR53" s="8">
        <v>1927192</v>
      </c>
      <c r="AS53" s="8">
        <v>3237441</v>
      </c>
      <c r="AT53" s="8">
        <v>4580771</v>
      </c>
      <c r="AU53" s="8">
        <v>5522467</v>
      </c>
      <c r="AV53" s="8">
        <v>6487674</v>
      </c>
      <c r="AW53" s="8">
        <v>7820014</v>
      </c>
      <c r="AX53" s="8">
        <v>9206115</v>
      </c>
      <c r="AY53" s="8">
        <v>10229331</v>
      </c>
      <c r="AZ53" s="8">
        <v>11747968</v>
      </c>
      <c r="BA53" s="8">
        <v>19044894</v>
      </c>
      <c r="BB53" s="9">
        <f t="shared" si="41"/>
        <v>19044894</v>
      </c>
      <c r="BC53" s="8">
        <v>0</v>
      </c>
      <c r="BD53" s="8">
        <v>0</v>
      </c>
      <c r="BE53" s="8">
        <v>2198748</v>
      </c>
      <c r="BF53" s="8">
        <v>3728696</v>
      </c>
      <c r="BG53" s="8">
        <v>4969587</v>
      </c>
      <c r="BH53" s="8">
        <v>6569077</v>
      </c>
      <c r="BI53" s="8">
        <v>8047191</v>
      </c>
      <c r="BJ53" s="8">
        <v>9328596</v>
      </c>
      <c r="BK53" s="8">
        <v>11149426</v>
      </c>
      <c r="BL53" s="8">
        <v>12608747</v>
      </c>
      <c r="BM53" s="8">
        <v>14925555</v>
      </c>
      <c r="BN53" s="8">
        <v>20507070</v>
      </c>
      <c r="BO53" s="9">
        <f t="shared" si="42"/>
        <v>20507070</v>
      </c>
      <c r="BP53" s="8">
        <v>0</v>
      </c>
      <c r="BQ53" s="8">
        <v>0</v>
      </c>
      <c r="BR53" s="8">
        <v>2831657</v>
      </c>
      <c r="BS53" s="8">
        <v>4478583</v>
      </c>
      <c r="BT53" s="8">
        <v>6002880</v>
      </c>
      <c r="BU53" s="8">
        <v>7735245</v>
      </c>
      <c r="BV53" s="8">
        <v>9298872</v>
      </c>
      <c r="BW53" s="8">
        <v>11042847</v>
      </c>
      <c r="BX53" s="8">
        <v>12872551</v>
      </c>
      <c r="BY53" s="8">
        <v>14394250</v>
      </c>
      <c r="BZ53" s="8">
        <v>17896272</v>
      </c>
      <c r="CA53" s="8">
        <v>22884058</v>
      </c>
      <c r="CB53" s="9">
        <f t="shared" si="43"/>
        <v>22884058</v>
      </c>
      <c r="CC53" s="8">
        <v>0</v>
      </c>
      <c r="CD53" s="8">
        <v>0</v>
      </c>
      <c r="CE53" s="8">
        <v>588343</v>
      </c>
      <c r="CF53" s="8">
        <v>3131622</v>
      </c>
      <c r="CG53" s="8">
        <v>4375457</v>
      </c>
      <c r="CH53" s="8">
        <v>6605418</v>
      </c>
      <c r="CI53" s="8">
        <v>7545633</v>
      </c>
      <c r="CJ53" s="8">
        <v>9498861</v>
      </c>
      <c r="CK53" s="8">
        <v>10920638</v>
      </c>
      <c r="CL53" s="8">
        <v>13645794</v>
      </c>
      <c r="CM53" s="8">
        <v>17990560</v>
      </c>
      <c r="CN53" s="8">
        <v>23419360</v>
      </c>
      <c r="CO53" s="9">
        <f t="shared" si="44"/>
        <v>23419360</v>
      </c>
      <c r="CP53" s="8">
        <v>0</v>
      </c>
      <c r="CQ53" s="8">
        <v>1171112</v>
      </c>
      <c r="CR53" s="8">
        <v>3667892</v>
      </c>
      <c r="CS53" s="8">
        <v>5314023</v>
      </c>
      <c r="CT53" s="8">
        <v>8604717</v>
      </c>
      <c r="CU53" s="8">
        <v>11006803</v>
      </c>
      <c r="CV53" s="8">
        <v>13224909</v>
      </c>
      <c r="CW53" s="8">
        <v>15113085</v>
      </c>
      <c r="CX53" s="8">
        <v>17014277</v>
      </c>
      <c r="CY53" s="8">
        <v>19236566</v>
      </c>
      <c r="CZ53" s="8">
        <v>22205739</v>
      </c>
      <c r="DA53" s="8">
        <v>30104947</v>
      </c>
      <c r="DB53" s="9">
        <f t="shared" si="45"/>
        <v>30104947</v>
      </c>
      <c r="DC53" s="8">
        <v>0</v>
      </c>
      <c r="DD53" s="8">
        <v>0</v>
      </c>
      <c r="DE53" s="8">
        <v>2366484</v>
      </c>
      <c r="DF53" s="8">
        <v>5158610</v>
      </c>
      <c r="DG53" s="8">
        <v>7079239</v>
      </c>
      <c r="DH53" s="8">
        <v>8514428</v>
      </c>
      <c r="DI53" s="8">
        <v>9937938</v>
      </c>
      <c r="DJ53" s="8">
        <v>11990153</v>
      </c>
      <c r="DK53" s="8">
        <v>13116671</v>
      </c>
      <c r="DL53" s="8">
        <v>15670225</v>
      </c>
      <c r="DM53" s="8">
        <v>17891169</v>
      </c>
      <c r="DN53" s="8">
        <v>23304021</v>
      </c>
      <c r="DO53" s="9">
        <f t="shared" si="46"/>
        <v>23304021</v>
      </c>
      <c r="DP53" s="8">
        <v>0</v>
      </c>
      <c r="DQ53" s="8">
        <v>0</v>
      </c>
      <c r="DR53" s="8">
        <v>1192161</v>
      </c>
      <c r="DS53" s="8">
        <v>4184056</v>
      </c>
      <c r="DT53" s="8">
        <v>6014243</v>
      </c>
      <c r="DU53" s="8">
        <v>7137880</v>
      </c>
      <c r="DV53" s="8">
        <v>8238265</v>
      </c>
      <c r="DW53" s="8">
        <v>10234742</v>
      </c>
      <c r="DX53" s="8">
        <v>11434458</v>
      </c>
      <c r="DY53" s="8">
        <v>13391619</v>
      </c>
      <c r="DZ53" s="8">
        <v>15333330</v>
      </c>
      <c r="EA53" s="8">
        <v>22175040</v>
      </c>
      <c r="EB53" s="9">
        <f t="shared" si="47"/>
        <v>22175040</v>
      </c>
      <c r="EC53" s="8">
        <v>0</v>
      </c>
      <c r="ED53" s="8">
        <v>0</v>
      </c>
      <c r="EE53" s="8">
        <v>1896344</v>
      </c>
      <c r="EF53" s="8">
        <v>5284077</v>
      </c>
      <c r="EG53" s="8">
        <v>6718012</v>
      </c>
      <c r="EH53" s="8">
        <v>8302842</v>
      </c>
      <c r="EI53" s="8">
        <v>10078805</v>
      </c>
      <c r="EJ53" s="8">
        <v>11841574</v>
      </c>
      <c r="EK53" s="8">
        <v>13163862</v>
      </c>
      <c r="EL53" s="8">
        <v>14887407</v>
      </c>
      <c r="EM53" s="8">
        <v>17657413</v>
      </c>
      <c r="EN53" s="8">
        <v>27847917</v>
      </c>
      <c r="EO53" s="9">
        <f t="shared" si="48"/>
        <v>27847917</v>
      </c>
      <c r="EP53" s="8">
        <v>0</v>
      </c>
      <c r="EQ53" s="8">
        <v>635911</v>
      </c>
      <c r="ER53" s="8">
        <v>3406026</v>
      </c>
      <c r="ES53" s="8">
        <v>5878280</v>
      </c>
      <c r="ET53" s="8">
        <v>8481842</v>
      </c>
      <c r="EU53" s="8">
        <v>10476165</v>
      </c>
      <c r="EV53" s="8">
        <v>14140348</v>
      </c>
      <c r="EW53" s="8">
        <v>17057587</v>
      </c>
      <c r="EX53" s="8">
        <v>18562941</v>
      </c>
      <c r="EY53" s="8">
        <v>23005910</v>
      </c>
      <c r="EZ53" s="8">
        <v>25814003</v>
      </c>
      <c r="FA53" s="8">
        <v>30105231</v>
      </c>
      <c r="FB53" s="9">
        <f t="shared" si="49"/>
        <v>30105231</v>
      </c>
      <c r="FC53" s="8">
        <v>0</v>
      </c>
      <c r="FD53" s="8">
        <v>583993</v>
      </c>
      <c r="FE53" s="8">
        <v>2544487</v>
      </c>
      <c r="FF53" s="8">
        <v>5629990</v>
      </c>
      <c r="FG53" s="8">
        <v>7573202</v>
      </c>
      <c r="FH53" s="8">
        <v>9508871</v>
      </c>
      <c r="FI53" s="8">
        <v>13263584</v>
      </c>
      <c r="FJ53" s="8"/>
      <c r="FK53" s="8"/>
      <c r="FL53" s="8"/>
      <c r="FM53" s="8"/>
      <c r="FN53" s="8"/>
      <c r="FO53" s="9">
        <f t="shared" si="50"/>
        <v>13263584</v>
      </c>
    </row>
    <row r="54" spans="2:171" ht="14.25" customHeight="1" x14ac:dyDescent="0.3">
      <c r="B54" s="7" t="s">
        <v>45</v>
      </c>
      <c r="C54" s="8">
        <v>0</v>
      </c>
      <c r="D54" s="8">
        <v>0</v>
      </c>
      <c r="E54" s="8">
        <v>0</v>
      </c>
      <c r="F54" s="8">
        <v>2054367</v>
      </c>
      <c r="G54" s="8">
        <v>2583263</v>
      </c>
      <c r="H54" s="8">
        <v>3408811</v>
      </c>
      <c r="I54" s="8">
        <v>3904983</v>
      </c>
      <c r="J54" s="8">
        <v>4303686</v>
      </c>
      <c r="K54" s="8">
        <v>4555363</v>
      </c>
      <c r="L54" s="8">
        <v>4745995</v>
      </c>
      <c r="M54" s="8">
        <v>5001952</v>
      </c>
      <c r="N54" s="8">
        <v>5690901</v>
      </c>
      <c r="O54" s="9">
        <f t="shared" si="38"/>
        <v>5690901</v>
      </c>
      <c r="P54" s="8">
        <v>0</v>
      </c>
      <c r="Q54" s="8">
        <v>164128</v>
      </c>
      <c r="R54" s="8">
        <v>925595</v>
      </c>
      <c r="S54" s="8">
        <v>1634433</v>
      </c>
      <c r="T54" s="8">
        <v>1979997</v>
      </c>
      <c r="U54" s="8">
        <v>2604169</v>
      </c>
      <c r="V54" s="8">
        <v>3542420</v>
      </c>
      <c r="W54" s="8">
        <v>3737700</v>
      </c>
      <c r="X54" s="8">
        <v>4302578</v>
      </c>
      <c r="Y54" s="8">
        <v>5028608</v>
      </c>
      <c r="Z54" s="8">
        <v>5405738</v>
      </c>
      <c r="AA54" s="8">
        <v>7710266</v>
      </c>
      <c r="AB54" s="9">
        <f t="shared" si="39"/>
        <v>7710266</v>
      </c>
      <c r="AC54" s="8">
        <v>0</v>
      </c>
      <c r="AD54" s="8">
        <v>12041</v>
      </c>
      <c r="AE54" s="8">
        <v>879163</v>
      </c>
      <c r="AF54" s="8">
        <v>1352498</v>
      </c>
      <c r="AG54" s="8">
        <v>1759936</v>
      </c>
      <c r="AH54" s="8">
        <v>2662466</v>
      </c>
      <c r="AI54" s="8">
        <v>3279563</v>
      </c>
      <c r="AJ54" s="8">
        <v>3863945</v>
      </c>
      <c r="AK54" s="8">
        <v>4905144</v>
      </c>
      <c r="AL54" s="8">
        <v>5653125</v>
      </c>
      <c r="AM54" s="8">
        <v>6903824</v>
      </c>
      <c r="AN54" s="8">
        <v>9324466</v>
      </c>
      <c r="AO54" s="9">
        <f t="shared" si="40"/>
        <v>9324466</v>
      </c>
      <c r="AP54" s="8">
        <v>13993</v>
      </c>
      <c r="AQ54" s="8">
        <v>1002548</v>
      </c>
      <c r="AR54" s="8">
        <v>2166432</v>
      </c>
      <c r="AS54" s="8">
        <v>3083123</v>
      </c>
      <c r="AT54" s="8">
        <v>3734900</v>
      </c>
      <c r="AU54" s="8">
        <v>4470668</v>
      </c>
      <c r="AV54" s="8">
        <v>4912013</v>
      </c>
      <c r="AW54" s="8">
        <v>5367062</v>
      </c>
      <c r="AX54" s="8">
        <v>6170211</v>
      </c>
      <c r="AY54" s="8">
        <v>6590801</v>
      </c>
      <c r="AZ54" s="8">
        <v>7243620</v>
      </c>
      <c r="BA54" s="8">
        <v>9183124</v>
      </c>
      <c r="BB54" s="9">
        <f t="shared" si="41"/>
        <v>9183124</v>
      </c>
      <c r="BC54" s="8">
        <v>0</v>
      </c>
      <c r="BD54" s="8">
        <v>36023</v>
      </c>
      <c r="BE54" s="8">
        <v>783789</v>
      </c>
      <c r="BF54" s="8">
        <v>1280499</v>
      </c>
      <c r="BG54" s="8">
        <v>1473075</v>
      </c>
      <c r="BH54" s="8">
        <v>1994179</v>
      </c>
      <c r="BI54" s="8">
        <v>2457008</v>
      </c>
      <c r="BJ54" s="8">
        <v>3092368</v>
      </c>
      <c r="BK54" s="8">
        <v>3227844</v>
      </c>
      <c r="BL54" s="8">
        <v>3635695</v>
      </c>
      <c r="BM54" s="8">
        <v>4382661</v>
      </c>
      <c r="BN54" s="8">
        <v>5515395</v>
      </c>
      <c r="BO54" s="9">
        <f t="shared" si="42"/>
        <v>5515395</v>
      </c>
      <c r="BP54" s="8">
        <v>0</v>
      </c>
      <c r="BQ54" s="8">
        <v>0</v>
      </c>
      <c r="BR54" s="8">
        <v>537679</v>
      </c>
      <c r="BS54" s="8">
        <v>856319</v>
      </c>
      <c r="BT54" s="8">
        <v>1230631</v>
      </c>
      <c r="BU54" s="8">
        <v>1430735</v>
      </c>
      <c r="BV54" s="8">
        <v>1557881</v>
      </c>
      <c r="BW54" s="8">
        <v>1557881</v>
      </c>
      <c r="BX54" s="8">
        <v>1800915</v>
      </c>
      <c r="BY54" s="8">
        <v>2325177</v>
      </c>
      <c r="BZ54" s="8">
        <v>2510532</v>
      </c>
      <c r="CA54" s="8">
        <v>3424320</v>
      </c>
      <c r="CB54" s="9">
        <f t="shared" si="43"/>
        <v>3424320</v>
      </c>
      <c r="CC54" s="8">
        <v>0</v>
      </c>
      <c r="CD54" s="8">
        <v>0</v>
      </c>
      <c r="CE54" s="8">
        <v>503306</v>
      </c>
      <c r="CF54" s="8">
        <v>1123937</v>
      </c>
      <c r="CG54" s="8">
        <v>1223891</v>
      </c>
      <c r="CH54" s="8">
        <v>1247901</v>
      </c>
      <c r="CI54" s="8">
        <v>1533469</v>
      </c>
      <c r="CJ54" s="8">
        <v>1716612</v>
      </c>
      <c r="CK54" s="8">
        <v>2535782</v>
      </c>
      <c r="CL54" s="8">
        <v>3034585</v>
      </c>
      <c r="CM54" s="8">
        <v>4621279</v>
      </c>
      <c r="CN54" s="8">
        <v>5604121</v>
      </c>
      <c r="CO54" s="9">
        <f t="shared" si="44"/>
        <v>5604121</v>
      </c>
      <c r="CP54" s="8">
        <v>0</v>
      </c>
      <c r="CQ54" s="8">
        <v>648709</v>
      </c>
      <c r="CR54" s="8">
        <v>1904633</v>
      </c>
      <c r="CS54" s="8">
        <v>2846329</v>
      </c>
      <c r="CT54" s="8">
        <v>3270884</v>
      </c>
      <c r="CU54" s="8">
        <v>4160146</v>
      </c>
      <c r="CV54" s="8">
        <v>4815337</v>
      </c>
      <c r="CW54" s="8">
        <v>5273290</v>
      </c>
      <c r="CX54" s="8">
        <v>5549560</v>
      </c>
      <c r="CY54" s="8">
        <v>6236240</v>
      </c>
      <c r="CZ54" s="8">
        <v>6513380</v>
      </c>
      <c r="DA54" s="8">
        <v>7993792</v>
      </c>
      <c r="DB54" s="9">
        <f t="shared" si="45"/>
        <v>7993792</v>
      </c>
      <c r="DC54" s="8">
        <v>0</v>
      </c>
      <c r="DD54" s="8">
        <v>632251</v>
      </c>
      <c r="DE54" s="8">
        <v>1548551</v>
      </c>
      <c r="DF54" s="8">
        <v>2026879</v>
      </c>
      <c r="DG54" s="8">
        <v>2399749</v>
      </c>
      <c r="DH54" s="8">
        <v>2698831</v>
      </c>
      <c r="DI54" s="8">
        <v>3287207</v>
      </c>
      <c r="DJ54" s="8">
        <v>3824985</v>
      </c>
      <c r="DK54" s="8">
        <v>4204982</v>
      </c>
      <c r="DL54" s="8">
        <v>4737024</v>
      </c>
      <c r="DM54" s="8">
        <v>5184329</v>
      </c>
      <c r="DN54" s="8">
        <v>6402442</v>
      </c>
      <c r="DO54" s="9">
        <f t="shared" si="46"/>
        <v>6402442</v>
      </c>
      <c r="DP54" s="8">
        <v>0</v>
      </c>
      <c r="DQ54" s="8">
        <v>88825</v>
      </c>
      <c r="DR54" s="8">
        <v>1327201</v>
      </c>
      <c r="DS54" s="8">
        <v>1567274</v>
      </c>
      <c r="DT54" s="8">
        <v>1930397</v>
      </c>
      <c r="DU54" s="8">
        <v>2366313</v>
      </c>
      <c r="DV54" s="8">
        <v>2511593</v>
      </c>
      <c r="DW54" s="8">
        <v>2832413</v>
      </c>
      <c r="DX54" s="8">
        <v>3220149</v>
      </c>
      <c r="DY54" s="8">
        <v>3379453</v>
      </c>
      <c r="DZ54" s="8">
        <v>4297388</v>
      </c>
      <c r="EA54" s="8">
        <v>5234499</v>
      </c>
      <c r="EB54" s="9">
        <f t="shared" si="47"/>
        <v>5234499</v>
      </c>
      <c r="EC54" s="8">
        <v>0</v>
      </c>
      <c r="ED54" s="8">
        <v>79682</v>
      </c>
      <c r="EE54" s="8">
        <v>767871</v>
      </c>
      <c r="EF54" s="8">
        <v>942590</v>
      </c>
      <c r="EG54" s="8">
        <v>1175782</v>
      </c>
      <c r="EH54" s="8">
        <v>1342359</v>
      </c>
      <c r="EI54" s="8">
        <v>1467982</v>
      </c>
      <c r="EJ54" s="8">
        <v>1523593</v>
      </c>
      <c r="EK54" s="8">
        <v>1893335</v>
      </c>
      <c r="EL54" s="8">
        <v>2491130</v>
      </c>
      <c r="EM54" s="8">
        <v>3050438</v>
      </c>
      <c r="EN54" s="8">
        <v>4379123</v>
      </c>
      <c r="EO54" s="9">
        <f t="shared" si="48"/>
        <v>4379123</v>
      </c>
      <c r="EP54" s="8">
        <v>0</v>
      </c>
      <c r="EQ54" s="8">
        <v>1989837</v>
      </c>
      <c r="ER54" s="8">
        <v>3034140</v>
      </c>
      <c r="ES54" s="8">
        <v>5235453</v>
      </c>
      <c r="ET54" s="8">
        <v>5730916</v>
      </c>
      <c r="EU54" s="8">
        <v>6001353</v>
      </c>
      <c r="EV54" s="8">
        <v>6911060</v>
      </c>
      <c r="EW54" s="8">
        <v>7598644</v>
      </c>
      <c r="EX54" s="8">
        <v>7724711</v>
      </c>
      <c r="EY54" s="8">
        <v>8136264</v>
      </c>
      <c r="EZ54" s="8">
        <v>8334765</v>
      </c>
      <c r="FA54" s="8">
        <v>9523479</v>
      </c>
      <c r="FB54" s="9">
        <f t="shared" si="49"/>
        <v>9523479</v>
      </c>
      <c r="FC54" s="8">
        <v>0</v>
      </c>
      <c r="FD54" s="8">
        <v>6644</v>
      </c>
      <c r="FE54" s="8">
        <v>965714</v>
      </c>
      <c r="FF54" s="8">
        <v>1538483</v>
      </c>
      <c r="FG54" s="8">
        <v>1829965</v>
      </c>
      <c r="FH54" s="8">
        <v>1854335</v>
      </c>
      <c r="FI54" s="8">
        <v>1907383</v>
      </c>
      <c r="FJ54" s="8"/>
      <c r="FK54" s="8"/>
      <c r="FL54" s="8"/>
      <c r="FM54" s="8"/>
      <c r="FN54" s="8"/>
      <c r="FO54" s="9">
        <f t="shared" si="50"/>
        <v>1907383</v>
      </c>
    </row>
    <row r="55" spans="2:171" ht="14.25" customHeight="1" x14ac:dyDescent="0.3">
      <c r="B55" s="7" t="s">
        <v>46</v>
      </c>
      <c r="C55" s="8">
        <v>0</v>
      </c>
      <c r="D55" s="8">
        <v>230079</v>
      </c>
      <c r="E55" s="8">
        <v>554197</v>
      </c>
      <c r="F55" s="8">
        <v>659268</v>
      </c>
      <c r="G55" s="8">
        <v>858794</v>
      </c>
      <c r="H55" s="8">
        <v>1131237</v>
      </c>
      <c r="I55" s="8">
        <v>1614132</v>
      </c>
      <c r="J55" s="8">
        <v>2469901</v>
      </c>
      <c r="K55" s="8">
        <v>4932352</v>
      </c>
      <c r="L55" s="8">
        <v>6316133</v>
      </c>
      <c r="M55" s="8">
        <v>7642879</v>
      </c>
      <c r="N55" s="8">
        <v>10117639</v>
      </c>
      <c r="O55" s="9">
        <f t="shared" si="38"/>
        <v>10117639</v>
      </c>
      <c r="P55" s="8">
        <v>504240</v>
      </c>
      <c r="Q55" s="8">
        <v>1393208</v>
      </c>
      <c r="R55" s="8">
        <v>2266857</v>
      </c>
      <c r="S55" s="8">
        <v>3629294</v>
      </c>
      <c r="T55" s="8">
        <v>5189123</v>
      </c>
      <c r="U55" s="8">
        <v>6863268</v>
      </c>
      <c r="V55" s="8">
        <v>9017474</v>
      </c>
      <c r="W55" s="8">
        <v>9971246</v>
      </c>
      <c r="X55" s="8">
        <v>11690181</v>
      </c>
      <c r="Y55" s="8">
        <v>14244279</v>
      </c>
      <c r="Z55" s="8">
        <v>16239113</v>
      </c>
      <c r="AA55" s="8">
        <v>21373548</v>
      </c>
      <c r="AB55" s="9">
        <f t="shared" si="39"/>
        <v>21373548</v>
      </c>
      <c r="AC55" s="8">
        <v>0</v>
      </c>
      <c r="AD55" s="8">
        <v>1214686</v>
      </c>
      <c r="AE55" s="8">
        <v>3132055</v>
      </c>
      <c r="AF55" s="8">
        <v>4537751</v>
      </c>
      <c r="AG55" s="8">
        <v>5521781</v>
      </c>
      <c r="AH55" s="8">
        <v>7009216</v>
      </c>
      <c r="AI55" s="8">
        <v>7475480</v>
      </c>
      <c r="AJ55" s="8">
        <v>8355475</v>
      </c>
      <c r="AK55" s="8">
        <v>10318775</v>
      </c>
      <c r="AL55" s="8">
        <v>11678934</v>
      </c>
      <c r="AM55" s="8">
        <v>14084565</v>
      </c>
      <c r="AN55" s="8">
        <v>20648322</v>
      </c>
      <c r="AO55" s="9">
        <f t="shared" si="40"/>
        <v>20648322</v>
      </c>
      <c r="AP55" s="8">
        <v>0</v>
      </c>
      <c r="AQ55" s="8">
        <v>212229</v>
      </c>
      <c r="AR55" s="8">
        <v>886139</v>
      </c>
      <c r="AS55" s="8">
        <v>901022</v>
      </c>
      <c r="AT55" s="8">
        <v>1805085</v>
      </c>
      <c r="AU55" s="8">
        <v>2789351</v>
      </c>
      <c r="AV55" s="8">
        <v>4237344</v>
      </c>
      <c r="AW55" s="8">
        <v>5217585</v>
      </c>
      <c r="AX55" s="8">
        <v>5993135</v>
      </c>
      <c r="AY55" s="8">
        <v>6819502</v>
      </c>
      <c r="AZ55" s="8">
        <v>8730596</v>
      </c>
      <c r="BA55" s="8">
        <v>12987217</v>
      </c>
      <c r="BB55" s="9">
        <f t="shared" si="41"/>
        <v>12987217</v>
      </c>
      <c r="BC55" s="8">
        <v>0</v>
      </c>
      <c r="BD55" s="8">
        <v>1055597</v>
      </c>
      <c r="BE55" s="8">
        <v>1984909</v>
      </c>
      <c r="BF55" s="8">
        <v>2799441</v>
      </c>
      <c r="BG55" s="8">
        <v>3625196</v>
      </c>
      <c r="BH55" s="8">
        <v>4438144</v>
      </c>
      <c r="BI55" s="8">
        <v>5122966</v>
      </c>
      <c r="BJ55" s="8">
        <v>5871374</v>
      </c>
      <c r="BK55" s="8">
        <v>6510876</v>
      </c>
      <c r="BL55" s="8">
        <v>7193808</v>
      </c>
      <c r="BM55" s="8">
        <v>7822921</v>
      </c>
      <c r="BN55" s="8">
        <v>10324534</v>
      </c>
      <c r="BO55" s="9">
        <f t="shared" si="42"/>
        <v>10324534</v>
      </c>
      <c r="BP55" s="8">
        <v>0</v>
      </c>
      <c r="BQ55" s="8">
        <v>570428</v>
      </c>
      <c r="BR55" s="8">
        <v>1810034</v>
      </c>
      <c r="BS55" s="8">
        <v>2951374</v>
      </c>
      <c r="BT55" s="8">
        <v>3644448</v>
      </c>
      <c r="BU55" s="8">
        <v>4756337</v>
      </c>
      <c r="BV55" s="8">
        <v>5958119</v>
      </c>
      <c r="BW55" s="8">
        <v>6576824</v>
      </c>
      <c r="BX55" s="8">
        <v>7292191</v>
      </c>
      <c r="BY55" s="8">
        <v>8231643</v>
      </c>
      <c r="BZ55" s="8">
        <v>9805091</v>
      </c>
      <c r="CA55" s="8">
        <v>12289148</v>
      </c>
      <c r="CB55" s="9">
        <f t="shared" si="43"/>
        <v>12289148</v>
      </c>
      <c r="CC55" s="8">
        <v>0</v>
      </c>
      <c r="CD55" s="8">
        <v>493216</v>
      </c>
      <c r="CE55" s="8">
        <v>1268021</v>
      </c>
      <c r="CF55" s="8">
        <v>2129749</v>
      </c>
      <c r="CG55" s="8">
        <v>2925614</v>
      </c>
      <c r="CH55" s="8">
        <v>4168246</v>
      </c>
      <c r="CI55" s="8">
        <v>4292186</v>
      </c>
      <c r="CJ55" s="8">
        <v>5136977</v>
      </c>
      <c r="CK55" s="8">
        <v>5171525</v>
      </c>
      <c r="CL55" s="8">
        <v>5641871</v>
      </c>
      <c r="CM55" s="8">
        <v>6171023</v>
      </c>
      <c r="CN55" s="8">
        <v>9331650</v>
      </c>
      <c r="CO55" s="9">
        <f t="shared" si="44"/>
        <v>9331650</v>
      </c>
      <c r="CP55" s="8">
        <v>0</v>
      </c>
      <c r="CQ55" s="8">
        <v>0</v>
      </c>
      <c r="CR55" s="8">
        <v>497211</v>
      </c>
      <c r="CS55" s="8">
        <v>740154</v>
      </c>
      <c r="CT55" s="8">
        <v>1022513</v>
      </c>
      <c r="CU55" s="8">
        <v>1350754</v>
      </c>
      <c r="CV55" s="8">
        <v>1501503</v>
      </c>
      <c r="CW55" s="8">
        <v>2076982</v>
      </c>
      <c r="CX55" s="8">
        <v>2565253</v>
      </c>
      <c r="CY55" s="8">
        <v>3107965</v>
      </c>
      <c r="CZ55" s="8">
        <v>3314790</v>
      </c>
      <c r="DA55" s="8">
        <v>4616710</v>
      </c>
      <c r="DB55" s="9">
        <f t="shared" si="45"/>
        <v>4616710</v>
      </c>
      <c r="DC55" s="8">
        <v>0</v>
      </c>
      <c r="DD55" s="8">
        <v>126651</v>
      </c>
      <c r="DE55" s="8">
        <v>635432</v>
      </c>
      <c r="DF55" s="8">
        <v>988815</v>
      </c>
      <c r="DG55" s="8">
        <v>1291329</v>
      </c>
      <c r="DH55" s="8">
        <v>1736798</v>
      </c>
      <c r="DI55" s="8">
        <v>2011354</v>
      </c>
      <c r="DJ55" s="8">
        <v>2365717</v>
      </c>
      <c r="DK55" s="8">
        <v>2608012</v>
      </c>
      <c r="DL55" s="8">
        <v>3139535</v>
      </c>
      <c r="DM55" s="8">
        <v>3632940</v>
      </c>
      <c r="DN55" s="8">
        <v>4718148</v>
      </c>
      <c r="DO55" s="9">
        <f t="shared" si="46"/>
        <v>4718148</v>
      </c>
      <c r="DP55" s="8">
        <v>0</v>
      </c>
      <c r="DQ55" s="8">
        <v>496962</v>
      </c>
      <c r="DR55" s="8">
        <v>1030597</v>
      </c>
      <c r="DS55" s="8">
        <v>1804022</v>
      </c>
      <c r="DT55" s="8">
        <v>2547494</v>
      </c>
      <c r="DU55" s="8">
        <v>3426246</v>
      </c>
      <c r="DV55" s="8">
        <v>3822719</v>
      </c>
      <c r="DW55" s="8">
        <v>3998759</v>
      </c>
      <c r="DX55" s="8">
        <v>4365688</v>
      </c>
      <c r="DY55" s="8">
        <v>4761521</v>
      </c>
      <c r="DZ55" s="8">
        <v>5296665</v>
      </c>
      <c r="EA55" s="8">
        <v>6454032</v>
      </c>
      <c r="EB55" s="9">
        <f t="shared" si="47"/>
        <v>6454032</v>
      </c>
      <c r="EC55" s="8">
        <v>0</v>
      </c>
      <c r="ED55" s="8">
        <v>278257</v>
      </c>
      <c r="EE55" s="8">
        <v>1460212</v>
      </c>
      <c r="EF55" s="8">
        <v>2026544</v>
      </c>
      <c r="EG55" s="8">
        <v>3382381</v>
      </c>
      <c r="EH55" s="8">
        <v>4039571</v>
      </c>
      <c r="EI55" s="8">
        <v>4959096</v>
      </c>
      <c r="EJ55" s="8">
        <v>5548527</v>
      </c>
      <c r="EK55" s="8">
        <v>5996201</v>
      </c>
      <c r="EL55" s="8">
        <v>6527522</v>
      </c>
      <c r="EM55" s="8">
        <v>6840220</v>
      </c>
      <c r="EN55" s="8">
        <v>8453266</v>
      </c>
      <c r="EO55" s="9">
        <f t="shared" si="48"/>
        <v>8453266</v>
      </c>
      <c r="EP55" s="8">
        <v>0</v>
      </c>
      <c r="EQ55" s="8">
        <v>0</v>
      </c>
      <c r="ER55" s="8">
        <v>832107</v>
      </c>
      <c r="ES55" s="8">
        <v>2407636</v>
      </c>
      <c r="ET55" s="8">
        <v>3152766</v>
      </c>
      <c r="EU55" s="8">
        <v>4520387</v>
      </c>
      <c r="EV55" s="8">
        <v>5101149</v>
      </c>
      <c r="EW55" s="8">
        <v>5717562</v>
      </c>
      <c r="EX55" s="8">
        <v>6966959</v>
      </c>
      <c r="EY55" s="8">
        <v>7736069</v>
      </c>
      <c r="EZ55" s="8">
        <v>8038749</v>
      </c>
      <c r="FA55" s="8">
        <v>9624301</v>
      </c>
      <c r="FB55" s="9">
        <f t="shared" si="49"/>
        <v>9624301</v>
      </c>
      <c r="FC55" s="8">
        <v>0</v>
      </c>
      <c r="FD55" s="8">
        <v>541326</v>
      </c>
      <c r="FE55" s="8">
        <v>1114843</v>
      </c>
      <c r="FF55" s="8">
        <v>1568397</v>
      </c>
      <c r="FG55" s="8">
        <v>1765260</v>
      </c>
      <c r="FH55" s="8">
        <v>2038550</v>
      </c>
      <c r="FI55" s="8">
        <v>2625513</v>
      </c>
      <c r="FJ55" s="8"/>
      <c r="FK55" s="8"/>
      <c r="FL55" s="8"/>
      <c r="FM55" s="8"/>
      <c r="FN55" s="8"/>
      <c r="FO55" s="9">
        <f t="shared" si="50"/>
        <v>2625513</v>
      </c>
    </row>
    <row r="56" spans="2:171" ht="14.25" customHeight="1" x14ac:dyDescent="0.3">
      <c r="B56" s="7" t="s">
        <v>47</v>
      </c>
      <c r="C56" s="8">
        <v>0</v>
      </c>
      <c r="D56" s="8">
        <v>0</v>
      </c>
      <c r="E56" s="8">
        <v>782168</v>
      </c>
      <c r="F56" s="8">
        <v>1347474</v>
      </c>
      <c r="G56" s="8">
        <v>2057929</v>
      </c>
      <c r="H56" s="8">
        <v>2558180</v>
      </c>
      <c r="I56" s="8">
        <v>3023152</v>
      </c>
      <c r="J56" s="8">
        <v>3298170</v>
      </c>
      <c r="K56" s="8">
        <v>3661291</v>
      </c>
      <c r="L56" s="8">
        <v>4271463</v>
      </c>
      <c r="M56" s="8">
        <v>4852376</v>
      </c>
      <c r="N56" s="8">
        <v>6434888</v>
      </c>
      <c r="O56" s="9">
        <f t="shared" si="38"/>
        <v>6434888</v>
      </c>
      <c r="P56" s="8">
        <v>4092</v>
      </c>
      <c r="Q56" s="8">
        <v>231030</v>
      </c>
      <c r="R56" s="8">
        <v>292954</v>
      </c>
      <c r="S56" s="8">
        <v>438063</v>
      </c>
      <c r="T56" s="8">
        <v>1150097</v>
      </c>
      <c r="U56" s="8">
        <v>2838907</v>
      </c>
      <c r="V56" s="8">
        <v>5269359</v>
      </c>
      <c r="W56" s="8">
        <v>6833676</v>
      </c>
      <c r="X56" s="8">
        <v>9619988</v>
      </c>
      <c r="Y56" s="8">
        <v>10577705</v>
      </c>
      <c r="Z56" s="8">
        <v>11526517</v>
      </c>
      <c r="AA56" s="8">
        <v>15277375</v>
      </c>
      <c r="AB56" s="9">
        <f t="shared" si="39"/>
        <v>15277375</v>
      </c>
      <c r="AC56" s="8">
        <v>0</v>
      </c>
      <c r="AD56" s="8">
        <v>93224</v>
      </c>
      <c r="AE56" s="8">
        <v>3184391</v>
      </c>
      <c r="AF56" s="8">
        <v>5955836</v>
      </c>
      <c r="AG56" s="8">
        <v>7106655</v>
      </c>
      <c r="AH56" s="8">
        <v>8239649</v>
      </c>
      <c r="AI56" s="8">
        <v>10101551</v>
      </c>
      <c r="AJ56" s="8">
        <v>11484697</v>
      </c>
      <c r="AK56" s="8">
        <v>13222733</v>
      </c>
      <c r="AL56" s="8">
        <v>14644815</v>
      </c>
      <c r="AM56" s="8">
        <v>18321371</v>
      </c>
      <c r="AN56" s="8">
        <v>23727109</v>
      </c>
      <c r="AO56" s="9">
        <f t="shared" si="40"/>
        <v>23727109</v>
      </c>
      <c r="AP56" s="8">
        <v>0</v>
      </c>
      <c r="AQ56" s="8">
        <v>431136</v>
      </c>
      <c r="AR56" s="8">
        <v>1409446</v>
      </c>
      <c r="AS56" s="8">
        <v>2578331</v>
      </c>
      <c r="AT56" s="8">
        <v>4041879</v>
      </c>
      <c r="AU56" s="8">
        <v>4928737</v>
      </c>
      <c r="AV56" s="8">
        <v>6001692</v>
      </c>
      <c r="AW56" s="8">
        <v>7767287</v>
      </c>
      <c r="AX56" s="8">
        <v>9432392</v>
      </c>
      <c r="AY56" s="8">
        <v>10906439</v>
      </c>
      <c r="AZ56" s="8">
        <v>12751249</v>
      </c>
      <c r="BA56" s="8">
        <v>16549920</v>
      </c>
      <c r="BB56" s="9">
        <f t="shared" si="41"/>
        <v>16549920</v>
      </c>
      <c r="BC56" s="8">
        <v>0</v>
      </c>
      <c r="BD56" s="8">
        <v>0</v>
      </c>
      <c r="BE56" s="8">
        <v>1894797</v>
      </c>
      <c r="BF56" s="8">
        <v>4257525</v>
      </c>
      <c r="BG56" s="8">
        <v>5238310</v>
      </c>
      <c r="BH56" s="8">
        <v>6174209</v>
      </c>
      <c r="BI56" s="8">
        <v>7718160</v>
      </c>
      <c r="BJ56" s="8">
        <v>8850068</v>
      </c>
      <c r="BK56" s="8">
        <v>9750916</v>
      </c>
      <c r="BL56" s="8">
        <v>10313499</v>
      </c>
      <c r="BM56" s="8">
        <v>10907596</v>
      </c>
      <c r="BN56" s="8">
        <v>14472612</v>
      </c>
      <c r="BO56" s="9">
        <f t="shared" si="42"/>
        <v>14472612</v>
      </c>
      <c r="BP56" s="8">
        <v>0</v>
      </c>
      <c r="BQ56" s="8">
        <v>0</v>
      </c>
      <c r="BR56" s="8">
        <v>910691</v>
      </c>
      <c r="BS56" s="8">
        <v>1409752</v>
      </c>
      <c r="BT56" s="8">
        <v>2594470</v>
      </c>
      <c r="BU56" s="8">
        <v>3418003</v>
      </c>
      <c r="BV56" s="8">
        <v>4795828</v>
      </c>
      <c r="BW56" s="8">
        <v>5858245</v>
      </c>
      <c r="BX56" s="8">
        <v>6134205</v>
      </c>
      <c r="BY56" s="8">
        <v>6963320</v>
      </c>
      <c r="BZ56" s="8">
        <v>7933750</v>
      </c>
      <c r="CA56" s="8">
        <v>13905907</v>
      </c>
      <c r="CB56" s="9">
        <f t="shared" si="43"/>
        <v>13905907</v>
      </c>
      <c r="CC56" s="8">
        <v>0</v>
      </c>
      <c r="CD56" s="8">
        <v>0</v>
      </c>
      <c r="CE56" s="8">
        <v>1027541</v>
      </c>
      <c r="CF56" s="8">
        <v>1765767</v>
      </c>
      <c r="CG56" s="8">
        <v>2601093</v>
      </c>
      <c r="CH56" s="8">
        <v>3897536</v>
      </c>
      <c r="CI56" s="8">
        <v>5398997</v>
      </c>
      <c r="CJ56" s="8">
        <v>7404891</v>
      </c>
      <c r="CK56" s="8">
        <v>9612010</v>
      </c>
      <c r="CL56" s="8">
        <v>11450577</v>
      </c>
      <c r="CM56" s="8">
        <v>13012809</v>
      </c>
      <c r="CN56" s="8">
        <v>17324522</v>
      </c>
      <c r="CO56" s="9">
        <f t="shared" si="44"/>
        <v>17324522</v>
      </c>
      <c r="CP56" s="8">
        <v>0</v>
      </c>
      <c r="CQ56" s="8">
        <v>0</v>
      </c>
      <c r="CR56" s="8">
        <v>2499943</v>
      </c>
      <c r="CS56" s="8">
        <v>4318568</v>
      </c>
      <c r="CT56" s="8">
        <v>6254394</v>
      </c>
      <c r="CU56" s="8">
        <v>7571113</v>
      </c>
      <c r="CV56" s="8">
        <v>9318475</v>
      </c>
      <c r="CW56" s="8">
        <v>10622011</v>
      </c>
      <c r="CX56" s="8">
        <v>13964985</v>
      </c>
      <c r="CY56" s="8">
        <v>17055081</v>
      </c>
      <c r="CZ56" s="8">
        <v>20311131</v>
      </c>
      <c r="DA56" s="8">
        <v>28537218</v>
      </c>
      <c r="DB56" s="9">
        <f t="shared" si="45"/>
        <v>28537218</v>
      </c>
      <c r="DC56" s="8">
        <v>0</v>
      </c>
      <c r="DD56" s="8">
        <v>1414267</v>
      </c>
      <c r="DE56" s="8">
        <v>4639959</v>
      </c>
      <c r="DF56" s="8">
        <v>7376742</v>
      </c>
      <c r="DG56" s="8">
        <v>10550320</v>
      </c>
      <c r="DH56" s="8">
        <v>12910552</v>
      </c>
      <c r="DI56" s="8">
        <v>15794687</v>
      </c>
      <c r="DJ56" s="8">
        <v>17723139</v>
      </c>
      <c r="DK56" s="8">
        <v>20220438</v>
      </c>
      <c r="DL56" s="8">
        <v>21146568</v>
      </c>
      <c r="DM56" s="8">
        <v>22839279</v>
      </c>
      <c r="DN56" s="8">
        <v>25969095</v>
      </c>
      <c r="DO56" s="9">
        <f t="shared" si="46"/>
        <v>25969095</v>
      </c>
      <c r="DP56" s="8">
        <v>0</v>
      </c>
      <c r="DQ56" s="8">
        <v>0</v>
      </c>
      <c r="DR56" s="8">
        <v>0</v>
      </c>
      <c r="DS56" s="8">
        <v>435496</v>
      </c>
      <c r="DT56" s="8">
        <v>2956834</v>
      </c>
      <c r="DU56" s="8">
        <v>5460342</v>
      </c>
      <c r="DV56" s="8">
        <v>6519105</v>
      </c>
      <c r="DW56" s="8">
        <v>7562017</v>
      </c>
      <c r="DX56" s="8">
        <v>9330345</v>
      </c>
      <c r="DY56" s="8">
        <v>9842292</v>
      </c>
      <c r="DZ56" s="8">
        <v>11078284</v>
      </c>
      <c r="EA56" s="8">
        <v>15477344</v>
      </c>
      <c r="EB56" s="9">
        <f t="shared" si="47"/>
        <v>15477344</v>
      </c>
      <c r="EC56" s="8">
        <v>0</v>
      </c>
      <c r="ED56" s="8">
        <v>505204</v>
      </c>
      <c r="EE56" s="8">
        <v>1560549</v>
      </c>
      <c r="EF56" s="8">
        <v>4524550</v>
      </c>
      <c r="EG56" s="8">
        <v>5126981</v>
      </c>
      <c r="EH56" s="8">
        <v>6324528</v>
      </c>
      <c r="EI56" s="8">
        <v>7622316</v>
      </c>
      <c r="EJ56" s="8">
        <v>9015359</v>
      </c>
      <c r="EK56" s="8">
        <v>9506130</v>
      </c>
      <c r="EL56" s="8">
        <v>10219951</v>
      </c>
      <c r="EM56" s="8">
        <v>10681549</v>
      </c>
      <c r="EN56" s="8">
        <v>14221677</v>
      </c>
      <c r="EO56" s="9">
        <f t="shared" si="48"/>
        <v>14221677</v>
      </c>
      <c r="EP56" s="8">
        <v>0</v>
      </c>
      <c r="EQ56" s="8">
        <v>15654</v>
      </c>
      <c r="ER56" s="8">
        <v>1221981</v>
      </c>
      <c r="ES56" s="8">
        <v>2116938</v>
      </c>
      <c r="ET56" s="8">
        <v>3506670</v>
      </c>
      <c r="EU56" s="8">
        <v>4366354</v>
      </c>
      <c r="EV56" s="8">
        <v>5588134</v>
      </c>
      <c r="EW56" s="8">
        <v>6509294</v>
      </c>
      <c r="EX56" s="8">
        <v>7740606</v>
      </c>
      <c r="EY56" s="8">
        <v>8339500</v>
      </c>
      <c r="EZ56" s="8">
        <v>9479079</v>
      </c>
      <c r="FA56" s="8">
        <v>12476694</v>
      </c>
      <c r="FB56" s="9">
        <f t="shared" si="49"/>
        <v>12476694</v>
      </c>
      <c r="FC56" s="8">
        <v>0</v>
      </c>
      <c r="FD56" s="8">
        <v>0</v>
      </c>
      <c r="FE56" s="8">
        <v>2568599</v>
      </c>
      <c r="FF56" s="8">
        <v>3613313</v>
      </c>
      <c r="FG56" s="8">
        <v>4523333</v>
      </c>
      <c r="FH56" s="8">
        <v>5273951</v>
      </c>
      <c r="FI56" s="8">
        <v>5934564</v>
      </c>
      <c r="FJ56" s="8"/>
      <c r="FK56" s="8"/>
      <c r="FL56" s="8"/>
      <c r="FM56" s="8"/>
      <c r="FN56" s="8"/>
      <c r="FO56" s="9">
        <f t="shared" si="50"/>
        <v>5934564</v>
      </c>
    </row>
    <row r="57" spans="2:171" ht="14.25" customHeight="1" x14ac:dyDescent="0.3">
      <c r="B57" s="7" t="s">
        <v>48</v>
      </c>
      <c r="C57" s="8">
        <v>0</v>
      </c>
      <c r="D57" s="8">
        <v>0</v>
      </c>
      <c r="E57" s="8">
        <v>1098458</v>
      </c>
      <c r="F57" s="8">
        <v>1933638</v>
      </c>
      <c r="G57" s="8">
        <v>3064609</v>
      </c>
      <c r="H57" s="8">
        <v>3908033</v>
      </c>
      <c r="I57" s="8">
        <v>4697968</v>
      </c>
      <c r="J57" s="8">
        <v>5347985</v>
      </c>
      <c r="K57" s="8">
        <v>5671589</v>
      </c>
      <c r="L57" s="8">
        <v>6239294</v>
      </c>
      <c r="M57" s="8">
        <v>7770834</v>
      </c>
      <c r="N57" s="8">
        <v>9209771</v>
      </c>
      <c r="O57" s="9">
        <f t="shared" si="38"/>
        <v>9209771</v>
      </c>
      <c r="P57" s="8">
        <v>8999</v>
      </c>
      <c r="Q57" s="8">
        <v>24058</v>
      </c>
      <c r="R57" s="8">
        <v>260612</v>
      </c>
      <c r="S57" s="8">
        <v>416001</v>
      </c>
      <c r="T57" s="8">
        <v>608430</v>
      </c>
      <c r="U57" s="8">
        <v>893914</v>
      </c>
      <c r="V57" s="8">
        <v>1116618</v>
      </c>
      <c r="W57" s="8">
        <v>1237369</v>
      </c>
      <c r="X57" s="8">
        <v>1414943</v>
      </c>
      <c r="Y57" s="8">
        <v>1713679</v>
      </c>
      <c r="Z57" s="8">
        <v>1972741</v>
      </c>
      <c r="AA57" s="8">
        <v>3998755</v>
      </c>
      <c r="AB57" s="9">
        <f t="shared" si="39"/>
        <v>3998755</v>
      </c>
      <c r="AC57" s="8">
        <v>0</v>
      </c>
      <c r="AD57" s="8">
        <v>16593</v>
      </c>
      <c r="AE57" s="8">
        <v>1339225</v>
      </c>
      <c r="AF57" s="8">
        <v>3373362</v>
      </c>
      <c r="AG57" s="8">
        <v>3855615</v>
      </c>
      <c r="AH57" s="8">
        <v>4853900</v>
      </c>
      <c r="AI57" s="8">
        <v>5238231</v>
      </c>
      <c r="AJ57" s="8">
        <v>6361005</v>
      </c>
      <c r="AK57" s="8">
        <v>8223144</v>
      </c>
      <c r="AL57" s="8">
        <v>9659890</v>
      </c>
      <c r="AM57" s="8">
        <v>11445701</v>
      </c>
      <c r="AN57" s="8">
        <v>14268540</v>
      </c>
      <c r="AO57" s="9">
        <f t="shared" si="40"/>
        <v>14268540</v>
      </c>
      <c r="AP57" s="8">
        <v>0</v>
      </c>
      <c r="AQ57" s="8">
        <v>33046</v>
      </c>
      <c r="AR57" s="8">
        <v>4155318</v>
      </c>
      <c r="AS57" s="8">
        <v>5965870</v>
      </c>
      <c r="AT57" s="8">
        <v>6695100</v>
      </c>
      <c r="AU57" s="8">
        <v>9408018</v>
      </c>
      <c r="AV57" s="8">
        <v>10611721</v>
      </c>
      <c r="AW57" s="8">
        <v>12150340</v>
      </c>
      <c r="AX57" s="8">
        <v>13208552</v>
      </c>
      <c r="AY57" s="8">
        <v>14585443</v>
      </c>
      <c r="AZ57" s="8">
        <v>15610128</v>
      </c>
      <c r="BA57" s="8">
        <v>19456156</v>
      </c>
      <c r="BB57" s="9">
        <f t="shared" si="41"/>
        <v>19456156</v>
      </c>
      <c r="BC57" s="8">
        <v>0</v>
      </c>
      <c r="BD57" s="8">
        <v>0</v>
      </c>
      <c r="BE57" s="8">
        <v>2580218</v>
      </c>
      <c r="BF57" s="8">
        <v>3786906</v>
      </c>
      <c r="BG57" s="8">
        <v>4949566</v>
      </c>
      <c r="BH57" s="8">
        <v>5630786</v>
      </c>
      <c r="BI57" s="8">
        <v>6368160</v>
      </c>
      <c r="BJ57" s="8">
        <v>7294318</v>
      </c>
      <c r="BK57" s="8">
        <v>8346883</v>
      </c>
      <c r="BL57" s="8">
        <v>9334347</v>
      </c>
      <c r="BM57" s="8">
        <v>11119202</v>
      </c>
      <c r="BN57" s="8">
        <v>14855118</v>
      </c>
      <c r="BO57" s="9">
        <f t="shared" si="42"/>
        <v>14855118</v>
      </c>
      <c r="BP57" s="8">
        <v>0</v>
      </c>
      <c r="BQ57" s="8">
        <v>0</v>
      </c>
      <c r="BR57" s="8">
        <v>2753306</v>
      </c>
      <c r="BS57" s="8">
        <v>3686888</v>
      </c>
      <c r="BT57" s="8">
        <v>5052293</v>
      </c>
      <c r="BU57" s="8">
        <v>6328203</v>
      </c>
      <c r="BV57" s="8">
        <v>7082487</v>
      </c>
      <c r="BW57" s="8">
        <v>7719385</v>
      </c>
      <c r="BX57" s="8">
        <v>8461345</v>
      </c>
      <c r="BY57" s="8">
        <v>9165065</v>
      </c>
      <c r="BZ57" s="8">
        <v>10230142</v>
      </c>
      <c r="CA57" s="8">
        <v>13715523</v>
      </c>
      <c r="CB57" s="9">
        <f t="shared" si="43"/>
        <v>13715523</v>
      </c>
      <c r="CC57" s="8">
        <v>0</v>
      </c>
      <c r="CD57" s="8">
        <v>0</v>
      </c>
      <c r="CE57" s="8">
        <v>2234308</v>
      </c>
      <c r="CF57" s="8">
        <v>3228842</v>
      </c>
      <c r="CG57" s="8">
        <v>4095520</v>
      </c>
      <c r="CH57" s="8">
        <v>4635941</v>
      </c>
      <c r="CI57" s="8">
        <v>5023185</v>
      </c>
      <c r="CJ57" s="8">
        <v>5525140</v>
      </c>
      <c r="CK57" s="8">
        <v>6027626</v>
      </c>
      <c r="CL57" s="8">
        <v>6386362</v>
      </c>
      <c r="CM57" s="8">
        <v>7230663</v>
      </c>
      <c r="CN57" s="8">
        <v>12532955</v>
      </c>
      <c r="CO57" s="9">
        <f t="shared" si="44"/>
        <v>12532955</v>
      </c>
      <c r="CP57" s="8">
        <v>0</v>
      </c>
      <c r="CQ57" s="8">
        <v>87292</v>
      </c>
      <c r="CR57" s="8">
        <v>793272</v>
      </c>
      <c r="CS57" s="8">
        <v>1556347</v>
      </c>
      <c r="CT57" s="8">
        <v>2282348</v>
      </c>
      <c r="CU57" s="8">
        <v>2893680</v>
      </c>
      <c r="CV57" s="8">
        <v>3632116</v>
      </c>
      <c r="CW57" s="8">
        <v>4938968</v>
      </c>
      <c r="CX57" s="8">
        <v>6587924</v>
      </c>
      <c r="CY57" s="8">
        <v>8294837</v>
      </c>
      <c r="CZ57" s="8">
        <v>10043378</v>
      </c>
      <c r="DA57" s="8">
        <v>15656119</v>
      </c>
      <c r="DB57" s="9">
        <f t="shared" si="45"/>
        <v>15656119</v>
      </c>
      <c r="DC57" s="8">
        <v>0</v>
      </c>
      <c r="DD57" s="8">
        <v>86461</v>
      </c>
      <c r="DE57" s="8">
        <v>1016727</v>
      </c>
      <c r="DF57" s="8">
        <v>1570665</v>
      </c>
      <c r="DG57" s="8">
        <v>2318130</v>
      </c>
      <c r="DH57" s="8">
        <v>5012601</v>
      </c>
      <c r="DI57" s="8">
        <v>5637478</v>
      </c>
      <c r="DJ57" s="8">
        <v>6210424</v>
      </c>
      <c r="DK57" s="8">
        <v>7549082</v>
      </c>
      <c r="DL57" s="8">
        <v>8799496</v>
      </c>
      <c r="DM57" s="8">
        <v>10623552</v>
      </c>
      <c r="DN57" s="8">
        <v>17848435</v>
      </c>
      <c r="DO57" s="9">
        <f t="shared" si="46"/>
        <v>17848435</v>
      </c>
      <c r="DP57" s="8">
        <v>0</v>
      </c>
      <c r="DQ57" s="8">
        <v>0</v>
      </c>
      <c r="DR57" s="8">
        <v>2793263</v>
      </c>
      <c r="DS57" s="8">
        <v>4637349</v>
      </c>
      <c r="DT57" s="8">
        <v>6800955</v>
      </c>
      <c r="DU57" s="8">
        <v>9305411</v>
      </c>
      <c r="DV57" s="8">
        <v>11608286</v>
      </c>
      <c r="DW57" s="8">
        <v>13058895</v>
      </c>
      <c r="DX57" s="8">
        <v>15088967</v>
      </c>
      <c r="DY57" s="8">
        <v>15598733</v>
      </c>
      <c r="DZ57" s="8">
        <v>17616851</v>
      </c>
      <c r="EA57" s="8">
        <v>22912881</v>
      </c>
      <c r="EB57" s="9">
        <f t="shared" si="47"/>
        <v>22912881</v>
      </c>
      <c r="EC57" s="8">
        <v>0</v>
      </c>
      <c r="ED57" s="8">
        <v>91311</v>
      </c>
      <c r="EE57" s="8">
        <v>1543145</v>
      </c>
      <c r="EF57" s="8">
        <v>1812150</v>
      </c>
      <c r="EG57" s="8">
        <v>2866970</v>
      </c>
      <c r="EH57" s="8">
        <v>3198071</v>
      </c>
      <c r="EI57" s="8">
        <v>3550823</v>
      </c>
      <c r="EJ57" s="8">
        <v>3879032</v>
      </c>
      <c r="EK57" s="8">
        <v>4224296</v>
      </c>
      <c r="EL57" s="8">
        <v>4965161</v>
      </c>
      <c r="EM57" s="8">
        <v>5497696</v>
      </c>
      <c r="EN57" s="8">
        <v>8070989</v>
      </c>
      <c r="EO57" s="9">
        <f t="shared" si="48"/>
        <v>8070989</v>
      </c>
      <c r="EP57" s="8">
        <v>0</v>
      </c>
      <c r="EQ57" s="8">
        <v>0</v>
      </c>
      <c r="ER57" s="8">
        <v>782785</v>
      </c>
      <c r="ES57" s="8">
        <v>3521623</v>
      </c>
      <c r="ET57" s="8">
        <v>5392411</v>
      </c>
      <c r="EU57" s="8">
        <v>7003168</v>
      </c>
      <c r="EV57" s="8">
        <v>8794735</v>
      </c>
      <c r="EW57" s="8">
        <v>9187072</v>
      </c>
      <c r="EX57" s="8">
        <v>9707571</v>
      </c>
      <c r="EY57" s="8">
        <v>11078757</v>
      </c>
      <c r="EZ57" s="8">
        <v>11801848</v>
      </c>
      <c r="FA57" s="8">
        <v>13299232</v>
      </c>
      <c r="FB57" s="9">
        <f t="shared" si="49"/>
        <v>13299232</v>
      </c>
      <c r="FC57" s="8">
        <v>0</v>
      </c>
      <c r="FD57" s="8">
        <v>0</v>
      </c>
      <c r="FE57" s="8">
        <v>671571</v>
      </c>
      <c r="FF57" s="8">
        <v>947529</v>
      </c>
      <c r="FG57" s="8">
        <v>1212531</v>
      </c>
      <c r="FH57" s="8">
        <v>3074751</v>
      </c>
      <c r="FI57" s="8">
        <v>4493515</v>
      </c>
      <c r="FJ57" s="8"/>
      <c r="FK57" s="8"/>
      <c r="FL57" s="8"/>
      <c r="FM57" s="8"/>
      <c r="FN57" s="8"/>
      <c r="FO57" s="9">
        <f t="shared" si="50"/>
        <v>4493515</v>
      </c>
    </row>
    <row r="58" spans="2:171" ht="14.25" customHeight="1" x14ac:dyDescent="0.3">
      <c r="B58" s="7" t="s">
        <v>49</v>
      </c>
      <c r="C58" s="8">
        <v>0</v>
      </c>
      <c r="D58" s="8">
        <v>0</v>
      </c>
      <c r="E58" s="8">
        <v>2513542</v>
      </c>
      <c r="F58" s="8">
        <v>3412271</v>
      </c>
      <c r="G58" s="8">
        <v>4408845</v>
      </c>
      <c r="H58" s="8">
        <v>5186589</v>
      </c>
      <c r="I58" s="8">
        <v>5476407</v>
      </c>
      <c r="J58" s="8">
        <v>5887832</v>
      </c>
      <c r="K58" s="8">
        <v>5951399</v>
      </c>
      <c r="L58" s="8">
        <v>7183682</v>
      </c>
      <c r="M58" s="8">
        <v>11165109</v>
      </c>
      <c r="N58" s="8">
        <v>15718762</v>
      </c>
      <c r="O58" s="9">
        <f t="shared" si="38"/>
        <v>15718762</v>
      </c>
      <c r="P58" s="8">
        <v>71110</v>
      </c>
      <c r="Q58" s="8">
        <v>454325</v>
      </c>
      <c r="R58" s="8">
        <v>1758422</v>
      </c>
      <c r="S58" s="8">
        <v>2676989</v>
      </c>
      <c r="T58" s="8">
        <v>3698079</v>
      </c>
      <c r="U58" s="8">
        <v>4404201</v>
      </c>
      <c r="V58" s="8">
        <v>5475035</v>
      </c>
      <c r="W58" s="8">
        <v>6339833</v>
      </c>
      <c r="X58" s="8">
        <v>7669044</v>
      </c>
      <c r="Y58" s="8">
        <v>9384372</v>
      </c>
      <c r="Z58" s="8">
        <v>10861151</v>
      </c>
      <c r="AA58" s="8">
        <v>12973688</v>
      </c>
      <c r="AB58" s="9">
        <f t="shared" si="39"/>
        <v>12973688</v>
      </c>
      <c r="AC58" s="8">
        <v>0</v>
      </c>
      <c r="AD58" s="8">
        <v>4200</v>
      </c>
      <c r="AE58" s="8">
        <v>2702394</v>
      </c>
      <c r="AF58" s="8">
        <v>3616540</v>
      </c>
      <c r="AG58" s="8">
        <v>4748907</v>
      </c>
      <c r="AH58" s="8">
        <v>6165619</v>
      </c>
      <c r="AI58" s="8">
        <v>7276872</v>
      </c>
      <c r="AJ58" s="8">
        <v>8360770</v>
      </c>
      <c r="AK58" s="8">
        <v>9362544</v>
      </c>
      <c r="AL58" s="8">
        <v>10950685</v>
      </c>
      <c r="AM58" s="8">
        <v>13481793</v>
      </c>
      <c r="AN58" s="8">
        <v>17901095</v>
      </c>
      <c r="AO58" s="9">
        <f t="shared" si="40"/>
        <v>17901095</v>
      </c>
      <c r="AP58" s="8">
        <v>0</v>
      </c>
      <c r="AQ58" s="8">
        <v>638200</v>
      </c>
      <c r="AR58" s="8">
        <v>3893999</v>
      </c>
      <c r="AS58" s="8">
        <v>5448165</v>
      </c>
      <c r="AT58" s="8">
        <v>7142382</v>
      </c>
      <c r="AU58" s="8">
        <v>9343795</v>
      </c>
      <c r="AV58" s="8">
        <v>11326679</v>
      </c>
      <c r="AW58" s="8">
        <v>13888007</v>
      </c>
      <c r="AX58" s="8">
        <v>15098925</v>
      </c>
      <c r="AY58" s="8">
        <v>16402080</v>
      </c>
      <c r="AZ58" s="8">
        <v>17685552</v>
      </c>
      <c r="BA58" s="8">
        <v>19946546</v>
      </c>
      <c r="BB58" s="9">
        <f t="shared" si="41"/>
        <v>19946546</v>
      </c>
      <c r="BC58" s="8">
        <v>0</v>
      </c>
      <c r="BD58" s="8">
        <v>4250</v>
      </c>
      <c r="BE58" s="8">
        <v>4651436</v>
      </c>
      <c r="BF58" s="8">
        <v>5760832</v>
      </c>
      <c r="BG58" s="8">
        <v>7130498</v>
      </c>
      <c r="BH58" s="8">
        <v>8641438</v>
      </c>
      <c r="BI58" s="8">
        <v>9497124</v>
      </c>
      <c r="BJ58" s="8">
        <v>10683527</v>
      </c>
      <c r="BK58" s="8">
        <v>11657409</v>
      </c>
      <c r="BL58" s="8">
        <v>13288277</v>
      </c>
      <c r="BM58" s="8">
        <v>14093331</v>
      </c>
      <c r="BN58" s="8">
        <v>16630930</v>
      </c>
      <c r="BO58" s="9">
        <f t="shared" si="42"/>
        <v>16630930</v>
      </c>
      <c r="BP58" s="8">
        <v>0</v>
      </c>
      <c r="BQ58" s="8">
        <v>0</v>
      </c>
      <c r="BR58" s="8">
        <v>2205084</v>
      </c>
      <c r="BS58" s="8">
        <v>2602194</v>
      </c>
      <c r="BT58" s="8">
        <v>3870748</v>
      </c>
      <c r="BU58" s="8">
        <v>5059716</v>
      </c>
      <c r="BV58" s="8">
        <v>5471563</v>
      </c>
      <c r="BW58" s="8">
        <v>5958514</v>
      </c>
      <c r="BX58" s="8">
        <v>6471586</v>
      </c>
      <c r="BY58" s="8">
        <v>7074258</v>
      </c>
      <c r="BZ58" s="8">
        <v>8670899</v>
      </c>
      <c r="CA58" s="8">
        <v>10285886</v>
      </c>
      <c r="CB58" s="9">
        <f t="shared" si="43"/>
        <v>10285886</v>
      </c>
      <c r="CC58" s="8">
        <v>0</v>
      </c>
      <c r="CD58" s="8">
        <v>0</v>
      </c>
      <c r="CE58" s="8">
        <v>1944475</v>
      </c>
      <c r="CF58" s="8">
        <v>3245659</v>
      </c>
      <c r="CG58" s="8">
        <v>4690523</v>
      </c>
      <c r="CH58" s="8">
        <v>5474272</v>
      </c>
      <c r="CI58" s="8">
        <v>6224364</v>
      </c>
      <c r="CJ58" s="8">
        <v>6873785</v>
      </c>
      <c r="CK58" s="8">
        <v>7216001</v>
      </c>
      <c r="CL58" s="8">
        <v>7838147</v>
      </c>
      <c r="CM58" s="8">
        <v>8875527</v>
      </c>
      <c r="CN58" s="8">
        <v>10845646</v>
      </c>
      <c r="CO58" s="9">
        <f t="shared" si="44"/>
        <v>10845646</v>
      </c>
      <c r="CP58" s="8">
        <v>0</v>
      </c>
      <c r="CQ58" s="8">
        <v>145074</v>
      </c>
      <c r="CR58" s="8">
        <v>1058879</v>
      </c>
      <c r="CS58" s="8">
        <v>2039763</v>
      </c>
      <c r="CT58" s="8">
        <v>2953907</v>
      </c>
      <c r="CU58" s="8">
        <v>3778375</v>
      </c>
      <c r="CV58" s="8">
        <v>4390330</v>
      </c>
      <c r="CW58" s="8">
        <v>4988153</v>
      </c>
      <c r="CX58" s="8">
        <v>6096186</v>
      </c>
      <c r="CY58" s="8">
        <v>7319317</v>
      </c>
      <c r="CZ58" s="8">
        <v>8210062</v>
      </c>
      <c r="DA58" s="8">
        <v>11722421</v>
      </c>
      <c r="DB58" s="9">
        <f t="shared" si="45"/>
        <v>11722421</v>
      </c>
      <c r="DC58" s="8">
        <v>0</v>
      </c>
      <c r="DD58" s="8">
        <v>0</v>
      </c>
      <c r="DE58" s="8">
        <v>2242990</v>
      </c>
      <c r="DF58" s="8">
        <v>2913694</v>
      </c>
      <c r="DG58" s="8">
        <v>3475710</v>
      </c>
      <c r="DH58" s="8">
        <v>4563044</v>
      </c>
      <c r="DI58" s="8">
        <v>5503722</v>
      </c>
      <c r="DJ58" s="8">
        <v>5982265</v>
      </c>
      <c r="DK58" s="8">
        <v>7324275</v>
      </c>
      <c r="DL58" s="8">
        <v>8473012</v>
      </c>
      <c r="DM58" s="8">
        <v>9570289</v>
      </c>
      <c r="DN58" s="8">
        <v>12299225</v>
      </c>
      <c r="DO58" s="9">
        <f t="shared" si="46"/>
        <v>12299225</v>
      </c>
      <c r="DP58" s="8">
        <v>0</v>
      </c>
      <c r="DQ58" s="8">
        <v>184861</v>
      </c>
      <c r="DR58" s="8">
        <v>2550024</v>
      </c>
      <c r="DS58" s="8">
        <v>3335427</v>
      </c>
      <c r="DT58" s="8">
        <v>3954033</v>
      </c>
      <c r="DU58" s="8">
        <v>5137967</v>
      </c>
      <c r="DV58" s="8">
        <v>6515902</v>
      </c>
      <c r="DW58" s="8">
        <v>9869211</v>
      </c>
      <c r="DX58" s="8">
        <v>11282350</v>
      </c>
      <c r="DY58" s="8">
        <v>14137020</v>
      </c>
      <c r="DZ58" s="8">
        <v>16461275</v>
      </c>
      <c r="EA58" s="8">
        <v>20087982</v>
      </c>
      <c r="EB58" s="9">
        <f t="shared" si="47"/>
        <v>20087982</v>
      </c>
      <c r="EC58" s="8">
        <v>0</v>
      </c>
      <c r="ED58" s="8">
        <v>0</v>
      </c>
      <c r="EE58" s="8">
        <v>2563142</v>
      </c>
      <c r="EF58" s="8">
        <v>4937234</v>
      </c>
      <c r="EG58" s="8">
        <v>6455476</v>
      </c>
      <c r="EH58" s="8">
        <v>7874182</v>
      </c>
      <c r="EI58" s="8">
        <v>9537233</v>
      </c>
      <c r="EJ58" s="8">
        <v>10627246</v>
      </c>
      <c r="EK58" s="8">
        <v>11749652</v>
      </c>
      <c r="EL58" s="8">
        <v>12736164</v>
      </c>
      <c r="EM58" s="8">
        <v>14354886</v>
      </c>
      <c r="EN58" s="8">
        <v>18304746</v>
      </c>
      <c r="EO58" s="9">
        <f t="shared" si="48"/>
        <v>18304746</v>
      </c>
      <c r="EP58" s="8">
        <v>0</v>
      </c>
      <c r="EQ58" s="8">
        <v>0</v>
      </c>
      <c r="ER58" s="8">
        <v>537044</v>
      </c>
      <c r="ES58" s="8">
        <v>4624082</v>
      </c>
      <c r="ET58" s="8">
        <v>6663050</v>
      </c>
      <c r="EU58" s="8">
        <v>7372366</v>
      </c>
      <c r="EV58" s="8">
        <v>8896020</v>
      </c>
      <c r="EW58" s="8">
        <v>10874834</v>
      </c>
      <c r="EX58" s="8">
        <v>11736753</v>
      </c>
      <c r="EY58" s="8">
        <v>13073544</v>
      </c>
      <c r="EZ58" s="8">
        <v>14605811</v>
      </c>
      <c r="FA58" s="8">
        <v>17113896</v>
      </c>
      <c r="FB58" s="9">
        <f t="shared" si="49"/>
        <v>17113896</v>
      </c>
      <c r="FC58" s="8">
        <v>0</v>
      </c>
      <c r="FD58" s="8">
        <v>1214485</v>
      </c>
      <c r="FE58" s="8">
        <v>1998311</v>
      </c>
      <c r="FF58" s="8">
        <v>3214367</v>
      </c>
      <c r="FG58" s="8">
        <v>6370940</v>
      </c>
      <c r="FH58" s="8">
        <v>7328213</v>
      </c>
      <c r="FI58" s="8">
        <v>8973928</v>
      </c>
      <c r="FJ58" s="8"/>
      <c r="FK58" s="8"/>
      <c r="FL58" s="8"/>
      <c r="FM58" s="8"/>
      <c r="FN58" s="8"/>
      <c r="FO58" s="9">
        <f t="shared" si="50"/>
        <v>8973928</v>
      </c>
    </row>
    <row r="59" spans="2:171" ht="14.25" customHeight="1" x14ac:dyDescent="0.3">
      <c r="B59" s="7" t="s">
        <v>50</v>
      </c>
      <c r="C59" s="8">
        <v>0</v>
      </c>
      <c r="D59" s="8">
        <v>0</v>
      </c>
      <c r="E59" s="8">
        <v>4682990</v>
      </c>
      <c r="F59" s="8">
        <v>6737067</v>
      </c>
      <c r="G59" s="8">
        <v>9073470</v>
      </c>
      <c r="H59" s="8">
        <v>11274580</v>
      </c>
      <c r="I59" s="8">
        <v>12685525</v>
      </c>
      <c r="J59" s="8">
        <v>14707743</v>
      </c>
      <c r="K59" s="8">
        <v>16168686</v>
      </c>
      <c r="L59" s="8">
        <v>18628188</v>
      </c>
      <c r="M59" s="8">
        <v>21627939</v>
      </c>
      <c r="N59" s="8">
        <v>26720935</v>
      </c>
      <c r="O59" s="9">
        <f t="shared" si="38"/>
        <v>26720935</v>
      </c>
      <c r="P59" s="8">
        <v>2561068</v>
      </c>
      <c r="Q59" s="8">
        <v>4817816</v>
      </c>
      <c r="R59" s="8">
        <v>8111988</v>
      </c>
      <c r="S59" s="8">
        <v>10861654</v>
      </c>
      <c r="T59" s="8">
        <v>13586321</v>
      </c>
      <c r="U59" s="8">
        <v>15077683</v>
      </c>
      <c r="V59" s="8">
        <v>16918337</v>
      </c>
      <c r="W59" s="8">
        <v>18691777</v>
      </c>
      <c r="X59" s="8">
        <v>20724096</v>
      </c>
      <c r="Y59" s="8">
        <v>23469588</v>
      </c>
      <c r="Z59" s="8">
        <v>29168140</v>
      </c>
      <c r="AA59" s="8">
        <v>34824496</v>
      </c>
      <c r="AB59" s="9">
        <f t="shared" si="39"/>
        <v>34824496</v>
      </c>
      <c r="AC59" s="8">
        <v>224821</v>
      </c>
      <c r="AD59" s="8">
        <v>1278603</v>
      </c>
      <c r="AE59" s="8">
        <v>2677630</v>
      </c>
      <c r="AF59" s="8">
        <v>4423969</v>
      </c>
      <c r="AG59" s="8">
        <v>5750799</v>
      </c>
      <c r="AH59" s="8">
        <v>7383615</v>
      </c>
      <c r="AI59" s="8">
        <v>8433108</v>
      </c>
      <c r="AJ59" s="8">
        <v>10145300</v>
      </c>
      <c r="AK59" s="8">
        <v>13841439</v>
      </c>
      <c r="AL59" s="8">
        <v>16493034</v>
      </c>
      <c r="AM59" s="8">
        <v>19575261</v>
      </c>
      <c r="AN59" s="8">
        <v>29886003</v>
      </c>
      <c r="AO59" s="9">
        <f t="shared" si="40"/>
        <v>29886003</v>
      </c>
      <c r="AP59" s="8">
        <v>16506</v>
      </c>
      <c r="AQ59" s="8">
        <v>2024369</v>
      </c>
      <c r="AR59" s="8">
        <v>3960178</v>
      </c>
      <c r="AS59" s="8">
        <v>5569008</v>
      </c>
      <c r="AT59" s="8">
        <v>7250492</v>
      </c>
      <c r="AU59" s="8">
        <v>9199235</v>
      </c>
      <c r="AV59" s="8">
        <v>12117075</v>
      </c>
      <c r="AW59" s="8">
        <v>15625214</v>
      </c>
      <c r="AX59" s="8">
        <v>18786926</v>
      </c>
      <c r="AY59" s="8">
        <v>22952869</v>
      </c>
      <c r="AZ59" s="8">
        <v>28063619</v>
      </c>
      <c r="BA59" s="8">
        <v>38234943</v>
      </c>
      <c r="BB59" s="9">
        <f t="shared" si="41"/>
        <v>38234943</v>
      </c>
      <c r="BC59" s="8">
        <v>0</v>
      </c>
      <c r="BD59" s="8">
        <v>1421348</v>
      </c>
      <c r="BE59" s="8">
        <v>4321108</v>
      </c>
      <c r="BF59" s="8">
        <v>6377758</v>
      </c>
      <c r="BG59" s="8">
        <v>8515875</v>
      </c>
      <c r="BH59" s="8">
        <v>10265173</v>
      </c>
      <c r="BI59" s="8">
        <v>12719573</v>
      </c>
      <c r="BJ59" s="8">
        <v>15004072</v>
      </c>
      <c r="BK59" s="8">
        <v>17238142</v>
      </c>
      <c r="BL59" s="8">
        <v>19728628</v>
      </c>
      <c r="BM59" s="8">
        <v>22680584</v>
      </c>
      <c r="BN59" s="8">
        <v>27714608</v>
      </c>
      <c r="BO59" s="9">
        <f t="shared" si="42"/>
        <v>27714608</v>
      </c>
      <c r="BP59" s="8">
        <v>0</v>
      </c>
      <c r="BQ59" s="8">
        <v>0</v>
      </c>
      <c r="BR59" s="8">
        <v>4348933</v>
      </c>
      <c r="BS59" s="8">
        <v>6874858</v>
      </c>
      <c r="BT59" s="8">
        <v>9416897</v>
      </c>
      <c r="BU59" s="8">
        <v>11406050</v>
      </c>
      <c r="BV59" s="8">
        <v>14220308</v>
      </c>
      <c r="BW59" s="8">
        <v>17069752</v>
      </c>
      <c r="BX59" s="8">
        <v>19612545</v>
      </c>
      <c r="BY59" s="8">
        <v>22845584</v>
      </c>
      <c r="BZ59" s="8">
        <v>26887876</v>
      </c>
      <c r="CA59" s="8">
        <v>32568898</v>
      </c>
      <c r="CB59" s="9">
        <f t="shared" si="43"/>
        <v>32568898</v>
      </c>
      <c r="CC59" s="8">
        <v>0</v>
      </c>
      <c r="CD59" s="8">
        <v>0</v>
      </c>
      <c r="CE59" s="8">
        <v>4568439</v>
      </c>
      <c r="CF59" s="8">
        <v>6603295</v>
      </c>
      <c r="CG59" s="8">
        <v>9300130</v>
      </c>
      <c r="CH59" s="8">
        <v>12235601</v>
      </c>
      <c r="CI59" s="8">
        <v>14526131</v>
      </c>
      <c r="CJ59" s="8">
        <v>16939219</v>
      </c>
      <c r="CK59" s="8">
        <v>19917692</v>
      </c>
      <c r="CL59" s="8">
        <v>23257211</v>
      </c>
      <c r="CM59" s="8">
        <v>26731410</v>
      </c>
      <c r="CN59" s="8">
        <v>33967325</v>
      </c>
      <c r="CO59" s="9">
        <f t="shared" si="44"/>
        <v>33967325</v>
      </c>
      <c r="CP59" s="8">
        <v>0</v>
      </c>
      <c r="CQ59" s="8">
        <v>2423327</v>
      </c>
      <c r="CR59" s="8">
        <v>6782736</v>
      </c>
      <c r="CS59" s="8">
        <v>15251668</v>
      </c>
      <c r="CT59" s="8">
        <v>16748720</v>
      </c>
      <c r="CU59" s="8">
        <v>18415304</v>
      </c>
      <c r="CV59" s="8">
        <v>21339663</v>
      </c>
      <c r="CW59" s="8">
        <v>23380013</v>
      </c>
      <c r="CX59" s="8">
        <v>25383530</v>
      </c>
      <c r="CY59" s="8">
        <v>31015191</v>
      </c>
      <c r="CZ59" s="8">
        <v>34807108</v>
      </c>
      <c r="DA59" s="8">
        <v>41047311</v>
      </c>
      <c r="DB59" s="9">
        <f t="shared" si="45"/>
        <v>41047311</v>
      </c>
      <c r="DC59" s="8">
        <v>0</v>
      </c>
      <c r="DD59" s="8">
        <v>1954310</v>
      </c>
      <c r="DE59" s="8">
        <v>5437246</v>
      </c>
      <c r="DF59" s="8">
        <v>9074366</v>
      </c>
      <c r="DG59" s="8">
        <v>11564328</v>
      </c>
      <c r="DH59" s="8">
        <v>13457755</v>
      </c>
      <c r="DI59" s="8">
        <v>16052872</v>
      </c>
      <c r="DJ59" s="8">
        <v>18591175</v>
      </c>
      <c r="DK59" s="8">
        <v>21394133</v>
      </c>
      <c r="DL59" s="8">
        <v>24741056</v>
      </c>
      <c r="DM59" s="8">
        <v>27312162</v>
      </c>
      <c r="DN59" s="8">
        <v>34255389</v>
      </c>
      <c r="DO59" s="9">
        <f t="shared" si="46"/>
        <v>34255389</v>
      </c>
      <c r="DP59" s="8">
        <v>0</v>
      </c>
      <c r="DQ59" s="8">
        <v>1073661</v>
      </c>
      <c r="DR59" s="8">
        <v>6482752</v>
      </c>
      <c r="DS59" s="8">
        <v>11046429</v>
      </c>
      <c r="DT59" s="8">
        <v>14774156</v>
      </c>
      <c r="DU59" s="8">
        <v>17141463</v>
      </c>
      <c r="DV59" s="8">
        <v>19176471</v>
      </c>
      <c r="DW59" s="8">
        <v>22477672</v>
      </c>
      <c r="DX59" s="8">
        <v>24576750</v>
      </c>
      <c r="DY59" s="8">
        <v>28005939</v>
      </c>
      <c r="DZ59" s="8">
        <v>30917189</v>
      </c>
      <c r="EA59" s="8">
        <v>43303337</v>
      </c>
      <c r="EB59" s="9">
        <f t="shared" si="47"/>
        <v>43303337</v>
      </c>
      <c r="EC59" s="8">
        <v>0</v>
      </c>
      <c r="ED59" s="8">
        <v>817026</v>
      </c>
      <c r="EE59" s="8">
        <v>7211294</v>
      </c>
      <c r="EF59" s="8">
        <v>10269338</v>
      </c>
      <c r="EG59" s="8">
        <v>13142557</v>
      </c>
      <c r="EH59" s="8">
        <v>16019024</v>
      </c>
      <c r="EI59" s="8">
        <v>17552175</v>
      </c>
      <c r="EJ59" s="8">
        <v>20571069</v>
      </c>
      <c r="EK59" s="8">
        <v>23134677</v>
      </c>
      <c r="EL59" s="8">
        <v>25245587</v>
      </c>
      <c r="EM59" s="8">
        <v>28348834</v>
      </c>
      <c r="EN59" s="8">
        <v>35664606</v>
      </c>
      <c r="EO59" s="9">
        <f t="shared" si="48"/>
        <v>35664606</v>
      </c>
      <c r="EP59" s="8">
        <v>0</v>
      </c>
      <c r="EQ59" s="8">
        <v>0</v>
      </c>
      <c r="ER59" s="8">
        <v>6894377</v>
      </c>
      <c r="ES59" s="8">
        <v>14671995</v>
      </c>
      <c r="ET59" s="8">
        <v>18775808</v>
      </c>
      <c r="EU59" s="8">
        <v>23907660</v>
      </c>
      <c r="EV59" s="8">
        <v>29396833</v>
      </c>
      <c r="EW59" s="8">
        <v>33730948</v>
      </c>
      <c r="EX59" s="8">
        <v>37737801</v>
      </c>
      <c r="EY59" s="8">
        <v>42029251</v>
      </c>
      <c r="EZ59" s="8">
        <v>45580303</v>
      </c>
      <c r="FA59" s="8">
        <v>55696292</v>
      </c>
      <c r="FB59" s="9">
        <f t="shared" si="49"/>
        <v>55696292</v>
      </c>
      <c r="FC59" s="8">
        <v>0</v>
      </c>
      <c r="FD59" s="8">
        <v>575811</v>
      </c>
      <c r="FE59" s="8">
        <v>5659243</v>
      </c>
      <c r="FF59" s="8">
        <v>9197930</v>
      </c>
      <c r="FG59" s="8">
        <v>13083654</v>
      </c>
      <c r="FH59" s="8">
        <v>16463966</v>
      </c>
      <c r="FI59" s="8">
        <v>18166057</v>
      </c>
      <c r="FJ59" s="8"/>
      <c r="FK59" s="8"/>
      <c r="FL59" s="8"/>
      <c r="FM59" s="8"/>
      <c r="FN59" s="8"/>
      <c r="FO59" s="9">
        <f t="shared" si="50"/>
        <v>18166057</v>
      </c>
    </row>
    <row r="60" spans="2:171" ht="14.25" customHeight="1" x14ac:dyDescent="0.3">
      <c r="B60" s="7" t="s">
        <v>51</v>
      </c>
      <c r="C60" s="8">
        <v>0</v>
      </c>
      <c r="D60" s="8">
        <v>0</v>
      </c>
      <c r="E60" s="8">
        <v>2970460</v>
      </c>
      <c r="F60" s="8">
        <v>7075373</v>
      </c>
      <c r="G60" s="8">
        <v>11029119</v>
      </c>
      <c r="H60" s="8">
        <v>14673873</v>
      </c>
      <c r="I60" s="8">
        <v>18929628</v>
      </c>
      <c r="J60" s="8">
        <v>22297963</v>
      </c>
      <c r="K60" s="8">
        <v>25916623</v>
      </c>
      <c r="L60" s="8">
        <v>30381483</v>
      </c>
      <c r="M60" s="8">
        <v>42408242</v>
      </c>
      <c r="N60" s="8">
        <v>57410502</v>
      </c>
      <c r="O60" s="9">
        <f t="shared" si="38"/>
        <v>57410502</v>
      </c>
      <c r="P60" s="8">
        <v>139559</v>
      </c>
      <c r="Q60" s="8">
        <v>4065998</v>
      </c>
      <c r="R60" s="8">
        <v>8108896</v>
      </c>
      <c r="S60" s="8">
        <v>13346732</v>
      </c>
      <c r="T60" s="8">
        <v>22254966</v>
      </c>
      <c r="U60" s="8">
        <v>26324505</v>
      </c>
      <c r="V60" s="8">
        <v>29649709</v>
      </c>
      <c r="W60" s="8">
        <v>33482238</v>
      </c>
      <c r="X60" s="8">
        <v>37387061</v>
      </c>
      <c r="Y60" s="8">
        <v>46286901</v>
      </c>
      <c r="Z60" s="8">
        <v>52751680</v>
      </c>
      <c r="AA60" s="8">
        <v>77458939</v>
      </c>
      <c r="AB60" s="9">
        <f t="shared" si="39"/>
        <v>77458939</v>
      </c>
      <c r="AC60" s="8">
        <v>0</v>
      </c>
      <c r="AD60" s="8">
        <v>2881477</v>
      </c>
      <c r="AE60" s="8">
        <v>8166342</v>
      </c>
      <c r="AF60" s="8">
        <v>13544296</v>
      </c>
      <c r="AG60" s="8">
        <v>18219423</v>
      </c>
      <c r="AH60" s="8">
        <v>22352621</v>
      </c>
      <c r="AI60" s="8">
        <v>25983046</v>
      </c>
      <c r="AJ60" s="8">
        <v>30449450</v>
      </c>
      <c r="AK60" s="8">
        <v>34399039</v>
      </c>
      <c r="AL60" s="8">
        <v>39823543</v>
      </c>
      <c r="AM60" s="8">
        <v>47010366</v>
      </c>
      <c r="AN60" s="8">
        <v>61458965</v>
      </c>
      <c r="AO60" s="9">
        <f t="shared" si="40"/>
        <v>61458965</v>
      </c>
      <c r="AP60" s="8">
        <v>0</v>
      </c>
      <c r="AQ60" s="8">
        <v>43451</v>
      </c>
      <c r="AR60" s="8">
        <v>6381762</v>
      </c>
      <c r="AS60" s="8">
        <v>11054623</v>
      </c>
      <c r="AT60" s="8">
        <v>15079476</v>
      </c>
      <c r="AU60" s="8">
        <v>18322176</v>
      </c>
      <c r="AV60" s="8">
        <v>22489207</v>
      </c>
      <c r="AW60" s="8">
        <v>26693958</v>
      </c>
      <c r="AX60" s="8">
        <v>31570624</v>
      </c>
      <c r="AY60" s="8">
        <v>37626385</v>
      </c>
      <c r="AZ60" s="8">
        <v>45141783</v>
      </c>
      <c r="BA60" s="8">
        <v>65482649</v>
      </c>
      <c r="BB60" s="9">
        <f t="shared" si="41"/>
        <v>65482649</v>
      </c>
      <c r="BC60" s="8">
        <v>0</v>
      </c>
      <c r="BD60" s="8">
        <v>0</v>
      </c>
      <c r="BE60" s="8">
        <v>8987133</v>
      </c>
      <c r="BF60" s="8">
        <v>14119906</v>
      </c>
      <c r="BG60" s="8">
        <v>18017167</v>
      </c>
      <c r="BH60" s="8">
        <v>21413096</v>
      </c>
      <c r="BI60" s="8">
        <v>24430930</v>
      </c>
      <c r="BJ60" s="8">
        <v>27550274</v>
      </c>
      <c r="BK60" s="8">
        <v>30736201</v>
      </c>
      <c r="BL60" s="8">
        <v>35415402</v>
      </c>
      <c r="BM60" s="8">
        <v>46178819</v>
      </c>
      <c r="BN60" s="8">
        <v>57766807</v>
      </c>
      <c r="BO60" s="9">
        <f t="shared" si="42"/>
        <v>57766807</v>
      </c>
      <c r="BP60" s="8">
        <v>0</v>
      </c>
      <c r="BQ60" s="8">
        <v>0</v>
      </c>
      <c r="BR60" s="8">
        <v>9612053</v>
      </c>
      <c r="BS60" s="8">
        <v>13818878</v>
      </c>
      <c r="BT60" s="8">
        <v>16872617</v>
      </c>
      <c r="BU60" s="8">
        <v>21351154</v>
      </c>
      <c r="BV60" s="8">
        <v>25315392</v>
      </c>
      <c r="BW60" s="8">
        <v>28294973</v>
      </c>
      <c r="BX60" s="8">
        <v>30810123</v>
      </c>
      <c r="BY60" s="8">
        <v>33442924</v>
      </c>
      <c r="BZ60" s="8">
        <v>38060457</v>
      </c>
      <c r="CA60" s="8">
        <v>51041585</v>
      </c>
      <c r="CB60" s="9">
        <f t="shared" si="43"/>
        <v>51041585</v>
      </c>
      <c r="CC60" s="8">
        <v>0</v>
      </c>
      <c r="CD60" s="8">
        <v>0</v>
      </c>
      <c r="CE60" s="8">
        <v>6424503</v>
      </c>
      <c r="CF60" s="8">
        <v>9878571</v>
      </c>
      <c r="CG60" s="8">
        <v>13104189</v>
      </c>
      <c r="CH60" s="8">
        <v>15753019</v>
      </c>
      <c r="CI60" s="8">
        <v>19023549</v>
      </c>
      <c r="CJ60" s="8">
        <v>23239366</v>
      </c>
      <c r="CK60" s="8">
        <v>31131974</v>
      </c>
      <c r="CL60" s="8">
        <v>35551974</v>
      </c>
      <c r="CM60" s="8">
        <v>46895221</v>
      </c>
      <c r="CN60" s="8">
        <v>61574099</v>
      </c>
      <c r="CO60" s="9">
        <f t="shared" si="44"/>
        <v>61574099</v>
      </c>
      <c r="CP60" s="8">
        <v>0</v>
      </c>
      <c r="CQ60" s="8">
        <v>0</v>
      </c>
      <c r="CR60" s="8">
        <v>9171371</v>
      </c>
      <c r="CS60" s="8">
        <v>20167605</v>
      </c>
      <c r="CT60" s="8">
        <v>26768507</v>
      </c>
      <c r="CU60" s="8">
        <v>34468225</v>
      </c>
      <c r="CV60" s="8">
        <v>41087061</v>
      </c>
      <c r="CW60" s="8">
        <v>49548059</v>
      </c>
      <c r="CX60" s="8">
        <v>57425159</v>
      </c>
      <c r="CY60" s="8">
        <v>66050722</v>
      </c>
      <c r="CZ60" s="8">
        <v>74504640</v>
      </c>
      <c r="DA60" s="8">
        <v>93248356</v>
      </c>
      <c r="DB60" s="9">
        <f t="shared" si="45"/>
        <v>93248356</v>
      </c>
      <c r="DC60" s="8">
        <v>0</v>
      </c>
      <c r="DD60" s="8">
        <v>20</v>
      </c>
      <c r="DE60" s="8">
        <v>7814847</v>
      </c>
      <c r="DF60" s="8">
        <v>14488934</v>
      </c>
      <c r="DG60" s="8">
        <v>20550387</v>
      </c>
      <c r="DH60" s="8">
        <v>25905467</v>
      </c>
      <c r="DI60" s="8">
        <v>31180285</v>
      </c>
      <c r="DJ60" s="8">
        <v>35454583</v>
      </c>
      <c r="DK60" s="8">
        <v>43316522</v>
      </c>
      <c r="DL60" s="8">
        <v>50229978</v>
      </c>
      <c r="DM60" s="8">
        <v>60493790</v>
      </c>
      <c r="DN60" s="8">
        <v>91204741</v>
      </c>
      <c r="DO60" s="9">
        <f t="shared" si="46"/>
        <v>91204741</v>
      </c>
      <c r="DP60" s="8">
        <v>0</v>
      </c>
      <c r="DQ60" s="8">
        <v>0</v>
      </c>
      <c r="DR60" s="8">
        <v>7743578</v>
      </c>
      <c r="DS60" s="8">
        <v>12770777</v>
      </c>
      <c r="DT60" s="8">
        <v>22600345</v>
      </c>
      <c r="DU60" s="8">
        <v>29409607</v>
      </c>
      <c r="DV60" s="8">
        <v>34855974</v>
      </c>
      <c r="DW60" s="8">
        <v>38558182</v>
      </c>
      <c r="DX60" s="8">
        <v>39905006</v>
      </c>
      <c r="DY60" s="8">
        <v>43685225</v>
      </c>
      <c r="DZ60" s="8">
        <v>48485518</v>
      </c>
      <c r="EA60" s="8">
        <v>69805257</v>
      </c>
      <c r="EB60" s="9">
        <f t="shared" si="47"/>
        <v>69805257</v>
      </c>
      <c r="EC60" s="8">
        <v>0</v>
      </c>
      <c r="ED60" s="8">
        <v>0</v>
      </c>
      <c r="EE60" s="8">
        <v>5802062</v>
      </c>
      <c r="EF60" s="8">
        <v>26606325</v>
      </c>
      <c r="EG60" s="8">
        <v>37830174</v>
      </c>
      <c r="EH60" s="8">
        <v>47455810</v>
      </c>
      <c r="EI60" s="8">
        <v>52375257</v>
      </c>
      <c r="EJ60" s="8">
        <v>56860092</v>
      </c>
      <c r="EK60" s="8">
        <v>60181952</v>
      </c>
      <c r="EL60" s="8">
        <v>63436734</v>
      </c>
      <c r="EM60" s="8">
        <v>69842295</v>
      </c>
      <c r="EN60" s="8">
        <v>84329419</v>
      </c>
      <c r="EO60" s="9">
        <f t="shared" si="48"/>
        <v>84329419</v>
      </c>
      <c r="EP60" s="8">
        <v>0</v>
      </c>
      <c r="EQ60" s="8">
        <v>0</v>
      </c>
      <c r="ER60" s="8">
        <v>12132484</v>
      </c>
      <c r="ES60" s="8">
        <v>17263226</v>
      </c>
      <c r="ET60" s="8">
        <v>25244869</v>
      </c>
      <c r="EU60" s="8">
        <v>31340839</v>
      </c>
      <c r="EV60" s="8">
        <v>39240658</v>
      </c>
      <c r="EW60" s="8">
        <v>41627865</v>
      </c>
      <c r="EX60" s="8">
        <v>45007011</v>
      </c>
      <c r="EY60" s="8">
        <v>56559786</v>
      </c>
      <c r="EZ60" s="8">
        <v>61325912</v>
      </c>
      <c r="FA60" s="8">
        <v>79219999</v>
      </c>
      <c r="FB60" s="9">
        <f t="shared" si="49"/>
        <v>79219999</v>
      </c>
      <c r="FC60" s="8">
        <v>0</v>
      </c>
      <c r="FD60" s="8">
        <v>8700230</v>
      </c>
      <c r="FE60" s="8">
        <v>16017382</v>
      </c>
      <c r="FF60" s="8">
        <v>19225220</v>
      </c>
      <c r="FG60" s="8">
        <v>23499085</v>
      </c>
      <c r="FH60" s="8">
        <v>28587732</v>
      </c>
      <c r="FI60" s="8">
        <v>32956485</v>
      </c>
      <c r="FJ60" s="8"/>
      <c r="FK60" s="8"/>
      <c r="FL60" s="8"/>
      <c r="FM60" s="8"/>
      <c r="FN60" s="8"/>
      <c r="FO60" s="9">
        <f t="shared" si="50"/>
        <v>32956485</v>
      </c>
    </row>
    <row r="61" spans="2:171" ht="14.25" customHeight="1" x14ac:dyDescent="0.3">
      <c r="B61" s="7" t="s">
        <v>52</v>
      </c>
      <c r="C61" s="8">
        <v>0</v>
      </c>
      <c r="D61" s="8">
        <v>22242</v>
      </c>
      <c r="E61" s="8">
        <v>478896</v>
      </c>
      <c r="F61" s="8">
        <v>2549912</v>
      </c>
      <c r="G61" s="8">
        <v>5167975</v>
      </c>
      <c r="H61" s="8">
        <v>6238179</v>
      </c>
      <c r="I61" s="8">
        <v>7905028</v>
      </c>
      <c r="J61" s="8">
        <v>9924768</v>
      </c>
      <c r="K61" s="8">
        <v>11965300</v>
      </c>
      <c r="L61" s="8">
        <v>15043991</v>
      </c>
      <c r="M61" s="8">
        <v>17656937</v>
      </c>
      <c r="N61" s="8">
        <v>23748761</v>
      </c>
      <c r="O61" s="9">
        <f t="shared" si="38"/>
        <v>23748761</v>
      </c>
      <c r="P61" s="8">
        <v>1254564</v>
      </c>
      <c r="Q61" s="8">
        <v>3173445</v>
      </c>
      <c r="R61" s="8">
        <v>4991770</v>
      </c>
      <c r="S61" s="8">
        <v>6315165</v>
      </c>
      <c r="T61" s="8">
        <v>7229974</v>
      </c>
      <c r="U61" s="8">
        <v>8881782</v>
      </c>
      <c r="V61" s="8">
        <v>9995926</v>
      </c>
      <c r="W61" s="8">
        <v>11130328</v>
      </c>
      <c r="X61" s="8">
        <v>12266626</v>
      </c>
      <c r="Y61" s="8">
        <v>12938846</v>
      </c>
      <c r="Z61" s="8">
        <v>14602559</v>
      </c>
      <c r="AA61" s="8">
        <v>17797525</v>
      </c>
      <c r="AB61" s="9">
        <f t="shared" si="39"/>
        <v>17797525</v>
      </c>
      <c r="AC61" s="8">
        <v>9176</v>
      </c>
      <c r="AD61" s="8">
        <v>1428632</v>
      </c>
      <c r="AE61" s="8">
        <v>2465590</v>
      </c>
      <c r="AF61" s="8">
        <v>3433499</v>
      </c>
      <c r="AG61" s="8">
        <v>4351308</v>
      </c>
      <c r="AH61" s="8">
        <v>5226281</v>
      </c>
      <c r="AI61" s="8">
        <v>5968589</v>
      </c>
      <c r="AJ61" s="8">
        <v>6672133</v>
      </c>
      <c r="AK61" s="8">
        <v>7390606</v>
      </c>
      <c r="AL61" s="8">
        <v>8553565</v>
      </c>
      <c r="AM61" s="8">
        <v>9986200</v>
      </c>
      <c r="AN61" s="8">
        <v>13373805</v>
      </c>
      <c r="AO61" s="9">
        <f t="shared" si="40"/>
        <v>13373805</v>
      </c>
      <c r="AP61" s="8">
        <v>255076</v>
      </c>
      <c r="AQ61" s="8">
        <v>1188844</v>
      </c>
      <c r="AR61" s="8">
        <v>2543469</v>
      </c>
      <c r="AS61" s="8">
        <v>3286158</v>
      </c>
      <c r="AT61" s="8">
        <v>3978582</v>
      </c>
      <c r="AU61" s="8">
        <v>5322922</v>
      </c>
      <c r="AV61" s="8">
        <v>5759652</v>
      </c>
      <c r="AW61" s="8">
        <v>6814851</v>
      </c>
      <c r="AX61" s="8">
        <v>7633241</v>
      </c>
      <c r="AY61" s="8">
        <v>8233443</v>
      </c>
      <c r="AZ61" s="8">
        <v>9070756</v>
      </c>
      <c r="BA61" s="8">
        <v>11670063</v>
      </c>
      <c r="BB61" s="9">
        <f t="shared" si="41"/>
        <v>11670063</v>
      </c>
      <c r="BC61" s="8">
        <v>0</v>
      </c>
      <c r="BD61" s="8">
        <v>568944</v>
      </c>
      <c r="BE61" s="8">
        <v>1975522</v>
      </c>
      <c r="BF61" s="8">
        <v>2922577</v>
      </c>
      <c r="BG61" s="8">
        <v>3924253</v>
      </c>
      <c r="BH61" s="8">
        <v>4839396</v>
      </c>
      <c r="BI61" s="8">
        <v>5642790</v>
      </c>
      <c r="BJ61" s="8">
        <v>6683163</v>
      </c>
      <c r="BK61" s="8">
        <v>7629648</v>
      </c>
      <c r="BL61" s="8">
        <v>8541640</v>
      </c>
      <c r="BM61" s="8">
        <v>9172530</v>
      </c>
      <c r="BN61" s="8">
        <v>13993895</v>
      </c>
      <c r="BO61" s="9">
        <f t="shared" si="42"/>
        <v>13993895</v>
      </c>
      <c r="BP61" s="8">
        <v>0</v>
      </c>
      <c r="BQ61" s="8">
        <v>560042</v>
      </c>
      <c r="BR61" s="8">
        <v>2689600</v>
      </c>
      <c r="BS61" s="8">
        <v>2832524</v>
      </c>
      <c r="BT61" s="8">
        <v>3699337</v>
      </c>
      <c r="BU61" s="8">
        <v>4639655</v>
      </c>
      <c r="BV61" s="8">
        <v>4702977</v>
      </c>
      <c r="BW61" s="8">
        <v>5388587</v>
      </c>
      <c r="BX61" s="8">
        <v>5954537</v>
      </c>
      <c r="BY61" s="8">
        <v>6511917</v>
      </c>
      <c r="BZ61" s="8">
        <v>7937328</v>
      </c>
      <c r="CA61" s="8">
        <v>12042288</v>
      </c>
      <c r="CB61" s="9">
        <f t="shared" si="43"/>
        <v>12042288</v>
      </c>
      <c r="CC61" s="8">
        <v>0</v>
      </c>
      <c r="CD61" s="8">
        <v>0</v>
      </c>
      <c r="CE61" s="8">
        <v>1043612</v>
      </c>
      <c r="CF61" s="8">
        <v>1649999</v>
      </c>
      <c r="CG61" s="8">
        <v>3165833</v>
      </c>
      <c r="CH61" s="8">
        <v>3614370</v>
      </c>
      <c r="CI61" s="8">
        <v>4396015</v>
      </c>
      <c r="CJ61" s="8">
        <v>4778929</v>
      </c>
      <c r="CK61" s="8">
        <v>5047595</v>
      </c>
      <c r="CL61" s="8">
        <v>6124286</v>
      </c>
      <c r="CM61" s="8">
        <v>6338278</v>
      </c>
      <c r="CN61" s="8">
        <v>10402261</v>
      </c>
      <c r="CO61" s="9">
        <f t="shared" si="44"/>
        <v>10402261</v>
      </c>
      <c r="CP61" s="8">
        <v>1000</v>
      </c>
      <c r="CQ61" s="8">
        <v>99098</v>
      </c>
      <c r="CR61" s="8">
        <v>415702</v>
      </c>
      <c r="CS61" s="8">
        <v>1181604</v>
      </c>
      <c r="CT61" s="8">
        <v>2061999</v>
      </c>
      <c r="CU61" s="8">
        <v>2518382</v>
      </c>
      <c r="CV61" s="8">
        <v>3449968</v>
      </c>
      <c r="CW61" s="8">
        <v>3878692</v>
      </c>
      <c r="CX61" s="8">
        <v>6374836</v>
      </c>
      <c r="CY61" s="8">
        <v>6949560</v>
      </c>
      <c r="CZ61" s="8">
        <v>7815000</v>
      </c>
      <c r="DA61" s="8">
        <v>9473969</v>
      </c>
      <c r="DB61" s="9">
        <f t="shared" si="45"/>
        <v>9473969</v>
      </c>
      <c r="DC61" s="8">
        <v>0</v>
      </c>
      <c r="DD61" s="8">
        <v>577978</v>
      </c>
      <c r="DE61" s="8">
        <v>1236819</v>
      </c>
      <c r="DF61" s="8">
        <v>1977797</v>
      </c>
      <c r="DG61" s="8">
        <v>2357232</v>
      </c>
      <c r="DH61" s="8">
        <v>2969508</v>
      </c>
      <c r="DI61" s="8">
        <v>3318916</v>
      </c>
      <c r="DJ61" s="8">
        <v>3995498</v>
      </c>
      <c r="DK61" s="8">
        <v>4545865</v>
      </c>
      <c r="DL61" s="8">
        <v>4876192</v>
      </c>
      <c r="DM61" s="8">
        <v>5746022</v>
      </c>
      <c r="DN61" s="8">
        <v>6861203</v>
      </c>
      <c r="DO61" s="9">
        <f t="shared" si="46"/>
        <v>6861203</v>
      </c>
      <c r="DP61" s="8">
        <v>0</v>
      </c>
      <c r="DQ61" s="8">
        <v>492390</v>
      </c>
      <c r="DR61" s="8">
        <v>1774370</v>
      </c>
      <c r="DS61" s="8">
        <v>2626789</v>
      </c>
      <c r="DT61" s="8">
        <v>3586562</v>
      </c>
      <c r="DU61" s="8">
        <v>4109229</v>
      </c>
      <c r="DV61" s="8">
        <v>4791193</v>
      </c>
      <c r="DW61" s="8">
        <v>4985805</v>
      </c>
      <c r="DX61" s="8">
        <v>5467268</v>
      </c>
      <c r="DY61" s="8">
        <v>5861823</v>
      </c>
      <c r="DZ61" s="8">
        <v>6425422</v>
      </c>
      <c r="EA61" s="8">
        <v>8992823</v>
      </c>
      <c r="EB61" s="9">
        <f t="shared" si="47"/>
        <v>8992823</v>
      </c>
      <c r="EC61" s="8">
        <v>0</v>
      </c>
      <c r="ED61" s="8">
        <v>276844</v>
      </c>
      <c r="EE61" s="8">
        <v>1164884</v>
      </c>
      <c r="EF61" s="8">
        <v>1445217</v>
      </c>
      <c r="EG61" s="8">
        <v>1635928</v>
      </c>
      <c r="EH61" s="8">
        <v>1791794</v>
      </c>
      <c r="EI61" s="8">
        <v>1875060</v>
      </c>
      <c r="EJ61" s="8">
        <v>2301121</v>
      </c>
      <c r="EK61" s="8">
        <v>2703028</v>
      </c>
      <c r="EL61" s="8">
        <v>3355875</v>
      </c>
      <c r="EM61" s="8">
        <v>4056976</v>
      </c>
      <c r="EN61" s="8">
        <v>5186229</v>
      </c>
      <c r="EO61" s="9">
        <f t="shared" si="48"/>
        <v>5186229</v>
      </c>
      <c r="EP61" s="8">
        <v>0</v>
      </c>
      <c r="EQ61" s="8">
        <v>454298</v>
      </c>
      <c r="ER61" s="8">
        <v>1364864</v>
      </c>
      <c r="ES61" s="8">
        <v>2152908</v>
      </c>
      <c r="ET61" s="8">
        <v>3067456</v>
      </c>
      <c r="EU61" s="8">
        <v>3591831</v>
      </c>
      <c r="EV61" s="8">
        <v>4024502</v>
      </c>
      <c r="EW61" s="8">
        <v>4758598</v>
      </c>
      <c r="EX61" s="8">
        <v>6018242</v>
      </c>
      <c r="EY61" s="8">
        <v>6553969</v>
      </c>
      <c r="EZ61" s="8">
        <v>7179799</v>
      </c>
      <c r="FA61" s="8">
        <v>8275294</v>
      </c>
      <c r="FB61" s="9">
        <f t="shared" si="49"/>
        <v>8275294</v>
      </c>
      <c r="FC61" s="8">
        <v>204442</v>
      </c>
      <c r="FD61" s="8">
        <v>1444145</v>
      </c>
      <c r="FE61" s="8">
        <v>3179839</v>
      </c>
      <c r="FF61" s="8">
        <v>3866613</v>
      </c>
      <c r="FG61" s="8">
        <v>4135039</v>
      </c>
      <c r="FH61" s="8">
        <v>4729235</v>
      </c>
      <c r="FI61" s="8">
        <v>5630349</v>
      </c>
      <c r="FJ61" s="8"/>
      <c r="FK61" s="8"/>
      <c r="FL61" s="8"/>
      <c r="FM61" s="8"/>
      <c r="FN61" s="8"/>
      <c r="FO61" s="9">
        <f t="shared" si="50"/>
        <v>5630349</v>
      </c>
    </row>
    <row r="62" spans="2:171" ht="14.25" customHeight="1" x14ac:dyDescent="0.3">
      <c r="B62" s="7" t="s">
        <v>53</v>
      </c>
      <c r="C62" s="8">
        <v>0</v>
      </c>
      <c r="D62" s="8">
        <v>7202</v>
      </c>
      <c r="E62" s="8">
        <v>3176200</v>
      </c>
      <c r="F62" s="8">
        <v>4006859</v>
      </c>
      <c r="G62" s="8">
        <v>4424912</v>
      </c>
      <c r="H62" s="8">
        <v>4821159</v>
      </c>
      <c r="I62" s="8">
        <v>5158438</v>
      </c>
      <c r="J62" s="8">
        <v>5423043</v>
      </c>
      <c r="K62" s="8">
        <v>6939626</v>
      </c>
      <c r="L62" s="8">
        <v>8379851</v>
      </c>
      <c r="M62" s="8">
        <v>9648365</v>
      </c>
      <c r="N62" s="8">
        <v>11692667</v>
      </c>
      <c r="O62" s="9">
        <f t="shared" si="38"/>
        <v>11692667</v>
      </c>
      <c r="P62" s="8">
        <v>0</v>
      </c>
      <c r="Q62" s="8">
        <v>759446</v>
      </c>
      <c r="R62" s="8">
        <v>1730817</v>
      </c>
      <c r="S62" s="8">
        <v>2751576</v>
      </c>
      <c r="T62" s="8">
        <v>3194132</v>
      </c>
      <c r="U62" s="8">
        <v>4637000</v>
      </c>
      <c r="V62" s="8">
        <v>5482147</v>
      </c>
      <c r="W62" s="8">
        <v>7320179</v>
      </c>
      <c r="X62" s="8">
        <v>9906296</v>
      </c>
      <c r="Y62" s="8">
        <v>13305528</v>
      </c>
      <c r="Z62" s="8">
        <v>16063966</v>
      </c>
      <c r="AA62" s="8">
        <v>22241143</v>
      </c>
      <c r="AB62" s="9">
        <f t="shared" si="39"/>
        <v>22241143</v>
      </c>
      <c r="AC62" s="8">
        <v>2719828</v>
      </c>
      <c r="AD62" s="8">
        <v>5948540</v>
      </c>
      <c r="AE62" s="8">
        <v>8880077</v>
      </c>
      <c r="AF62" s="8">
        <v>10394535</v>
      </c>
      <c r="AG62" s="8">
        <v>11735192</v>
      </c>
      <c r="AH62" s="8">
        <v>13862936</v>
      </c>
      <c r="AI62" s="8">
        <v>15854225</v>
      </c>
      <c r="AJ62" s="8">
        <v>17677233</v>
      </c>
      <c r="AK62" s="8">
        <v>18638802</v>
      </c>
      <c r="AL62" s="8">
        <v>19689703</v>
      </c>
      <c r="AM62" s="8">
        <v>21339509</v>
      </c>
      <c r="AN62" s="8">
        <v>24953816</v>
      </c>
      <c r="AO62" s="9">
        <f t="shared" si="40"/>
        <v>24953816</v>
      </c>
      <c r="AP62" s="8">
        <v>0</v>
      </c>
      <c r="AQ62" s="8">
        <v>2119333</v>
      </c>
      <c r="AR62" s="8">
        <v>4260332</v>
      </c>
      <c r="AS62" s="8">
        <v>5387834</v>
      </c>
      <c r="AT62" s="8">
        <v>8197687</v>
      </c>
      <c r="AU62" s="8">
        <v>10069833</v>
      </c>
      <c r="AV62" s="8">
        <v>11455116</v>
      </c>
      <c r="AW62" s="8">
        <v>12817014</v>
      </c>
      <c r="AX62" s="8">
        <v>14074095</v>
      </c>
      <c r="AY62" s="8">
        <v>16238954</v>
      </c>
      <c r="AZ62" s="8">
        <v>19882223</v>
      </c>
      <c r="BA62" s="8">
        <v>25294991</v>
      </c>
      <c r="BB62" s="9">
        <f t="shared" si="41"/>
        <v>25294991</v>
      </c>
      <c r="BC62" s="8">
        <v>2991337</v>
      </c>
      <c r="BD62" s="8">
        <v>5558521</v>
      </c>
      <c r="BE62" s="8">
        <v>7476713</v>
      </c>
      <c r="BF62" s="8">
        <v>10423728</v>
      </c>
      <c r="BG62" s="8">
        <v>13982342</v>
      </c>
      <c r="BH62" s="8">
        <v>15710790</v>
      </c>
      <c r="BI62" s="8">
        <v>18080520</v>
      </c>
      <c r="BJ62" s="8">
        <v>19629237</v>
      </c>
      <c r="BK62" s="8">
        <v>21227499</v>
      </c>
      <c r="BL62" s="8">
        <v>22352857</v>
      </c>
      <c r="BM62" s="8">
        <v>25934821</v>
      </c>
      <c r="BN62" s="8">
        <v>29681699</v>
      </c>
      <c r="BO62" s="9">
        <f t="shared" si="42"/>
        <v>29681699</v>
      </c>
      <c r="BP62" s="8">
        <v>0</v>
      </c>
      <c r="BQ62" s="8">
        <v>1436174</v>
      </c>
      <c r="BR62" s="8">
        <v>4654419</v>
      </c>
      <c r="BS62" s="8">
        <v>5903657</v>
      </c>
      <c r="BT62" s="8">
        <v>8722713</v>
      </c>
      <c r="BU62" s="8">
        <v>11002949</v>
      </c>
      <c r="BV62" s="8">
        <v>12796788</v>
      </c>
      <c r="BW62" s="8">
        <v>14941827</v>
      </c>
      <c r="BX62" s="8">
        <v>16817139</v>
      </c>
      <c r="BY62" s="8">
        <v>20861092</v>
      </c>
      <c r="BZ62" s="8">
        <v>24834887</v>
      </c>
      <c r="CA62" s="8">
        <v>29748545</v>
      </c>
      <c r="CB62" s="9">
        <f t="shared" si="43"/>
        <v>29748545</v>
      </c>
      <c r="CC62" s="8">
        <v>0</v>
      </c>
      <c r="CD62" s="8">
        <v>1421550</v>
      </c>
      <c r="CE62" s="8">
        <v>5936171</v>
      </c>
      <c r="CF62" s="8">
        <v>9196573</v>
      </c>
      <c r="CG62" s="8">
        <v>10845707</v>
      </c>
      <c r="CH62" s="8">
        <v>12720299</v>
      </c>
      <c r="CI62" s="8">
        <v>13547075</v>
      </c>
      <c r="CJ62" s="8">
        <v>13873276</v>
      </c>
      <c r="CK62" s="8">
        <v>16520877</v>
      </c>
      <c r="CL62" s="8">
        <v>17188208</v>
      </c>
      <c r="CM62" s="8">
        <v>18070270</v>
      </c>
      <c r="CN62" s="8">
        <v>22057592</v>
      </c>
      <c r="CO62" s="9">
        <f t="shared" si="44"/>
        <v>22057592</v>
      </c>
      <c r="CP62" s="8">
        <v>230063</v>
      </c>
      <c r="CQ62" s="8">
        <v>2679421</v>
      </c>
      <c r="CR62" s="8">
        <v>4420753</v>
      </c>
      <c r="CS62" s="8">
        <v>5625485</v>
      </c>
      <c r="CT62" s="8">
        <v>8547030</v>
      </c>
      <c r="CU62" s="8">
        <v>10394218</v>
      </c>
      <c r="CV62" s="8">
        <v>12259307</v>
      </c>
      <c r="CW62" s="8">
        <v>13792087</v>
      </c>
      <c r="CX62" s="8">
        <v>14859039</v>
      </c>
      <c r="CY62" s="8">
        <v>15945761</v>
      </c>
      <c r="CZ62" s="8">
        <v>16872512</v>
      </c>
      <c r="DA62" s="8">
        <v>21863438</v>
      </c>
      <c r="DB62" s="9">
        <f t="shared" si="45"/>
        <v>21863438</v>
      </c>
      <c r="DC62" s="8">
        <v>0</v>
      </c>
      <c r="DD62" s="8">
        <v>922651</v>
      </c>
      <c r="DE62" s="8">
        <v>2516611</v>
      </c>
      <c r="DF62" s="8">
        <v>4242046</v>
      </c>
      <c r="DG62" s="8">
        <v>5842634</v>
      </c>
      <c r="DH62" s="8">
        <v>7701318</v>
      </c>
      <c r="DI62" s="8">
        <v>8879148</v>
      </c>
      <c r="DJ62" s="8">
        <v>10547577</v>
      </c>
      <c r="DK62" s="8">
        <v>11329010</v>
      </c>
      <c r="DL62" s="8">
        <v>12221517</v>
      </c>
      <c r="DM62" s="8">
        <v>14355204</v>
      </c>
      <c r="DN62" s="8">
        <v>17959345</v>
      </c>
      <c r="DO62" s="9">
        <f t="shared" si="46"/>
        <v>17959345</v>
      </c>
      <c r="DP62" s="8">
        <v>0</v>
      </c>
      <c r="DQ62" s="8">
        <v>139737</v>
      </c>
      <c r="DR62" s="8">
        <v>1933892</v>
      </c>
      <c r="DS62" s="8">
        <v>2566443</v>
      </c>
      <c r="DT62" s="8">
        <v>4806556</v>
      </c>
      <c r="DU62" s="8">
        <v>5940484</v>
      </c>
      <c r="DV62" s="8">
        <v>6960232</v>
      </c>
      <c r="DW62" s="8">
        <v>8468944</v>
      </c>
      <c r="DX62" s="8">
        <v>9342327</v>
      </c>
      <c r="DY62" s="8">
        <v>10407121</v>
      </c>
      <c r="DZ62" s="8">
        <v>10942387</v>
      </c>
      <c r="EA62" s="8">
        <v>14585744</v>
      </c>
      <c r="EB62" s="9">
        <f t="shared" si="47"/>
        <v>14585744</v>
      </c>
      <c r="EC62" s="8">
        <v>0</v>
      </c>
      <c r="ED62" s="8">
        <v>754193</v>
      </c>
      <c r="EE62" s="8">
        <v>3484262</v>
      </c>
      <c r="EF62" s="8">
        <v>4899524</v>
      </c>
      <c r="EG62" s="8">
        <v>6887240</v>
      </c>
      <c r="EH62" s="8">
        <v>7953500</v>
      </c>
      <c r="EI62" s="8">
        <v>9188042</v>
      </c>
      <c r="EJ62" s="8">
        <v>10190994</v>
      </c>
      <c r="EK62" s="8">
        <v>15388503</v>
      </c>
      <c r="EL62" s="8">
        <v>17047081</v>
      </c>
      <c r="EM62" s="8">
        <v>18216853</v>
      </c>
      <c r="EN62" s="8">
        <v>19302172</v>
      </c>
      <c r="EO62" s="9">
        <f t="shared" si="48"/>
        <v>19302172</v>
      </c>
      <c r="EP62" s="8">
        <v>0</v>
      </c>
      <c r="EQ62" s="8">
        <v>2936145</v>
      </c>
      <c r="ER62" s="8">
        <v>3840604</v>
      </c>
      <c r="ES62" s="8">
        <v>5205000</v>
      </c>
      <c r="ET62" s="8">
        <v>7087387</v>
      </c>
      <c r="EU62" s="8">
        <v>8761945</v>
      </c>
      <c r="EV62" s="8">
        <v>9648079</v>
      </c>
      <c r="EW62" s="8">
        <v>11529540</v>
      </c>
      <c r="EX62" s="8">
        <v>12156420</v>
      </c>
      <c r="EY62" s="8">
        <v>13138327</v>
      </c>
      <c r="EZ62" s="8">
        <v>14104360</v>
      </c>
      <c r="FA62" s="8">
        <v>16237313</v>
      </c>
      <c r="FB62" s="9">
        <f t="shared" si="49"/>
        <v>16237313</v>
      </c>
      <c r="FC62" s="8">
        <v>0</v>
      </c>
      <c r="FD62" s="8">
        <v>977735</v>
      </c>
      <c r="FE62" s="8">
        <v>1877551</v>
      </c>
      <c r="FF62" s="8">
        <v>2945279</v>
      </c>
      <c r="FG62" s="8">
        <v>3540409</v>
      </c>
      <c r="FH62" s="8">
        <v>4135011</v>
      </c>
      <c r="FI62" s="8">
        <v>4717171</v>
      </c>
      <c r="FJ62" s="8"/>
      <c r="FK62" s="8"/>
      <c r="FL62" s="8"/>
      <c r="FM62" s="8"/>
      <c r="FN62" s="8"/>
      <c r="FO62" s="9">
        <f t="shared" si="50"/>
        <v>4717171</v>
      </c>
    </row>
    <row r="63" spans="2:171" ht="14.25" customHeight="1" x14ac:dyDescent="0.3">
      <c r="B63" s="7" t="s">
        <v>54</v>
      </c>
      <c r="C63" s="8">
        <v>0</v>
      </c>
      <c r="D63" s="8">
        <v>0</v>
      </c>
      <c r="E63" s="8">
        <v>0</v>
      </c>
      <c r="F63" s="8">
        <v>0</v>
      </c>
      <c r="G63" s="8">
        <v>0</v>
      </c>
      <c r="H63" s="8">
        <v>0</v>
      </c>
      <c r="I63" s="8">
        <v>0</v>
      </c>
      <c r="J63" s="8">
        <v>0</v>
      </c>
      <c r="K63" s="8">
        <v>0</v>
      </c>
      <c r="L63" s="8">
        <v>0</v>
      </c>
      <c r="M63" s="8">
        <v>0</v>
      </c>
      <c r="N63" s="8">
        <v>0</v>
      </c>
      <c r="O63" s="9">
        <f t="shared" si="38"/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  <c r="Y63" s="8">
        <v>0</v>
      </c>
      <c r="Z63" s="8">
        <v>0</v>
      </c>
      <c r="AA63" s="8">
        <v>0</v>
      </c>
      <c r="AB63" s="9">
        <f t="shared" si="39"/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9">
        <f t="shared" si="40"/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0</v>
      </c>
      <c r="AY63" s="8">
        <v>0</v>
      </c>
      <c r="AZ63" s="8">
        <v>0</v>
      </c>
      <c r="BA63" s="8">
        <v>0</v>
      </c>
      <c r="BB63" s="9">
        <f t="shared" si="41"/>
        <v>0</v>
      </c>
      <c r="BC63" s="8">
        <v>0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8">
        <v>0</v>
      </c>
      <c r="BL63" s="8">
        <v>0</v>
      </c>
      <c r="BM63" s="8">
        <v>0</v>
      </c>
      <c r="BN63" s="8">
        <v>0</v>
      </c>
      <c r="BO63" s="9">
        <f t="shared" si="42"/>
        <v>0</v>
      </c>
      <c r="BP63" s="8">
        <v>0</v>
      </c>
      <c r="BQ63" s="8">
        <v>0</v>
      </c>
      <c r="BR63" s="8">
        <v>0</v>
      </c>
      <c r="BS63" s="8">
        <v>0</v>
      </c>
      <c r="BT63" s="8">
        <v>0</v>
      </c>
      <c r="BU63" s="8">
        <v>874</v>
      </c>
      <c r="BV63" s="8">
        <v>1049</v>
      </c>
      <c r="BW63" s="8">
        <v>1524</v>
      </c>
      <c r="BX63" s="8">
        <v>1524</v>
      </c>
      <c r="BY63" s="8">
        <v>1524</v>
      </c>
      <c r="BZ63" s="8">
        <v>467746</v>
      </c>
      <c r="CA63" s="8">
        <v>1299327</v>
      </c>
      <c r="CB63" s="9">
        <f t="shared" si="43"/>
        <v>1299327</v>
      </c>
      <c r="CC63" s="8">
        <v>0</v>
      </c>
      <c r="CD63" s="8">
        <v>0</v>
      </c>
      <c r="CE63" s="8">
        <v>1114006</v>
      </c>
      <c r="CF63" s="8">
        <v>1584090</v>
      </c>
      <c r="CG63" s="8">
        <v>1906446</v>
      </c>
      <c r="CH63" s="8">
        <v>2183361</v>
      </c>
      <c r="CI63" s="8">
        <v>2523674</v>
      </c>
      <c r="CJ63" s="8">
        <v>2981886</v>
      </c>
      <c r="CK63" s="8">
        <v>3199263</v>
      </c>
      <c r="CL63" s="8">
        <v>3332552</v>
      </c>
      <c r="CM63" s="8">
        <v>4943147</v>
      </c>
      <c r="CN63" s="8">
        <v>7366369</v>
      </c>
      <c r="CO63" s="9">
        <f t="shared" si="44"/>
        <v>7366369</v>
      </c>
      <c r="CP63" s="8">
        <v>0</v>
      </c>
      <c r="CQ63" s="8">
        <v>1238171</v>
      </c>
      <c r="CR63" s="8">
        <v>2085725</v>
      </c>
      <c r="CS63" s="8">
        <v>3009570</v>
      </c>
      <c r="CT63" s="8">
        <v>4344721</v>
      </c>
      <c r="CU63" s="8">
        <v>6181413</v>
      </c>
      <c r="CV63" s="8">
        <v>7481590</v>
      </c>
      <c r="CW63" s="8">
        <v>8923223</v>
      </c>
      <c r="CX63" s="8">
        <v>9969186</v>
      </c>
      <c r="CY63" s="8">
        <v>12042447</v>
      </c>
      <c r="CZ63" s="8">
        <v>14316036</v>
      </c>
      <c r="DA63" s="8">
        <v>21083177</v>
      </c>
      <c r="DB63" s="9">
        <f t="shared" si="45"/>
        <v>21083177</v>
      </c>
      <c r="DC63" s="8">
        <v>0</v>
      </c>
      <c r="DD63" s="8">
        <v>6363</v>
      </c>
      <c r="DE63" s="8">
        <v>1963636</v>
      </c>
      <c r="DF63" s="8">
        <v>3158663</v>
      </c>
      <c r="DG63" s="8">
        <v>4714179</v>
      </c>
      <c r="DH63" s="8">
        <v>6147258</v>
      </c>
      <c r="DI63" s="8">
        <v>8342380</v>
      </c>
      <c r="DJ63" s="8">
        <v>9944276</v>
      </c>
      <c r="DK63" s="8">
        <v>11786997</v>
      </c>
      <c r="DL63" s="8">
        <v>13492671</v>
      </c>
      <c r="DM63" s="8">
        <v>15132338</v>
      </c>
      <c r="DN63" s="8">
        <v>19561462</v>
      </c>
      <c r="DO63" s="9">
        <f t="shared" si="46"/>
        <v>19561462</v>
      </c>
      <c r="DP63" s="8">
        <v>0</v>
      </c>
      <c r="DQ63" s="8">
        <v>1480106</v>
      </c>
      <c r="DR63" s="8">
        <v>5251198</v>
      </c>
      <c r="DS63" s="8">
        <v>8060203</v>
      </c>
      <c r="DT63" s="8">
        <v>9695784</v>
      </c>
      <c r="DU63" s="8">
        <v>11307082</v>
      </c>
      <c r="DV63" s="8">
        <v>12618163</v>
      </c>
      <c r="DW63" s="8">
        <v>14357900</v>
      </c>
      <c r="DX63" s="8">
        <v>16141680</v>
      </c>
      <c r="DY63" s="8">
        <v>17787508</v>
      </c>
      <c r="DZ63" s="8">
        <v>19945314</v>
      </c>
      <c r="EA63" s="8">
        <v>22005775</v>
      </c>
      <c r="EB63" s="9">
        <f t="shared" si="47"/>
        <v>22005775</v>
      </c>
      <c r="EC63" s="8">
        <v>0</v>
      </c>
      <c r="ED63" s="8">
        <v>825335</v>
      </c>
      <c r="EE63" s="8">
        <v>3513803</v>
      </c>
      <c r="EF63" s="8">
        <v>4931246</v>
      </c>
      <c r="EG63" s="8">
        <v>7350891</v>
      </c>
      <c r="EH63" s="8">
        <v>8756033</v>
      </c>
      <c r="EI63" s="8">
        <v>9821988</v>
      </c>
      <c r="EJ63" s="8">
        <v>11470086</v>
      </c>
      <c r="EK63" s="8">
        <v>12805474</v>
      </c>
      <c r="EL63" s="8">
        <v>14287326</v>
      </c>
      <c r="EM63" s="8">
        <v>15540449</v>
      </c>
      <c r="EN63" s="8">
        <v>17950052</v>
      </c>
      <c r="EO63" s="9">
        <f t="shared" si="48"/>
        <v>17950052</v>
      </c>
      <c r="EP63" s="8">
        <v>0</v>
      </c>
      <c r="EQ63" s="8">
        <v>148253</v>
      </c>
      <c r="ER63" s="8">
        <v>3292884</v>
      </c>
      <c r="ES63" s="8">
        <v>4257053</v>
      </c>
      <c r="ET63" s="8">
        <v>7062054</v>
      </c>
      <c r="EU63" s="8">
        <v>9495200</v>
      </c>
      <c r="EV63" s="8">
        <v>11760026</v>
      </c>
      <c r="EW63" s="8">
        <v>12709417</v>
      </c>
      <c r="EX63" s="8">
        <v>14311689</v>
      </c>
      <c r="EY63" s="8">
        <v>16551275</v>
      </c>
      <c r="EZ63" s="8">
        <v>17380835</v>
      </c>
      <c r="FA63" s="8">
        <v>21033526</v>
      </c>
      <c r="FB63" s="9">
        <f t="shared" si="49"/>
        <v>21033526</v>
      </c>
      <c r="FC63" s="8">
        <v>0</v>
      </c>
      <c r="FD63" s="8">
        <v>3262841</v>
      </c>
      <c r="FE63" s="8">
        <v>4333743</v>
      </c>
      <c r="FF63" s="8">
        <v>5206806</v>
      </c>
      <c r="FG63" s="8">
        <v>5938083</v>
      </c>
      <c r="FH63" s="8">
        <v>6532085</v>
      </c>
      <c r="FI63" s="8">
        <v>6546839</v>
      </c>
      <c r="FJ63" s="8"/>
      <c r="FK63" s="8"/>
      <c r="FL63" s="8"/>
      <c r="FM63" s="8"/>
      <c r="FN63" s="8"/>
      <c r="FO63" s="9">
        <f t="shared" si="50"/>
        <v>6546839</v>
      </c>
    </row>
    <row r="64" spans="2:171" ht="14.25" customHeight="1" x14ac:dyDescent="0.3">
      <c r="B64" s="7" t="s">
        <v>55</v>
      </c>
      <c r="C64" s="8">
        <v>0</v>
      </c>
      <c r="D64" s="8">
        <v>2885012</v>
      </c>
      <c r="E64" s="8">
        <v>10695769</v>
      </c>
      <c r="F64" s="8">
        <v>14829493</v>
      </c>
      <c r="G64" s="8">
        <v>18453355</v>
      </c>
      <c r="H64" s="8">
        <v>20948882</v>
      </c>
      <c r="I64" s="8">
        <v>23275818</v>
      </c>
      <c r="J64" s="8">
        <v>25821675</v>
      </c>
      <c r="K64" s="8">
        <v>28967574</v>
      </c>
      <c r="L64" s="8">
        <v>32271760</v>
      </c>
      <c r="M64" s="8">
        <v>39399558</v>
      </c>
      <c r="N64" s="8">
        <v>50465737</v>
      </c>
      <c r="O64" s="9">
        <f t="shared" si="38"/>
        <v>50465737</v>
      </c>
      <c r="P64" s="8">
        <v>2343503</v>
      </c>
      <c r="Q64" s="8">
        <v>4968953</v>
      </c>
      <c r="R64" s="8">
        <v>8016774</v>
      </c>
      <c r="S64" s="8">
        <v>12419090</v>
      </c>
      <c r="T64" s="8">
        <v>15651532</v>
      </c>
      <c r="U64" s="8">
        <v>19670088</v>
      </c>
      <c r="V64" s="8">
        <v>22485731</v>
      </c>
      <c r="W64" s="8">
        <v>25547310</v>
      </c>
      <c r="X64" s="8">
        <v>28792628</v>
      </c>
      <c r="Y64" s="8">
        <v>33223590</v>
      </c>
      <c r="Z64" s="8">
        <v>37896924</v>
      </c>
      <c r="AA64" s="8">
        <v>52705466</v>
      </c>
      <c r="AB64" s="9">
        <f t="shared" si="39"/>
        <v>52705466</v>
      </c>
      <c r="AC64" s="8">
        <v>2214462</v>
      </c>
      <c r="AD64" s="8">
        <v>6097842</v>
      </c>
      <c r="AE64" s="8">
        <v>11558836</v>
      </c>
      <c r="AF64" s="8">
        <v>14444521</v>
      </c>
      <c r="AG64" s="8">
        <v>17651868</v>
      </c>
      <c r="AH64" s="8">
        <v>21294906</v>
      </c>
      <c r="AI64" s="8">
        <v>23421786</v>
      </c>
      <c r="AJ64" s="8">
        <v>26135922</v>
      </c>
      <c r="AK64" s="8">
        <v>29318379</v>
      </c>
      <c r="AL64" s="8">
        <v>33267877</v>
      </c>
      <c r="AM64" s="8">
        <v>37361481</v>
      </c>
      <c r="AN64" s="8">
        <v>47680473</v>
      </c>
      <c r="AO64" s="9">
        <f t="shared" si="40"/>
        <v>47680473</v>
      </c>
      <c r="AP64" s="8">
        <v>0</v>
      </c>
      <c r="AQ64" s="8">
        <v>4250670</v>
      </c>
      <c r="AR64" s="8">
        <v>7718355</v>
      </c>
      <c r="AS64" s="8">
        <v>11030679</v>
      </c>
      <c r="AT64" s="8">
        <v>14823241</v>
      </c>
      <c r="AU64" s="8">
        <v>19251303</v>
      </c>
      <c r="AV64" s="8">
        <v>23464077</v>
      </c>
      <c r="AW64" s="8">
        <v>28987236</v>
      </c>
      <c r="AX64" s="8">
        <v>33342723</v>
      </c>
      <c r="AY64" s="8">
        <v>37631648</v>
      </c>
      <c r="AZ64" s="8">
        <v>44593867</v>
      </c>
      <c r="BA64" s="8">
        <v>59650816</v>
      </c>
      <c r="BB64" s="9">
        <f t="shared" si="41"/>
        <v>59650816</v>
      </c>
      <c r="BC64" s="8">
        <v>0</v>
      </c>
      <c r="BD64" s="8">
        <v>6563551</v>
      </c>
      <c r="BE64" s="8">
        <v>13494298</v>
      </c>
      <c r="BF64" s="8">
        <v>16806687</v>
      </c>
      <c r="BG64" s="8">
        <v>20739850</v>
      </c>
      <c r="BH64" s="8">
        <v>23005956</v>
      </c>
      <c r="BI64" s="8">
        <v>24848819</v>
      </c>
      <c r="BJ64" s="8">
        <v>27297787</v>
      </c>
      <c r="BK64" s="8">
        <v>29747248</v>
      </c>
      <c r="BL64" s="8">
        <v>31710629</v>
      </c>
      <c r="BM64" s="8">
        <v>35130345</v>
      </c>
      <c r="BN64" s="8">
        <v>43737075</v>
      </c>
      <c r="BO64" s="9">
        <f t="shared" si="42"/>
        <v>43737075</v>
      </c>
      <c r="BP64" s="8">
        <v>0</v>
      </c>
      <c r="BQ64" s="8">
        <v>3933421</v>
      </c>
      <c r="BR64" s="8">
        <v>6651747</v>
      </c>
      <c r="BS64" s="8">
        <v>8893369</v>
      </c>
      <c r="BT64" s="8">
        <v>11238010</v>
      </c>
      <c r="BU64" s="8">
        <v>13403616</v>
      </c>
      <c r="BV64" s="8">
        <v>15963332</v>
      </c>
      <c r="BW64" s="8">
        <v>18359719</v>
      </c>
      <c r="BX64" s="8">
        <v>20624543</v>
      </c>
      <c r="BY64" s="8">
        <v>22920929</v>
      </c>
      <c r="BZ64" s="8">
        <v>27024414</v>
      </c>
      <c r="CA64" s="8">
        <v>34242280</v>
      </c>
      <c r="CB64" s="9">
        <f t="shared" si="43"/>
        <v>34242280</v>
      </c>
      <c r="CC64" s="8">
        <v>0</v>
      </c>
      <c r="CD64" s="8">
        <v>662740</v>
      </c>
      <c r="CE64" s="8">
        <v>3465237</v>
      </c>
      <c r="CF64" s="8">
        <v>5618987</v>
      </c>
      <c r="CG64" s="8">
        <v>7531178</v>
      </c>
      <c r="CH64" s="8">
        <v>9133738</v>
      </c>
      <c r="CI64" s="8">
        <v>10691707</v>
      </c>
      <c r="CJ64" s="8">
        <v>12446210</v>
      </c>
      <c r="CK64" s="8">
        <v>13985010</v>
      </c>
      <c r="CL64" s="8">
        <v>15605601</v>
      </c>
      <c r="CM64" s="8">
        <v>19264039</v>
      </c>
      <c r="CN64" s="8">
        <v>27405995</v>
      </c>
      <c r="CO64" s="9">
        <f t="shared" si="44"/>
        <v>27405995</v>
      </c>
      <c r="CP64" s="8">
        <v>0</v>
      </c>
      <c r="CQ64" s="8">
        <v>4834914</v>
      </c>
      <c r="CR64" s="8">
        <v>10027885</v>
      </c>
      <c r="CS64" s="8">
        <v>14307091</v>
      </c>
      <c r="CT64" s="8">
        <v>17302838</v>
      </c>
      <c r="CU64" s="8">
        <v>20318253</v>
      </c>
      <c r="CV64" s="8">
        <v>22766035</v>
      </c>
      <c r="CW64" s="8">
        <v>25035322</v>
      </c>
      <c r="CX64" s="8">
        <v>27370520</v>
      </c>
      <c r="CY64" s="8">
        <v>30894221</v>
      </c>
      <c r="CZ64" s="8">
        <v>35926399</v>
      </c>
      <c r="DA64" s="8">
        <v>48359763</v>
      </c>
      <c r="DB64" s="9">
        <f t="shared" si="45"/>
        <v>48359763</v>
      </c>
      <c r="DC64" s="8">
        <v>0</v>
      </c>
      <c r="DD64" s="8">
        <v>2425217</v>
      </c>
      <c r="DE64" s="8">
        <v>4844399</v>
      </c>
      <c r="DF64" s="8">
        <v>7548796</v>
      </c>
      <c r="DG64" s="8">
        <v>10070273</v>
      </c>
      <c r="DH64" s="8">
        <v>12655277</v>
      </c>
      <c r="DI64" s="8">
        <v>14684386</v>
      </c>
      <c r="DJ64" s="8">
        <v>16547577</v>
      </c>
      <c r="DK64" s="8">
        <v>18987268</v>
      </c>
      <c r="DL64" s="8">
        <v>21549530</v>
      </c>
      <c r="DM64" s="8">
        <v>25081996</v>
      </c>
      <c r="DN64" s="8">
        <v>33822165</v>
      </c>
      <c r="DO64" s="9">
        <f t="shared" si="46"/>
        <v>33822165</v>
      </c>
      <c r="DP64" s="8">
        <v>0</v>
      </c>
      <c r="DQ64" s="8">
        <v>3797947</v>
      </c>
      <c r="DR64" s="8">
        <v>8570607</v>
      </c>
      <c r="DS64" s="8">
        <v>11961525</v>
      </c>
      <c r="DT64" s="8">
        <v>14896476</v>
      </c>
      <c r="DU64" s="8">
        <v>18231034</v>
      </c>
      <c r="DV64" s="8">
        <v>21105467</v>
      </c>
      <c r="DW64" s="8">
        <v>23824617</v>
      </c>
      <c r="DX64" s="8">
        <v>26541175</v>
      </c>
      <c r="DY64" s="8">
        <v>30297730</v>
      </c>
      <c r="DZ64" s="8">
        <v>35491082</v>
      </c>
      <c r="EA64" s="8">
        <v>45062112</v>
      </c>
      <c r="EB64" s="9">
        <f t="shared" si="47"/>
        <v>45062112</v>
      </c>
      <c r="EC64" s="8">
        <v>0</v>
      </c>
      <c r="ED64" s="8">
        <v>4071546</v>
      </c>
      <c r="EE64" s="8">
        <v>15547930</v>
      </c>
      <c r="EF64" s="8">
        <v>21690403</v>
      </c>
      <c r="EG64" s="8">
        <v>26814291</v>
      </c>
      <c r="EH64" s="8">
        <v>29677069</v>
      </c>
      <c r="EI64" s="8">
        <v>32487288</v>
      </c>
      <c r="EJ64" s="8">
        <v>37436410</v>
      </c>
      <c r="EK64" s="8">
        <v>41294199</v>
      </c>
      <c r="EL64" s="8">
        <v>45256372</v>
      </c>
      <c r="EM64" s="8">
        <v>48500806</v>
      </c>
      <c r="EN64" s="8">
        <v>52001305</v>
      </c>
      <c r="EO64" s="9">
        <f t="shared" si="48"/>
        <v>52001305</v>
      </c>
      <c r="EP64" s="8">
        <v>0</v>
      </c>
      <c r="EQ64" s="8">
        <v>8442952</v>
      </c>
      <c r="ER64" s="8">
        <v>20658211</v>
      </c>
      <c r="ES64" s="8">
        <v>32489874</v>
      </c>
      <c r="ET64" s="8">
        <v>37533223</v>
      </c>
      <c r="EU64" s="8">
        <v>42967861</v>
      </c>
      <c r="EV64" s="8">
        <v>47201867</v>
      </c>
      <c r="EW64" s="8">
        <v>50408552</v>
      </c>
      <c r="EX64" s="8">
        <v>53510003</v>
      </c>
      <c r="EY64" s="8">
        <v>58643949</v>
      </c>
      <c r="EZ64" s="8">
        <v>60469590</v>
      </c>
      <c r="FA64" s="8">
        <v>69230852</v>
      </c>
      <c r="FB64" s="9">
        <f t="shared" si="49"/>
        <v>69230852</v>
      </c>
      <c r="FC64" s="8">
        <v>0</v>
      </c>
      <c r="FD64" s="8">
        <v>490004</v>
      </c>
      <c r="FE64" s="8">
        <v>9942759</v>
      </c>
      <c r="FF64" s="8">
        <v>12252174</v>
      </c>
      <c r="FG64" s="8">
        <v>13842342</v>
      </c>
      <c r="FH64" s="8">
        <v>15161466</v>
      </c>
      <c r="FI64" s="8">
        <v>17059750</v>
      </c>
      <c r="FJ64" s="8"/>
      <c r="FK64" s="8"/>
      <c r="FL64" s="8"/>
      <c r="FM64" s="8"/>
      <c r="FN64" s="8"/>
      <c r="FO64" s="9">
        <f t="shared" si="50"/>
        <v>17059750</v>
      </c>
    </row>
    <row r="65" spans="2:171" ht="14.25" customHeight="1" x14ac:dyDescent="0.3">
      <c r="B65" s="7" t="s">
        <v>56</v>
      </c>
      <c r="C65" s="8">
        <v>0</v>
      </c>
      <c r="D65" s="8">
        <v>0</v>
      </c>
      <c r="E65" s="8">
        <v>2723412</v>
      </c>
      <c r="F65" s="8">
        <v>3806031</v>
      </c>
      <c r="G65" s="8">
        <v>4723433</v>
      </c>
      <c r="H65" s="8">
        <v>5516727</v>
      </c>
      <c r="I65" s="8">
        <v>6297791</v>
      </c>
      <c r="J65" s="8">
        <v>8175918</v>
      </c>
      <c r="K65" s="8">
        <v>11244478</v>
      </c>
      <c r="L65" s="8">
        <v>15152969</v>
      </c>
      <c r="M65" s="8">
        <v>19581484</v>
      </c>
      <c r="N65" s="8">
        <v>22758068</v>
      </c>
      <c r="O65" s="9">
        <f t="shared" si="38"/>
        <v>22758068</v>
      </c>
      <c r="P65" s="8">
        <v>2537057</v>
      </c>
      <c r="Q65" s="8">
        <v>5396671</v>
      </c>
      <c r="R65" s="8">
        <v>7860804</v>
      </c>
      <c r="S65" s="8">
        <v>10626726</v>
      </c>
      <c r="T65" s="8">
        <v>12814920</v>
      </c>
      <c r="U65" s="8">
        <v>14736648</v>
      </c>
      <c r="V65" s="8">
        <v>16298058</v>
      </c>
      <c r="W65" s="8">
        <v>18467435</v>
      </c>
      <c r="X65" s="8">
        <v>21059041</v>
      </c>
      <c r="Y65" s="8">
        <v>23809023</v>
      </c>
      <c r="Z65" s="8">
        <v>26169891</v>
      </c>
      <c r="AA65" s="8">
        <v>31606734</v>
      </c>
      <c r="AB65" s="9">
        <f t="shared" si="39"/>
        <v>31606734</v>
      </c>
      <c r="AC65" s="8">
        <v>2589104</v>
      </c>
      <c r="AD65" s="8">
        <v>5835228</v>
      </c>
      <c r="AE65" s="8">
        <v>10324817</v>
      </c>
      <c r="AF65" s="8">
        <v>14445646</v>
      </c>
      <c r="AG65" s="8">
        <v>17820028</v>
      </c>
      <c r="AH65" s="8">
        <v>21863608</v>
      </c>
      <c r="AI65" s="8">
        <v>24097007</v>
      </c>
      <c r="AJ65" s="8">
        <v>27291117</v>
      </c>
      <c r="AK65" s="8">
        <v>29987339</v>
      </c>
      <c r="AL65" s="8">
        <v>32830652</v>
      </c>
      <c r="AM65" s="8">
        <v>37323311</v>
      </c>
      <c r="AN65" s="8">
        <v>42090083</v>
      </c>
      <c r="AO65" s="9">
        <f t="shared" si="40"/>
        <v>42090083</v>
      </c>
      <c r="AP65" s="8">
        <v>66190</v>
      </c>
      <c r="AQ65" s="8">
        <v>4029011</v>
      </c>
      <c r="AR65" s="8">
        <v>6973479</v>
      </c>
      <c r="AS65" s="8">
        <v>10014092</v>
      </c>
      <c r="AT65" s="8">
        <v>12594611</v>
      </c>
      <c r="AU65" s="8">
        <v>16904283</v>
      </c>
      <c r="AV65" s="8">
        <v>18739084</v>
      </c>
      <c r="AW65" s="8">
        <v>20316967</v>
      </c>
      <c r="AX65" s="8">
        <v>22215272</v>
      </c>
      <c r="AY65" s="8">
        <v>24092755</v>
      </c>
      <c r="AZ65" s="8">
        <v>27189056</v>
      </c>
      <c r="BA65" s="8">
        <v>34380334</v>
      </c>
      <c r="BB65" s="9">
        <f t="shared" si="41"/>
        <v>34380334</v>
      </c>
      <c r="BC65" s="8">
        <v>0</v>
      </c>
      <c r="BD65" s="8">
        <v>48800</v>
      </c>
      <c r="BE65" s="8">
        <v>3703764</v>
      </c>
      <c r="BF65" s="8">
        <v>6017626</v>
      </c>
      <c r="BG65" s="8">
        <v>7943384</v>
      </c>
      <c r="BH65" s="8">
        <v>9031220</v>
      </c>
      <c r="BI65" s="8">
        <v>11437089</v>
      </c>
      <c r="BJ65" s="8">
        <v>14241124</v>
      </c>
      <c r="BK65" s="8">
        <v>17544324</v>
      </c>
      <c r="BL65" s="8">
        <v>21319725</v>
      </c>
      <c r="BM65" s="8">
        <v>25019341</v>
      </c>
      <c r="BN65" s="8">
        <v>30511923</v>
      </c>
      <c r="BO65" s="9">
        <f t="shared" si="42"/>
        <v>30511923</v>
      </c>
      <c r="BP65" s="8">
        <v>0</v>
      </c>
      <c r="BQ65" s="8">
        <v>0</v>
      </c>
      <c r="BR65" s="8">
        <v>7075294</v>
      </c>
      <c r="BS65" s="8">
        <v>11917725</v>
      </c>
      <c r="BT65" s="8">
        <v>14521296</v>
      </c>
      <c r="BU65" s="8">
        <v>19884198</v>
      </c>
      <c r="BV65" s="8">
        <v>21659469</v>
      </c>
      <c r="BW65" s="8">
        <v>23744657</v>
      </c>
      <c r="BX65" s="8">
        <v>26828794</v>
      </c>
      <c r="BY65" s="8">
        <v>30770214</v>
      </c>
      <c r="BZ65" s="8">
        <v>38808897</v>
      </c>
      <c r="CA65" s="8">
        <v>43529502</v>
      </c>
      <c r="CB65" s="9">
        <f t="shared" si="43"/>
        <v>43529502</v>
      </c>
      <c r="CC65" s="8">
        <v>0</v>
      </c>
      <c r="CD65" s="8">
        <v>0</v>
      </c>
      <c r="CE65" s="8">
        <v>6671925</v>
      </c>
      <c r="CF65" s="8">
        <v>9176492</v>
      </c>
      <c r="CG65" s="8">
        <v>11703321</v>
      </c>
      <c r="CH65" s="8">
        <v>14742579</v>
      </c>
      <c r="CI65" s="8">
        <v>16743839</v>
      </c>
      <c r="CJ65" s="8">
        <v>19625094</v>
      </c>
      <c r="CK65" s="8">
        <v>22019788</v>
      </c>
      <c r="CL65" s="8">
        <v>26165280</v>
      </c>
      <c r="CM65" s="8">
        <v>30434151</v>
      </c>
      <c r="CN65" s="8">
        <v>39106109</v>
      </c>
      <c r="CO65" s="9">
        <f t="shared" si="44"/>
        <v>39106109</v>
      </c>
      <c r="CP65" s="8">
        <v>0</v>
      </c>
      <c r="CQ65" s="8">
        <v>5181845</v>
      </c>
      <c r="CR65" s="8">
        <v>9467699</v>
      </c>
      <c r="CS65" s="8">
        <v>13974968</v>
      </c>
      <c r="CT65" s="8">
        <v>15675271</v>
      </c>
      <c r="CU65" s="8">
        <v>18612719</v>
      </c>
      <c r="CV65" s="8">
        <v>21322167</v>
      </c>
      <c r="CW65" s="8">
        <v>22659741</v>
      </c>
      <c r="CX65" s="8">
        <v>25831691</v>
      </c>
      <c r="CY65" s="8">
        <v>27773077</v>
      </c>
      <c r="CZ65" s="8">
        <v>29047530</v>
      </c>
      <c r="DA65" s="8">
        <v>42716618</v>
      </c>
      <c r="DB65" s="9">
        <f t="shared" si="45"/>
        <v>42716618</v>
      </c>
      <c r="DC65" s="8">
        <v>0</v>
      </c>
      <c r="DD65" s="8">
        <v>657362</v>
      </c>
      <c r="DE65" s="8">
        <v>3183823</v>
      </c>
      <c r="DF65" s="8">
        <v>4662253</v>
      </c>
      <c r="DG65" s="8">
        <v>6155698</v>
      </c>
      <c r="DH65" s="8">
        <v>7271485</v>
      </c>
      <c r="DI65" s="8">
        <v>9031446</v>
      </c>
      <c r="DJ65" s="8">
        <v>12807723</v>
      </c>
      <c r="DK65" s="8">
        <v>13742157</v>
      </c>
      <c r="DL65" s="8">
        <v>18463384</v>
      </c>
      <c r="DM65" s="8">
        <v>19497988</v>
      </c>
      <c r="DN65" s="8">
        <v>23859820</v>
      </c>
      <c r="DO65" s="9">
        <f t="shared" si="46"/>
        <v>23859820</v>
      </c>
      <c r="DP65" s="8">
        <v>0</v>
      </c>
      <c r="DQ65" s="8">
        <v>0</v>
      </c>
      <c r="DR65" s="8">
        <v>1759597</v>
      </c>
      <c r="DS65" s="8">
        <v>4820809</v>
      </c>
      <c r="DT65" s="8">
        <v>6439881</v>
      </c>
      <c r="DU65" s="8">
        <v>7225208</v>
      </c>
      <c r="DV65" s="8">
        <v>8273830</v>
      </c>
      <c r="DW65" s="8">
        <v>9178235</v>
      </c>
      <c r="DX65" s="8">
        <v>10128666</v>
      </c>
      <c r="DY65" s="8">
        <v>11064936</v>
      </c>
      <c r="DZ65" s="8">
        <v>12936677</v>
      </c>
      <c r="EA65" s="8">
        <v>19260006</v>
      </c>
      <c r="EB65" s="9">
        <f t="shared" si="47"/>
        <v>19260006</v>
      </c>
      <c r="EC65" s="8">
        <v>0</v>
      </c>
      <c r="ED65" s="8">
        <v>2285271</v>
      </c>
      <c r="EE65" s="8">
        <v>6353892</v>
      </c>
      <c r="EF65" s="8">
        <v>8808680</v>
      </c>
      <c r="EG65" s="8">
        <v>12513159</v>
      </c>
      <c r="EH65" s="8">
        <v>16159085</v>
      </c>
      <c r="EI65" s="8">
        <v>18987404</v>
      </c>
      <c r="EJ65" s="8">
        <v>21464836</v>
      </c>
      <c r="EK65" s="8">
        <v>25519330</v>
      </c>
      <c r="EL65" s="8">
        <v>29523436</v>
      </c>
      <c r="EM65" s="8">
        <v>31822430</v>
      </c>
      <c r="EN65" s="8">
        <v>36426224</v>
      </c>
      <c r="EO65" s="9">
        <f t="shared" si="48"/>
        <v>36426224</v>
      </c>
      <c r="EP65" s="8">
        <v>0</v>
      </c>
      <c r="EQ65" s="8">
        <v>621192</v>
      </c>
      <c r="ER65" s="8">
        <v>11552530</v>
      </c>
      <c r="ES65" s="8">
        <v>16193347</v>
      </c>
      <c r="ET65" s="8">
        <v>19223073</v>
      </c>
      <c r="EU65" s="8">
        <v>21735398</v>
      </c>
      <c r="EV65" s="8">
        <v>24324094</v>
      </c>
      <c r="EW65" s="8">
        <v>26563836</v>
      </c>
      <c r="EX65" s="8">
        <v>29341068</v>
      </c>
      <c r="EY65" s="8">
        <v>31306890</v>
      </c>
      <c r="EZ65" s="8">
        <v>32947404</v>
      </c>
      <c r="FA65" s="8">
        <v>38076572</v>
      </c>
      <c r="FB65" s="9">
        <f t="shared" si="49"/>
        <v>38076572</v>
      </c>
      <c r="FC65" s="8">
        <v>0</v>
      </c>
      <c r="FD65" s="8">
        <v>462550</v>
      </c>
      <c r="FE65" s="8">
        <v>2437039</v>
      </c>
      <c r="FF65" s="8">
        <v>4582281</v>
      </c>
      <c r="FG65" s="8">
        <v>5203766</v>
      </c>
      <c r="FH65" s="8">
        <v>7510694</v>
      </c>
      <c r="FI65" s="8">
        <v>8326344</v>
      </c>
      <c r="FJ65" s="8"/>
      <c r="FK65" s="8"/>
      <c r="FL65" s="8"/>
      <c r="FM65" s="8"/>
      <c r="FN65" s="8"/>
      <c r="FO65" s="9">
        <f t="shared" si="50"/>
        <v>8326344</v>
      </c>
    </row>
    <row r="66" spans="2:171" ht="14.25" customHeight="1" x14ac:dyDescent="0.3">
      <c r="B66" s="7" t="s">
        <v>57</v>
      </c>
      <c r="C66" s="8">
        <v>0</v>
      </c>
      <c r="D66" s="8">
        <v>2051734</v>
      </c>
      <c r="E66" s="8">
        <v>3544751</v>
      </c>
      <c r="F66" s="8">
        <v>4764875</v>
      </c>
      <c r="G66" s="8">
        <v>5688755</v>
      </c>
      <c r="H66" s="8">
        <v>6581297</v>
      </c>
      <c r="I66" s="8">
        <v>7356698</v>
      </c>
      <c r="J66" s="8">
        <v>8020190</v>
      </c>
      <c r="K66" s="8">
        <v>8487580</v>
      </c>
      <c r="L66" s="8">
        <v>9218732</v>
      </c>
      <c r="M66" s="8">
        <v>10318999</v>
      </c>
      <c r="N66" s="8">
        <v>13812657</v>
      </c>
      <c r="O66" s="9">
        <f t="shared" si="38"/>
        <v>13812657</v>
      </c>
      <c r="P66" s="8">
        <v>0</v>
      </c>
      <c r="Q66" s="8">
        <v>1209742</v>
      </c>
      <c r="R66" s="8">
        <v>2159659</v>
      </c>
      <c r="S66" s="8">
        <v>2727933</v>
      </c>
      <c r="T66" s="8">
        <v>4215728</v>
      </c>
      <c r="U66" s="8">
        <v>4854093</v>
      </c>
      <c r="V66" s="8">
        <v>5609586</v>
      </c>
      <c r="W66" s="8">
        <v>6144635</v>
      </c>
      <c r="X66" s="8">
        <v>6591941</v>
      </c>
      <c r="Y66" s="8">
        <v>7465299</v>
      </c>
      <c r="Z66" s="8">
        <v>8600388</v>
      </c>
      <c r="AA66" s="8">
        <v>11152174</v>
      </c>
      <c r="AB66" s="9">
        <f t="shared" si="39"/>
        <v>11152174</v>
      </c>
      <c r="AC66" s="8">
        <v>90576</v>
      </c>
      <c r="AD66" s="8">
        <v>750340</v>
      </c>
      <c r="AE66" s="8">
        <v>2657778</v>
      </c>
      <c r="AF66" s="8">
        <v>3845128</v>
      </c>
      <c r="AG66" s="8">
        <v>5175531</v>
      </c>
      <c r="AH66" s="8">
        <v>5690420</v>
      </c>
      <c r="AI66" s="8">
        <v>6183284</v>
      </c>
      <c r="AJ66" s="8">
        <v>7050684</v>
      </c>
      <c r="AK66" s="8">
        <v>7513326</v>
      </c>
      <c r="AL66" s="8">
        <v>7778480</v>
      </c>
      <c r="AM66" s="8">
        <v>8775300</v>
      </c>
      <c r="AN66" s="8">
        <v>10761815</v>
      </c>
      <c r="AO66" s="9">
        <f t="shared" si="40"/>
        <v>10761815</v>
      </c>
      <c r="AP66" s="8">
        <v>0</v>
      </c>
      <c r="AQ66" s="8">
        <v>937081</v>
      </c>
      <c r="AR66" s="8">
        <v>2218349</v>
      </c>
      <c r="AS66" s="8">
        <v>2777303</v>
      </c>
      <c r="AT66" s="8">
        <v>3384544</v>
      </c>
      <c r="AU66" s="8">
        <v>3942514</v>
      </c>
      <c r="AV66" s="8">
        <v>4275279</v>
      </c>
      <c r="AW66" s="8">
        <v>4363129</v>
      </c>
      <c r="AX66" s="8">
        <v>4623420</v>
      </c>
      <c r="AY66" s="8">
        <v>6480462</v>
      </c>
      <c r="AZ66" s="8">
        <v>7219163</v>
      </c>
      <c r="BA66" s="8">
        <v>10759149</v>
      </c>
      <c r="BB66" s="9">
        <f t="shared" si="41"/>
        <v>10759149</v>
      </c>
      <c r="BC66" s="8">
        <v>0</v>
      </c>
      <c r="BD66" s="8">
        <v>71978</v>
      </c>
      <c r="BE66" s="8">
        <v>3354980</v>
      </c>
      <c r="BF66" s="8">
        <v>4258224</v>
      </c>
      <c r="BG66" s="8">
        <v>5231390</v>
      </c>
      <c r="BH66" s="8">
        <v>6005430</v>
      </c>
      <c r="BI66" s="8">
        <v>6853554</v>
      </c>
      <c r="BJ66" s="8">
        <v>8257561</v>
      </c>
      <c r="BK66" s="8">
        <v>9546976</v>
      </c>
      <c r="BL66" s="8">
        <v>10546010</v>
      </c>
      <c r="BM66" s="8">
        <v>12110895</v>
      </c>
      <c r="BN66" s="8">
        <v>15522598</v>
      </c>
      <c r="BO66" s="9">
        <f t="shared" si="42"/>
        <v>15522598</v>
      </c>
      <c r="BP66" s="8">
        <v>0</v>
      </c>
      <c r="BQ66" s="8">
        <v>1212269</v>
      </c>
      <c r="BR66" s="8">
        <v>3701019</v>
      </c>
      <c r="BS66" s="8">
        <v>5184609</v>
      </c>
      <c r="BT66" s="8">
        <v>6236310</v>
      </c>
      <c r="BU66" s="8">
        <v>7058479</v>
      </c>
      <c r="BV66" s="8">
        <v>8036749</v>
      </c>
      <c r="BW66" s="8">
        <v>8875066</v>
      </c>
      <c r="BX66" s="8">
        <v>9586714</v>
      </c>
      <c r="BY66" s="8">
        <v>10891731</v>
      </c>
      <c r="BZ66" s="8">
        <v>11758503</v>
      </c>
      <c r="CA66" s="8">
        <v>15072435</v>
      </c>
      <c r="CB66" s="9">
        <f t="shared" si="43"/>
        <v>15072435</v>
      </c>
      <c r="CC66" s="8">
        <v>0</v>
      </c>
      <c r="CD66" s="8">
        <v>0</v>
      </c>
      <c r="CE66" s="8">
        <v>1442121</v>
      </c>
      <c r="CF66" s="8">
        <v>2004041</v>
      </c>
      <c r="CG66" s="8">
        <v>3549426</v>
      </c>
      <c r="CH66" s="8">
        <v>4307703</v>
      </c>
      <c r="CI66" s="8">
        <v>4807994</v>
      </c>
      <c r="CJ66" s="8">
        <v>5364388</v>
      </c>
      <c r="CK66" s="8">
        <v>5794502</v>
      </c>
      <c r="CL66" s="8">
        <v>6571831</v>
      </c>
      <c r="CM66" s="8">
        <v>7519300</v>
      </c>
      <c r="CN66" s="8">
        <v>8412486</v>
      </c>
      <c r="CO66" s="9">
        <f t="shared" si="44"/>
        <v>8412486</v>
      </c>
      <c r="CP66" s="8">
        <v>0</v>
      </c>
      <c r="CQ66" s="8">
        <v>27435</v>
      </c>
      <c r="CR66" s="8">
        <v>467777</v>
      </c>
      <c r="CS66" s="8">
        <v>2743726</v>
      </c>
      <c r="CT66" s="8">
        <v>3356489</v>
      </c>
      <c r="CU66" s="8">
        <v>3709806</v>
      </c>
      <c r="CV66" s="8">
        <v>4286840</v>
      </c>
      <c r="CW66" s="8">
        <v>7579524</v>
      </c>
      <c r="CX66" s="8">
        <v>8436086</v>
      </c>
      <c r="CY66" s="8">
        <v>9134011</v>
      </c>
      <c r="CZ66" s="8">
        <v>10229876</v>
      </c>
      <c r="DA66" s="8">
        <v>13903694</v>
      </c>
      <c r="DB66" s="9">
        <f t="shared" si="45"/>
        <v>13903694</v>
      </c>
      <c r="DC66" s="8">
        <v>0</v>
      </c>
      <c r="DD66" s="8">
        <v>1010021</v>
      </c>
      <c r="DE66" s="8">
        <v>2498540</v>
      </c>
      <c r="DF66" s="8">
        <v>3851519</v>
      </c>
      <c r="DG66" s="8">
        <v>6078244</v>
      </c>
      <c r="DH66" s="8">
        <v>7635624</v>
      </c>
      <c r="DI66" s="8">
        <v>8485040</v>
      </c>
      <c r="DJ66" s="8">
        <v>9268932</v>
      </c>
      <c r="DK66" s="8">
        <v>13349886</v>
      </c>
      <c r="DL66" s="8">
        <v>14149755</v>
      </c>
      <c r="DM66" s="8">
        <v>14832392</v>
      </c>
      <c r="DN66" s="8">
        <v>17437828</v>
      </c>
      <c r="DO66" s="9">
        <f t="shared" si="46"/>
        <v>17437828</v>
      </c>
      <c r="DP66" s="8">
        <v>0</v>
      </c>
      <c r="DQ66" s="8">
        <v>0</v>
      </c>
      <c r="DR66" s="8">
        <v>2335653</v>
      </c>
      <c r="DS66" s="8">
        <v>2951583</v>
      </c>
      <c r="DT66" s="8">
        <v>3316903</v>
      </c>
      <c r="DU66" s="8">
        <v>3760714</v>
      </c>
      <c r="DV66" s="8">
        <v>4048159</v>
      </c>
      <c r="DW66" s="8">
        <v>4559712</v>
      </c>
      <c r="DX66" s="8">
        <v>4919719</v>
      </c>
      <c r="DY66" s="8">
        <v>5407256</v>
      </c>
      <c r="DZ66" s="8">
        <v>6200305</v>
      </c>
      <c r="EA66" s="8">
        <v>8838243</v>
      </c>
      <c r="EB66" s="9">
        <f t="shared" si="47"/>
        <v>8838243</v>
      </c>
      <c r="EC66" s="8">
        <v>0</v>
      </c>
      <c r="ED66" s="8">
        <v>7700</v>
      </c>
      <c r="EE66" s="8">
        <v>3038795</v>
      </c>
      <c r="EF66" s="8">
        <v>4226426</v>
      </c>
      <c r="EG66" s="8">
        <v>5050926</v>
      </c>
      <c r="EH66" s="8">
        <v>6055745</v>
      </c>
      <c r="EI66" s="8">
        <v>6653509</v>
      </c>
      <c r="EJ66" s="8">
        <v>7461171</v>
      </c>
      <c r="EK66" s="8">
        <v>8300531</v>
      </c>
      <c r="EL66" s="8">
        <v>9566238</v>
      </c>
      <c r="EM66" s="8">
        <v>10997168</v>
      </c>
      <c r="EN66" s="8">
        <v>12655537</v>
      </c>
      <c r="EO66" s="9">
        <f t="shared" si="48"/>
        <v>12655537</v>
      </c>
      <c r="EP66" s="8">
        <v>0</v>
      </c>
      <c r="EQ66" s="8">
        <v>0</v>
      </c>
      <c r="ER66" s="8">
        <v>193260</v>
      </c>
      <c r="ES66" s="8">
        <v>3443387</v>
      </c>
      <c r="ET66" s="8">
        <v>4404167</v>
      </c>
      <c r="EU66" s="8">
        <v>4709219</v>
      </c>
      <c r="EV66" s="8">
        <v>5193606</v>
      </c>
      <c r="EW66" s="8">
        <v>5513800</v>
      </c>
      <c r="EX66" s="8">
        <v>6207367</v>
      </c>
      <c r="EY66" s="8">
        <v>6484370</v>
      </c>
      <c r="EZ66" s="8">
        <v>6871735</v>
      </c>
      <c r="FA66" s="8">
        <v>8624945</v>
      </c>
      <c r="FB66" s="9">
        <f t="shared" si="49"/>
        <v>8624945</v>
      </c>
      <c r="FC66" s="8">
        <v>0</v>
      </c>
      <c r="FD66" s="8">
        <v>0</v>
      </c>
      <c r="FE66" s="8">
        <v>1168665</v>
      </c>
      <c r="FF66" s="8">
        <v>3012381</v>
      </c>
      <c r="FG66" s="8">
        <v>4000734</v>
      </c>
      <c r="FH66" s="8">
        <v>4646571</v>
      </c>
      <c r="FI66" s="8">
        <v>5357802</v>
      </c>
      <c r="FJ66" s="8"/>
      <c r="FK66" s="8"/>
      <c r="FL66" s="8"/>
      <c r="FM66" s="8"/>
      <c r="FN66" s="8"/>
      <c r="FO66" s="9">
        <f t="shared" si="50"/>
        <v>5357802</v>
      </c>
    </row>
    <row r="67" spans="2:171" ht="14.25" customHeight="1" x14ac:dyDescent="0.3">
      <c r="B67" s="7" t="s">
        <v>58</v>
      </c>
      <c r="C67" s="8">
        <v>0</v>
      </c>
      <c r="D67" s="8">
        <v>1162124</v>
      </c>
      <c r="E67" s="8">
        <v>3526783</v>
      </c>
      <c r="F67" s="8">
        <v>4785547</v>
      </c>
      <c r="G67" s="8">
        <v>5704910</v>
      </c>
      <c r="H67" s="8">
        <v>6555107</v>
      </c>
      <c r="I67" s="8">
        <v>8071066</v>
      </c>
      <c r="J67" s="8">
        <v>8761489</v>
      </c>
      <c r="K67" s="8">
        <v>9895554</v>
      </c>
      <c r="L67" s="8">
        <v>10978959</v>
      </c>
      <c r="M67" s="8">
        <v>12379981</v>
      </c>
      <c r="N67" s="8">
        <v>17469799</v>
      </c>
      <c r="O67" s="9">
        <f t="shared" si="38"/>
        <v>17469799</v>
      </c>
      <c r="P67" s="8">
        <v>2308</v>
      </c>
      <c r="Q67" s="8">
        <v>2712982</v>
      </c>
      <c r="R67" s="8">
        <v>5074420</v>
      </c>
      <c r="S67" s="8">
        <v>6482210</v>
      </c>
      <c r="T67" s="8">
        <v>7820239</v>
      </c>
      <c r="U67" s="8">
        <v>10692854</v>
      </c>
      <c r="V67" s="8">
        <v>11888583</v>
      </c>
      <c r="W67" s="8">
        <v>12694889</v>
      </c>
      <c r="X67" s="8">
        <v>13929713</v>
      </c>
      <c r="Y67" s="8">
        <v>15839991</v>
      </c>
      <c r="Z67" s="8">
        <v>18407076</v>
      </c>
      <c r="AA67" s="8">
        <v>21416137</v>
      </c>
      <c r="AB67" s="9">
        <f t="shared" si="39"/>
        <v>21416137</v>
      </c>
      <c r="AC67" s="8">
        <v>179</v>
      </c>
      <c r="AD67" s="8">
        <v>3483173</v>
      </c>
      <c r="AE67" s="8">
        <v>5636657</v>
      </c>
      <c r="AF67" s="8">
        <v>7164123</v>
      </c>
      <c r="AG67" s="8">
        <v>8255632</v>
      </c>
      <c r="AH67" s="8">
        <v>9044624</v>
      </c>
      <c r="AI67" s="8">
        <v>9981988</v>
      </c>
      <c r="AJ67" s="8">
        <v>10825521</v>
      </c>
      <c r="AK67" s="8">
        <v>15737343</v>
      </c>
      <c r="AL67" s="8">
        <v>17189461</v>
      </c>
      <c r="AM67" s="8">
        <v>18423031</v>
      </c>
      <c r="AN67" s="8">
        <v>21404873</v>
      </c>
      <c r="AO67" s="9">
        <f t="shared" si="40"/>
        <v>21404873</v>
      </c>
      <c r="AP67" s="8">
        <v>0</v>
      </c>
      <c r="AQ67" s="8">
        <v>1057685</v>
      </c>
      <c r="AR67" s="8">
        <v>2450746</v>
      </c>
      <c r="AS67" s="8">
        <v>3358060</v>
      </c>
      <c r="AT67" s="8">
        <v>4223769</v>
      </c>
      <c r="AU67" s="8">
        <v>5336111</v>
      </c>
      <c r="AV67" s="8">
        <v>6018224</v>
      </c>
      <c r="AW67" s="8">
        <v>9128059</v>
      </c>
      <c r="AX67" s="8">
        <v>10109811</v>
      </c>
      <c r="AY67" s="8">
        <v>11164174</v>
      </c>
      <c r="AZ67" s="8">
        <v>13331630</v>
      </c>
      <c r="BA67" s="8">
        <v>17598447</v>
      </c>
      <c r="BB67" s="9">
        <f t="shared" si="41"/>
        <v>17598447</v>
      </c>
      <c r="BC67" s="8">
        <v>0</v>
      </c>
      <c r="BD67" s="8">
        <v>2019088</v>
      </c>
      <c r="BE67" s="8">
        <v>4224402</v>
      </c>
      <c r="BF67" s="8">
        <v>4868774</v>
      </c>
      <c r="BG67" s="8">
        <v>5519303</v>
      </c>
      <c r="BH67" s="8">
        <v>8946391</v>
      </c>
      <c r="BI67" s="8">
        <v>10517439</v>
      </c>
      <c r="BJ67" s="8">
        <v>11046363</v>
      </c>
      <c r="BK67" s="8">
        <v>11527393</v>
      </c>
      <c r="BL67" s="8">
        <v>12070964</v>
      </c>
      <c r="BM67" s="8">
        <v>13354911</v>
      </c>
      <c r="BN67" s="8">
        <v>16611135</v>
      </c>
      <c r="BO67" s="9">
        <f t="shared" si="42"/>
        <v>16611135</v>
      </c>
      <c r="BP67" s="8">
        <v>0</v>
      </c>
      <c r="BQ67" s="8">
        <v>2340477</v>
      </c>
      <c r="BR67" s="8">
        <v>3777342</v>
      </c>
      <c r="BS67" s="8">
        <v>6042707</v>
      </c>
      <c r="BT67" s="8">
        <v>6835162</v>
      </c>
      <c r="BU67" s="8">
        <v>9056626</v>
      </c>
      <c r="BV67" s="8">
        <v>9438369</v>
      </c>
      <c r="BW67" s="8">
        <v>10048729</v>
      </c>
      <c r="BX67" s="8">
        <v>10574523</v>
      </c>
      <c r="BY67" s="8">
        <v>14878879</v>
      </c>
      <c r="BZ67" s="8">
        <v>16599729</v>
      </c>
      <c r="CA67" s="8">
        <v>18419721</v>
      </c>
      <c r="CB67" s="9">
        <f t="shared" si="43"/>
        <v>18419721</v>
      </c>
      <c r="CC67" s="8">
        <v>0</v>
      </c>
      <c r="CD67" s="8">
        <v>1454828</v>
      </c>
      <c r="CE67" s="8">
        <v>2634819</v>
      </c>
      <c r="CF67" s="8">
        <v>4523045</v>
      </c>
      <c r="CG67" s="8">
        <v>6217689</v>
      </c>
      <c r="CH67" s="8">
        <v>7921209</v>
      </c>
      <c r="CI67" s="8">
        <v>8404096</v>
      </c>
      <c r="CJ67" s="8">
        <v>9260321</v>
      </c>
      <c r="CK67" s="8">
        <v>10521502</v>
      </c>
      <c r="CL67" s="8">
        <v>11702897</v>
      </c>
      <c r="CM67" s="8">
        <v>16550958</v>
      </c>
      <c r="CN67" s="8">
        <v>18087928</v>
      </c>
      <c r="CO67" s="9">
        <f t="shared" si="44"/>
        <v>18087928</v>
      </c>
      <c r="CP67" s="8">
        <v>996487</v>
      </c>
      <c r="CQ67" s="8">
        <v>2043266</v>
      </c>
      <c r="CR67" s="8">
        <v>4020536</v>
      </c>
      <c r="CS67" s="8">
        <v>6275646</v>
      </c>
      <c r="CT67" s="8">
        <v>7328899</v>
      </c>
      <c r="CU67" s="8">
        <v>8194186</v>
      </c>
      <c r="CV67" s="8">
        <v>9468982</v>
      </c>
      <c r="CW67" s="8">
        <v>10913380</v>
      </c>
      <c r="CX67" s="8">
        <v>12417213</v>
      </c>
      <c r="CY67" s="8">
        <v>15385505</v>
      </c>
      <c r="CZ67" s="8">
        <v>17535907</v>
      </c>
      <c r="DA67" s="8">
        <v>21836636</v>
      </c>
      <c r="DB67" s="9">
        <f t="shared" si="45"/>
        <v>21836636</v>
      </c>
      <c r="DC67" s="8">
        <v>0</v>
      </c>
      <c r="DD67" s="8">
        <v>1898044</v>
      </c>
      <c r="DE67" s="8">
        <v>3748855</v>
      </c>
      <c r="DF67" s="8">
        <v>5981074</v>
      </c>
      <c r="DG67" s="8">
        <v>7852783</v>
      </c>
      <c r="DH67" s="8">
        <v>10182413</v>
      </c>
      <c r="DI67" s="8">
        <v>12417380</v>
      </c>
      <c r="DJ67" s="8">
        <v>14929801</v>
      </c>
      <c r="DK67" s="8">
        <v>16836563</v>
      </c>
      <c r="DL67" s="8">
        <v>18703431</v>
      </c>
      <c r="DM67" s="8">
        <v>20946638</v>
      </c>
      <c r="DN67" s="8">
        <v>24175752</v>
      </c>
      <c r="DO67" s="9">
        <f t="shared" si="46"/>
        <v>24175752</v>
      </c>
      <c r="DP67" s="8">
        <v>0</v>
      </c>
      <c r="DQ67" s="8">
        <v>439429</v>
      </c>
      <c r="DR67" s="8">
        <v>3653930</v>
      </c>
      <c r="DS67" s="8">
        <v>5425318</v>
      </c>
      <c r="DT67" s="8">
        <v>6826595</v>
      </c>
      <c r="DU67" s="8">
        <v>7934457</v>
      </c>
      <c r="DV67" s="8">
        <v>9042095</v>
      </c>
      <c r="DW67" s="8">
        <v>10268165</v>
      </c>
      <c r="DX67" s="8">
        <v>11721084</v>
      </c>
      <c r="DY67" s="8">
        <v>12463765</v>
      </c>
      <c r="DZ67" s="8">
        <v>15088975</v>
      </c>
      <c r="EA67" s="8">
        <v>18038656</v>
      </c>
      <c r="EB67" s="9">
        <f t="shared" si="47"/>
        <v>18038656</v>
      </c>
      <c r="EC67" s="8">
        <v>0</v>
      </c>
      <c r="ED67" s="8">
        <v>85525</v>
      </c>
      <c r="EE67" s="8">
        <v>3808215</v>
      </c>
      <c r="EF67" s="8">
        <v>6052141</v>
      </c>
      <c r="EG67" s="8">
        <v>7089017</v>
      </c>
      <c r="EH67" s="8">
        <v>7804598</v>
      </c>
      <c r="EI67" s="8">
        <v>8459942</v>
      </c>
      <c r="EJ67" s="8">
        <v>9411168</v>
      </c>
      <c r="EK67" s="8">
        <v>10320441</v>
      </c>
      <c r="EL67" s="8">
        <v>11294472</v>
      </c>
      <c r="EM67" s="8">
        <v>12568946</v>
      </c>
      <c r="EN67" s="8">
        <v>16578842</v>
      </c>
      <c r="EO67" s="9">
        <f t="shared" si="48"/>
        <v>16578842</v>
      </c>
      <c r="EP67" s="8">
        <v>0</v>
      </c>
      <c r="EQ67" s="8">
        <v>0</v>
      </c>
      <c r="ER67" s="8">
        <v>2933902</v>
      </c>
      <c r="ES67" s="8">
        <v>3530295</v>
      </c>
      <c r="ET67" s="8">
        <v>4379069</v>
      </c>
      <c r="EU67" s="8">
        <v>5099188</v>
      </c>
      <c r="EV67" s="8">
        <v>5972178</v>
      </c>
      <c r="EW67" s="8">
        <v>7046961</v>
      </c>
      <c r="EX67" s="8">
        <v>8090235</v>
      </c>
      <c r="EY67" s="8">
        <v>9289014</v>
      </c>
      <c r="EZ67" s="8">
        <v>10551843</v>
      </c>
      <c r="FA67" s="8">
        <v>13871396</v>
      </c>
      <c r="FB67" s="9">
        <f t="shared" si="49"/>
        <v>13871396</v>
      </c>
      <c r="FC67" s="8">
        <v>0</v>
      </c>
      <c r="FD67" s="8">
        <v>96726</v>
      </c>
      <c r="FE67" s="8">
        <v>1392605</v>
      </c>
      <c r="FF67" s="8">
        <v>2906542</v>
      </c>
      <c r="FG67" s="8">
        <v>3332831</v>
      </c>
      <c r="FH67" s="8">
        <v>3844505</v>
      </c>
      <c r="FI67" s="8">
        <v>4487280</v>
      </c>
      <c r="FJ67" s="8"/>
      <c r="FK67" s="8"/>
      <c r="FL67" s="8"/>
      <c r="FM67" s="8"/>
      <c r="FN67" s="8"/>
      <c r="FO67" s="9">
        <f t="shared" si="50"/>
        <v>4487280</v>
      </c>
    </row>
    <row r="68" spans="2:171" ht="14.25" customHeight="1" x14ac:dyDescent="0.3">
      <c r="B68" s="7" t="s">
        <v>59</v>
      </c>
      <c r="C68" s="8">
        <v>0</v>
      </c>
      <c r="D68" s="8">
        <v>348662</v>
      </c>
      <c r="E68" s="8">
        <v>738720</v>
      </c>
      <c r="F68" s="8">
        <v>1205611</v>
      </c>
      <c r="G68" s="8">
        <v>1580771</v>
      </c>
      <c r="H68" s="8">
        <v>1714115</v>
      </c>
      <c r="I68" s="8">
        <v>1912607</v>
      </c>
      <c r="J68" s="8">
        <v>2136476</v>
      </c>
      <c r="K68" s="8">
        <v>2227297</v>
      </c>
      <c r="L68" s="8">
        <v>2449057</v>
      </c>
      <c r="M68" s="8">
        <v>2824846</v>
      </c>
      <c r="N68" s="8">
        <v>3499059</v>
      </c>
      <c r="O68" s="9">
        <f t="shared" si="38"/>
        <v>3499059</v>
      </c>
      <c r="P68" s="8">
        <v>50114</v>
      </c>
      <c r="Q68" s="8">
        <v>442207</v>
      </c>
      <c r="R68" s="8">
        <v>583332</v>
      </c>
      <c r="S68" s="8">
        <v>752453</v>
      </c>
      <c r="T68" s="8">
        <v>844531</v>
      </c>
      <c r="U68" s="8">
        <v>916943</v>
      </c>
      <c r="V68" s="8">
        <v>969083</v>
      </c>
      <c r="W68" s="8">
        <v>1083486</v>
      </c>
      <c r="X68" s="8">
        <v>1283474</v>
      </c>
      <c r="Y68" s="8">
        <v>1669530</v>
      </c>
      <c r="Z68" s="8">
        <v>1959125</v>
      </c>
      <c r="AA68" s="8">
        <v>2503811</v>
      </c>
      <c r="AB68" s="9">
        <f t="shared" si="39"/>
        <v>2503811</v>
      </c>
      <c r="AC68" s="8">
        <v>9795</v>
      </c>
      <c r="AD68" s="8">
        <v>397499</v>
      </c>
      <c r="AE68" s="8">
        <v>1458428</v>
      </c>
      <c r="AF68" s="8">
        <v>1721314</v>
      </c>
      <c r="AG68" s="8">
        <v>2525321</v>
      </c>
      <c r="AH68" s="8">
        <v>3135645</v>
      </c>
      <c r="AI68" s="8">
        <v>3496332</v>
      </c>
      <c r="AJ68" s="8">
        <v>3794095</v>
      </c>
      <c r="AK68" s="8">
        <v>3919556</v>
      </c>
      <c r="AL68" s="8">
        <v>4156682</v>
      </c>
      <c r="AM68" s="8">
        <v>4698479</v>
      </c>
      <c r="AN68" s="8">
        <v>5287513</v>
      </c>
      <c r="AO68" s="9">
        <f t="shared" si="40"/>
        <v>5287513</v>
      </c>
      <c r="AP68" s="8">
        <v>978</v>
      </c>
      <c r="AQ68" s="8">
        <v>210276</v>
      </c>
      <c r="AR68" s="8">
        <v>1174253</v>
      </c>
      <c r="AS68" s="8">
        <v>1574605</v>
      </c>
      <c r="AT68" s="8">
        <v>2370909</v>
      </c>
      <c r="AU68" s="8">
        <v>2796086</v>
      </c>
      <c r="AV68" s="8">
        <v>2988302</v>
      </c>
      <c r="AW68" s="8">
        <v>3363738</v>
      </c>
      <c r="AX68" s="8">
        <v>3760610</v>
      </c>
      <c r="AY68" s="8">
        <v>4043089</v>
      </c>
      <c r="AZ68" s="8">
        <v>4322784</v>
      </c>
      <c r="BA68" s="8">
        <v>4941495</v>
      </c>
      <c r="BB68" s="9">
        <f t="shared" si="41"/>
        <v>4941495</v>
      </c>
      <c r="BC68" s="8">
        <v>0</v>
      </c>
      <c r="BD68" s="8">
        <v>0</v>
      </c>
      <c r="BE68" s="8">
        <v>877635</v>
      </c>
      <c r="BF68" s="8">
        <v>1328232</v>
      </c>
      <c r="BG68" s="8">
        <v>1935041</v>
      </c>
      <c r="BH68" s="8">
        <v>2225706</v>
      </c>
      <c r="BI68" s="8">
        <v>2564885</v>
      </c>
      <c r="BJ68" s="8">
        <v>3091667</v>
      </c>
      <c r="BK68" s="8">
        <v>4003664</v>
      </c>
      <c r="BL68" s="8">
        <v>4551397</v>
      </c>
      <c r="BM68" s="8">
        <v>4880075</v>
      </c>
      <c r="BN68" s="8">
        <v>5947605</v>
      </c>
      <c r="BO68" s="9">
        <f t="shared" si="42"/>
        <v>5947605</v>
      </c>
      <c r="BP68" s="8">
        <v>0</v>
      </c>
      <c r="BQ68" s="8">
        <v>211656</v>
      </c>
      <c r="BR68" s="8">
        <v>735110</v>
      </c>
      <c r="BS68" s="8">
        <v>915715</v>
      </c>
      <c r="BT68" s="8">
        <v>1490278</v>
      </c>
      <c r="BU68" s="8">
        <v>1693527</v>
      </c>
      <c r="BV68" s="8">
        <v>1864527</v>
      </c>
      <c r="BW68" s="8">
        <v>1864527</v>
      </c>
      <c r="BX68" s="8">
        <v>2538460</v>
      </c>
      <c r="BY68" s="8">
        <v>3265227</v>
      </c>
      <c r="BZ68" s="8">
        <v>4411543</v>
      </c>
      <c r="CA68" s="8">
        <v>5722857</v>
      </c>
      <c r="CB68" s="9">
        <f t="shared" si="43"/>
        <v>5722857</v>
      </c>
      <c r="CC68" s="8">
        <v>0</v>
      </c>
      <c r="CD68" s="8">
        <v>0</v>
      </c>
      <c r="CE68" s="8">
        <v>1951458</v>
      </c>
      <c r="CF68" s="8">
        <v>2637501</v>
      </c>
      <c r="CG68" s="8">
        <v>2864447</v>
      </c>
      <c r="CH68" s="8">
        <v>3121910</v>
      </c>
      <c r="CI68" s="8">
        <v>3645693</v>
      </c>
      <c r="CJ68" s="8">
        <v>4063974</v>
      </c>
      <c r="CK68" s="8">
        <v>4390332</v>
      </c>
      <c r="CL68" s="8">
        <v>5157581</v>
      </c>
      <c r="CM68" s="8">
        <v>6164978</v>
      </c>
      <c r="CN68" s="8">
        <v>6860033</v>
      </c>
      <c r="CO68" s="9">
        <f t="shared" si="44"/>
        <v>6860033</v>
      </c>
      <c r="CP68" s="8">
        <v>0</v>
      </c>
      <c r="CQ68" s="8">
        <v>1844972</v>
      </c>
      <c r="CR68" s="8">
        <v>2980291</v>
      </c>
      <c r="CS68" s="8">
        <v>3911425</v>
      </c>
      <c r="CT68" s="8">
        <v>4668165</v>
      </c>
      <c r="CU68" s="8">
        <v>5530256</v>
      </c>
      <c r="CV68" s="8">
        <v>6492621</v>
      </c>
      <c r="CW68" s="8">
        <v>7015153</v>
      </c>
      <c r="CX68" s="8">
        <v>7721800</v>
      </c>
      <c r="CY68" s="8">
        <v>8180927</v>
      </c>
      <c r="CZ68" s="8">
        <v>8292205</v>
      </c>
      <c r="DA68" s="8">
        <v>9649410</v>
      </c>
      <c r="DB68" s="9">
        <f t="shared" si="45"/>
        <v>9649410</v>
      </c>
      <c r="DC68" s="8">
        <v>0</v>
      </c>
      <c r="DD68" s="8">
        <v>718578</v>
      </c>
      <c r="DE68" s="8">
        <v>1229113</v>
      </c>
      <c r="DF68" s="8">
        <v>1651954</v>
      </c>
      <c r="DG68" s="8">
        <v>1867508</v>
      </c>
      <c r="DH68" s="8">
        <v>2126715</v>
      </c>
      <c r="DI68" s="8">
        <v>2490807</v>
      </c>
      <c r="DJ68" s="8">
        <v>2717171</v>
      </c>
      <c r="DK68" s="8">
        <v>3353547</v>
      </c>
      <c r="DL68" s="8">
        <v>3962955</v>
      </c>
      <c r="DM68" s="8">
        <v>4581541</v>
      </c>
      <c r="DN68" s="8">
        <v>5155650</v>
      </c>
      <c r="DO68" s="9">
        <f t="shared" si="46"/>
        <v>5155650</v>
      </c>
      <c r="DP68" s="8">
        <v>0</v>
      </c>
      <c r="DQ68" s="8">
        <v>689936</v>
      </c>
      <c r="DR68" s="8">
        <v>2502173</v>
      </c>
      <c r="DS68" s="8">
        <v>2849773</v>
      </c>
      <c r="DT68" s="8">
        <v>3189668</v>
      </c>
      <c r="DU68" s="8">
        <v>3348927</v>
      </c>
      <c r="DV68" s="8">
        <v>3400352</v>
      </c>
      <c r="DW68" s="8">
        <v>4186629</v>
      </c>
      <c r="DX68" s="8">
        <v>4466306</v>
      </c>
      <c r="DY68" s="8">
        <v>4749091</v>
      </c>
      <c r="DZ68" s="8">
        <v>5080327</v>
      </c>
      <c r="EA68" s="8">
        <v>5693269</v>
      </c>
      <c r="EB68" s="9">
        <f t="shared" si="47"/>
        <v>5693269</v>
      </c>
      <c r="EC68" s="8">
        <v>0</v>
      </c>
      <c r="ED68" s="8">
        <v>13338</v>
      </c>
      <c r="EE68" s="8">
        <v>2113530</v>
      </c>
      <c r="EF68" s="8">
        <v>2657230</v>
      </c>
      <c r="EG68" s="8">
        <v>3267050</v>
      </c>
      <c r="EH68" s="8">
        <v>3738634</v>
      </c>
      <c r="EI68" s="8">
        <v>4195604</v>
      </c>
      <c r="EJ68" s="8">
        <v>4944777</v>
      </c>
      <c r="EK68" s="8">
        <v>5784209</v>
      </c>
      <c r="EL68" s="8">
        <v>6407848</v>
      </c>
      <c r="EM68" s="8">
        <v>6823454</v>
      </c>
      <c r="EN68" s="8">
        <v>7636879</v>
      </c>
      <c r="EO68" s="9">
        <f t="shared" si="48"/>
        <v>7636879</v>
      </c>
      <c r="EP68" s="8">
        <v>0</v>
      </c>
      <c r="EQ68" s="8">
        <v>0</v>
      </c>
      <c r="ER68" s="8">
        <v>773456</v>
      </c>
      <c r="ES68" s="8">
        <v>1228452</v>
      </c>
      <c r="ET68" s="8">
        <v>1463264</v>
      </c>
      <c r="EU68" s="8">
        <v>1843650</v>
      </c>
      <c r="EV68" s="8">
        <v>2269505</v>
      </c>
      <c r="EW68" s="8">
        <v>2548202</v>
      </c>
      <c r="EX68" s="8">
        <v>2878045</v>
      </c>
      <c r="EY68" s="8">
        <v>3291372</v>
      </c>
      <c r="EZ68" s="8">
        <v>3836142</v>
      </c>
      <c r="FA68" s="8">
        <v>5294326</v>
      </c>
      <c r="FB68" s="9">
        <f t="shared" si="49"/>
        <v>5294326</v>
      </c>
      <c r="FC68" s="8">
        <v>0</v>
      </c>
      <c r="FD68" s="8">
        <v>0</v>
      </c>
      <c r="FE68" s="8">
        <v>1059921</v>
      </c>
      <c r="FF68" s="8">
        <v>1655837</v>
      </c>
      <c r="FG68" s="8">
        <v>2238440</v>
      </c>
      <c r="FH68" s="8">
        <v>2714836</v>
      </c>
      <c r="FI68" s="8">
        <v>2830250</v>
      </c>
      <c r="FJ68" s="8"/>
      <c r="FK68" s="8"/>
      <c r="FL68" s="8"/>
      <c r="FM68" s="8"/>
      <c r="FN68" s="8"/>
      <c r="FO68" s="9">
        <f t="shared" si="50"/>
        <v>2830250</v>
      </c>
    </row>
    <row r="69" spans="2:171" ht="14.25" customHeight="1" x14ac:dyDescent="0.3">
      <c r="B69" s="7" t="s">
        <v>60</v>
      </c>
      <c r="C69" s="8">
        <v>0</v>
      </c>
      <c r="D69" s="8">
        <v>0</v>
      </c>
      <c r="E69" s="8">
        <v>0</v>
      </c>
      <c r="F69" s="8">
        <v>0</v>
      </c>
      <c r="G69" s="8">
        <v>2236759</v>
      </c>
      <c r="H69" s="8">
        <v>2936263</v>
      </c>
      <c r="I69" s="8">
        <v>3376405</v>
      </c>
      <c r="J69" s="8">
        <v>3831284</v>
      </c>
      <c r="K69" s="8">
        <v>4373377</v>
      </c>
      <c r="L69" s="8">
        <v>5605051</v>
      </c>
      <c r="M69" s="8">
        <v>7083064</v>
      </c>
      <c r="N69" s="8">
        <v>10086654</v>
      </c>
      <c r="O69" s="9">
        <f t="shared" si="38"/>
        <v>10086654</v>
      </c>
      <c r="P69" s="8">
        <v>0</v>
      </c>
      <c r="Q69" s="8">
        <v>1355193</v>
      </c>
      <c r="R69" s="8">
        <v>2305331</v>
      </c>
      <c r="S69" s="8">
        <v>2786520</v>
      </c>
      <c r="T69" s="8">
        <v>2927940</v>
      </c>
      <c r="U69" s="8">
        <v>3122432</v>
      </c>
      <c r="V69" s="8">
        <v>3439673</v>
      </c>
      <c r="W69" s="8">
        <v>4069347</v>
      </c>
      <c r="X69" s="8">
        <v>4682305</v>
      </c>
      <c r="Y69" s="8">
        <v>5401569</v>
      </c>
      <c r="Z69" s="8">
        <v>6287608</v>
      </c>
      <c r="AA69" s="8">
        <v>7294234</v>
      </c>
      <c r="AB69" s="9">
        <f t="shared" si="39"/>
        <v>7294234</v>
      </c>
      <c r="AC69" s="8">
        <v>0</v>
      </c>
      <c r="AD69" s="8">
        <v>483</v>
      </c>
      <c r="AE69" s="8">
        <v>1413270</v>
      </c>
      <c r="AF69" s="8">
        <v>1980069</v>
      </c>
      <c r="AG69" s="8">
        <v>2272091</v>
      </c>
      <c r="AH69" s="8">
        <v>2491838</v>
      </c>
      <c r="AI69" s="8">
        <v>2746815</v>
      </c>
      <c r="AJ69" s="8">
        <v>3018326</v>
      </c>
      <c r="AK69" s="8">
        <v>3473818</v>
      </c>
      <c r="AL69" s="8">
        <v>3981430</v>
      </c>
      <c r="AM69" s="8">
        <v>5163052</v>
      </c>
      <c r="AN69" s="8">
        <v>6987365</v>
      </c>
      <c r="AO69" s="9">
        <f t="shared" si="40"/>
        <v>6987365</v>
      </c>
      <c r="AP69" s="8">
        <v>0</v>
      </c>
      <c r="AQ69" s="8">
        <v>158172</v>
      </c>
      <c r="AR69" s="8">
        <v>909922</v>
      </c>
      <c r="AS69" s="8">
        <v>1390797</v>
      </c>
      <c r="AT69" s="8">
        <v>1705539</v>
      </c>
      <c r="AU69" s="8">
        <v>2153438</v>
      </c>
      <c r="AV69" s="8">
        <v>2716665</v>
      </c>
      <c r="AW69" s="8">
        <v>3592634</v>
      </c>
      <c r="AX69" s="8">
        <v>4907018</v>
      </c>
      <c r="AY69" s="8">
        <v>6713412</v>
      </c>
      <c r="AZ69" s="8">
        <v>8822110</v>
      </c>
      <c r="BA69" s="8">
        <v>12128181</v>
      </c>
      <c r="BB69" s="9">
        <f t="shared" si="41"/>
        <v>12128181</v>
      </c>
      <c r="BC69" s="8">
        <v>0</v>
      </c>
      <c r="BD69" s="8">
        <v>0</v>
      </c>
      <c r="BE69" s="8">
        <v>1538137</v>
      </c>
      <c r="BF69" s="8">
        <v>2152907</v>
      </c>
      <c r="BG69" s="8">
        <v>2673139</v>
      </c>
      <c r="BH69" s="8">
        <v>3045374</v>
      </c>
      <c r="BI69" s="8">
        <v>3298116</v>
      </c>
      <c r="BJ69" s="8">
        <v>3687401</v>
      </c>
      <c r="BK69" s="8">
        <v>3907234</v>
      </c>
      <c r="BL69" s="8">
        <v>4735498</v>
      </c>
      <c r="BM69" s="8">
        <v>5847323</v>
      </c>
      <c r="BN69" s="8">
        <v>8358099</v>
      </c>
      <c r="BO69" s="9">
        <f t="shared" si="42"/>
        <v>8358099</v>
      </c>
      <c r="BP69" s="8">
        <v>0</v>
      </c>
      <c r="BQ69" s="8">
        <v>0</v>
      </c>
      <c r="BR69" s="8">
        <v>2506319</v>
      </c>
      <c r="BS69" s="8">
        <v>3406649</v>
      </c>
      <c r="BT69" s="8">
        <v>4321791</v>
      </c>
      <c r="BU69" s="8">
        <v>4770627</v>
      </c>
      <c r="BV69" s="8">
        <v>5172462</v>
      </c>
      <c r="BW69" s="8">
        <v>5172462</v>
      </c>
      <c r="BX69" s="8">
        <v>6207780</v>
      </c>
      <c r="BY69" s="8">
        <v>7894979</v>
      </c>
      <c r="BZ69" s="8">
        <v>9688128</v>
      </c>
      <c r="CA69" s="8">
        <v>11296807</v>
      </c>
      <c r="CB69" s="9">
        <f t="shared" si="43"/>
        <v>11296807</v>
      </c>
      <c r="CC69" s="8">
        <v>0</v>
      </c>
      <c r="CD69" s="8">
        <v>0</v>
      </c>
      <c r="CE69" s="8">
        <v>1868482</v>
      </c>
      <c r="CF69" s="8">
        <v>3082450</v>
      </c>
      <c r="CG69" s="8">
        <v>3421285</v>
      </c>
      <c r="CH69" s="8">
        <v>3921486</v>
      </c>
      <c r="CI69" s="8">
        <v>4631969</v>
      </c>
      <c r="CJ69" s="8">
        <v>5189973</v>
      </c>
      <c r="CK69" s="8">
        <v>5834945</v>
      </c>
      <c r="CL69" s="8">
        <v>6703659</v>
      </c>
      <c r="CM69" s="8">
        <v>7658162</v>
      </c>
      <c r="CN69" s="8">
        <v>9121098</v>
      </c>
      <c r="CO69" s="9">
        <f t="shared" si="44"/>
        <v>9121098</v>
      </c>
      <c r="CP69" s="8">
        <v>0</v>
      </c>
      <c r="CQ69" s="8">
        <v>780964</v>
      </c>
      <c r="CR69" s="8">
        <v>2329121</v>
      </c>
      <c r="CS69" s="8">
        <v>2781402</v>
      </c>
      <c r="CT69" s="8">
        <v>3961113</v>
      </c>
      <c r="CU69" s="8">
        <v>4999318</v>
      </c>
      <c r="CV69" s="8">
        <v>5729292</v>
      </c>
      <c r="CW69" s="8">
        <v>6450230</v>
      </c>
      <c r="CX69" s="8">
        <v>7246756</v>
      </c>
      <c r="CY69" s="8">
        <v>8083876</v>
      </c>
      <c r="CZ69" s="8">
        <v>9157163</v>
      </c>
      <c r="DA69" s="8">
        <v>10738590</v>
      </c>
      <c r="DB69" s="9">
        <f t="shared" si="45"/>
        <v>10738590</v>
      </c>
      <c r="DC69" s="8">
        <v>0</v>
      </c>
      <c r="DD69" s="8">
        <v>531868</v>
      </c>
      <c r="DE69" s="8">
        <v>979900</v>
      </c>
      <c r="DF69" s="8">
        <v>1668995</v>
      </c>
      <c r="DG69" s="8">
        <v>2067161</v>
      </c>
      <c r="DH69" s="8">
        <v>2495250</v>
      </c>
      <c r="DI69" s="8">
        <v>2833549</v>
      </c>
      <c r="DJ69" s="8">
        <v>3310447</v>
      </c>
      <c r="DK69" s="8">
        <v>4180470</v>
      </c>
      <c r="DL69" s="8">
        <v>5410940</v>
      </c>
      <c r="DM69" s="8">
        <v>6546938</v>
      </c>
      <c r="DN69" s="8">
        <v>9221232</v>
      </c>
      <c r="DO69" s="9">
        <f t="shared" si="46"/>
        <v>9221232</v>
      </c>
      <c r="DP69" s="8">
        <v>0</v>
      </c>
      <c r="DQ69" s="8">
        <v>242363</v>
      </c>
      <c r="DR69" s="8">
        <v>2468853</v>
      </c>
      <c r="DS69" s="8">
        <v>3552694</v>
      </c>
      <c r="DT69" s="8">
        <v>4986547</v>
      </c>
      <c r="DU69" s="8">
        <v>6240668</v>
      </c>
      <c r="DV69" s="8">
        <v>7483453</v>
      </c>
      <c r="DW69" s="8">
        <v>8011980</v>
      </c>
      <c r="DX69" s="8">
        <v>9004344</v>
      </c>
      <c r="DY69" s="8">
        <v>10464944</v>
      </c>
      <c r="DZ69" s="8">
        <v>11221564</v>
      </c>
      <c r="EA69" s="8">
        <v>12894724</v>
      </c>
      <c r="EB69" s="9">
        <f t="shared" si="47"/>
        <v>12894724</v>
      </c>
      <c r="EC69" s="8">
        <v>0</v>
      </c>
      <c r="ED69" s="8">
        <v>0</v>
      </c>
      <c r="EE69" s="8">
        <v>3256958</v>
      </c>
      <c r="EF69" s="8">
        <v>5254963</v>
      </c>
      <c r="EG69" s="8">
        <v>7343946</v>
      </c>
      <c r="EH69" s="8">
        <v>8984252</v>
      </c>
      <c r="EI69" s="8">
        <v>11604334</v>
      </c>
      <c r="EJ69" s="8">
        <v>12582118</v>
      </c>
      <c r="EK69" s="8">
        <v>13958919</v>
      </c>
      <c r="EL69" s="8">
        <v>15014924</v>
      </c>
      <c r="EM69" s="8">
        <v>16146052</v>
      </c>
      <c r="EN69" s="8">
        <v>17938143</v>
      </c>
      <c r="EO69" s="9">
        <f t="shared" si="48"/>
        <v>17938143</v>
      </c>
      <c r="EP69" s="8">
        <v>0</v>
      </c>
      <c r="EQ69" s="8">
        <v>656162</v>
      </c>
      <c r="ER69" s="8">
        <v>1462430</v>
      </c>
      <c r="ES69" s="8">
        <v>2617816</v>
      </c>
      <c r="ET69" s="8">
        <v>3672318</v>
      </c>
      <c r="EU69" s="8">
        <v>4549506</v>
      </c>
      <c r="EV69" s="8">
        <v>5755024</v>
      </c>
      <c r="EW69" s="8">
        <v>6518863</v>
      </c>
      <c r="EX69" s="8">
        <v>8081693</v>
      </c>
      <c r="EY69" s="8">
        <v>9963180</v>
      </c>
      <c r="EZ69" s="8">
        <v>11073504</v>
      </c>
      <c r="FA69" s="8">
        <v>14403339</v>
      </c>
      <c r="FB69" s="9">
        <f t="shared" si="49"/>
        <v>14403339</v>
      </c>
      <c r="FC69" s="8">
        <v>0</v>
      </c>
      <c r="FD69" s="8">
        <v>2033211</v>
      </c>
      <c r="FE69" s="8">
        <v>4073385</v>
      </c>
      <c r="FF69" s="8">
        <v>5482094</v>
      </c>
      <c r="FG69" s="8">
        <v>6965527</v>
      </c>
      <c r="FH69" s="8">
        <v>10120647</v>
      </c>
      <c r="FI69" s="8">
        <v>11843248</v>
      </c>
      <c r="FJ69" s="8"/>
      <c r="FK69" s="8"/>
      <c r="FL69" s="8"/>
      <c r="FM69" s="8"/>
      <c r="FN69" s="8"/>
      <c r="FO69" s="9">
        <f t="shared" si="50"/>
        <v>11843248</v>
      </c>
    </row>
    <row r="70" spans="2:171" ht="14.25" customHeight="1" x14ac:dyDescent="0.3">
      <c r="B70" s="14" t="s">
        <v>65</v>
      </c>
      <c r="C70" s="16">
        <f t="shared" ref="C70:AH70" si="51">SUM(C52:C69)</f>
        <v>0</v>
      </c>
      <c r="D70" s="16">
        <f t="shared" si="51"/>
        <v>6707055</v>
      </c>
      <c r="E70" s="16">
        <f t="shared" si="51"/>
        <v>42771872</v>
      </c>
      <c r="F70" s="16">
        <f t="shared" si="51"/>
        <v>67048131</v>
      </c>
      <c r="G70" s="16">
        <f t="shared" si="51"/>
        <v>91643055</v>
      </c>
      <c r="H70" s="16">
        <f t="shared" si="51"/>
        <v>112124722</v>
      </c>
      <c r="I70" s="16">
        <f t="shared" si="51"/>
        <v>131413645</v>
      </c>
      <c r="J70" s="16">
        <f t="shared" si="51"/>
        <v>150483865</v>
      </c>
      <c r="K70" s="16">
        <f t="shared" si="51"/>
        <v>174037694</v>
      </c>
      <c r="L70" s="16">
        <f t="shared" si="51"/>
        <v>203930517</v>
      </c>
      <c r="M70" s="16">
        <f t="shared" si="51"/>
        <v>249259888</v>
      </c>
      <c r="N70" s="16">
        <f t="shared" si="51"/>
        <v>321378807</v>
      </c>
      <c r="O70" s="16">
        <f t="shared" si="51"/>
        <v>321378807</v>
      </c>
      <c r="P70" s="16">
        <f t="shared" si="51"/>
        <v>9476614</v>
      </c>
      <c r="Q70" s="16">
        <f t="shared" si="51"/>
        <v>33250047</v>
      </c>
      <c r="R70" s="16">
        <f t="shared" si="51"/>
        <v>60458715</v>
      </c>
      <c r="S70" s="16">
        <f t="shared" si="51"/>
        <v>89282044</v>
      </c>
      <c r="T70" s="16">
        <f t="shared" si="51"/>
        <v>119070811</v>
      </c>
      <c r="U70" s="16">
        <f t="shared" si="51"/>
        <v>144056425</v>
      </c>
      <c r="V70" s="16">
        <f t="shared" si="51"/>
        <v>166693798</v>
      </c>
      <c r="W70" s="16">
        <f t="shared" si="51"/>
        <v>190172819</v>
      </c>
      <c r="X70" s="16">
        <f t="shared" si="51"/>
        <v>215825108</v>
      </c>
      <c r="Y70" s="16">
        <f t="shared" si="51"/>
        <v>254391013</v>
      </c>
      <c r="Z70" s="16">
        <f t="shared" si="51"/>
        <v>295606373</v>
      </c>
      <c r="AA70" s="16">
        <f t="shared" si="51"/>
        <v>382984709</v>
      </c>
      <c r="AB70" s="16">
        <f t="shared" si="51"/>
        <v>382984709</v>
      </c>
      <c r="AC70" s="16">
        <f t="shared" si="51"/>
        <v>7857941</v>
      </c>
      <c r="AD70" s="16">
        <f t="shared" si="51"/>
        <v>31306196</v>
      </c>
      <c r="AE70" s="16">
        <f t="shared" si="51"/>
        <v>74678837</v>
      </c>
      <c r="AF70" s="16">
        <f t="shared" si="51"/>
        <v>104342887</v>
      </c>
      <c r="AG70" s="16">
        <f t="shared" si="51"/>
        <v>130174609</v>
      </c>
      <c r="AH70" s="16">
        <f t="shared" si="51"/>
        <v>162354863</v>
      </c>
      <c r="AI70" s="16">
        <f t="shared" ref="AI70:BN70" si="52">SUM(AI52:AI69)</f>
        <v>182533436</v>
      </c>
      <c r="AJ70" s="16">
        <f t="shared" si="52"/>
        <v>208687592</v>
      </c>
      <c r="AK70" s="16">
        <f t="shared" si="52"/>
        <v>242026073</v>
      </c>
      <c r="AL70" s="16">
        <f t="shared" si="52"/>
        <v>269361453</v>
      </c>
      <c r="AM70" s="16">
        <f t="shared" si="52"/>
        <v>309347457</v>
      </c>
      <c r="AN70" s="16">
        <f t="shared" si="52"/>
        <v>393581347</v>
      </c>
      <c r="AO70" s="16">
        <f t="shared" si="52"/>
        <v>393581347</v>
      </c>
      <c r="AP70" s="16">
        <f t="shared" si="52"/>
        <v>352743</v>
      </c>
      <c r="AQ70" s="16">
        <f t="shared" si="52"/>
        <v>21474057</v>
      </c>
      <c r="AR70" s="16">
        <f t="shared" si="52"/>
        <v>58986674</v>
      </c>
      <c r="AS70" s="16">
        <f t="shared" si="52"/>
        <v>86249468</v>
      </c>
      <c r="AT70" s="16">
        <f t="shared" si="52"/>
        <v>114114808</v>
      </c>
      <c r="AU70" s="16">
        <f t="shared" si="52"/>
        <v>145624990</v>
      </c>
      <c r="AV70" s="16">
        <f t="shared" si="52"/>
        <v>170294814</v>
      </c>
      <c r="AW70" s="16">
        <f t="shared" si="52"/>
        <v>203151850</v>
      </c>
      <c r="AX70" s="16">
        <f t="shared" si="52"/>
        <v>231446027</v>
      </c>
      <c r="AY70" s="16">
        <f t="shared" si="52"/>
        <v>264933992</v>
      </c>
      <c r="AZ70" s="16">
        <f t="shared" si="52"/>
        <v>306887310</v>
      </c>
      <c r="BA70" s="16">
        <f t="shared" si="52"/>
        <v>406406082</v>
      </c>
      <c r="BB70" s="16">
        <f t="shared" si="52"/>
        <v>406406082</v>
      </c>
      <c r="BC70" s="16">
        <f t="shared" si="52"/>
        <v>2991337</v>
      </c>
      <c r="BD70" s="16">
        <f t="shared" si="52"/>
        <v>17348100</v>
      </c>
      <c r="BE70" s="16">
        <f t="shared" si="52"/>
        <v>68960019</v>
      </c>
      <c r="BF70" s="16">
        <f t="shared" si="52"/>
        <v>100434891</v>
      </c>
      <c r="BG70" s="16">
        <f t="shared" si="52"/>
        <v>127505911</v>
      </c>
      <c r="BH70" s="16">
        <f t="shared" si="52"/>
        <v>155130833</v>
      </c>
      <c r="BI70" s="16">
        <f t="shared" si="52"/>
        <v>176906341</v>
      </c>
      <c r="BJ70" s="16">
        <f t="shared" si="52"/>
        <v>202307510</v>
      </c>
      <c r="BK70" s="16">
        <f t="shared" si="52"/>
        <v>227865291</v>
      </c>
      <c r="BL70" s="16">
        <f t="shared" si="52"/>
        <v>253629526</v>
      </c>
      <c r="BM70" s="16">
        <f t="shared" si="52"/>
        <v>290719477</v>
      </c>
      <c r="BN70" s="16">
        <f t="shared" si="52"/>
        <v>362504381</v>
      </c>
      <c r="BO70" s="16">
        <f t="shared" ref="BO70:CT70" si="53">SUM(BO52:BO69)</f>
        <v>362504381</v>
      </c>
      <c r="BP70" s="16">
        <f t="shared" si="53"/>
        <v>0</v>
      </c>
      <c r="BQ70" s="16">
        <f t="shared" si="53"/>
        <v>10264467</v>
      </c>
      <c r="BR70" s="16">
        <f t="shared" si="53"/>
        <v>56805006</v>
      </c>
      <c r="BS70" s="16">
        <f t="shared" si="53"/>
        <v>93796341</v>
      </c>
      <c r="BT70" s="16">
        <f t="shared" si="53"/>
        <v>119963838</v>
      </c>
      <c r="BU70" s="16">
        <f t="shared" si="53"/>
        <v>151655156</v>
      </c>
      <c r="BV70" s="16">
        <f t="shared" si="53"/>
        <v>175614966</v>
      </c>
      <c r="BW70" s="16">
        <f t="shared" si="53"/>
        <v>197126318</v>
      </c>
      <c r="BX70" s="16">
        <f t="shared" si="53"/>
        <v>218681031</v>
      </c>
      <c r="BY70" s="16">
        <f t="shared" si="53"/>
        <v>251846522</v>
      </c>
      <c r="BZ70" s="16">
        <f t="shared" si="53"/>
        <v>293228892</v>
      </c>
      <c r="CA70" s="16">
        <f t="shared" si="53"/>
        <v>368050018</v>
      </c>
      <c r="CB70" s="16">
        <f t="shared" si="53"/>
        <v>368050018</v>
      </c>
      <c r="CC70" s="16">
        <f t="shared" si="53"/>
        <v>0</v>
      </c>
      <c r="CD70" s="16">
        <f t="shared" si="53"/>
        <v>4032334</v>
      </c>
      <c r="CE70" s="16">
        <f t="shared" si="53"/>
        <v>55050269</v>
      </c>
      <c r="CF70" s="16">
        <f t="shared" si="53"/>
        <v>80944122</v>
      </c>
      <c r="CG70" s="16">
        <f t="shared" si="53"/>
        <v>107651039</v>
      </c>
      <c r="CH70" s="16">
        <f t="shared" si="53"/>
        <v>132414219</v>
      </c>
      <c r="CI70" s="16">
        <f t="shared" si="53"/>
        <v>152542840</v>
      </c>
      <c r="CJ70" s="16">
        <f t="shared" si="53"/>
        <v>175874281</v>
      </c>
      <c r="CK70" s="16">
        <f t="shared" si="53"/>
        <v>205824687</v>
      </c>
      <c r="CL70" s="16">
        <f t="shared" si="53"/>
        <v>233767486</v>
      </c>
      <c r="CM70" s="16">
        <f t="shared" si="53"/>
        <v>279357157</v>
      </c>
      <c r="CN70" s="16">
        <f t="shared" si="53"/>
        <v>358435748</v>
      </c>
      <c r="CO70" s="16">
        <f t="shared" si="53"/>
        <v>358435748</v>
      </c>
      <c r="CP70" s="16">
        <f t="shared" si="53"/>
        <v>1227550</v>
      </c>
      <c r="CQ70" s="16">
        <f t="shared" si="53"/>
        <v>23205600</v>
      </c>
      <c r="CR70" s="16">
        <f t="shared" si="53"/>
        <v>70585804</v>
      </c>
      <c r="CS70" s="16">
        <f t="shared" si="53"/>
        <v>116596570</v>
      </c>
      <c r="CT70" s="16">
        <f t="shared" si="53"/>
        <v>147285990</v>
      </c>
      <c r="CU70" s="16">
        <f t="shared" ref="CU70:DZ70" si="54">SUM(CU52:CU69)</f>
        <v>178003787</v>
      </c>
      <c r="CV70" s="16">
        <f t="shared" si="54"/>
        <v>208095844</v>
      </c>
      <c r="CW70" s="16">
        <f t="shared" si="54"/>
        <v>240830600</v>
      </c>
      <c r="CX70" s="16">
        <f t="shared" si="54"/>
        <v>275077882</v>
      </c>
      <c r="CY70" s="16">
        <f t="shared" si="54"/>
        <v>314578963</v>
      </c>
      <c r="CZ70" s="16">
        <f t="shared" si="54"/>
        <v>351228752</v>
      </c>
      <c r="DA70" s="16">
        <f t="shared" si="54"/>
        <v>459047874</v>
      </c>
      <c r="DB70" s="16">
        <f t="shared" si="54"/>
        <v>459047874</v>
      </c>
      <c r="DC70" s="16">
        <f t="shared" si="54"/>
        <v>0</v>
      </c>
      <c r="DD70" s="16">
        <f t="shared" si="54"/>
        <v>15937508</v>
      </c>
      <c r="DE70" s="16">
        <f t="shared" si="54"/>
        <v>53939941</v>
      </c>
      <c r="DF70" s="16">
        <f t="shared" si="54"/>
        <v>86006136</v>
      </c>
      <c r="DG70" s="16">
        <f t="shared" si="54"/>
        <v>113991726</v>
      </c>
      <c r="DH70" s="16">
        <f t="shared" si="54"/>
        <v>144118770</v>
      </c>
      <c r="DI70" s="16">
        <f t="shared" si="54"/>
        <v>170065489</v>
      </c>
      <c r="DJ70" s="16">
        <f t="shared" si="54"/>
        <v>196472717</v>
      </c>
      <c r="DK70" s="16">
        <f t="shared" si="54"/>
        <v>228211281</v>
      </c>
      <c r="DL70" s="16">
        <f t="shared" si="54"/>
        <v>260208477</v>
      </c>
      <c r="DM70" s="16">
        <f t="shared" si="54"/>
        <v>294925986</v>
      </c>
      <c r="DN70" s="16">
        <f t="shared" si="54"/>
        <v>385420730</v>
      </c>
      <c r="DO70" s="16">
        <f t="shared" si="54"/>
        <v>385420730</v>
      </c>
      <c r="DP70" s="16">
        <f t="shared" si="54"/>
        <v>0</v>
      </c>
      <c r="DQ70" s="16">
        <f t="shared" si="54"/>
        <v>9126217</v>
      </c>
      <c r="DR70" s="16">
        <f t="shared" si="54"/>
        <v>53484083</v>
      </c>
      <c r="DS70" s="16">
        <f t="shared" si="54"/>
        <v>84743676</v>
      </c>
      <c r="DT70" s="16">
        <f t="shared" si="54"/>
        <v>119482475</v>
      </c>
      <c r="DU70" s="16">
        <f t="shared" si="54"/>
        <v>147778699</v>
      </c>
      <c r="DV70" s="16">
        <f t="shared" si="54"/>
        <v>171361237</v>
      </c>
      <c r="DW70" s="16">
        <f t="shared" si="54"/>
        <v>197992385</v>
      </c>
      <c r="DX70" s="16">
        <f t="shared" si="54"/>
        <v>218566789</v>
      </c>
      <c r="DY70" s="16">
        <f t="shared" si="54"/>
        <v>243066350</v>
      </c>
      <c r="DZ70" s="16">
        <f t="shared" si="54"/>
        <v>274654101</v>
      </c>
      <c r="EA70" s="16">
        <f t="shared" ref="EA70:FF70" si="55">SUM(EA52:EA69)</f>
        <v>363051838</v>
      </c>
      <c r="EB70" s="16">
        <f t="shared" si="55"/>
        <v>363051838</v>
      </c>
      <c r="EC70" s="16">
        <f t="shared" si="55"/>
        <v>0</v>
      </c>
      <c r="ED70" s="16">
        <f t="shared" si="55"/>
        <v>10091232</v>
      </c>
      <c r="EE70" s="16">
        <f t="shared" si="55"/>
        <v>65119288</v>
      </c>
      <c r="EF70" s="16">
        <f t="shared" si="55"/>
        <v>116494414</v>
      </c>
      <c r="EG70" s="16">
        <f t="shared" si="55"/>
        <v>154812807</v>
      </c>
      <c r="EH70" s="16">
        <f t="shared" si="55"/>
        <v>185718005</v>
      </c>
      <c r="EI70" s="16">
        <f t="shared" si="55"/>
        <v>210799179</v>
      </c>
      <c r="EJ70" s="16">
        <f t="shared" si="55"/>
        <v>237549250</v>
      </c>
      <c r="EK70" s="16">
        <f t="shared" si="55"/>
        <v>266509037</v>
      </c>
      <c r="EL70" s="16">
        <f t="shared" si="55"/>
        <v>292857224</v>
      </c>
      <c r="EM70" s="16">
        <f t="shared" si="55"/>
        <v>321792904</v>
      </c>
      <c r="EN70" s="16">
        <f t="shared" si="55"/>
        <v>388712182</v>
      </c>
      <c r="EO70" s="16">
        <f t="shared" si="55"/>
        <v>388712182</v>
      </c>
      <c r="EP70" s="16">
        <f t="shared" si="55"/>
        <v>0</v>
      </c>
      <c r="EQ70" s="16">
        <f t="shared" si="55"/>
        <v>15961675</v>
      </c>
      <c r="ER70" s="16">
        <f t="shared" si="55"/>
        <v>75098688</v>
      </c>
      <c r="ES70" s="16">
        <f t="shared" si="55"/>
        <v>127209565</v>
      </c>
      <c r="ET70" s="16">
        <f t="shared" si="55"/>
        <v>165256720</v>
      </c>
      <c r="EU70" s="16">
        <f t="shared" si="55"/>
        <v>198246550</v>
      </c>
      <c r="EV70" s="16">
        <f t="shared" si="55"/>
        <v>234857305</v>
      </c>
      <c r="EW70" s="16">
        <f t="shared" si="55"/>
        <v>260653577</v>
      </c>
      <c r="EX70" s="16">
        <f t="shared" si="55"/>
        <v>286668116</v>
      </c>
      <c r="EY70" s="16">
        <f t="shared" si="55"/>
        <v>326400154</v>
      </c>
      <c r="EZ70" s="16">
        <f t="shared" si="55"/>
        <v>350774992</v>
      </c>
      <c r="FA70" s="16">
        <f t="shared" si="55"/>
        <v>423841945</v>
      </c>
      <c r="FB70" s="16">
        <f t="shared" si="55"/>
        <v>423841945</v>
      </c>
      <c r="FC70" s="16">
        <f t="shared" si="55"/>
        <v>204442</v>
      </c>
      <c r="FD70" s="16">
        <f t="shared" si="55"/>
        <v>20389701</v>
      </c>
      <c r="FE70" s="16">
        <f t="shared" si="55"/>
        <v>61056221</v>
      </c>
      <c r="FF70" s="16">
        <f t="shared" si="55"/>
        <v>87064052</v>
      </c>
      <c r="FG70" s="16">
        <f t="shared" ref="FG70:GL70" si="56">SUM(FG52:FG69)</f>
        <v>109327219</v>
      </c>
      <c r="FH70" s="16">
        <f t="shared" si="56"/>
        <v>134059355</v>
      </c>
      <c r="FI70" s="16">
        <f t="shared" si="56"/>
        <v>155690398</v>
      </c>
      <c r="FJ70" s="16">
        <f t="shared" si="56"/>
        <v>0</v>
      </c>
      <c r="FK70" s="16">
        <f t="shared" si="56"/>
        <v>0</v>
      </c>
      <c r="FL70" s="16">
        <f t="shared" si="56"/>
        <v>0</v>
      </c>
      <c r="FM70" s="16">
        <f t="shared" si="56"/>
        <v>0</v>
      </c>
      <c r="FN70" s="16">
        <f t="shared" si="56"/>
        <v>0</v>
      </c>
      <c r="FO70" s="16">
        <f t="shared" si="56"/>
        <v>155690398</v>
      </c>
    </row>
    <row r="71" spans="2:171" ht="14.25" customHeight="1" x14ac:dyDescent="0.3"/>
    <row r="72" spans="2:171" ht="14.25" customHeight="1" x14ac:dyDescent="0.3"/>
    <row r="73" spans="2:171" ht="14.25" customHeight="1" x14ac:dyDescent="0.35">
      <c r="B73" s="3" t="s">
        <v>66</v>
      </c>
    </row>
    <row r="74" spans="2:171" ht="14.25" customHeight="1" x14ac:dyDescent="0.3">
      <c r="B74" s="4" t="s">
        <v>67</v>
      </c>
    </row>
    <row r="75" spans="2:171" ht="14.25" customHeight="1" x14ac:dyDescent="0.3">
      <c r="C75" s="33" t="s">
        <v>4</v>
      </c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3" t="s">
        <v>5</v>
      </c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3" t="s">
        <v>6</v>
      </c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3" t="s">
        <v>7</v>
      </c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3" t="s">
        <v>8</v>
      </c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3" t="s">
        <v>9</v>
      </c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3" t="s">
        <v>10</v>
      </c>
      <c r="CD75" s="34"/>
      <c r="CE75" s="34"/>
      <c r="CF75" s="34"/>
      <c r="CG75" s="34"/>
      <c r="CH75" s="34"/>
      <c r="CI75" s="34"/>
      <c r="CJ75" s="34"/>
      <c r="CK75" s="34"/>
      <c r="CL75" s="34"/>
      <c r="CM75" s="34"/>
      <c r="CN75" s="34"/>
      <c r="CO75" s="34"/>
      <c r="CP75" s="33" t="s">
        <v>11</v>
      </c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3" t="s">
        <v>12</v>
      </c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3" t="s">
        <v>13</v>
      </c>
      <c r="DQ75" s="34"/>
      <c r="DR75" s="34"/>
      <c r="DS75" s="34"/>
      <c r="DT75" s="34"/>
      <c r="DU75" s="34"/>
      <c r="DV75" s="34"/>
      <c r="DW75" s="34"/>
      <c r="DX75" s="34"/>
      <c r="DY75" s="34"/>
      <c r="DZ75" s="34"/>
      <c r="EA75" s="34"/>
      <c r="EB75" s="34"/>
      <c r="EC75" s="33" t="s">
        <v>14</v>
      </c>
      <c r="ED75" s="34"/>
      <c r="EE75" s="34"/>
      <c r="EF75" s="34"/>
      <c r="EG75" s="34"/>
      <c r="EH75" s="34"/>
      <c r="EI75" s="34"/>
      <c r="EJ75" s="34"/>
      <c r="EK75" s="34"/>
      <c r="EL75" s="34"/>
      <c r="EM75" s="34"/>
      <c r="EN75" s="34"/>
      <c r="EO75" s="34"/>
      <c r="EP75" s="33" t="s">
        <v>15</v>
      </c>
      <c r="EQ75" s="34"/>
      <c r="ER75" s="34"/>
      <c r="ES75" s="34"/>
      <c r="ET75" s="34"/>
      <c r="EU75" s="34"/>
      <c r="EV75" s="34"/>
      <c r="EW75" s="34"/>
      <c r="EX75" s="34"/>
      <c r="EY75" s="34"/>
      <c r="EZ75" s="34"/>
      <c r="FA75" s="34"/>
      <c r="FB75" s="34"/>
      <c r="FC75" s="33" t="s">
        <v>16</v>
      </c>
      <c r="FD75" s="34"/>
      <c r="FE75" s="34"/>
      <c r="FF75" s="34"/>
      <c r="FG75" s="34"/>
      <c r="FH75" s="34"/>
      <c r="FI75" s="34"/>
      <c r="FJ75" s="34"/>
      <c r="FK75" s="34"/>
      <c r="FL75" s="34"/>
      <c r="FM75" s="34"/>
      <c r="FN75" s="34"/>
      <c r="FO75" s="34"/>
    </row>
    <row r="76" spans="2:171" ht="14.25" customHeight="1" x14ac:dyDescent="0.3">
      <c r="B76" s="5" t="s">
        <v>17</v>
      </c>
      <c r="C76" s="6" t="s">
        <v>18</v>
      </c>
      <c r="D76" s="6" t="s">
        <v>19</v>
      </c>
      <c r="E76" s="6" t="s">
        <v>20</v>
      </c>
      <c r="F76" s="6" t="s">
        <v>21</v>
      </c>
      <c r="G76" s="6" t="s">
        <v>22</v>
      </c>
      <c r="H76" s="6" t="s">
        <v>23</v>
      </c>
      <c r="I76" s="6" t="s">
        <v>24</v>
      </c>
      <c r="J76" s="6" t="s">
        <v>25</v>
      </c>
      <c r="K76" s="6" t="s">
        <v>26</v>
      </c>
      <c r="L76" s="6" t="s">
        <v>27</v>
      </c>
      <c r="M76" s="6" t="s">
        <v>28</v>
      </c>
      <c r="N76" s="6" t="s">
        <v>29</v>
      </c>
      <c r="O76" s="6" t="s">
        <v>30</v>
      </c>
      <c r="P76" s="6" t="s">
        <v>18</v>
      </c>
      <c r="Q76" s="6" t="s">
        <v>19</v>
      </c>
      <c r="R76" s="6" t="s">
        <v>20</v>
      </c>
      <c r="S76" s="6" t="s">
        <v>21</v>
      </c>
      <c r="T76" s="6" t="s">
        <v>22</v>
      </c>
      <c r="U76" s="6" t="s">
        <v>23</v>
      </c>
      <c r="V76" s="6" t="s">
        <v>24</v>
      </c>
      <c r="W76" s="6" t="s">
        <v>25</v>
      </c>
      <c r="X76" s="6" t="s">
        <v>26</v>
      </c>
      <c r="Y76" s="6" t="s">
        <v>27</v>
      </c>
      <c r="Z76" s="6" t="s">
        <v>28</v>
      </c>
      <c r="AA76" s="6" t="s">
        <v>29</v>
      </c>
      <c r="AB76" s="6" t="s">
        <v>31</v>
      </c>
      <c r="AC76" s="6" t="s">
        <v>18</v>
      </c>
      <c r="AD76" s="6" t="s">
        <v>19</v>
      </c>
      <c r="AE76" s="6" t="s">
        <v>20</v>
      </c>
      <c r="AF76" s="6" t="s">
        <v>21</v>
      </c>
      <c r="AG76" s="6" t="s">
        <v>22</v>
      </c>
      <c r="AH76" s="6" t="s">
        <v>23</v>
      </c>
      <c r="AI76" s="6" t="s">
        <v>24</v>
      </c>
      <c r="AJ76" s="6" t="s">
        <v>25</v>
      </c>
      <c r="AK76" s="6" t="s">
        <v>26</v>
      </c>
      <c r="AL76" s="6" t="s">
        <v>27</v>
      </c>
      <c r="AM76" s="6" t="s">
        <v>28</v>
      </c>
      <c r="AN76" s="6" t="s">
        <v>29</v>
      </c>
      <c r="AO76" s="6" t="s">
        <v>32</v>
      </c>
      <c r="AP76" s="6" t="s">
        <v>18</v>
      </c>
      <c r="AQ76" s="6" t="s">
        <v>19</v>
      </c>
      <c r="AR76" s="6" t="s">
        <v>20</v>
      </c>
      <c r="AS76" s="6" t="s">
        <v>21</v>
      </c>
      <c r="AT76" s="6" t="s">
        <v>22</v>
      </c>
      <c r="AU76" s="6" t="s">
        <v>23</v>
      </c>
      <c r="AV76" s="6" t="s">
        <v>24</v>
      </c>
      <c r="AW76" s="6" t="s">
        <v>25</v>
      </c>
      <c r="AX76" s="6" t="s">
        <v>26</v>
      </c>
      <c r="AY76" s="6" t="s">
        <v>27</v>
      </c>
      <c r="AZ76" s="6" t="s">
        <v>28</v>
      </c>
      <c r="BA76" s="6" t="s">
        <v>29</v>
      </c>
      <c r="BB76" s="6" t="s">
        <v>33</v>
      </c>
      <c r="BC76" s="6" t="s">
        <v>18</v>
      </c>
      <c r="BD76" s="6" t="s">
        <v>19</v>
      </c>
      <c r="BE76" s="6" t="s">
        <v>20</v>
      </c>
      <c r="BF76" s="6" t="s">
        <v>21</v>
      </c>
      <c r="BG76" s="6" t="s">
        <v>22</v>
      </c>
      <c r="BH76" s="6" t="s">
        <v>23</v>
      </c>
      <c r="BI76" s="6" t="s">
        <v>24</v>
      </c>
      <c r="BJ76" s="6" t="s">
        <v>25</v>
      </c>
      <c r="BK76" s="6" t="s">
        <v>26</v>
      </c>
      <c r="BL76" s="6" t="s">
        <v>27</v>
      </c>
      <c r="BM76" s="6" t="s">
        <v>28</v>
      </c>
      <c r="BN76" s="6" t="s">
        <v>29</v>
      </c>
      <c r="BO76" s="6" t="s">
        <v>34</v>
      </c>
      <c r="BP76" s="6" t="s">
        <v>18</v>
      </c>
      <c r="BQ76" s="6" t="s">
        <v>19</v>
      </c>
      <c r="BR76" s="6" t="s">
        <v>20</v>
      </c>
      <c r="BS76" s="6" t="s">
        <v>21</v>
      </c>
      <c r="BT76" s="6" t="s">
        <v>22</v>
      </c>
      <c r="BU76" s="6" t="s">
        <v>23</v>
      </c>
      <c r="BV76" s="6" t="s">
        <v>24</v>
      </c>
      <c r="BW76" s="6" t="s">
        <v>25</v>
      </c>
      <c r="BX76" s="6" t="s">
        <v>26</v>
      </c>
      <c r="BY76" s="6" t="s">
        <v>27</v>
      </c>
      <c r="BZ76" s="6" t="s">
        <v>28</v>
      </c>
      <c r="CA76" s="6" t="s">
        <v>29</v>
      </c>
      <c r="CB76" s="6" t="s">
        <v>35</v>
      </c>
      <c r="CC76" s="6" t="s">
        <v>18</v>
      </c>
      <c r="CD76" s="6" t="s">
        <v>19</v>
      </c>
      <c r="CE76" s="6" t="s">
        <v>20</v>
      </c>
      <c r="CF76" s="6" t="s">
        <v>21</v>
      </c>
      <c r="CG76" s="6" t="s">
        <v>22</v>
      </c>
      <c r="CH76" s="6" t="s">
        <v>23</v>
      </c>
      <c r="CI76" s="6" t="s">
        <v>24</v>
      </c>
      <c r="CJ76" s="6" t="s">
        <v>25</v>
      </c>
      <c r="CK76" s="6" t="s">
        <v>26</v>
      </c>
      <c r="CL76" s="6" t="s">
        <v>27</v>
      </c>
      <c r="CM76" s="6" t="s">
        <v>28</v>
      </c>
      <c r="CN76" s="6" t="s">
        <v>29</v>
      </c>
      <c r="CO76" s="6" t="s">
        <v>36</v>
      </c>
      <c r="CP76" s="6" t="s">
        <v>18</v>
      </c>
      <c r="CQ76" s="6" t="s">
        <v>19</v>
      </c>
      <c r="CR76" s="6" t="s">
        <v>20</v>
      </c>
      <c r="CS76" s="6" t="s">
        <v>21</v>
      </c>
      <c r="CT76" s="6" t="s">
        <v>22</v>
      </c>
      <c r="CU76" s="6" t="s">
        <v>23</v>
      </c>
      <c r="CV76" s="6" t="s">
        <v>24</v>
      </c>
      <c r="CW76" s="6" t="s">
        <v>25</v>
      </c>
      <c r="CX76" s="6" t="s">
        <v>26</v>
      </c>
      <c r="CY76" s="6" t="s">
        <v>27</v>
      </c>
      <c r="CZ76" s="6" t="s">
        <v>28</v>
      </c>
      <c r="DA76" s="6" t="s">
        <v>29</v>
      </c>
      <c r="DB76" s="6" t="s">
        <v>37</v>
      </c>
      <c r="DC76" s="6" t="s">
        <v>18</v>
      </c>
      <c r="DD76" s="6" t="s">
        <v>19</v>
      </c>
      <c r="DE76" s="6" t="s">
        <v>20</v>
      </c>
      <c r="DF76" s="6" t="s">
        <v>21</v>
      </c>
      <c r="DG76" s="6" t="s">
        <v>22</v>
      </c>
      <c r="DH76" s="6" t="s">
        <v>23</v>
      </c>
      <c r="DI76" s="6" t="s">
        <v>24</v>
      </c>
      <c r="DJ76" s="6" t="s">
        <v>25</v>
      </c>
      <c r="DK76" s="6" t="s">
        <v>26</v>
      </c>
      <c r="DL76" s="6" t="s">
        <v>27</v>
      </c>
      <c r="DM76" s="6" t="s">
        <v>28</v>
      </c>
      <c r="DN76" s="6" t="s">
        <v>29</v>
      </c>
      <c r="DO76" s="6" t="s">
        <v>38</v>
      </c>
      <c r="DP76" s="6" t="s">
        <v>18</v>
      </c>
      <c r="DQ76" s="6" t="s">
        <v>19</v>
      </c>
      <c r="DR76" s="6" t="s">
        <v>20</v>
      </c>
      <c r="DS76" s="6" t="s">
        <v>21</v>
      </c>
      <c r="DT76" s="6" t="s">
        <v>22</v>
      </c>
      <c r="DU76" s="6" t="s">
        <v>23</v>
      </c>
      <c r="DV76" s="6" t="s">
        <v>24</v>
      </c>
      <c r="DW76" s="6" t="s">
        <v>25</v>
      </c>
      <c r="DX76" s="6" t="s">
        <v>26</v>
      </c>
      <c r="DY76" s="6" t="s">
        <v>27</v>
      </c>
      <c r="DZ76" s="6" t="s">
        <v>28</v>
      </c>
      <c r="EA76" s="6" t="s">
        <v>29</v>
      </c>
      <c r="EB76" s="6" t="s">
        <v>39</v>
      </c>
      <c r="EC76" s="6" t="s">
        <v>18</v>
      </c>
      <c r="ED76" s="6" t="s">
        <v>19</v>
      </c>
      <c r="EE76" s="6" t="s">
        <v>20</v>
      </c>
      <c r="EF76" s="6" t="s">
        <v>21</v>
      </c>
      <c r="EG76" s="6" t="s">
        <v>22</v>
      </c>
      <c r="EH76" s="6" t="s">
        <v>23</v>
      </c>
      <c r="EI76" s="6" t="s">
        <v>24</v>
      </c>
      <c r="EJ76" s="6" t="s">
        <v>25</v>
      </c>
      <c r="EK76" s="6" t="s">
        <v>26</v>
      </c>
      <c r="EL76" s="6" t="s">
        <v>27</v>
      </c>
      <c r="EM76" s="6" t="s">
        <v>28</v>
      </c>
      <c r="EN76" s="6" t="s">
        <v>29</v>
      </c>
      <c r="EO76" s="6" t="s">
        <v>40</v>
      </c>
      <c r="EP76" s="6" t="s">
        <v>18</v>
      </c>
      <c r="EQ76" s="6" t="s">
        <v>19</v>
      </c>
      <c r="ER76" s="6" t="s">
        <v>20</v>
      </c>
      <c r="ES76" s="6" t="s">
        <v>21</v>
      </c>
      <c r="ET76" s="6" t="s">
        <v>22</v>
      </c>
      <c r="EU76" s="6" t="s">
        <v>23</v>
      </c>
      <c r="EV76" s="6" t="s">
        <v>24</v>
      </c>
      <c r="EW76" s="6" t="s">
        <v>25</v>
      </c>
      <c r="EX76" s="6" t="s">
        <v>26</v>
      </c>
      <c r="EY76" s="6" t="s">
        <v>27</v>
      </c>
      <c r="EZ76" s="6" t="s">
        <v>28</v>
      </c>
      <c r="FA76" s="6" t="s">
        <v>29</v>
      </c>
      <c r="FB76" s="6" t="s">
        <v>41</v>
      </c>
      <c r="FC76" s="6" t="s">
        <v>18</v>
      </c>
      <c r="FD76" s="6" t="s">
        <v>19</v>
      </c>
      <c r="FE76" s="6" t="s">
        <v>20</v>
      </c>
      <c r="FF76" s="6" t="s">
        <v>21</v>
      </c>
      <c r="FG76" s="6" t="s">
        <v>22</v>
      </c>
      <c r="FH76" s="6" t="s">
        <v>23</v>
      </c>
      <c r="FI76" s="6" t="s">
        <v>24</v>
      </c>
      <c r="FJ76" s="6" t="s">
        <v>25</v>
      </c>
      <c r="FK76" s="6" t="s">
        <v>26</v>
      </c>
      <c r="FL76" s="6" t="s">
        <v>27</v>
      </c>
      <c r="FM76" s="6" t="s">
        <v>28</v>
      </c>
      <c r="FN76" s="6" t="s">
        <v>29</v>
      </c>
      <c r="FO76" s="6" t="s">
        <v>42</v>
      </c>
    </row>
    <row r="77" spans="2:171" ht="14.25" customHeight="1" x14ac:dyDescent="0.3">
      <c r="B77" s="7" t="s">
        <v>43</v>
      </c>
      <c r="C77" s="8">
        <v>4128812</v>
      </c>
      <c r="D77" s="8">
        <v>4128812</v>
      </c>
      <c r="E77" s="8">
        <v>15897592</v>
      </c>
      <c r="F77" s="8">
        <v>15897592</v>
      </c>
      <c r="G77" s="8">
        <v>15897592</v>
      </c>
      <c r="H77" s="8">
        <v>15897592</v>
      </c>
      <c r="I77" s="8">
        <v>15897592</v>
      </c>
      <c r="J77" s="8">
        <v>15897592</v>
      </c>
      <c r="K77" s="8">
        <v>15897592</v>
      </c>
      <c r="L77" s="8">
        <v>15897592</v>
      </c>
      <c r="M77" s="8">
        <v>15897592</v>
      </c>
      <c r="N77" s="8">
        <v>15897592</v>
      </c>
      <c r="O77" s="9">
        <f t="shared" ref="O77:O94" si="57">N77</f>
        <v>15897592</v>
      </c>
      <c r="P77" s="8">
        <v>4693552</v>
      </c>
      <c r="Q77" s="8">
        <v>4693552</v>
      </c>
      <c r="R77" s="8">
        <v>4693552</v>
      </c>
      <c r="S77" s="8">
        <v>4693552</v>
      </c>
      <c r="T77" s="8">
        <v>4693552</v>
      </c>
      <c r="U77" s="8">
        <v>4693552</v>
      </c>
      <c r="V77" s="8">
        <v>4693552</v>
      </c>
      <c r="W77" s="8">
        <v>4693552</v>
      </c>
      <c r="X77" s="8">
        <v>4693552</v>
      </c>
      <c r="Y77" s="8">
        <v>4693552</v>
      </c>
      <c r="Z77" s="8">
        <v>4693552</v>
      </c>
      <c r="AA77" s="8">
        <v>4693552</v>
      </c>
      <c r="AB77" s="9">
        <f t="shared" ref="AB77:AB94" si="58">AA77</f>
        <v>4693552</v>
      </c>
      <c r="AC77" s="8">
        <v>3911026</v>
      </c>
      <c r="AD77" s="8">
        <v>3911026</v>
      </c>
      <c r="AE77" s="8">
        <v>3911026</v>
      </c>
      <c r="AF77" s="8">
        <v>3911026</v>
      </c>
      <c r="AG77" s="8">
        <v>3911026</v>
      </c>
      <c r="AH77" s="8">
        <v>3911026</v>
      </c>
      <c r="AI77" s="8">
        <v>3911026</v>
      </c>
      <c r="AJ77" s="8">
        <v>3911026</v>
      </c>
      <c r="AK77" s="8">
        <v>3911026</v>
      </c>
      <c r="AL77" s="8">
        <v>3911026</v>
      </c>
      <c r="AM77" s="8">
        <v>3911026</v>
      </c>
      <c r="AN77" s="8">
        <v>3911026</v>
      </c>
      <c r="AO77" s="9">
        <f t="shared" ref="AO77:AO94" si="59">AN77</f>
        <v>3911026</v>
      </c>
      <c r="AP77" s="8">
        <v>4389807</v>
      </c>
      <c r="AQ77" s="8">
        <v>4389807</v>
      </c>
      <c r="AR77" s="8">
        <v>4389807</v>
      </c>
      <c r="AS77" s="8">
        <v>4389807</v>
      </c>
      <c r="AT77" s="8">
        <v>4389807</v>
      </c>
      <c r="AU77" s="8">
        <v>4389807</v>
      </c>
      <c r="AV77" s="8">
        <v>4389807</v>
      </c>
      <c r="AW77" s="8">
        <v>4389807</v>
      </c>
      <c r="AX77" s="8">
        <v>4389807</v>
      </c>
      <c r="AY77" s="8">
        <v>4389807</v>
      </c>
      <c r="AZ77" s="8">
        <v>4389807</v>
      </c>
      <c r="BA77" s="8">
        <v>4389807</v>
      </c>
      <c r="BB77" s="9">
        <f t="shared" ref="BB77:BB94" si="60">BA77</f>
        <v>4389807</v>
      </c>
      <c r="BC77" s="8">
        <v>4513827</v>
      </c>
      <c r="BD77" s="8">
        <v>4513827</v>
      </c>
      <c r="BE77" s="8">
        <v>4513827</v>
      </c>
      <c r="BF77" s="8">
        <v>4513827</v>
      </c>
      <c r="BG77" s="8">
        <v>4513827</v>
      </c>
      <c r="BH77" s="8">
        <v>4513827</v>
      </c>
      <c r="BI77" s="8">
        <v>4513827</v>
      </c>
      <c r="BJ77" s="8">
        <v>4513827</v>
      </c>
      <c r="BK77" s="8">
        <v>4513827</v>
      </c>
      <c r="BL77" s="8">
        <v>4513827</v>
      </c>
      <c r="BM77" s="8">
        <v>4513827</v>
      </c>
      <c r="BN77" s="8">
        <v>4513827</v>
      </c>
      <c r="BO77" s="9">
        <f t="shared" ref="BO77:BO94" si="61">BN77</f>
        <v>4513827</v>
      </c>
      <c r="BP77" s="8">
        <v>4195666</v>
      </c>
      <c r="BQ77" s="8">
        <v>4195666</v>
      </c>
      <c r="BR77" s="8">
        <v>4195666</v>
      </c>
      <c r="BS77" s="8">
        <v>4195666</v>
      </c>
      <c r="BT77" s="8">
        <v>4195666</v>
      </c>
      <c r="BU77" s="8">
        <v>4195666</v>
      </c>
      <c r="BV77" s="8">
        <v>4195666</v>
      </c>
      <c r="BW77" s="8">
        <v>4195666</v>
      </c>
      <c r="BX77" s="8">
        <v>4195666</v>
      </c>
      <c r="BY77" s="8">
        <v>4195666</v>
      </c>
      <c r="BZ77" s="8">
        <v>4195666</v>
      </c>
      <c r="CA77" s="8">
        <v>4195666</v>
      </c>
      <c r="CB77" s="9">
        <f t="shared" ref="CB77:CB94" si="62">CA77</f>
        <v>4195666</v>
      </c>
      <c r="CC77" s="8">
        <v>4783688</v>
      </c>
      <c r="CD77" s="8">
        <v>4783688</v>
      </c>
      <c r="CE77" s="8">
        <v>4783688</v>
      </c>
      <c r="CF77" s="8">
        <v>4783688</v>
      </c>
      <c r="CG77" s="8">
        <v>4783688</v>
      </c>
      <c r="CH77" s="8">
        <v>4783688</v>
      </c>
      <c r="CI77" s="8">
        <v>4783688</v>
      </c>
      <c r="CJ77" s="8">
        <v>4783688</v>
      </c>
      <c r="CK77" s="8">
        <v>4783688</v>
      </c>
      <c r="CL77" s="8">
        <v>4783688</v>
      </c>
      <c r="CM77" s="8">
        <v>4783688</v>
      </c>
      <c r="CN77" s="8">
        <v>4783688</v>
      </c>
      <c r="CO77" s="9">
        <f t="shared" ref="CO77:CO94" si="63">CN77</f>
        <v>4783688</v>
      </c>
      <c r="CP77" s="8">
        <v>3879109</v>
      </c>
      <c r="CQ77" s="8">
        <v>3879109</v>
      </c>
      <c r="CR77" s="8">
        <v>3879109</v>
      </c>
      <c r="CS77" s="8">
        <v>3879109</v>
      </c>
      <c r="CT77" s="8">
        <v>3879109</v>
      </c>
      <c r="CU77" s="8">
        <v>3879109</v>
      </c>
      <c r="CV77" s="8">
        <v>3879109</v>
      </c>
      <c r="CW77" s="8">
        <v>3879109</v>
      </c>
      <c r="CX77" s="8">
        <v>3879109</v>
      </c>
      <c r="CY77" s="8">
        <v>3879109</v>
      </c>
      <c r="CZ77" s="8">
        <v>3879109</v>
      </c>
      <c r="DA77" s="8">
        <v>3879109</v>
      </c>
      <c r="DB77" s="9">
        <f t="shared" ref="DB77:DB94" si="64">DA77</f>
        <v>3879109</v>
      </c>
      <c r="DC77" s="8">
        <v>3677484</v>
      </c>
      <c r="DD77" s="8">
        <v>3677484</v>
      </c>
      <c r="DE77" s="8">
        <v>3677484</v>
      </c>
      <c r="DF77" s="8">
        <v>3677484</v>
      </c>
      <c r="DG77" s="8">
        <v>3677484</v>
      </c>
      <c r="DH77" s="8">
        <v>3677484</v>
      </c>
      <c r="DI77" s="8">
        <v>3677484</v>
      </c>
      <c r="DJ77" s="8">
        <v>3677484</v>
      </c>
      <c r="DK77" s="8">
        <v>3677484</v>
      </c>
      <c r="DL77" s="8">
        <v>3677484</v>
      </c>
      <c r="DM77" s="8">
        <v>3677484</v>
      </c>
      <c r="DN77" s="8">
        <v>3677484</v>
      </c>
      <c r="DO77" s="9">
        <f t="shared" ref="DO77:DO94" si="65">DN77</f>
        <v>3677484</v>
      </c>
      <c r="DP77" s="8">
        <v>4127526</v>
      </c>
      <c r="DQ77" s="8">
        <v>4127526</v>
      </c>
      <c r="DR77" s="8">
        <v>4127526</v>
      </c>
      <c r="DS77" s="8">
        <v>4127526</v>
      </c>
      <c r="DT77" s="8">
        <v>4127526</v>
      </c>
      <c r="DU77" s="8">
        <v>4127526</v>
      </c>
      <c r="DV77" s="8">
        <v>4127526</v>
      </c>
      <c r="DW77" s="8">
        <v>4127526</v>
      </c>
      <c r="DX77" s="8">
        <v>4127526</v>
      </c>
      <c r="DY77" s="8">
        <v>4127526</v>
      </c>
      <c r="DZ77" s="8">
        <v>4127526</v>
      </c>
      <c r="EA77" s="8">
        <v>4127526</v>
      </c>
      <c r="EB77" s="9">
        <f t="shared" ref="EB77:EB94" si="66">EA77</f>
        <v>4127526</v>
      </c>
      <c r="EC77" s="8">
        <v>30674754</v>
      </c>
      <c r="ED77" s="8">
        <v>30674754</v>
      </c>
      <c r="EE77" s="8">
        <v>30674754</v>
      </c>
      <c r="EF77" s="8">
        <v>30674754</v>
      </c>
      <c r="EG77" s="8">
        <v>30674754</v>
      </c>
      <c r="EH77" s="8">
        <v>30674754</v>
      </c>
      <c r="EI77" s="8">
        <v>30674754</v>
      </c>
      <c r="EJ77" s="8">
        <v>30674754</v>
      </c>
      <c r="EK77" s="8">
        <v>30674754</v>
      </c>
      <c r="EL77" s="8">
        <v>30674754</v>
      </c>
      <c r="EM77" s="8">
        <v>30674754</v>
      </c>
      <c r="EN77" s="8">
        <v>30674754</v>
      </c>
      <c r="EO77" s="9">
        <f t="shared" ref="EO77:EO94" si="67">EN77</f>
        <v>30674754</v>
      </c>
      <c r="EP77" s="8">
        <v>4669285</v>
      </c>
      <c r="EQ77" s="8">
        <v>4669285</v>
      </c>
      <c r="ER77" s="8">
        <v>4669285</v>
      </c>
      <c r="ES77" s="8">
        <v>4669285</v>
      </c>
      <c r="ET77" s="8">
        <v>4669285</v>
      </c>
      <c r="EU77" s="8">
        <v>4669285</v>
      </c>
      <c r="EV77" s="8">
        <v>4669285</v>
      </c>
      <c r="EW77" s="8">
        <v>4669285</v>
      </c>
      <c r="EX77" s="8">
        <v>4669285</v>
      </c>
      <c r="EY77" s="8">
        <v>4669285</v>
      </c>
      <c r="EZ77" s="8">
        <v>4669285</v>
      </c>
      <c r="FA77" s="8">
        <v>4669285</v>
      </c>
      <c r="FB77" s="9">
        <f t="shared" ref="FB77:FB94" si="68">FA77</f>
        <v>4669285</v>
      </c>
      <c r="FC77" s="8">
        <v>4182704</v>
      </c>
      <c r="FD77" s="8">
        <v>4182704</v>
      </c>
      <c r="FE77" s="8">
        <v>4182704</v>
      </c>
      <c r="FF77" s="8">
        <v>4182704</v>
      </c>
      <c r="FG77" s="8">
        <v>4182704</v>
      </c>
      <c r="FH77" s="8">
        <v>4182704</v>
      </c>
      <c r="FI77" s="8">
        <v>4182704</v>
      </c>
      <c r="FJ77" s="8"/>
      <c r="FK77" s="8"/>
      <c r="FL77" s="8"/>
      <c r="FM77" s="8"/>
      <c r="FN77" s="8"/>
      <c r="FO77" s="9">
        <f t="shared" ref="FO77:FO94" si="69">FI77</f>
        <v>4182704</v>
      </c>
    </row>
    <row r="78" spans="2:171" ht="14.25" customHeight="1" x14ac:dyDescent="0.3">
      <c r="B78" s="7" t="s">
        <v>44</v>
      </c>
      <c r="C78" s="8">
        <v>54576</v>
      </c>
      <c r="D78" s="8">
        <v>54576</v>
      </c>
      <c r="E78" s="8">
        <v>54576</v>
      </c>
      <c r="F78" s="8">
        <v>54576</v>
      </c>
      <c r="G78" s="8">
        <v>54576</v>
      </c>
      <c r="H78" s="8">
        <v>54576</v>
      </c>
      <c r="I78" s="8">
        <v>54576</v>
      </c>
      <c r="J78" s="8">
        <v>54576</v>
      </c>
      <c r="K78" s="8">
        <v>54576</v>
      </c>
      <c r="L78" s="8">
        <v>54576</v>
      </c>
      <c r="M78" s="8">
        <v>54576</v>
      </c>
      <c r="N78" s="8">
        <v>54576</v>
      </c>
      <c r="O78" s="9">
        <f t="shared" si="57"/>
        <v>54576</v>
      </c>
      <c r="P78" s="8">
        <v>56213</v>
      </c>
      <c r="Q78" s="8">
        <v>56213</v>
      </c>
      <c r="R78" s="8">
        <v>56213</v>
      </c>
      <c r="S78" s="8">
        <v>56213</v>
      </c>
      <c r="T78" s="8">
        <v>56213</v>
      </c>
      <c r="U78" s="8">
        <v>56213</v>
      </c>
      <c r="V78" s="8">
        <v>56213</v>
      </c>
      <c r="W78" s="8">
        <v>56213</v>
      </c>
      <c r="X78" s="8">
        <v>56213</v>
      </c>
      <c r="Y78" s="8">
        <v>56213</v>
      </c>
      <c r="Z78" s="8">
        <v>56213</v>
      </c>
      <c r="AA78" s="8">
        <v>56213</v>
      </c>
      <c r="AB78" s="9">
        <f t="shared" si="58"/>
        <v>56213</v>
      </c>
      <c r="AC78" s="8">
        <v>58349</v>
      </c>
      <c r="AD78" s="8">
        <v>58349</v>
      </c>
      <c r="AE78" s="8">
        <v>58349</v>
      </c>
      <c r="AF78" s="8">
        <v>58349</v>
      </c>
      <c r="AG78" s="8">
        <v>58349</v>
      </c>
      <c r="AH78" s="8">
        <v>58349</v>
      </c>
      <c r="AI78" s="8">
        <v>58349</v>
      </c>
      <c r="AJ78" s="8">
        <v>58349</v>
      </c>
      <c r="AK78" s="8">
        <v>58349</v>
      </c>
      <c r="AL78" s="8">
        <v>58349</v>
      </c>
      <c r="AM78" s="8">
        <v>58349</v>
      </c>
      <c r="AN78" s="8">
        <v>58349</v>
      </c>
      <c r="AO78" s="9">
        <f t="shared" si="59"/>
        <v>58349</v>
      </c>
      <c r="AP78" s="8">
        <v>64890</v>
      </c>
      <c r="AQ78" s="8">
        <v>64890</v>
      </c>
      <c r="AR78" s="8">
        <v>64890</v>
      </c>
      <c r="AS78" s="8">
        <v>64890</v>
      </c>
      <c r="AT78" s="8">
        <v>64890</v>
      </c>
      <c r="AU78" s="8">
        <v>64890</v>
      </c>
      <c r="AV78" s="8">
        <v>64890</v>
      </c>
      <c r="AW78" s="8">
        <v>64890</v>
      </c>
      <c r="AX78" s="8">
        <v>64890</v>
      </c>
      <c r="AY78" s="8">
        <v>64890</v>
      </c>
      <c r="AZ78" s="8">
        <v>64890</v>
      </c>
      <c r="BA78" s="8">
        <v>64890</v>
      </c>
      <c r="BB78" s="9">
        <f t="shared" si="60"/>
        <v>64890</v>
      </c>
      <c r="BC78" s="8">
        <v>104652</v>
      </c>
      <c r="BD78" s="8">
        <v>104652</v>
      </c>
      <c r="BE78" s="8">
        <v>104652</v>
      </c>
      <c r="BF78" s="8">
        <v>104652</v>
      </c>
      <c r="BG78" s="8">
        <v>104652</v>
      </c>
      <c r="BH78" s="8">
        <v>104652</v>
      </c>
      <c r="BI78" s="8">
        <v>104652</v>
      </c>
      <c r="BJ78" s="8">
        <v>104652</v>
      </c>
      <c r="BK78" s="8">
        <v>104652</v>
      </c>
      <c r="BL78" s="8">
        <v>104652</v>
      </c>
      <c r="BM78" s="8">
        <v>104652</v>
      </c>
      <c r="BN78" s="8">
        <v>104652</v>
      </c>
      <c r="BO78" s="9">
        <f t="shared" si="61"/>
        <v>104652</v>
      </c>
      <c r="BP78" s="8">
        <v>141261</v>
      </c>
      <c r="BQ78" s="8">
        <v>141261</v>
      </c>
      <c r="BR78" s="8">
        <v>141261</v>
      </c>
      <c r="BS78" s="8">
        <v>141261</v>
      </c>
      <c r="BT78" s="8">
        <v>141261</v>
      </c>
      <c r="BU78" s="8">
        <v>141261</v>
      </c>
      <c r="BV78" s="8">
        <v>141261</v>
      </c>
      <c r="BW78" s="8">
        <v>141261</v>
      </c>
      <c r="BX78" s="8">
        <v>141261</v>
      </c>
      <c r="BY78" s="8">
        <v>141261</v>
      </c>
      <c r="BZ78" s="8">
        <v>141261</v>
      </c>
      <c r="CA78" s="8">
        <v>141261</v>
      </c>
      <c r="CB78" s="9">
        <f t="shared" si="62"/>
        <v>141261</v>
      </c>
      <c r="CC78" s="8">
        <v>144934</v>
      </c>
      <c r="CD78" s="8">
        <v>144934</v>
      </c>
      <c r="CE78" s="8">
        <v>144934</v>
      </c>
      <c r="CF78" s="8">
        <v>144934</v>
      </c>
      <c r="CG78" s="8">
        <v>144934</v>
      </c>
      <c r="CH78" s="8">
        <v>144934</v>
      </c>
      <c r="CI78" s="8">
        <v>144934</v>
      </c>
      <c r="CJ78" s="8">
        <v>144934</v>
      </c>
      <c r="CK78" s="8">
        <v>144934</v>
      </c>
      <c r="CL78" s="8">
        <v>144934</v>
      </c>
      <c r="CM78" s="8">
        <v>144934</v>
      </c>
      <c r="CN78" s="8">
        <v>144934</v>
      </c>
      <c r="CO78" s="9">
        <f t="shared" si="63"/>
        <v>144934</v>
      </c>
      <c r="CP78" s="8">
        <v>71111</v>
      </c>
      <c r="CQ78" s="8">
        <v>71111</v>
      </c>
      <c r="CR78" s="8">
        <v>71111</v>
      </c>
      <c r="CS78" s="8">
        <v>71111</v>
      </c>
      <c r="CT78" s="8">
        <v>71111</v>
      </c>
      <c r="CU78" s="8">
        <v>71111</v>
      </c>
      <c r="CV78" s="8">
        <v>71111</v>
      </c>
      <c r="CW78" s="8">
        <v>71111</v>
      </c>
      <c r="CX78" s="8">
        <v>71111</v>
      </c>
      <c r="CY78" s="8">
        <v>71111</v>
      </c>
      <c r="CZ78" s="8">
        <v>71111</v>
      </c>
      <c r="DA78" s="8">
        <v>71111</v>
      </c>
      <c r="DB78" s="9">
        <f t="shared" si="64"/>
        <v>71111</v>
      </c>
      <c r="DC78" s="8">
        <v>33328</v>
      </c>
      <c r="DD78" s="8">
        <v>33328</v>
      </c>
      <c r="DE78" s="8">
        <v>33328</v>
      </c>
      <c r="DF78" s="8">
        <v>33328</v>
      </c>
      <c r="DG78" s="8">
        <v>33328</v>
      </c>
      <c r="DH78" s="8">
        <v>33328</v>
      </c>
      <c r="DI78" s="8">
        <v>33328</v>
      </c>
      <c r="DJ78" s="8">
        <v>33328</v>
      </c>
      <c r="DK78" s="8">
        <v>33328</v>
      </c>
      <c r="DL78" s="8">
        <v>33328</v>
      </c>
      <c r="DM78" s="8">
        <v>33328</v>
      </c>
      <c r="DN78" s="8">
        <v>33328</v>
      </c>
      <c r="DO78" s="9">
        <f t="shared" si="65"/>
        <v>33328</v>
      </c>
      <c r="DP78" s="8">
        <v>0</v>
      </c>
      <c r="DQ78" s="8">
        <v>0</v>
      </c>
      <c r="DR78" s="8">
        <v>0</v>
      </c>
      <c r="DS78" s="8">
        <v>0</v>
      </c>
      <c r="DT78" s="8">
        <v>0</v>
      </c>
      <c r="DU78" s="8">
        <v>0</v>
      </c>
      <c r="DV78" s="8">
        <v>0</v>
      </c>
      <c r="DW78" s="8">
        <v>0</v>
      </c>
      <c r="DX78" s="8">
        <v>0</v>
      </c>
      <c r="DY78" s="8">
        <v>0</v>
      </c>
      <c r="DZ78" s="8">
        <v>0</v>
      </c>
      <c r="EA78" s="8">
        <v>0</v>
      </c>
      <c r="EB78" s="9">
        <f t="shared" si="66"/>
        <v>0</v>
      </c>
      <c r="EC78" s="8">
        <v>0</v>
      </c>
      <c r="ED78" s="8">
        <v>0</v>
      </c>
      <c r="EE78" s="8">
        <v>0</v>
      </c>
      <c r="EF78" s="8">
        <v>0</v>
      </c>
      <c r="EG78" s="8">
        <v>0</v>
      </c>
      <c r="EH78" s="8">
        <v>0</v>
      </c>
      <c r="EI78" s="8">
        <v>0</v>
      </c>
      <c r="EJ78" s="8">
        <v>0</v>
      </c>
      <c r="EK78" s="8">
        <v>0</v>
      </c>
      <c r="EL78" s="8">
        <v>0</v>
      </c>
      <c r="EM78" s="8">
        <v>0</v>
      </c>
      <c r="EN78" s="8">
        <v>0</v>
      </c>
      <c r="EO78" s="9">
        <f t="shared" si="67"/>
        <v>0</v>
      </c>
      <c r="EP78" s="8">
        <v>7294</v>
      </c>
      <c r="EQ78" s="8">
        <v>7294</v>
      </c>
      <c r="ER78" s="8">
        <v>7294</v>
      </c>
      <c r="ES78" s="8">
        <v>7294</v>
      </c>
      <c r="ET78" s="8">
        <v>7294</v>
      </c>
      <c r="EU78" s="8">
        <v>7294</v>
      </c>
      <c r="EV78" s="8">
        <v>7294</v>
      </c>
      <c r="EW78" s="8">
        <v>7294</v>
      </c>
      <c r="EX78" s="8">
        <v>7294</v>
      </c>
      <c r="EY78" s="8">
        <v>7294</v>
      </c>
      <c r="EZ78" s="8">
        <v>7294</v>
      </c>
      <c r="FA78" s="8">
        <v>7294</v>
      </c>
      <c r="FB78" s="9">
        <f t="shared" si="68"/>
        <v>7294</v>
      </c>
      <c r="FC78" s="8">
        <v>0</v>
      </c>
      <c r="FD78" s="8">
        <v>0</v>
      </c>
      <c r="FE78" s="8">
        <v>0</v>
      </c>
      <c r="FF78" s="8">
        <v>0</v>
      </c>
      <c r="FG78" s="8">
        <v>0</v>
      </c>
      <c r="FH78" s="8">
        <v>0</v>
      </c>
      <c r="FI78" s="8">
        <v>0</v>
      </c>
      <c r="FJ78" s="8"/>
      <c r="FK78" s="8"/>
      <c r="FL78" s="8"/>
      <c r="FM78" s="8"/>
      <c r="FN78" s="8"/>
      <c r="FO78" s="9">
        <f t="shared" si="69"/>
        <v>0</v>
      </c>
    </row>
    <row r="79" spans="2:171" ht="14.25" customHeight="1" x14ac:dyDescent="0.3">
      <c r="B79" s="7" t="s">
        <v>45</v>
      </c>
      <c r="C79" s="8">
        <v>23059</v>
      </c>
      <c r="D79" s="8">
        <v>23059</v>
      </c>
      <c r="E79" s="8">
        <v>23059</v>
      </c>
      <c r="F79" s="8">
        <v>23059</v>
      </c>
      <c r="G79" s="8">
        <v>23059</v>
      </c>
      <c r="H79" s="8">
        <v>23059</v>
      </c>
      <c r="I79" s="8">
        <v>23059</v>
      </c>
      <c r="J79" s="8">
        <v>23059</v>
      </c>
      <c r="K79" s="8">
        <v>23059</v>
      </c>
      <c r="L79" s="8">
        <v>23059</v>
      </c>
      <c r="M79" s="8">
        <v>23059</v>
      </c>
      <c r="N79" s="8">
        <v>23059</v>
      </c>
      <c r="O79" s="9">
        <f t="shared" si="57"/>
        <v>23059</v>
      </c>
      <c r="P79" s="8">
        <v>24642</v>
      </c>
      <c r="Q79" s="8">
        <v>24642</v>
      </c>
      <c r="R79" s="8">
        <v>24642</v>
      </c>
      <c r="S79" s="8">
        <v>24642</v>
      </c>
      <c r="T79" s="8">
        <v>24642</v>
      </c>
      <c r="U79" s="8">
        <v>24642</v>
      </c>
      <c r="V79" s="8">
        <v>24642</v>
      </c>
      <c r="W79" s="8">
        <v>24642</v>
      </c>
      <c r="X79" s="8">
        <v>24642</v>
      </c>
      <c r="Y79" s="8">
        <v>24642</v>
      </c>
      <c r="Z79" s="8">
        <v>24642</v>
      </c>
      <c r="AA79" s="8">
        <v>24642</v>
      </c>
      <c r="AB79" s="9">
        <f t="shared" si="58"/>
        <v>24642</v>
      </c>
      <c r="AC79" s="8">
        <v>23431</v>
      </c>
      <c r="AD79" s="8">
        <v>23431</v>
      </c>
      <c r="AE79" s="8">
        <v>23431</v>
      </c>
      <c r="AF79" s="8">
        <v>23431</v>
      </c>
      <c r="AG79" s="8">
        <v>23431</v>
      </c>
      <c r="AH79" s="8">
        <v>23431</v>
      </c>
      <c r="AI79" s="8">
        <v>23431</v>
      </c>
      <c r="AJ79" s="8">
        <v>23431</v>
      </c>
      <c r="AK79" s="8">
        <v>23431</v>
      </c>
      <c r="AL79" s="8">
        <v>23431</v>
      </c>
      <c r="AM79" s="8">
        <v>23431</v>
      </c>
      <c r="AN79" s="8">
        <v>23431</v>
      </c>
      <c r="AO79" s="9">
        <f t="shared" si="59"/>
        <v>23431</v>
      </c>
      <c r="AP79" s="8">
        <v>13390</v>
      </c>
      <c r="AQ79" s="8">
        <v>13390</v>
      </c>
      <c r="AR79" s="8">
        <v>13390</v>
      </c>
      <c r="AS79" s="8">
        <v>13390</v>
      </c>
      <c r="AT79" s="8">
        <v>13390</v>
      </c>
      <c r="AU79" s="8">
        <v>13390</v>
      </c>
      <c r="AV79" s="8">
        <v>13390</v>
      </c>
      <c r="AW79" s="8">
        <v>13390</v>
      </c>
      <c r="AX79" s="8">
        <v>13390</v>
      </c>
      <c r="AY79" s="8">
        <v>13390</v>
      </c>
      <c r="AZ79" s="8">
        <v>13390</v>
      </c>
      <c r="BA79" s="8">
        <v>13390</v>
      </c>
      <c r="BB79" s="9">
        <f t="shared" si="60"/>
        <v>13390</v>
      </c>
      <c r="BC79" s="8">
        <v>18468</v>
      </c>
      <c r="BD79" s="8">
        <v>18468</v>
      </c>
      <c r="BE79" s="8">
        <v>18468</v>
      </c>
      <c r="BF79" s="8">
        <v>18468</v>
      </c>
      <c r="BG79" s="8">
        <v>18468</v>
      </c>
      <c r="BH79" s="8">
        <v>18468</v>
      </c>
      <c r="BI79" s="8">
        <v>18468</v>
      </c>
      <c r="BJ79" s="8">
        <v>18468</v>
      </c>
      <c r="BK79" s="8">
        <v>18468</v>
      </c>
      <c r="BL79" s="8">
        <v>18468</v>
      </c>
      <c r="BM79" s="8">
        <v>18468</v>
      </c>
      <c r="BN79" s="8">
        <v>18468</v>
      </c>
      <c r="BO79" s="9">
        <f t="shared" si="61"/>
        <v>18468</v>
      </c>
      <c r="BP79" s="8">
        <v>11102</v>
      </c>
      <c r="BQ79" s="8">
        <v>11102</v>
      </c>
      <c r="BR79" s="8">
        <v>11102</v>
      </c>
      <c r="BS79" s="8">
        <v>11102</v>
      </c>
      <c r="BT79" s="8">
        <v>11102</v>
      </c>
      <c r="BU79" s="8">
        <v>11102</v>
      </c>
      <c r="BV79" s="8">
        <v>11102</v>
      </c>
      <c r="BW79" s="8">
        <v>11102</v>
      </c>
      <c r="BX79" s="8">
        <v>11102</v>
      </c>
      <c r="BY79" s="8">
        <v>11102</v>
      </c>
      <c r="BZ79" s="8">
        <v>11102</v>
      </c>
      <c r="CA79" s="8">
        <v>11102</v>
      </c>
      <c r="CB79" s="9">
        <f t="shared" si="62"/>
        <v>11102</v>
      </c>
      <c r="CC79" s="8">
        <v>11391</v>
      </c>
      <c r="CD79" s="8">
        <v>11391</v>
      </c>
      <c r="CE79" s="8">
        <v>11391</v>
      </c>
      <c r="CF79" s="8">
        <v>11391</v>
      </c>
      <c r="CG79" s="8">
        <v>11391</v>
      </c>
      <c r="CH79" s="8">
        <v>11391</v>
      </c>
      <c r="CI79" s="8">
        <v>11391</v>
      </c>
      <c r="CJ79" s="8">
        <v>11391</v>
      </c>
      <c r="CK79" s="8">
        <v>11391</v>
      </c>
      <c r="CL79" s="8">
        <v>11391</v>
      </c>
      <c r="CM79" s="8">
        <v>11391</v>
      </c>
      <c r="CN79" s="8">
        <v>11391</v>
      </c>
      <c r="CO79" s="9">
        <f t="shared" si="63"/>
        <v>11391</v>
      </c>
      <c r="CP79" s="8">
        <v>8967</v>
      </c>
      <c r="CQ79" s="8">
        <v>8967</v>
      </c>
      <c r="CR79" s="8">
        <v>8967</v>
      </c>
      <c r="CS79" s="8">
        <v>8967</v>
      </c>
      <c r="CT79" s="8">
        <v>8967</v>
      </c>
      <c r="CU79" s="8">
        <v>8967</v>
      </c>
      <c r="CV79" s="8">
        <v>8967</v>
      </c>
      <c r="CW79" s="8">
        <v>8967</v>
      </c>
      <c r="CX79" s="8">
        <v>8967</v>
      </c>
      <c r="CY79" s="8">
        <v>8967</v>
      </c>
      <c r="CZ79" s="8">
        <v>8967</v>
      </c>
      <c r="DA79" s="8">
        <v>8967</v>
      </c>
      <c r="DB79" s="9">
        <f t="shared" si="64"/>
        <v>8967</v>
      </c>
      <c r="DC79" s="8">
        <v>0</v>
      </c>
      <c r="DD79" s="8">
        <v>0</v>
      </c>
      <c r="DE79" s="8">
        <v>0</v>
      </c>
      <c r="DF79" s="8">
        <v>0</v>
      </c>
      <c r="DG79" s="8">
        <v>0</v>
      </c>
      <c r="DH79" s="8">
        <v>0</v>
      </c>
      <c r="DI79" s="8">
        <v>0</v>
      </c>
      <c r="DJ79" s="8">
        <v>0</v>
      </c>
      <c r="DK79" s="8">
        <v>0</v>
      </c>
      <c r="DL79" s="8">
        <v>0</v>
      </c>
      <c r="DM79" s="8">
        <v>0</v>
      </c>
      <c r="DN79" s="8">
        <v>0</v>
      </c>
      <c r="DO79" s="9">
        <f t="shared" si="65"/>
        <v>0</v>
      </c>
      <c r="DP79" s="8">
        <v>0</v>
      </c>
      <c r="DQ79" s="8">
        <v>0</v>
      </c>
      <c r="DR79" s="8">
        <v>0</v>
      </c>
      <c r="DS79" s="8">
        <v>0</v>
      </c>
      <c r="DT79" s="8">
        <v>0</v>
      </c>
      <c r="DU79" s="8">
        <v>0</v>
      </c>
      <c r="DV79" s="8">
        <v>0</v>
      </c>
      <c r="DW79" s="8">
        <v>0</v>
      </c>
      <c r="DX79" s="8">
        <v>0</v>
      </c>
      <c r="DY79" s="8">
        <v>0</v>
      </c>
      <c r="DZ79" s="8">
        <v>0</v>
      </c>
      <c r="EA79" s="8">
        <v>0</v>
      </c>
      <c r="EB79" s="9">
        <f t="shared" si="66"/>
        <v>0</v>
      </c>
      <c r="EC79" s="8">
        <v>0</v>
      </c>
      <c r="ED79" s="8">
        <v>0</v>
      </c>
      <c r="EE79" s="8">
        <v>0</v>
      </c>
      <c r="EF79" s="8">
        <v>0</v>
      </c>
      <c r="EG79" s="8">
        <v>0</v>
      </c>
      <c r="EH79" s="8">
        <v>0</v>
      </c>
      <c r="EI79" s="8">
        <v>0</v>
      </c>
      <c r="EJ79" s="8">
        <v>0</v>
      </c>
      <c r="EK79" s="8">
        <v>0</v>
      </c>
      <c r="EL79" s="8">
        <v>0</v>
      </c>
      <c r="EM79" s="8">
        <v>0</v>
      </c>
      <c r="EN79" s="8">
        <v>0</v>
      </c>
      <c r="EO79" s="9">
        <f t="shared" si="67"/>
        <v>0</v>
      </c>
      <c r="EP79" s="8">
        <v>3126</v>
      </c>
      <c r="EQ79" s="8">
        <v>3126</v>
      </c>
      <c r="ER79" s="8">
        <v>3126</v>
      </c>
      <c r="ES79" s="8">
        <v>3126</v>
      </c>
      <c r="ET79" s="8">
        <v>3126</v>
      </c>
      <c r="EU79" s="8">
        <v>3126</v>
      </c>
      <c r="EV79" s="8">
        <v>3126</v>
      </c>
      <c r="EW79" s="8">
        <v>3126</v>
      </c>
      <c r="EX79" s="8">
        <v>3126</v>
      </c>
      <c r="EY79" s="8">
        <v>3126</v>
      </c>
      <c r="EZ79" s="8">
        <v>3126</v>
      </c>
      <c r="FA79" s="8">
        <v>3126</v>
      </c>
      <c r="FB79" s="9">
        <f t="shared" si="68"/>
        <v>3126</v>
      </c>
      <c r="FC79" s="8">
        <v>10</v>
      </c>
      <c r="FD79" s="8">
        <v>10</v>
      </c>
      <c r="FE79" s="8">
        <v>10</v>
      </c>
      <c r="FF79" s="8">
        <v>10</v>
      </c>
      <c r="FG79" s="8">
        <v>10</v>
      </c>
      <c r="FH79" s="8">
        <v>10</v>
      </c>
      <c r="FI79" s="8">
        <v>10</v>
      </c>
      <c r="FJ79" s="8"/>
      <c r="FK79" s="8"/>
      <c r="FL79" s="8"/>
      <c r="FM79" s="8"/>
      <c r="FN79" s="8"/>
      <c r="FO79" s="9">
        <f t="shared" si="69"/>
        <v>10</v>
      </c>
    </row>
    <row r="80" spans="2:171" ht="14.25" customHeight="1" x14ac:dyDescent="0.3">
      <c r="B80" s="7" t="s">
        <v>46</v>
      </c>
      <c r="C80" s="8">
        <v>9750</v>
      </c>
      <c r="D80" s="8">
        <v>9750</v>
      </c>
      <c r="E80" s="8">
        <v>9750</v>
      </c>
      <c r="F80" s="8">
        <v>9750</v>
      </c>
      <c r="G80" s="8">
        <v>9750</v>
      </c>
      <c r="H80" s="8">
        <v>9750</v>
      </c>
      <c r="I80" s="8">
        <v>9750</v>
      </c>
      <c r="J80" s="8">
        <v>9750</v>
      </c>
      <c r="K80" s="8">
        <v>9750</v>
      </c>
      <c r="L80" s="8">
        <v>9750</v>
      </c>
      <c r="M80" s="8">
        <v>9750</v>
      </c>
      <c r="N80" s="8">
        <v>9750</v>
      </c>
      <c r="O80" s="9">
        <f t="shared" si="57"/>
        <v>9750</v>
      </c>
      <c r="P80" s="8">
        <v>15091</v>
      </c>
      <c r="Q80" s="8">
        <v>15091</v>
      </c>
      <c r="R80" s="8">
        <v>15091</v>
      </c>
      <c r="S80" s="8">
        <v>15091</v>
      </c>
      <c r="T80" s="8">
        <v>15091</v>
      </c>
      <c r="U80" s="8">
        <v>15091</v>
      </c>
      <c r="V80" s="8">
        <v>15091</v>
      </c>
      <c r="W80" s="8">
        <v>15091</v>
      </c>
      <c r="X80" s="8">
        <v>15091</v>
      </c>
      <c r="Y80" s="8">
        <v>15091</v>
      </c>
      <c r="Z80" s="8">
        <v>15091</v>
      </c>
      <c r="AA80" s="8">
        <v>15091</v>
      </c>
      <c r="AB80" s="9">
        <f t="shared" si="58"/>
        <v>15091</v>
      </c>
      <c r="AC80" s="8">
        <v>14630</v>
      </c>
      <c r="AD80" s="8">
        <v>14630</v>
      </c>
      <c r="AE80" s="8">
        <v>14630</v>
      </c>
      <c r="AF80" s="8">
        <v>14630</v>
      </c>
      <c r="AG80" s="8">
        <v>14630</v>
      </c>
      <c r="AH80" s="8">
        <v>14630</v>
      </c>
      <c r="AI80" s="8">
        <v>14630</v>
      </c>
      <c r="AJ80" s="8">
        <v>14630</v>
      </c>
      <c r="AK80" s="8">
        <v>14630</v>
      </c>
      <c r="AL80" s="8">
        <v>14630</v>
      </c>
      <c r="AM80" s="8">
        <v>14630</v>
      </c>
      <c r="AN80" s="8">
        <v>14630</v>
      </c>
      <c r="AO80" s="9">
        <f t="shared" si="59"/>
        <v>14630</v>
      </c>
      <c r="AP80" s="8">
        <v>15965</v>
      </c>
      <c r="AQ80" s="8">
        <v>15965</v>
      </c>
      <c r="AR80" s="8">
        <v>15965</v>
      </c>
      <c r="AS80" s="8">
        <v>15965</v>
      </c>
      <c r="AT80" s="8">
        <v>15965</v>
      </c>
      <c r="AU80" s="8">
        <v>15965</v>
      </c>
      <c r="AV80" s="8">
        <v>15965</v>
      </c>
      <c r="AW80" s="8">
        <v>15965</v>
      </c>
      <c r="AX80" s="8">
        <v>15965</v>
      </c>
      <c r="AY80" s="8">
        <v>15965</v>
      </c>
      <c r="AZ80" s="8">
        <v>15965</v>
      </c>
      <c r="BA80" s="8">
        <v>15965</v>
      </c>
      <c r="BB80" s="9">
        <f t="shared" si="60"/>
        <v>15965</v>
      </c>
      <c r="BC80" s="8">
        <v>15148</v>
      </c>
      <c r="BD80" s="8">
        <v>15148</v>
      </c>
      <c r="BE80" s="8">
        <v>15148</v>
      </c>
      <c r="BF80" s="8">
        <v>15148</v>
      </c>
      <c r="BG80" s="8">
        <v>15148</v>
      </c>
      <c r="BH80" s="8">
        <v>15148</v>
      </c>
      <c r="BI80" s="8">
        <v>15148</v>
      </c>
      <c r="BJ80" s="8">
        <v>15148</v>
      </c>
      <c r="BK80" s="8">
        <v>15148</v>
      </c>
      <c r="BL80" s="8">
        <v>15148</v>
      </c>
      <c r="BM80" s="8">
        <v>15148</v>
      </c>
      <c r="BN80" s="8">
        <v>15148</v>
      </c>
      <c r="BO80" s="9">
        <f t="shared" si="61"/>
        <v>15148</v>
      </c>
      <c r="BP80" s="8">
        <v>17987</v>
      </c>
      <c r="BQ80" s="8">
        <v>17987</v>
      </c>
      <c r="BR80" s="8">
        <v>17987</v>
      </c>
      <c r="BS80" s="8">
        <v>17987</v>
      </c>
      <c r="BT80" s="8">
        <v>17987</v>
      </c>
      <c r="BU80" s="8">
        <v>17987</v>
      </c>
      <c r="BV80" s="8">
        <v>17987</v>
      </c>
      <c r="BW80" s="8">
        <v>17987</v>
      </c>
      <c r="BX80" s="8">
        <v>17987</v>
      </c>
      <c r="BY80" s="8">
        <v>17987</v>
      </c>
      <c r="BZ80" s="8">
        <v>17987</v>
      </c>
      <c r="CA80" s="8">
        <v>17987</v>
      </c>
      <c r="CB80" s="9">
        <f t="shared" si="62"/>
        <v>17987</v>
      </c>
      <c r="CC80" s="8">
        <v>18455</v>
      </c>
      <c r="CD80" s="8">
        <v>18455</v>
      </c>
      <c r="CE80" s="8">
        <v>18455</v>
      </c>
      <c r="CF80" s="8">
        <v>18455</v>
      </c>
      <c r="CG80" s="8">
        <v>18455</v>
      </c>
      <c r="CH80" s="8">
        <v>18455</v>
      </c>
      <c r="CI80" s="8">
        <v>18455</v>
      </c>
      <c r="CJ80" s="8">
        <v>18455</v>
      </c>
      <c r="CK80" s="8">
        <v>18455</v>
      </c>
      <c r="CL80" s="8">
        <v>18455</v>
      </c>
      <c r="CM80" s="8">
        <v>18455</v>
      </c>
      <c r="CN80" s="8">
        <v>18455</v>
      </c>
      <c r="CO80" s="9">
        <f t="shared" si="63"/>
        <v>18455</v>
      </c>
      <c r="CP80" s="8">
        <v>13147</v>
      </c>
      <c r="CQ80" s="8">
        <v>13147</v>
      </c>
      <c r="CR80" s="8">
        <v>13147</v>
      </c>
      <c r="CS80" s="8">
        <v>13147</v>
      </c>
      <c r="CT80" s="8">
        <v>13147</v>
      </c>
      <c r="CU80" s="8">
        <v>13147</v>
      </c>
      <c r="CV80" s="8">
        <v>13147</v>
      </c>
      <c r="CW80" s="8">
        <v>13147</v>
      </c>
      <c r="CX80" s="8">
        <v>13147</v>
      </c>
      <c r="CY80" s="8">
        <v>13147</v>
      </c>
      <c r="CZ80" s="8">
        <v>13147</v>
      </c>
      <c r="DA80" s="8">
        <v>13147</v>
      </c>
      <c r="DB80" s="9">
        <f t="shared" si="64"/>
        <v>13147</v>
      </c>
      <c r="DC80" s="8">
        <v>0</v>
      </c>
      <c r="DD80" s="8">
        <v>0</v>
      </c>
      <c r="DE80" s="8">
        <v>0</v>
      </c>
      <c r="DF80" s="8">
        <v>0</v>
      </c>
      <c r="DG80" s="8">
        <v>0</v>
      </c>
      <c r="DH80" s="8">
        <v>0</v>
      </c>
      <c r="DI80" s="8">
        <v>0</v>
      </c>
      <c r="DJ80" s="8">
        <v>0</v>
      </c>
      <c r="DK80" s="8">
        <v>0</v>
      </c>
      <c r="DL80" s="8">
        <v>0</v>
      </c>
      <c r="DM80" s="8">
        <v>0</v>
      </c>
      <c r="DN80" s="8">
        <v>0</v>
      </c>
      <c r="DO80" s="9">
        <f t="shared" si="65"/>
        <v>0</v>
      </c>
      <c r="DP80" s="8">
        <v>0</v>
      </c>
      <c r="DQ80" s="8">
        <v>0</v>
      </c>
      <c r="DR80" s="8">
        <v>0</v>
      </c>
      <c r="DS80" s="8">
        <v>0</v>
      </c>
      <c r="DT80" s="8">
        <v>0</v>
      </c>
      <c r="DU80" s="8">
        <v>0</v>
      </c>
      <c r="DV80" s="8">
        <v>0</v>
      </c>
      <c r="DW80" s="8">
        <v>0</v>
      </c>
      <c r="DX80" s="8">
        <v>0</v>
      </c>
      <c r="DY80" s="8">
        <v>0</v>
      </c>
      <c r="DZ80" s="8">
        <v>0</v>
      </c>
      <c r="EA80" s="8">
        <v>0</v>
      </c>
      <c r="EB80" s="9">
        <f t="shared" si="66"/>
        <v>0</v>
      </c>
      <c r="EC80" s="8">
        <v>0</v>
      </c>
      <c r="ED80" s="8">
        <v>0</v>
      </c>
      <c r="EE80" s="8">
        <v>0</v>
      </c>
      <c r="EF80" s="8">
        <v>0</v>
      </c>
      <c r="EG80" s="8">
        <v>0</v>
      </c>
      <c r="EH80" s="8">
        <v>0</v>
      </c>
      <c r="EI80" s="8">
        <v>0</v>
      </c>
      <c r="EJ80" s="8">
        <v>0</v>
      </c>
      <c r="EK80" s="8">
        <v>0</v>
      </c>
      <c r="EL80" s="8">
        <v>0</v>
      </c>
      <c r="EM80" s="8">
        <v>0</v>
      </c>
      <c r="EN80" s="8">
        <v>0</v>
      </c>
      <c r="EO80" s="9">
        <f t="shared" si="67"/>
        <v>0</v>
      </c>
      <c r="EP80" s="8">
        <v>6172</v>
      </c>
      <c r="EQ80" s="8">
        <v>6172</v>
      </c>
      <c r="ER80" s="8">
        <v>6172</v>
      </c>
      <c r="ES80" s="8">
        <v>6172</v>
      </c>
      <c r="ET80" s="8">
        <v>6172</v>
      </c>
      <c r="EU80" s="8">
        <v>6172</v>
      </c>
      <c r="EV80" s="8">
        <v>6172</v>
      </c>
      <c r="EW80" s="8">
        <v>6172</v>
      </c>
      <c r="EX80" s="8">
        <v>6172</v>
      </c>
      <c r="EY80" s="8">
        <v>6172</v>
      </c>
      <c r="EZ80" s="8">
        <v>6172</v>
      </c>
      <c r="FA80" s="8">
        <v>6172</v>
      </c>
      <c r="FB80" s="9">
        <f t="shared" si="68"/>
        <v>6172</v>
      </c>
      <c r="FC80" s="8">
        <v>10</v>
      </c>
      <c r="FD80" s="8">
        <v>10</v>
      </c>
      <c r="FE80" s="8">
        <v>10</v>
      </c>
      <c r="FF80" s="8">
        <v>10</v>
      </c>
      <c r="FG80" s="8">
        <v>10</v>
      </c>
      <c r="FH80" s="8">
        <v>10</v>
      </c>
      <c r="FI80" s="8">
        <v>10</v>
      </c>
      <c r="FJ80" s="8"/>
      <c r="FK80" s="8"/>
      <c r="FL80" s="8"/>
      <c r="FM80" s="8"/>
      <c r="FN80" s="8"/>
      <c r="FO80" s="9">
        <f t="shared" si="69"/>
        <v>10</v>
      </c>
    </row>
    <row r="81" spans="2:171" ht="14.25" customHeight="1" x14ac:dyDescent="0.3">
      <c r="B81" s="7" t="s">
        <v>47</v>
      </c>
      <c r="C81" s="8">
        <v>6703</v>
      </c>
      <c r="D81" s="8">
        <v>6703</v>
      </c>
      <c r="E81" s="8">
        <v>6703</v>
      </c>
      <c r="F81" s="8">
        <v>6703</v>
      </c>
      <c r="G81" s="8">
        <v>6703</v>
      </c>
      <c r="H81" s="8">
        <v>6703</v>
      </c>
      <c r="I81" s="8">
        <v>6703</v>
      </c>
      <c r="J81" s="8">
        <v>6703</v>
      </c>
      <c r="K81" s="8">
        <v>6703</v>
      </c>
      <c r="L81" s="8">
        <v>6703</v>
      </c>
      <c r="M81" s="8">
        <v>6703</v>
      </c>
      <c r="N81" s="8">
        <v>6703</v>
      </c>
      <c r="O81" s="9">
        <f t="shared" si="57"/>
        <v>6703</v>
      </c>
      <c r="P81" s="8">
        <v>8171</v>
      </c>
      <c r="Q81" s="8">
        <v>8171</v>
      </c>
      <c r="R81" s="8">
        <v>8171</v>
      </c>
      <c r="S81" s="8">
        <v>8171</v>
      </c>
      <c r="T81" s="8">
        <v>8171</v>
      </c>
      <c r="U81" s="8">
        <v>8171</v>
      </c>
      <c r="V81" s="8">
        <v>8171</v>
      </c>
      <c r="W81" s="8">
        <v>8171</v>
      </c>
      <c r="X81" s="8">
        <v>8171</v>
      </c>
      <c r="Y81" s="8">
        <v>8171</v>
      </c>
      <c r="Z81" s="8">
        <v>8171</v>
      </c>
      <c r="AA81" s="8">
        <v>8171</v>
      </c>
      <c r="AB81" s="9">
        <f t="shared" si="58"/>
        <v>8171</v>
      </c>
      <c r="AC81" s="8">
        <v>10165</v>
      </c>
      <c r="AD81" s="8">
        <v>10165</v>
      </c>
      <c r="AE81" s="8">
        <v>10165</v>
      </c>
      <c r="AF81" s="8">
        <v>10165</v>
      </c>
      <c r="AG81" s="8">
        <v>10165</v>
      </c>
      <c r="AH81" s="8">
        <v>10165</v>
      </c>
      <c r="AI81" s="8">
        <v>10165</v>
      </c>
      <c r="AJ81" s="8">
        <v>10165</v>
      </c>
      <c r="AK81" s="8">
        <v>10165</v>
      </c>
      <c r="AL81" s="8">
        <v>10165</v>
      </c>
      <c r="AM81" s="8">
        <v>10165</v>
      </c>
      <c r="AN81" s="8">
        <v>10165</v>
      </c>
      <c r="AO81" s="9">
        <f t="shared" si="59"/>
        <v>10165</v>
      </c>
      <c r="AP81" s="8">
        <v>11330</v>
      </c>
      <c r="AQ81" s="8">
        <v>11330</v>
      </c>
      <c r="AR81" s="8">
        <v>11330</v>
      </c>
      <c r="AS81" s="8">
        <v>11330</v>
      </c>
      <c r="AT81" s="8">
        <v>11330</v>
      </c>
      <c r="AU81" s="8">
        <v>11330</v>
      </c>
      <c r="AV81" s="8">
        <v>11330</v>
      </c>
      <c r="AW81" s="8">
        <v>11330</v>
      </c>
      <c r="AX81" s="8">
        <v>11330</v>
      </c>
      <c r="AY81" s="8">
        <v>11330</v>
      </c>
      <c r="AZ81" s="8">
        <v>11330</v>
      </c>
      <c r="BA81" s="8">
        <v>11330</v>
      </c>
      <c r="BB81" s="9">
        <f t="shared" si="60"/>
        <v>11330</v>
      </c>
      <c r="BC81" s="8">
        <v>1530650</v>
      </c>
      <c r="BD81" s="8">
        <v>1530650</v>
      </c>
      <c r="BE81" s="8">
        <v>1530650</v>
      </c>
      <c r="BF81" s="8">
        <v>1530650</v>
      </c>
      <c r="BG81" s="8">
        <v>1530650</v>
      </c>
      <c r="BH81" s="8">
        <v>1530650</v>
      </c>
      <c r="BI81" s="8">
        <v>1530650</v>
      </c>
      <c r="BJ81" s="8">
        <v>1530650</v>
      </c>
      <c r="BK81" s="8">
        <v>1530650</v>
      </c>
      <c r="BL81" s="8">
        <v>1530650</v>
      </c>
      <c r="BM81" s="8">
        <v>1530650</v>
      </c>
      <c r="BN81" s="8">
        <v>1530650</v>
      </c>
      <c r="BO81" s="9">
        <f t="shared" si="61"/>
        <v>1530650</v>
      </c>
      <c r="BP81" s="8">
        <v>8728</v>
      </c>
      <c r="BQ81" s="8">
        <v>8728</v>
      </c>
      <c r="BR81" s="8">
        <v>8728</v>
      </c>
      <c r="BS81" s="8">
        <v>8728</v>
      </c>
      <c r="BT81" s="8">
        <v>8728</v>
      </c>
      <c r="BU81" s="8">
        <v>8728</v>
      </c>
      <c r="BV81" s="8">
        <v>8728</v>
      </c>
      <c r="BW81" s="8">
        <v>8728</v>
      </c>
      <c r="BX81" s="8">
        <v>8728</v>
      </c>
      <c r="BY81" s="8">
        <v>8728</v>
      </c>
      <c r="BZ81" s="8">
        <v>8728</v>
      </c>
      <c r="CA81" s="8">
        <v>8728</v>
      </c>
      <c r="CB81" s="9">
        <f t="shared" si="62"/>
        <v>8728</v>
      </c>
      <c r="CC81" s="8">
        <v>7563</v>
      </c>
      <c r="CD81" s="8">
        <v>7563</v>
      </c>
      <c r="CE81" s="8">
        <v>7563</v>
      </c>
      <c r="CF81" s="8">
        <v>7563</v>
      </c>
      <c r="CG81" s="8">
        <v>7563</v>
      </c>
      <c r="CH81" s="8">
        <v>7563</v>
      </c>
      <c r="CI81" s="8">
        <v>7563</v>
      </c>
      <c r="CJ81" s="8">
        <v>7563</v>
      </c>
      <c r="CK81" s="8">
        <v>7563</v>
      </c>
      <c r="CL81" s="8">
        <v>7563</v>
      </c>
      <c r="CM81" s="8">
        <v>7563</v>
      </c>
      <c r="CN81" s="8">
        <v>7563</v>
      </c>
      <c r="CO81" s="9">
        <f t="shared" si="63"/>
        <v>7563</v>
      </c>
      <c r="CP81" s="8">
        <v>1616</v>
      </c>
      <c r="CQ81" s="8">
        <v>1616</v>
      </c>
      <c r="CR81" s="8">
        <v>1616</v>
      </c>
      <c r="CS81" s="8">
        <v>1616</v>
      </c>
      <c r="CT81" s="8">
        <v>1616</v>
      </c>
      <c r="CU81" s="8">
        <v>1616</v>
      </c>
      <c r="CV81" s="8">
        <v>1616</v>
      </c>
      <c r="CW81" s="8">
        <v>1616</v>
      </c>
      <c r="CX81" s="8">
        <v>1616</v>
      </c>
      <c r="CY81" s="8">
        <v>1616</v>
      </c>
      <c r="CZ81" s="8">
        <v>1616</v>
      </c>
      <c r="DA81" s="8">
        <v>1616</v>
      </c>
      <c r="DB81" s="9">
        <f t="shared" si="64"/>
        <v>1616</v>
      </c>
      <c r="DC81" s="8">
        <v>0</v>
      </c>
      <c r="DD81" s="8">
        <v>0</v>
      </c>
      <c r="DE81" s="8">
        <v>0</v>
      </c>
      <c r="DF81" s="8">
        <v>0</v>
      </c>
      <c r="DG81" s="8">
        <v>0</v>
      </c>
      <c r="DH81" s="8">
        <v>0</v>
      </c>
      <c r="DI81" s="8">
        <v>0</v>
      </c>
      <c r="DJ81" s="8">
        <v>0</v>
      </c>
      <c r="DK81" s="8">
        <v>0</v>
      </c>
      <c r="DL81" s="8">
        <v>0</v>
      </c>
      <c r="DM81" s="8">
        <v>0</v>
      </c>
      <c r="DN81" s="8">
        <v>0</v>
      </c>
      <c r="DO81" s="9">
        <f t="shared" si="65"/>
        <v>0</v>
      </c>
      <c r="DP81" s="8">
        <v>0</v>
      </c>
      <c r="DQ81" s="8">
        <v>0</v>
      </c>
      <c r="DR81" s="8">
        <v>0</v>
      </c>
      <c r="DS81" s="8">
        <v>0</v>
      </c>
      <c r="DT81" s="8">
        <v>0</v>
      </c>
      <c r="DU81" s="8">
        <v>0</v>
      </c>
      <c r="DV81" s="8">
        <v>0</v>
      </c>
      <c r="DW81" s="8">
        <v>0</v>
      </c>
      <c r="DX81" s="8">
        <v>0</v>
      </c>
      <c r="DY81" s="8">
        <v>0</v>
      </c>
      <c r="DZ81" s="8">
        <v>0</v>
      </c>
      <c r="EA81" s="8">
        <v>0</v>
      </c>
      <c r="EB81" s="9">
        <f t="shared" si="66"/>
        <v>0</v>
      </c>
      <c r="EC81" s="8">
        <v>0</v>
      </c>
      <c r="ED81" s="8">
        <v>0</v>
      </c>
      <c r="EE81" s="8">
        <v>0</v>
      </c>
      <c r="EF81" s="8">
        <v>0</v>
      </c>
      <c r="EG81" s="8">
        <v>0</v>
      </c>
      <c r="EH81" s="8">
        <v>0</v>
      </c>
      <c r="EI81" s="8">
        <v>0</v>
      </c>
      <c r="EJ81" s="8">
        <v>0</v>
      </c>
      <c r="EK81" s="8">
        <v>0</v>
      </c>
      <c r="EL81" s="8">
        <v>0</v>
      </c>
      <c r="EM81" s="8">
        <v>0</v>
      </c>
      <c r="EN81" s="8">
        <v>0</v>
      </c>
      <c r="EO81" s="9">
        <f t="shared" si="67"/>
        <v>0</v>
      </c>
      <c r="EP81" s="8">
        <v>747</v>
      </c>
      <c r="EQ81" s="8">
        <v>747</v>
      </c>
      <c r="ER81" s="8">
        <v>747</v>
      </c>
      <c r="ES81" s="8">
        <v>747</v>
      </c>
      <c r="ET81" s="8">
        <v>747</v>
      </c>
      <c r="EU81" s="8">
        <v>747</v>
      </c>
      <c r="EV81" s="8">
        <v>747</v>
      </c>
      <c r="EW81" s="8">
        <v>747</v>
      </c>
      <c r="EX81" s="8">
        <v>747</v>
      </c>
      <c r="EY81" s="8">
        <v>747</v>
      </c>
      <c r="EZ81" s="8">
        <v>747</v>
      </c>
      <c r="FA81" s="8">
        <v>747</v>
      </c>
      <c r="FB81" s="9">
        <f t="shared" si="68"/>
        <v>747</v>
      </c>
      <c r="FC81" s="8">
        <v>10</v>
      </c>
      <c r="FD81" s="8">
        <v>10</v>
      </c>
      <c r="FE81" s="8">
        <v>10</v>
      </c>
      <c r="FF81" s="8">
        <v>10</v>
      </c>
      <c r="FG81" s="8">
        <v>10</v>
      </c>
      <c r="FH81" s="8">
        <v>10</v>
      </c>
      <c r="FI81" s="8">
        <v>10</v>
      </c>
      <c r="FJ81" s="8"/>
      <c r="FK81" s="8"/>
      <c r="FL81" s="8"/>
      <c r="FM81" s="8"/>
      <c r="FN81" s="8"/>
      <c r="FO81" s="9">
        <f t="shared" si="69"/>
        <v>10</v>
      </c>
    </row>
    <row r="82" spans="2:171" ht="14.25" customHeight="1" x14ac:dyDescent="0.3">
      <c r="B82" s="7" t="s">
        <v>48</v>
      </c>
      <c r="C82" s="8">
        <v>8794</v>
      </c>
      <c r="D82" s="8">
        <v>8794</v>
      </c>
      <c r="E82" s="8">
        <v>8794</v>
      </c>
      <c r="F82" s="8">
        <v>8794</v>
      </c>
      <c r="G82" s="8">
        <v>8794</v>
      </c>
      <c r="H82" s="8">
        <v>8794</v>
      </c>
      <c r="I82" s="8">
        <v>8794</v>
      </c>
      <c r="J82" s="8">
        <v>8794</v>
      </c>
      <c r="K82" s="8">
        <v>8794</v>
      </c>
      <c r="L82" s="8">
        <v>8794</v>
      </c>
      <c r="M82" s="8">
        <v>8794</v>
      </c>
      <c r="N82" s="8">
        <v>8794</v>
      </c>
      <c r="O82" s="9">
        <f t="shared" si="57"/>
        <v>8794</v>
      </c>
      <c r="P82" s="8">
        <v>13274</v>
      </c>
      <c r="Q82" s="8">
        <v>13274</v>
      </c>
      <c r="R82" s="8">
        <v>13274</v>
      </c>
      <c r="S82" s="8">
        <v>13274</v>
      </c>
      <c r="T82" s="8">
        <v>13274</v>
      </c>
      <c r="U82" s="8">
        <v>13274</v>
      </c>
      <c r="V82" s="8">
        <v>13274</v>
      </c>
      <c r="W82" s="8">
        <v>13274</v>
      </c>
      <c r="X82" s="8">
        <v>13274</v>
      </c>
      <c r="Y82" s="8">
        <v>13274</v>
      </c>
      <c r="Z82" s="8">
        <v>13274</v>
      </c>
      <c r="AA82" s="8">
        <v>13274</v>
      </c>
      <c r="AB82" s="9">
        <f t="shared" si="58"/>
        <v>13274</v>
      </c>
      <c r="AC82" s="8">
        <v>15315</v>
      </c>
      <c r="AD82" s="8">
        <v>15315</v>
      </c>
      <c r="AE82" s="8">
        <v>15315</v>
      </c>
      <c r="AF82" s="8">
        <v>15315</v>
      </c>
      <c r="AG82" s="8">
        <v>15315</v>
      </c>
      <c r="AH82" s="8">
        <v>15315</v>
      </c>
      <c r="AI82" s="8">
        <v>15315</v>
      </c>
      <c r="AJ82" s="8">
        <v>15315</v>
      </c>
      <c r="AK82" s="8">
        <v>15315</v>
      </c>
      <c r="AL82" s="8">
        <v>15315</v>
      </c>
      <c r="AM82" s="8">
        <v>15315</v>
      </c>
      <c r="AN82" s="8">
        <v>15315</v>
      </c>
      <c r="AO82" s="9">
        <f t="shared" si="59"/>
        <v>15315</v>
      </c>
      <c r="AP82" s="8">
        <v>13699</v>
      </c>
      <c r="AQ82" s="8">
        <v>13699</v>
      </c>
      <c r="AR82" s="8">
        <v>13699</v>
      </c>
      <c r="AS82" s="8">
        <v>13699</v>
      </c>
      <c r="AT82" s="8">
        <v>13699</v>
      </c>
      <c r="AU82" s="8">
        <v>13699</v>
      </c>
      <c r="AV82" s="8">
        <v>13699</v>
      </c>
      <c r="AW82" s="8">
        <v>13699</v>
      </c>
      <c r="AX82" s="8">
        <v>13699</v>
      </c>
      <c r="AY82" s="8">
        <v>13699</v>
      </c>
      <c r="AZ82" s="8">
        <v>13699</v>
      </c>
      <c r="BA82" s="8">
        <v>13699</v>
      </c>
      <c r="BB82" s="9">
        <f t="shared" si="60"/>
        <v>13699</v>
      </c>
      <c r="BC82" s="8">
        <v>18833</v>
      </c>
      <c r="BD82" s="8">
        <v>18833</v>
      </c>
      <c r="BE82" s="8">
        <v>18833</v>
      </c>
      <c r="BF82" s="8">
        <v>18833</v>
      </c>
      <c r="BG82" s="8">
        <v>18833</v>
      </c>
      <c r="BH82" s="8">
        <v>18833</v>
      </c>
      <c r="BI82" s="8">
        <v>18833</v>
      </c>
      <c r="BJ82" s="8">
        <v>18833</v>
      </c>
      <c r="BK82" s="8">
        <v>18833</v>
      </c>
      <c r="BL82" s="8">
        <v>18833</v>
      </c>
      <c r="BM82" s="8">
        <v>18833</v>
      </c>
      <c r="BN82" s="8">
        <v>18833</v>
      </c>
      <c r="BO82" s="9">
        <f t="shared" si="61"/>
        <v>18833</v>
      </c>
      <c r="BP82" s="8">
        <v>13337</v>
      </c>
      <c r="BQ82" s="8">
        <v>13337</v>
      </c>
      <c r="BR82" s="8">
        <v>13337</v>
      </c>
      <c r="BS82" s="8">
        <v>13337</v>
      </c>
      <c r="BT82" s="8">
        <v>13337</v>
      </c>
      <c r="BU82" s="8">
        <v>13337</v>
      </c>
      <c r="BV82" s="8">
        <v>13337</v>
      </c>
      <c r="BW82" s="8">
        <v>13337</v>
      </c>
      <c r="BX82" s="8">
        <v>13337</v>
      </c>
      <c r="BY82" s="8">
        <v>13337</v>
      </c>
      <c r="BZ82" s="8">
        <v>13337</v>
      </c>
      <c r="CA82" s="8">
        <v>13337</v>
      </c>
      <c r="CB82" s="9">
        <f t="shared" si="62"/>
        <v>13337</v>
      </c>
      <c r="CC82" s="8">
        <v>13684</v>
      </c>
      <c r="CD82" s="8">
        <v>13684</v>
      </c>
      <c r="CE82" s="8">
        <v>13684</v>
      </c>
      <c r="CF82" s="8">
        <v>13684</v>
      </c>
      <c r="CG82" s="8">
        <v>13684</v>
      </c>
      <c r="CH82" s="8">
        <v>13684</v>
      </c>
      <c r="CI82" s="8">
        <v>13684</v>
      </c>
      <c r="CJ82" s="8">
        <v>13684</v>
      </c>
      <c r="CK82" s="8">
        <v>13684</v>
      </c>
      <c r="CL82" s="8">
        <v>13684</v>
      </c>
      <c r="CM82" s="8">
        <v>13684</v>
      </c>
      <c r="CN82" s="8">
        <v>13684</v>
      </c>
      <c r="CO82" s="9">
        <f t="shared" si="63"/>
        <v>13684</v>
      </c>
      <c r="CP82" s="8">
        <v>7771</v>
      </c>
      <c r="CQ82" s="8">
        <v>7771</v>
      </c>
      <c r="CR82" s="8">
        <v>7771</v>
      </c>
      <c r="CS82" s="8">
        <v>7771</v>
      </c>
      <c r="CT82" s="8">
        <v>7771</v>
      </c>
      <c r="CU82" s="8">
        <v>7771</v>
      </c>
      <c r="CV82" s="8">
        <v>7771</v>
      </c>
      <c r="CW82" s="8">
        <v>7771</v>
      </c>
      <c r="CX82" s="8">
        <v>7771</v>
      </c>
      <c r="CY82" s="8">
        <v>7771</v>
      </c>
      <c r="CZ82" s="8">
        <v>7771</v>
      </c>
      <c r="DA82" s="8">
        <v>7771</v>
      </c>
      <c r="DB82" s="9">
        <f t="shared" si="64"/>
        <v>7771</v>
      </c>
      <c r="DC82" s="8">
        <v>0</v>
      </c>
      <c r="DD82" s="8">
        <v>0</v>
      </c>
      <c r="DE82" s="8">
        <v>0</v>
      </c>
      <c r="DF82" s="8">
        <v>0</v>
      </c>
      <c r="DG82" s="8">
        <v>0</v>
      </c>
      <c r="DH82" s="8">
        <v>0</v>
      </c>
      <c r="DI82" s="8">
        <v>0</v>
      </c>
      <c r="DJ82" s="8">
        <v>0</v>
      </c>
      <c r="DK82" s="8">
        <v>0</v>
      </c>
      <c r="DL82" s="8">
        <v>0</v>
      </c>
      <c r="DM82" s="8">
        <v>0</v>
      </c>
      <c r="DN82" s="8">
        <v>0</v>
      </c>
      <c r="DO82" s="9">
        <f t="shared" si="65"/>
        <v>0</v>
      </c>
      <c r="DP82" s="8">
        <v>0</v>
      </c>
      <c r="DQ82" s="8">
        <v>0</v>
      </c>
      <c r="DR82" s="8">
        <v>0</v>
      </c>
      <c r="DS82" s="8">
        <v>0</v>
      </c>
      <c r="DT82" s="8">
        <v>0</v>
      </c>
      <c r="DU82" s="8">
        <v>0</v>
      </c>
      <c r="DV82" s="8">
        <v>0</v>
      </c>
      <c r="DW82" s="8">
        <v>0</v>
      </c>
      <c r="DX82" s="8">
        <v>0</v>
      </c>
      <c r="DY82" s="8">
        <v>0</v>
      </c>
      <c r="DZ82" s="8">
        <v>0</v>
      </c>
      <c r="EA82" s="8">
        <v>0</v>
      </c>
      <c r="EB82" s="9">
        <f t="shared" si="66"/>
        <v>0</v>
      </c>
      <c r="EC82" s="8">
        <v>0</v>
      </c>
      <c r="ED82" s="8">
        <v>0</v>
      </c>
      <c r="EE82" s="8">
        <v>0</v>
      </c>
      <c r="EF82" s="8">
        <v>0</v>
      </c>
      <c r="EG82" s="8">
        <v>0</v>
      </c>
      <c r="EH82" s="8">
        <v>0</v>
      </c>
      <c r="EI82" s="8">
        <v>0</v>
      </c>
      <c r="EJ82" s="8">
        <v>0</v>
      </c>
      <c r="EK82" s="8">
        <v>0</v>
      </c>
      <c r="EL82" s="8">
        <v>0</v>
      </c>
      <c r="EM82" s="8">
        <v>0</v>
      </c>
      <c r="EN82" s="8">
        <v>0</v>
      </c>
      <c r="EO82" s="9">
        <f t="shared" si="67"/>
        <v>0</v>
      </c>
      <c r="EP82" s="8">
        <v>6884</v>
      </c>
      <c r="EQ82" s="8">
        <v>6884</v>
      </c>
      <c r="ER82" s="8">
        <v>6884</v>
      </c>
      <c r="ES82" s="8">
        <v>6884</v>
      </c>
      <c r="ET82" s="8">
        <v>6884</v>
      </c>
      <c r="EU82" s="8">
        <v>6884</v>
      </c>
      <c r="EV82" s="8">
        <v>6884</v>
      </c>
      <c r="EW82" s="8">
        <v>6884</v>
      </c>
      <c r="EX82" s="8">
        <v>6884</v>
      </c>
      <c r="EY82" s="8">
        <v>6884</v>
      </c>
      <c r="EZ82" s="8">
        <v>6884</v>
      </c>
      <c r="FA82" s="8">
        <v>6884</v>
      </c>
      <c r="FB82" s="9">
        <f t="shared" si="68"/>
        <v>6884</v>
      </c>
      <c r="FC82" s="8">
        <v>10</v>
      </c>
      <c r="FD82" s="8">
        <v>10</v>
      </c>
      <c r="FE82" s="8">
        <v>10</v>
      </c>
      <c r="FF82" s="8">
        <v>10</v>
      </c>
      <c r="FG82" s="8">
        <v>10</v>
      </c>
      <c r="FH82" s="8">
        <v>10</v>
      </c>
      <c r="FI82" s="8">
        <v>10</v>
      </c>
      <c r="FJ82" s="8"/>
      <c r="FK82" s="8"/>
      <c r="FL82" s="8"/>
      <c r="FM82" s="8"/>
      <c r="FN82" s="8"/>
      <c r="FO82" s="9">
        <f t="shared" si="69"/>
        <v>10</v>
      </c>
    </row>
    <row r="83" spans="2:171" ht="14.25" customHeight="1" x14ac:dyDescent="0.3">
      <c r="B83" s="7" t="s">
        <v>49</v>
      </c>
      <c r="C83" s="8">
        <v>19164</v>
      </c>
      <c r="D83" s="8">
        <v>19164</v>
      </c>
      <c r="E83" s="8">
        <v>19164</v>
      </c>
      <c r="F83" s="8">
        <v>19164</v>
      </c>
      <c r="G83" s="8">
        <v>19164</v>
      </c>
      <c r="H83" s="8">
        <v>19164</v>
      </c>
      <c r="I83" s="8">
        <v>19164</v>
      </c>
      <c r="J83" s="8">
        <v>19164</v>
      </c>
      <c r="K83" s="8">
        <v>19164</v>
      </c>
      <c r="L83" s="8">
        <v>19164</v>
      </c>
      <c r="M83" s="8">
        <v>19164</v>
      </c>
      <c r="N83" s="8">
        <v>19164</v>
      </c>
      <c r="O83" s="9">
        <f t="shared" si="57"/>
        <v>19164</v>
      </c>
      <c r="P83" s="8">
        <v>20898</v>
      </c>
      <c r="Q83" s="8">
        <v>20898</v>
      </c>
      <c r="R83" s="8">
        <v>20898</v>
      </c>
      <c r="S83" s="8">
        <v>20898</v>
      </c>
      <c r="T83" s="8">
        <v>20898</v>
      </c>
      <c r="U83" s="8">
        <v>20898</v>
      </c>
      <c r="V83" s="8">
        <v>20898</v>
      </c>
      <c r="W83" s="8">
        <v>20898</v>
      </c>
      <c r="X83" s="8">
        <v>20898</v>
      </c>
      <c r="Y83" s="8">
        <v>20898</v>
      </c>
      <c r="Z83" s="8">
        <v>20898</v>
      </c>
      <c r="AA83" s="8">
        <v>20898</v>
      </c>
      <c r="AB83" s="9">
        <f t="shared" si="58"/>
        <v>20898</v>
      </c>
      <c r="AC83" s="8">
        <v>16233</v>
      </c>
      <c r="AD83" s="8">
        <v>16233</v>
      </c>
      <c r="AE83" s="8">
        <v>16233</v>
      </c>
      <c r="AF83" s="8">
        <v>16233</v>
      </c>
      <c r="AG83" s="8">
        <v>16233</v>
      </c>
      <c r="AH83" s="8">
        <v>16233</v>
      </c>
      <c r="AI83" s="8">
        <v>16233</v>
      </c>
      <c r="AJ83" s="8">
        <v>16233</v>
      </c>
      <c r="AK83" s="8">
        <v>16233</v>
      </c>
      <c r="AL83" s="8">
        <v>16233</v>
      </c>
      <c r="AM83" s="8">
        <v>16233</v>
      </c>
      <c r="AN83" s="8">
        <v>16233</v>
      </c>
      <c r="AO83" s="9">
        <f t="shared" si="59"/>
        <v>16233</v>
      </c>
      <c r="AP83" s="8">
        <v>15038</v>
      </c>
      <c r="AQ83" s="8">
        <v>15038</v>
      </c>
      <c r="AR83" s="8">
        <v>15038</v>
      </c>
      <c r="AS83" s="8">
        <v>15038</v>
      </c>
      <c r="AT83" s="8">
        <v>15038</v>
      </c>
      <c r="AU83" s="8">
        <v>15038</v>
      </c>
      <c r="AV83" s="8">
        <v>15038</v>
      </c>
      <c r="AW83" s="8">
        <v>15038</v>
      </c>
      <c r="AX83" s="8">
        <v>15038</v>
      </c>
      <c r="AY83" s="8">
        <v>15038</v>
      </c>
      <c r="AZ83" s="8">
        <v>15038</v>
      </c>
      <c r="BA83" s="8">
        <v>15038</v>
      </c>
      <c r="BB83" s="9">
        <f t="shared" si="60"/>
        <v>15038</v>
      </c>
      <c r="BC83" s="8">
        <v>17276</v>
      </c>
      <c r="BD83" s="8">
        <v>17276</v>
      </c>
      <c r="BE83" s="8">
        <v>17276</v>
      </c>
      <c r="BF83" s="8">
        <v>17276</v>
      </c>
      <c r="BG83" s="8">
        <v>17276</v>
      </c>
      <c r="BH83" s="8">
        <v>17276</v>
      </c>
      <c r="BI83" s="8">
        <v>17276</v>
      </c>
      <c r="BJ83" s="8">
        <v>17276</v>
      </c>
      <c r="BK83" s="8">
        <v>17276</v>
      </c>
      <c r="BL83" s="8">
        <v>17276</v>
      </c>
      <c r="BM83" s="8">
        <v>17276</v>
      </c>
      <c r="BN83" s="8">
        <v>17276</v>
      </c>
      <c r="BO83" s="9">
        <f t="shared" si="61"/>
        <v>17276</v>
      </c>
      <c r="BP83" s="8">
        <v>11951</v>
      </c>
      <c r="BQ83" s="8">
        <v>11951</v>
      </c>
      <c r="BR83" s="8">
        <v>11951</v>
      </c>
      <c r="BS83" s="8">
        <v>11951</v>
      </c>
      <c r="BT83" s="8">
        <v>11951</v>
      </c>
      <c r="BU83" s="8">
        <v>11951</v>
      </c>
      <c r="BV83" s="8">
        <v>11951</v>
      </c>
      <c r="BW83" s="8">
        <v>11951</v>
      </c>
      <c r="BX83" s="8">
        <v>11951</v>
      </c>
      <c r="BY83" s="8">
        <v>11951</v>
      </c>
      <c r="BZ83" s="8">
        <v>11951</v>
      </c>
      <c r="CA83" s="8">
        <v>11951</v>
      </c>
      <c r="CB83" s="9">
        <f t="shared" si="62"/>
        <v>11951</v>
      </c>
      <c r="CC83" s="8">
        <v>12262</v>
      </c>
      <c r="CD83" s="8">
        <v>12262</v>
      </c>
      <c r="CE83" s="8">
        <v>12262</v>
      </c>
      <c r="CF83" s="8">
        <v>12262</v>
      </c>
      <c r="CG83" s="8">
        <v>12262</v>
      </c>
      <c r="CH83" s="8">
        <v>12262</v>
      </c>
      <c r="CI83" s="8">
        <v>12262</v>
      </c>
      <c r="CJ83" s="8">
        <v>12262</v>
      </c>
      <c r="CK83" s="8">
        <v>12262</v>
      </c>
      <c r="CL83" s="8">
        <v>12262</v>
      </c>
      <c r="CM83" s="8">
        <v>12262</v>
      </c>
      <c r="CN83" s="8">
        <v>12262</v>
      </c>
      <c r="CO83" s="9">
        <f t="shared" si="63"/>
        <v>12262</v>
      </c>
      <c r="CP83" s="8">
        <v>9458</v>
      </c>
      <c r="CQ83" s="8">
        <v>9458</v>
      </c>
      <c r="CR83" s="8">
        <v>9458</v>
      </c>
      <c r="CS83" s="8">
        <v>9458</v>
      </c>
      <c r="CT83" s="8">
        <v>9458</v>
      </c>
      <c r="CU83" s="8">
        <v>9458</v>
      </c>
      <c r="CV83" s="8">
        <v>9458</v>
      </c>
      <c r="CW83" s="8">
        <v>9458</v>
      </c>
      <c r="CX83" s="8">
        <v>9458</v>
      </c>
      <c r="CY83" s="8">
        <v>9458</v>
      </c>
      <c r="CZ83" s="8">
        <v>9458</v>
      </c>
      <c r="DA83" s="8">
        <v>9458</v>
      </c>
      <c r="DB83" s="9">
        <f t="shared" si="64"/>
        <v>9458</v>
      </c>
      <c r="DC83" s="8">
        <v>0</v>
      </c>
      <c r="DD83" s="8">
        <v>0</v>
      </c>
      <c r="DE83" s="8">
        <v>0</v>
      </c>
      <c r="DF83" s="8">
        <v>0</v>
      </c>
      <c r="DG83" s="8">
        <v>0</v>
      </c>
      <c r="DH83" s="8">
        <v>0</v>
      </c>
      <c r="DI83" s="8">
        <v>0</v>
      </c>
      <c r="DJ83" s="8">
        <v>0</v>
      </c>
      <c r="DK83" s="8">
        <v>0</v>
      </c>
      <c r="DL83" s="8">
        <v>0</v>
      </c>
      <c r="DM83" s="8">
        <v>0</v>
      </c>
      <c r="DN83" s="8">
        <v>0</v>
      </c>
      <c r="DO83" s="9">
        <f t="shared" si="65"/>
        <v>0</v>
      </c>
      <c r="DP83" s="8">
        <v>0</v>
      </c>
      <c r="DQ83" s="8">
        <v>0</v>
      </c>
      <c r="DR83" s="8">
        <v>0</v>
      </c>
      <c r="DS83" s="8">
        <v>0</v>
      </c>
      <c r="DT83" s="8">
        <v>0</v>
      </c>
      <c r="DU83" s="8">
        <v>0</v>
      </c>
      <c r="DV83" s="8">
        <v>0</v>
      </c>
      <c r="DW83" s="8">
        <v>0</v>
      </c>
      <c r="DX83" s="8">
        <v>0</v>
      </c>
      <c r="DY83" s="8">
        <v>0</v>
      </c>
      <c r="DZ83" s="8">
        <v>0</v>
      </c>
      <c r="EA83" s="8">
        <v>0</v>
      </c>
      <c r="EB83" s="9">
        <f t="shared" si="66"/>
        <v>0</v>
      </c>
      <c r="EC83" s="8">
        <v>0</v>
      </c>
      <c r="ED83" s="8">
        <v>0</v>
      </c>
      <c r="EE83" s="8">
        <v>0</v>
      </c>
      <c r="EF83" s="8">
        <v>0</v>
      </c>
      <c r="EG83" s="8">
        <v>0</v>
      </c>
      <c r="EH83" s="8">
        <v>0</v>
      </c>
      <c r="EI83" s="8">
        <v>0</v>
      </c>
      <c r="EJ83" s="8">
        <v>0</v>
      </c>
      <c r="EK83" s="8">
        <v>0</v>
      </c>
      <c r="EL83" s="8">
        <v>0</v>
      </c>
      <c r="EM83" s="8">
        <v>0</v>
      </c>
      <c r="EN83" s="8">
        <v>0</v>
      </c>
      <c r="EO83" s="9">
        <f t="shared" si="67"/>
        <v>0</v>
      </c>
      <c r="EP83" s="8">
        <v>6351</v>
      </c>
      <c r="EQ83" s="8">
        <v>6351</v>
      </c>
      <c r="ER83" s="8">
        <v>6351</v>
      </c>
      <c r="ES83" s="8">
        <v>6351</v>
      </c>
      <c r="ET83" s="8">
        <v>6351</v>
      </c>
      <c r="EU83" s="8">
        <v>6351</v>
      </c>
      <c r="EV83" s="8">
        <v>6351</v>
      </c>
      <c r="EW83" s="8">
        <v>6351</v>
      </c>
      <c r="EX83" s="8">
        <v>6351</v>
      </c>
      <c r="EY83" s="8">
        <v>6351</v>
      </c>
      <c r="EZ83" s="8">
        <v>6351</v>
      </c>
      <c r="FA83" s="8">
        <v>6351</v>
      </c>
      <c r="FB83" s="9">
        <f t="shared" si="68"/>
        <v>6351</v>
      </c>
      <c r="FC83" s="8">
        <v>10</v>
      </c>
      <c r="FD83" s="8">
        <v>10</v>
      </c>
      <c r="FE83" s="8">
        <v>10</v>
      </c>
      <c r="FF83" s="8">
        <v>10</v>
      </c>
      <c r="FG83" s="8">
        <v>10</v>
      </c>
      <c r="FH83" s="8">
        <v>10</v>
      </c>
      <c r="FI83" s="8">
        <v>10</v>
      </c>
      <c r="FJ83" s="8"/>
      <c r="FK83" s="8"/>
      <c r="FL83" s="8"/>
      <c r="FM83" s="8"/>
      <c r="FN83" s="8"/>
      <c r="FO83" s="9">
        <f t="shared" si="69"/>
        <v>10</v>
      </c>
    </row>
    <row r="84" spans="2:171" ht="14.25" customHeight="1" x14ac:dyDescent="0.3">
      <c r="B84" s="7" t="s">
        <v>50</v>
      </c>
      <c r="C84" s="8">
        <v>22603</v>
      </c>
      <c r="D84" s="8">
        <v>22603</v>
      </c>
      <c r="E84" s="8">
        <v>22603</v>
      </c>
      <c r="F84" s="8">
        <v>22603</v>
      </c>
      <c r="G84" s="8">
        <v>22603</v>
      </c>
      <c r="H84" s="8">
        <v>22603</v>
      </c>
      <c r="I84" s="8">
        <v>22603</v>
      </c>
      <c r="J84" s="8">
        <v>22603</v>
      </c>
      <c r="K84" s="8">
        <v>22603</v>
      </c>
      <c r="L84" s="8">
        <v>22603</v>
      </c>
      <c r="M84" s="8">
        <v>22603</v>
      </c>
      <c r="N84" s="8">
        <v>22603</v>
      </c>
      <c r="O84" s="9">
        <f t="shared" si="57"/>
        <v>22603</v>
      </c>
      <c r="P84" s="8">
        <v>126364</v>
      </c>
      <c r="Q84" s="8">
        <v>126364</v>
      </c>
      <c r="R84" s="8">
        <v>126364</v>
      </c>
      <c r="S84" s="8">
        <v>126364</v>
      </c>
      <c r="T84" s="8">
        <v>126364</v>
      </c>
      <c r="U84" s="8">
        <v>126364</v>
      </c>
      <c r="V84" s="8">
        <v>126364</v>
      </c>
      <c r="W84" s="8">
        <v>126364</v>
      </c>
      <c r="X84" s="8">
        <v>126364</v>
      </c>
      <c r="Y84" s="8">
        <v>126364</v>
      </c>
      <c r="Z84" s="8">
        <v>126364</v>
      </c>
      <c r="AA84" s="8">
        <v>126364</v>
      </c>
      <c r="AB84" s="9">
        <f t="shared" si="58"/>
        <v>126364</v>
      </c>
      <c r="AC84" s="8">
        <v>572264</v>
      </c>
      <c r="AD84" s="8">
        <v>572264</v>
      </c>
      <c r="AE84" s="8">
        <v>572264</v>
      </c>
      <c r="AF84" s="8">
        <v>572264</v>
      </c>
      <c r="AG84" s="8">
        <v>572264</v>
      </c>
      <c r="AH84" s="8">
        <v>572264</v>
      </c>
      <c r="AI84" s="8">
        <v>572264</v>
      </c>
      <c r="AJ84" s="8">
        <v>572264</v>
      </c>
      <c r="AK84" s="8">
        <v>572264</v>
      </c>
      <c r="AL84" s="8">
        <v>572264</v>
      </c>
      <c r="AM84" s="8">
        <v>572264</v>
      </c>
      <c r="AN84" s="8">
        <v>572264</v>
      </c>
      <c r="AO84" s="9">
        <f t="shared" si="59"/>
        <v>572264</v>
      </c>
      <c r="AP84" s="8">
        <v>187666</v>
      </c>
      <c r="AQ84" s="8">
        <v>187666</v>
      </c>
      <c r="AR84" s="8">
        <v>187666</v>
      </c>
      <c r="AS84" s="8">
        <v>187666</v>
      </c>
      <c r="AT84" s="8">
        <v>187666</v>
      </c>
      <c r="AU84" s="8">
        <v>187666</v>
      </c>
      <c r="AV84" s="8">
        <v>187666</v>
      </c>
      <c r="AW84" s="8">
        <v>187666</v>
      </c>
      <c r="AX84" s="8">
        <v>187666</v>
      </c>
      <c r="AY84" s="8">
        <v>187666</v>
      </c>
      <c r="AZ84" s="8">
        <v>187666</v>
      </c>
      <c r="BA84" s="8">
        <v>187666</v>
      </c>
      <c r="BB84" s="9">
        <f t="shared" si="60"/>
        <v>187666</v>
      </c>
      <c r="BC84" s="8">
        <v>29913</v>
      </c>
      <c r="BD84" s="8">
        <v>29913</v>
      </c>
      <c r="BE84" s="8">
        <v>29913</v>
      </c>
      <c r="BF84" s="8">
        <v>29913</v>
      </c>
      <c r="BG84" s="8">
        <v>29913</v>
      </c>
      <c r="BH84" s="8">
        <v>29913</v>
      </c>
      <c r="BI84" s="8">
        <v>29913</v>
      </c>
      <c r="BJ84" s="8">
        <v>29913</v>
      </c>
      <c r="BK84" s="8">
        <v>29913</v>
      </c>
      <c r="BL84" s="8">
        <v>29913</v>
      </c>
      <c r="BM84" s="8">
        <v>29913</v>
      </c>
      <c r="BN84" s="8">
        <v>29913</v>
      </c>
      <c r="BO84" s="9">
        <f t="shared" si="61"/>
        <v>29913</v>
      </c>
      <c r="BP84" s="8">
        <v>22012</v>
      </c>
      <c r="BQ84" s="8">
        <v>22012</v>
      </c>
      <c r="BR84" s="8">
        <v>22012</v>
      </c>
      <c r="BS84" s="8">
        <v>22012</v>
      </c>
      <c r="BT84" s="8">
        <v>22012</v>
      </c>
      <c r="BU84" s="8">
        <v>22012</v>
      </c>
      <c r="BV84" s="8">
        <v>22012</v>
      </c>
      <c r="BW84" s="8">
        <v>22012</v>
      </c>
      <c r="BX84" s="8">
        <v>22012</v>
      </c>
      <c r="BY84" s="8">
        <v>22012</v>
      </c>
      <c r="BZ84" s="8">
        <v>22012</v>
      </c>
      <c r="CA84" s="8">
        <v>22012</v>
      </c>
      <c r="CB84" s="9">
        <f t="shared" si="62"/>
        <v>22012</v>
      </c>
      <c r="CC84" s="8">
        <v>180044</v>
      </c>
      <c r="CD84" s="8">
        <v>180044</v>
      </c>
      <c r="CE84" s="8">
        <v>180044</v>
      </c>
      <c r="CF84" s="8">
        <v>180044</v>
      </c>
      <c r="CG84" s="8">
        <v>180044</v>
      </c>
      <c r="CH84" s="8">
        <v>180044</v>
      </c>
      <c r="CI84" s="8">
        <v>180044</v>
      </c>
      <c r="CJ84" s="8">
        <v>180044</v>
      </c>
      <c r="CK84" s="8">
        <v>180044</v>
      </c>
      <c r="CL84" s="8">
        <v>180044</v>
      </c>
      <c r="CM84" s="8">
        <v>180044</v>
      </c>
      <c r="CN84" s="8">
        <v>180044</v>
      </c>
      <c r="CO84" s="9">
        <f t="shared" si="63"/>
        <v>180044</v>
      </c>
      <c r="CP84" s="8">
        <v>16432</v>
      </c>
      <c r="CQ84" s="8">
        <v>16432</v>
      </c>
      <c r="CR84" s="8">
        <v>16432</v>
      </c>
      <c r="CS84" s="8">
        <v>16432</v>
      </c>
      <c r="CT84" s="8">
        <v>16432</v>
      </c>
      <c r="CU84" s="8">
        <v>16432</v>
      </c>
      <c r="CV84" s="8">
        <v>16432</v>
      </c>
      <c r="CW84" s="8">
        <v>16432</v>
      </c>
      <c r="CX84" s="8">
        <v>16432</v>
      </c>
      <c r="CY84" s="8">
        <v>16432</v>
      </c>
      <c r="CZ84" s="8">
        <v>16432</v>
      </c>
      <c r="DA84" s="8">
        <v>16432</v>
      </c>
      <c r="DB84" s="9">
        <f t="shared" si="64"/>
        <v>16432</v>
      </c>
      <c r="DC84" s="8">
        <v>0</v>
      </c>
      <c r="DD84" s="8">
        <v>0</v>
      </c>
      <c r="DE84" s="8">
        <v>0</v>
      </c>
      <c r="DF84" s="8">
        <v>0</v>
      </c>
      <c r="DG84" s="8">
        <v>0</v>
      </c>
      <c r="DH84" s="8">
        <v>0</v>
      </c>
      <c r="DI84" s="8">
        <v>0</v>
      </c>
      <c r="DJ84" s="8">
        <v>0</v>
      </c>
      <c r="DK84" s="8">
        <v>0</v>
      </c>
      <c r="DL84" s="8">
        <v>0</v>
      </c>
      <c r="DM84" s="8">
        <v>0</v>
      </c>
      <c r="DN84" s="8">
        <v>0</v>
      </c>
      <c r="DO84" s="9">
        <f t="shared" si="65"/>
        <v>0</v>
      </c>
      <c r="DP84" s="8">
        <v>3986250</v>
      </c>
      <c r="DQ84" s="8">
        <v>3986250</v>
      </c>
      <c r="DR84" s="8">
        <v>3986250</v>
      </c>
      <c r="DS84" s="8">
        <v>3986250</v>
      </c>
      <c r="DT84" s="8">
        <v>3986250</v>
      </c>
      <c r="DU84" s="8">
        <v>3986250</v>
      </c>
      <c r="DV84" s="8">
        <v>3986250</v>
      </c>
      <c r="DW84" s="8">
        <v>3986250</v>
      </c>
      <c r="DX84" s="8">
        <v>3986250</v>
      </c>
      <c r="DY84" s="8">
        <v>3986250</v>
      </c>
      <c r="DZ84" s="8">
        <v>3986250</v>
      </c>
      <c r="EA84" s="8">
        <v>3986250</v>
      </c>
      <c r="EB84" s="9">
        <f t="shared" si="66"/>
        <v>3986250</v>
      </c>
      <c r="EC84" s="8">
        <v>0</v>
      </c>
      <c r="ED84" s="8">
        <v>0</v>
      </c>
      <c r="EE84" s="8">
        <v>0</v>
      </c>
      <c r="EF84" s="8">
        <v>0</v>
      </c>
      <c r="EG84" s="8">
        <v>0</v>
      </c>
      <c r="EH84" s="8">
        <v>0</v>
      </c>
      <c r="EI84" s="8">
        <v>0</v>
      </c>
      <c r="EJ84" s="8">
        <v>0</v>
      </c>
      <c r="EK84" s="8">
        <v>0</v>
      </c>
      <c r="EL84" s="8">
        <v>0</v>
      </c>
      <c r="EM84" s="8">
        <v>0</v>
      </c>
      <c r="EN84" s="8">
        <v>0</v>
      </c>
      <c r="EO84" s="9">
        <f t="shared" si="67"/>
        <v>0</v>
      </c>
      <c r="EP84" s="8">
        <v>7515</v>
      </c>
      <c r="EQ84" s="8">
        <v>7515</v>
      </c>
      <c r="ER84" s="8">
        <v>7515</v>
      </c>
      <c r="ES84" s="8">
        <v>7515</v>
      </c>
      <c r="ET84" s="8">
        <v>7515</v>
      </c>
      <c r="EU84" s="8">
        <v>7515</v>
      </c>
      <c r="EV84" s="8">
        <v>7515</v>
      </c>
      <c r="EW84" s="8">
        <v>7515</v>
      </c>
      <c r="EX84" s="8">
        <v>7515</v>
      </c>
      <c r="EY84" s="8">
        <v>7515</v>
      </c>
      <c r="EZ84" s="8">
        <v>7515</v>
      </c>
      <c r="FA84" s="8">
        <v>7515</v>
      </c>
      <c r="FB84" s="9">
        <f t="shared" si="68"/>
        <v>7515</v>
      </c>
      <c r="FC84" s="8">
        <v>10</v>
      </c>
      <c r="FD84" s="8">
        <v>10</v>
      </c>
      <c r="FE84" s="8">
        <v>10</v>
      </c>
      <c r="FF84" s="8">
        <v>10</v>
      </c>
      <c r="FG84" s="8">
        <v>10</v>
      </c>
      <c r="FH84" s="8">
        <v>10</v>
      </c>
      <c r="FI84" s="8">
        <v>10</v>
      </c>
      <c r="FJ84" s="8"/>
      <c r="FK84" s="8"/>
      <c r="FL84" s="8"/>
      <c r="FM84" s="8"/>
      <c r="FN84" s="8"/>
      <c r="FO84" s="9">
        <f t="shared" si="69"/>
        <v>10</v>
      </c>
    </row>
    <row r="85" spans="2:171" ht="14.25" customHeight="1" x14ac:dyDescent="0.3">
      <c r="B85" s="7" t="s">
        <v>51</v>
      </c>
      <c r="C85" s="8">
        <v>52172</v>
      </c>
      <c r="D85" s="8">
        <v>52172</v>
      </c>
      <c r="E85" s="8">
        <v>52172</v>
      </c>
      <c r="F85" s="8">
        <v>52172</v>
      </c>
      <c r="G85" s="8">
        <v>52172</v>
      </c>
      <c r="H85" s="8">
        <v>52172</v>
      </c>
      <c r="I85" s="8">
        <v>52172</v>
      </c>
      <c r="J85" s="8">
        <v>52172</v>
      </c>
      <c r="K85" s="8">
        <v>52172</v>
      </c>
      <c r="L85" s="8">
        <v>52172</v>
      </c>
      <c r="M85" s="8">
        <v>52172</v>
      </c>
      <c r="N85" s="8">
        <v>52172</v>
      </c>
      <c r="O85" s="9">
        <f t="shared" si="57"/>
        <v>52172</v>
      </c>
      <c r="P85" s="8">
        <v>6810295</v>
      </c>
      <c r="Q85" s="8">
        <v>6810295</v>
      </c>
      <c r="R85" s="8">
        <v>6810295</v>
      </c>
      <c r="S85" s="8">
        <v>6810295</v>
      </c>
      <c r="T85" s="8">
        <v>6810295</v>
      </c>
      <c r="U85" s="8">
        <v>6810295</v>
      </c>
      <c r="V85" s="8">
        <v>6810295</v>
      </c>
      <c r="W85" s="8">
        <v>6810295</v>
      </c>
      <c r="X85" s="8">
        <v>6810295</v>
      </c>
      <c r="Y85" s="8">
        <v>6810295</v>
      </c>
      <c r="Z85" s="8">
        <v>6810295</v>
      </c>
      <c r="AA85" s="8">
        <v>6810295</v>
      </c>
      <c r="AB85" s="9">
        <f t="shared" si="58"/>
        <v>6810295</v>
      </c>
      <c r="AC85" s="8">
        <v>106766</v>
      </c>
      <c r="AD85" s="8">
        <v>106766</v>
      </c>
      <c r="AE85" s="8">
        <v>106766</v>
      </c>
      <c r="AF85" s="8">
        <v>106766</v>
      </c>
      <c r="AG85" s="8">
        <v>106766</v>
      </c>
      <c r="AH85" s="8">
        <v>106766</v>
      </c>
      <c r="AI85" s="8">
        <v>106766</v>
      </c>
      <c r="AJ85" s="8">
        <v>106766</v>
      </c>
      <c r="AK85" s="8">
        <v>106766</v>
      </c>
      <c r="AL85" s="8">
        <v>106766</v>
      </c>
      <c r="AM85" s="8">
        <v>106766</v>
      </c>
      <c r="AN85" s="8">
        <v>106766</v>
      </c>
      <c r="AO85" s="9">
        <f t="shared" si="59"/>
        <v>106766</v>
      </c>
      <c r="AP85" s="8">
        <v>82915</v>
      </c>
      <c r="AQ85" s="8">
        <v>82915</v>
      </c>
      <c r="AR85" s="8">
        <v>82915</v>
      </c>
      <c r="AS85" s="8">
        <v>82915</v>
      </c>
      <c r="AT85" s="8">
        <v>82915</v>
      </c>
      <c r="AU85" s="8">
        <v>82915</v>
      </c>
      <c r="AV85" s="8">
        <v>82915</v>
      </c>
      <c r="AW85" s="8">
        <v>82915</v>
      </c>
      <c r="AX85" s="8">
        <v>82915</v>
      </c>
      <c r="AY85" s="8">
        <v>82915</v>
      </c>
      <c r="AZ85" s="8">
        <v>82915</v>
      </c>
      <c r="BA85" s="8">
        <v>82915</v>
      </c>
      <c r="BB85" s="9">
        <f t="shared" si="60"/>
        <v>82915</v>
      </c>
      <c r="BC85" s="8">
        <v>115897</v>
      </c>
      <c r="BD85" s="8">
        <v>115897</v>
      </c>
      <c r="BE85" s="8">
        <v>115897</v>
      </c>
      <c r="BF85" s="8">
        <v>115897</v>
      </c>
      <c r="BG85" s="8">
        <v>115897</v>
      </c>
      <c r="BH85" s="8">
        <v>115897</v>
      </c>
      <c r="BI85" s="8">
        <v>115897</v>
      </c>
      <c r="BJ85" s="8">
        <v>115897</v>
      </c>
      <c r="BK85" s="8">
        <v>115897</v>
      </c>
      <c r="BL85" s="8">
        <v>115897</v>
      </c>
      <c r="BM85" s="8">
        <v>115897</v>
      </c>
      <c r="BN85" s="8">
        <v>115897</v>
      </c>
      <c r="BO85" s="9">
        <f t="shared" si="61"/>
        <v>115897</v>
      </c>
      <c r="BP85" s="8">
        <v>71643</v>
      </c>
      <c r="BQ85" s="8">
        <v>71643</v>
      </c>
      <c r="BR85" s="8">
        <v>71643</v>
      </c>
      <c r="BS85" s="8">
        <v>71643</v>
      </c>
      <c r="BT85" s="8">
        <v>71643</v>
      </c>
      <c r="BU85" s="8">
        <v>71643</v>
      </c>
      <c r="BV85" s="8">
        <v>71643</v>
      </c>
      <c r="BW85" s="8">
        <v>71643</v>
      </c>
      <c r="BX85" s="8">
        <v>71643</v>
      </c>
      <c r="BY85" s="8">
        <v>71643</v>
      </c>
      <c r="BZ85" s="8">
        <v>71643</v>
      </c>
      <c r="CA85" s="8">
        <v>71643</v>
      </c>
      <c r="CB85" s="9">
        <f t="shared" si="62"/>
        <v>71643</v>
      </c>
      <c r="CC85" s="8">
        <v>73506</v>
      </c>
      <c r="CD85" s="8">
        <v>73506</v>
      </c>
      <c r="CE85" s="8">
        <v>73506</v>
      </c>
      <c r="CF85" s="8">
        <v>73506</v>
      </c>
      <c r="CG85" s="8">
        <v>73506</v>
      </c>
      <c r="CH85" s="8">
        <v>73506</v>
      </c>
      <c r="CI85" s="8">
        <v>73506</v>
      </c>
      <c r="CJ85" s="8">
        <v>73506</v>
      </c>
      <c r="CK85" s="8">
        <v>73506</v>
      </c>
      <c r="CL85" s="8">
        <v>73506</v>
      </c>
      <c r="CM85" s="8">
        <v>73506</v>
      </c>
      <c r="CN85" s="8">
        <v>73506</v>
      </c>
      <c r="CO85" s="9">
        <f t="shared" si="63"/>
        <v>73506</v>
      </c>
      <c r="CP85" s="8">
        <v>45774</v>
      </c>
      <c r="CQ85" s="8">
        <v>45774</v>
      </c>
      <c r="CR85" s="8">
        <v>45774</v>
      </c>
      <c r="CS85" s="8">
        <v>45774</v>
      </c>
      <c r="CT85" s="8">
        <v>45774</v>
      </c>
      <c r="CU85" s="8">
        <v>45774</v>
      </c>
      <c r="CV85" s="8">
        <v>45774</v>
      </c>
      <c r="CW85" s="8">
        <v>45774</v>
      </c>
      <c r="CX85" s="8">
        <v>45774</v>
      </c>
      <c r="CY85" s="8">
        <v>45774</v>
      </c>
      <c r="CZ85" s="8">
        <v>45774</v>
      </c>
      <c r="DA85" s="8">
        <v>45774</v>
      </c>
      <c r="DB85" s="9">
        <f t="shared" si="64"/>
        <v>45774</v>
      </c>
      <c r="DC85" s="8">
        <v>0</v>
      </c>
      <c r="DD85" s="8">
        <v>0</v>
      </c>
      <c r="DE85" s="8">
        <v>0</v>
      </c>
      <c r="DF85" s="8">
        <v>0</v>
      </c>
      <c r="DG85" s="8">
        <v>0</v>
      </c>
      <c r="DH85" s="8">
        <v>0</v>
      </c>
      <c r="DI85" s="8">
        <v>0</v>
      </c>
      <c r="DJ85" s="8">
        <v>0</v>
      </c>
      <c r="DK85" s="8">
        <v>0</v>
      </c>
      <c r="DL85" s="8">
        <v>0</v>
      </c>
      <c r="DM85" s="8">
        <v>0</v>
      </c>
      <c r="DN85" s="8">
        <v>0</v>
      </c>
      <c r="DO85" s="9">
        <f t="shared" si="65"/>
        <v>0</v>
      </c>
      <c r="DP85" s="8">
        <v>9301250</v>
      </c>
      <c r="DQ85" s="8">
        <v>9301250</v>
      </c>
      <c r="DR85" s="8">
        <v>9301250</v>
      </c>
      <c r="DS85" s="8">
        <v>9301250</v>
      </c>
      <c r="DT85" s="8">
        <v>9301250</v>
      </c>
      <c r="DU85" s="8">
        <v>9301250</v>
      </c>
      <c r="DV85" s="8">
        <v>9301250</v>
      </c>
      <c r="DW85" s="8">
        <v>9301250</v>
      </c>
      <c r="DX85" s="8">
        <v>9301250</v>
      </c>
      <c r="DY85" s="8">
        <v>9301250</v>
      </c>
      <c r="DZ85" s="8">
        <v>9301250</v>
      </c>
      <c r="EA85" s="8">
        <v>9301250</v>
      </c>
      <c r="EB85" s="9">
        <f t="shared" si="66"/>
        <v>9301250</v>
      </c>
      <c r="EC85" s="8">
        <v>0</v>
      </c>
      <c r="ED85" s="8">
        <v>0</v>
      </c>
      <c r="EE85" s="8">
        <v>0</v>
      </c>
      <c r="EF85" s="8">
        <v>0</v>
      </c>
      <c r="EG85" s="8">
        <v>0</v>
      </c>
      <c r="EH85" s="8">
        <v>0</v>
      </c>
      <c r="EI85" s="8">
        <v>0</v>
      </c>
      <c r="EJ85" s="8">
        <v>0</v>
      </c>
      <c r="EK85" s="8">
        <v>0</v>
      </c>
      <c r="EL85" s="8">
        <v>0</v>
      </c>
      <c r="EM85" s="8">
        <v>0</v>
      </c>
      <c r="EN85" s="8">
        <v>0</v>
      </c>
      <c r="EO85" s="9">
        <f t="shared" si="67"/>
        <v>0</v>
      </c>
      <c r="EP85" s="8">
        <v>18756</v>
      </c>
      <c r="EQ85" s="8">
        <v>18756</v>
      </c>
      <c r="ER85" s="8">
        <v>18756</v>
      </c>
      <c r="ES85" s="8">
        <v>18756</v>
      </c>
      <c r="ET85" s="8">
        <v>18756</v>
      </c>
      <c r="EU85" s="8">
        <v>18756</v>
      </c>
      <c r="EV85" s="8">
        <v>18756</v>
      </c>
      <c r="EW85" s="8">
        <v>18756</v>
      </c>
      <c r="EX85" s="8">
        <v>18756</v>
      </c>
      <c r="EY85" s="8">
        <v>18756</v>
      </c>
      <c r="EZ85" s="8">
        <v>18756</v>
      </c>
      <c r="FA85" s="8">
        <v>18756</v>
      </c>
      <c r="FB85" s="9">
        <f t="shared" si="68"/>
        <v>18756</v>
      </c>
      <c r="FC85" s="8">
        <v>10</v>
      </c>
      <c r="FD85" s="8">
        <v>10</v>
      </c>
      <c r="FE85" s="8">
        <v>10</v>
      </c>
      <c r="FF85" s="8">
        <v>10</v>
      </c>
      <c r="FG85" s="8">
        <v>10</v>
      </c>
      <c r="FH85" s="8">
        <v>10</v>
      </c>
      <c r="FI85" s="8">
        <v>10</v>
      </c>
      <c r="FJ85" s="8"/>
      <c r="FK85" s="8"/>
      <c r="FL85" s="8"/>
      <c r="FM85" s="8"/>
      <c r="FN85" s="8"/>
      <c r="FO85" s="9">
        <f t="shared" si="69"/>
        <v>10</v>
      </c>
    </row>
    <row r="86" spans="2:171" ht="14.25" customHeight="1" x14ac:dyDescent="0.3">
      <c r="B86" s="7" t="s">
        <v>52</v>
      </c>
      <c r="C86" s="8">
        <v>20560</v>
      </c>
      <c r="D86" s="8">
        <v>20560</v>
      </c>
      <c r="E86" s="8">
        <v>20560</v>
      </c>
      <c r="F86" s="8">
        <v>20560</v>
      </c>
      <c r="G86" s="8">
        <v>20560</v>
      </c>
      <c r="H86" s="8">
        <v>20560</v>
      </c>
      <c r="I86" s="8">
        <v>20560</v>
      </c>
      <c r="J86" s="8">
        <v>20560</v>
      </c>
      <c r="K86" s="8">
        <v>20560</v>
      </c>
      <c r="L86" s="8">
        <v>20560</v>
      </c>
      <c r="M86" s="8">
        <v>20560</v>
      </c>
      <c r="N86" s="8">
        <v>20560</v>
      </c>
      <c r="O86" s="9">
        <f t="shared" si="57"/>
        <v>20560</v>
      </c>
      <c r="P86" s="8">
        <v>22608</v>
      </c>
      <c r="Q86" s="8">
        <v>22608</v>
      </c>
      <c r="R86" s="8">
        <v>22608</v>
      </c>
      <c r="S86" s="8">
        <v>22608</v>
      </c>
      <c r="T86" s="8">
        <v>22608</v>
      </c>
      <c r="U86" s="8">
        <v>22608</v>
      </c>
      <c r="V86" s="8">
        <v>22608</v>
      </c>
      <c r="W86" s="8">
        <v>22608</v>
      </c>
      <c r="X86" s="8">
        <v>22608</v>
      </c>
      <c r="Y86" s="8">
        <v>22608</v>
      </c>
      <c r="Z86" s="8">
        <v>22608</v>
      </c>
      <c r="AA86" s="8">
        <v>22608</v>
      </c>
      <c r="AB86" s="9">
        <f t="shared" si="58"/>
        <v>22608</v>
      </c>
      <c r="AC86" s="8">
        <v>945905</v>
      </c>
      <c r="AD86" s="8">
        <v>945905</v>
      </c>
      <c r="AE86" s="8">
        <v>945905</v>
      </c>
      <c r="AF86" s="8">
        <v>945905</v>
      </c>
      <c r="AG86" s="8">
        <v>945905</v>
      </c>
      <c r="AH86" s="8">
        <v>945905</v>
      </c>
      <c r="AI86" s="8">
        <v>945905</v>
      </c>
      <c r="AJ86" s="8">
        <v>945905</v>
      </c>
      <c r="AK86" s="8">
        <v>945905</v>
      </c>
      <c r="AL86" s="8">
        <v>945905</v>
      </c>
      <c r="AM86" s="8">
        <v>945905</v>
      </c>
      <c r="AN86" s="8">
        <v>945905</v>
      </c>
      <c r="AO86" s="9">
        <f t="shared" si="59"/>
        <v>945905</v>
      </c>
      <c r="AP86" s="8">
        <v>16995</v>
      </c>
      <c r="AQ86" s="8">
        <v>16995</v>
      </c>
      <c r="AR86" s="8">
        <v>16995</v>
      </c>
      <c r="AS86" s="8">
        <v>16995</v>
      </c>
      <c r="AT86" s="8">
        <v>16995</v>
      </c>
      <c r="AU86" s="8">
        <v>16995</v>
      </c>
      <c r="AV86" s="8">
        <v>16995</v>
      </c>
      <c r="AW86" s="8">
        <v>16995</v>
      </c>
      <c r="AX86" s="8">
        <v>16995</v>
      </c>
      <c r="AY86" s="8">
        <v>16995</v>
      </c>
      <c r="AZ86" s="8">
        <v>16995</v>
      </c>
      <c r="BA86" s="8">
        <v>16995</v>
      </c>
      <c r="BB86" s="9">
        <f t="shared" si="60"/>
        <v>16995</v>
      </c>
      <c r="BC86" s="8">
        <v>17432</v>
      </c>
      <c r="BD86" s="8">
        <v>17432</v>
      </c>
      <c r="BE86" s="8">
        <v>17432</v>
      </c>
      <c r="BF86" s="8">
        <v>17432</v>
      </c>
      <c r="BG86" s="8">
        <v>17432</v>
      </c>
      <c r="BH86" s="8">
        <v>17432</v>
      </c>
      <c r="BI86" s="8">
        <v>17432</v>
      </c>
      <c r="BJ86" s="8">
        <v>17432</v>
      </c>
      <c r="BK86" s="8">
        <v>17432</v>
      </c>
      <c r="BL86" s="8">
        <v>17432</v>
      </c>
      <c r="BM86" s="8">
        <v>17432</v>
      </c>
      <c r="BN86" s="8">
        <v>17432</v>
      </c>
      <c r="BO86" s="9">
        <f t="shared" si="61"/>
        <v>17432</v>
      </c>
      <c r="BP86" s="8">
        <v>936647</v>
      </c>
      <c r="BQ86" s="8">
        <v>936647</v>
      </c>
      <c r="BR86" s="8">
        <v>936647</v>
      </c>
      <c r="BS86" s="8">
        <v>936647</v>
      </c>
      <c r="BT86" s="8">
        <v>936647</v>
      </c>
      <c r="BU86" s="8">
        <v>936647</v>
      </c>
      <c r="BV86" s="8">
        <v>936647</v>
      </c>
      <c r="BW86" s="8">
        <v>936647</v>
      </c>
      <c r="BX86" s="8">
        <v>936647</v>
      </c>
      <c r="BY86" s="8">
        <v>936647</v>
      </c>
      <c r="BZ86" s="8">
        <v>936647</v>
      </c>
      <c r="CA86" s="8">
        <v>936647</v>
      </c>
      <c r="CB86" s="9">
        <f t="shared" si="62"/>
        <v>936647</v>
      </c>
      <c r="CC86" s="8">
        <v>3242677</v>
      </c>
      <c r="CD86" s="8">
        <v>3242677</v>
      </c>
      <c r="CE86" s="8">
        <v>3242677</v>
      </c>
      <c r="CF86" s="8">
        <v>3242677</v>
      </c>
      <c r="CG86" s="8">
        <v>3242677</v>
      </c>
      <c r="CH86" s="8">
        <v>3242677</v>
      </c>
      <c r="CI86" s="8">
        <v>3242677</v>
      </c>
      <c r="CJ86" s="8">
        <v>3242677</v>
      </c>
      <c r="CK86" s="8">
        <v>3242677</v>
      </c>
      <c r="CL86" s="8">
        <v>3242677</v>
      </c>
      <c r="CM86" s="8">
        <v>3242677</v>
      </c>
      <c r="CN86" s="8">
        <v>3242677</v>
      </c>
      <c r="CO86" s="9">
        <f t="shared" si="63"/>
        <v>3242677</v>
      </c>
      <c r="CP86" s="8">
        <v>11095</v>
      </c>
      <c r="CQ86" s="8">
        <v>11095</v>
      </c>
      <c r="CR86" s="8">
        <v>11095</v>
      </c>
      <c r="CS86" s="8">
        <v>11095</v>
      </c>
      <c r="CT86" s="8">
        <v>11095</v>
      </c>
      <c r="CU86" s="8">
        <v>11095</v>
      </c>
      <c r="CV86" s="8">
        <v>11095</v>
      </c>
      <c r="CW86" s="8">
        <v>11095</v>
      </c>
      <c r="CX86" s="8">
        <v>11095</v>
      </c>
      <c r="CY86" s="8">
        <v>11095</v>
      </c>
      <c r="CZ86" s="8">
        <v>11095</v>
      </c>
      <c r="DA86" s="8">
        <v>11095</v>
      </c>
      <c r="DB86" s="9">
        <f t="shared" si="64"/>
        <v>11095</v>
      </c>
      <c r="DC86" s="8">
        <v>0</v>
      </c>
      <c r="DD86" s="8">
        <v>0</v>
      </c>
      <c r="DE86" s="8">
        <v>0</v>
      </c>
      <c r="DF86" s="8">
        <v>0</v>
      </c>
      <c r="DG86" s="8">
        <v>0</v>
      </c>
      <c r="DH86" s="8">
        <v>0</v>
      </c>
      <c r="DI86" s="8">
        <v>0</v>
      </c>
      <c r="DJ86" s="8">
        <v>0</v>
      </c>
      <c r="DK86" s="8">
        <v>0</v>
      </c>
      <c r="DL86" s="8">
        <v>0</v>
      </c>
      <c r="DM86" s="8">
        <v>0</v>
      </c>
      <c r="DN86" s="8">
        <v>0</v>
      </c>
      <c r="DO86" s="9">
        <f t="shared" si="65"/>
        <v>0</v>
      </c>
      <c r="DP86" s="8">
        <v>0</v>
      </c>
      <c r="DQ86" s="8">
        <v>0</v>
      </c>
      <c r="DR86" s="8">
        <v>0</v>
      </c>
      <c r="DS86" s="8">
        <v>0</v>
      </c>
      <c r="DT86" s="8">
        <v>0</v>
      </c>
      <c r="DU86" s="8">
        <v>0</v>
      </c>
      <c r="DV86" s="8">
        <v>0</v>
      </c>
      <c r="DW86" s="8">
        <v>0</v>
      </c>
      <c r="DX86" s="8">
        <v>0</v>
      </c>
      <c r="DY86" s="8">
        <v>0</v>
      </c>
      <c r="DZ86" s="8">
        <v>0</v>
      </c>
      <c r="EA86" s="8">
        <v>0</v>
      </c>
      <c r="EB86" s="9">
        <f t="shared" si="66"/>
        <v>0</v>
      </c>
      <c r="EC86" s="8">
        <v>0</v>
      </c>
      <c r="ED86" s="8">
        <v>0</v>
      </c>
      <c r="EE86" s="8">
        <v>0</v>
      </c>
      <c r="EF86" s="8">
        <v>0</v>
      </c>
      <c r="EG86" s="8">
        <v>0</v>
      </c>
      <c r="EH86" s="8">
        <v>0</v>
      </c>
      <c r="EI86" s="8">
        <v>0</v>
      </c>
      <c r="EJ86" s="8">
        <v>0</v>
      </c>
      <c r="EK86" s="8">
        <v>0</v>
      </c>
      <c r="EL86" s="8">
        <v>0</v>
      </c>
      <c r="EM86" s="8">
        <v>0</v>
      </c>
      <c r="EN86" s="8">
        <v>0</v>
      </c>
      <c r="EO86" s="9">
        <f t="shared" si="67"/>
        <v>0</v>
      </c>
      <c r="EP86" s="8">
        <v>7815</v>
      </c>
      <c r="EQ86" s="8">
        <v>7815</v>
      </c>
      <c r="ER86" s="8">
        <v>7815</v>
      </c>
      <c r="ES86" s="8">
        <v>7815</v>
      </c>
      <c r="ET86" s="8">
        <v>7815</v>
      </c>
      <c r="EU86" s="8">
        <v>7815</v>
      </c>
      <c r="EV86" s="8">
        <v>7815</v>
      </c>
      <c r="EW86" s="8">
        <v>7815</v>
      </c>
      <c r="EX86" s="8">
        <v>7815</v>
      </c>
      <c r="EY86" s="8">
        <v>7815</v>
      </c>
      <c r="EZ86" s="8">
        <v>7815</v>
      </c>
      <c r="FA86" s="8">
        <v>7815</v>
      </c>
      <c r="FB86" s="9">
        <f t="shared" si="68"/>
        <v>7815</v>
      </c>
      <c r="FC86" s="8">
        <v>10</v>
      </c>
      <c r="FD86" s="8">
        <v>10</v>
      </c>
      <c r="FE86" s="8">
        <v>10</v>
      </c>
      <c r="FF86" s="8">
        <v>10</v>
      </c>
      <c r="FG86" s="8">
        <v>10</v>
      </c>
      <c r="FH86" s="8">
        <v>10</v>
      </c>
      <c r="FI86" s="8">
        <v>10</v>
      </c>
      <c r="FJ86" s="8"/>
      <c r="FK86" s="8"/>
      <c r="FL86" s="8"/>
      <c r="FM86" s="8"/>
      <c r="FN86" s="8"/>
      <c r="FO86" s="9">
        <f t="shared" si="69"/>
        <v>10</v>
      </c>
    </row>
    <row r="87" spans="2:171" ht="14.25" customHeight="1" x14ac:dyDescent="0.3">
      <c r="B87" s="7" t="s">
        <v>53</v>
      </c>
      <c r="C87" s="8">
        <v>22041</v>
      </c>
      <c r="D87" s="8">
        <v>22041</v>
      </c>
      <c r="E87" s="8">
        <v>22041</v>
      </c>
      <c r="F87" s="8">
        <v>22041</v>
      </c>
      <c r="G87" s="8">
        <v>22041</v>
      </c>
      <c r="H87" s="8">
        <v>22041</v>
      </c>
      <c r="I87" s="8">
        <v>22041</v>
      </c>
      <c r="J87" s="8">
        <v>22041</v>
      </c>
      <c r="K87" s="8">
        <v>22041</v>
      </c>
      <c r="L87" s="8">
        <v>22041</v>
      </c>
      <c r="M87" s="8">
        <v>22041</v>
      </c>
      <c r="N87" s="8">
        <v>22041</v>
      </c>
      <c r="O87" s="9">
        <f t="shared" si="57"/>
        <v>22041</v>
      </c>
      <c r="P87" s="8">
        <v>24650</v>
      </c>
      <c r="Q87" s="8">
        <v>24650</v>
      </c>
      <c r="R87" s="8">
        <v>24650</v>
      </c>
      <c r="S87" s="8">
        <v>24650</v>
      </c>
      <c r="T87" s="8">
        <v>24650</v>
      </c>
      <c r="U87" s="8">
        <v>24650</v>
      </c>
      <c r="V87" s="8">
        <v>24650</v>
      </c>
      <c r="W87" s="8">
        <v>24650</v>
      </c>
      <c r="X87" s="8">
        <v>24650</v>
      </c>
      <c r="Y87" s="8">
        <v>24650</v>
      </c>
      <c r="Z87" s="8">
        <v>24650</v>
      </c>
      <c r="AA87" s="8">
        <v>24650</v>
      </c>
      <c r="AB87" s="9">
        <f t="shared" si="58"/>
        <v>24650</v>
      </c>
      <c r="AC87" s="8">
        <v>25151</v>
      </c>
      <c r="AD87" s="8">
        <v>25151</v>
      </c>
      <c r="AE87" s="8">
        <v>25151</v>
      </c>
      <c r="AF87" s="8">
        <v>25151</v>
      </c>
      <c r="AG87" s="8">
        <v>25151</v>
      </c>
      <c r="AH87" s="8">
        <v>25151</v>
      </c>
      <c r="AI87" s="8">
        <v>25151</v>
      </c>
      <c r="AJ87" s="8">
        <v>25151</v>
      </c>
      <c r="AK87" s="8">
        <v>25151</v>
      </c>
      <c r="AL87" s="8">
        <v>25151</v>
      </c>
      <c r="AM87" s="8">
        <v>25151</v>
      </c>
      <c r="AN87" s="8">
        <v>25151</v>
      </c>
      <c r="AO87" s="9">
        <f t="shared" si="59"/>
        <v>25151</v>
      </c>
      <c r="AP87" s="8">
        <v>692985</v>
      </c>
      <c r="AQ87" s="8">
        <v>692985</v>
      </c>
      <c r="AR87" s="8">
        <v>692985</v>
      </c>
      <c r="AS87" s="8">
        <v>692985</v>
      </c>
      <c r="AT87" s="8">
        <v>692985</v>
      </c>
      <c r="AU87" s="8">
        <v>692985</v>
      </c>
      <c r="AV87" s="8">
        <v>692985</v>
      </c>
      <c r="AW87" s="8">
        <v>692985</v>
      </c>
      <c r="AX87" s="8">
        <v>692985</v>
      </c>
      <c r="AY87" s="8">
        <v>692985</v>
      </c>
      <c r="AZ87" s="8">
        <v>692985</v>
      </c>
      <c r="BA87" s="8">
        <v>692985</v>
      </c>
      <c r="BB87" s="9">
        <f t="shared" si="60"/>
        <v>692985</v>
      </c>
      <c r="BC87" s="8">
        <v>1462323</v>
      </c>
      <c r="BD87" s="8">
        <v>1462323</v>
      </c>
      <c r="BE87" s="8">
        <v>1462323</v>
      </c>
      <c r="BF87" s="8">
        <v>1462323</v>
      </c>
      <c r="BG87" s="8">
        <v>1462323</v>
      </c>
      <c r="BH87" s="8">
        <v>1462323</v>
      </c>
      <c r="BI87" s="8">
        <v>1462323</v>
      </c>
      <c r="BJ87" s="8">
        <v>1462323</v>
      </c>
      <c r="BK87" s="8">
        <v>1462323</v>
      </c>
      <c r="BL87" s="8">
        <v>1462323</v>
      </c>
      <c r="BM87" s="8">
        <v>1462323</v>
      </c>
      <c r="BN87" s="8">
        <v>1462323</v>
      </c>
      <c r="BO87" s="9">
        <f t="shared" si="61"/>
        <v>1462323</v>
      </c>
      <c r="BP87" s="8">
        <v>563609</v>
      </c>
      <c r="BQ87" s="8">
        <v>563609</v>
      </c>
      <c r="BR87" s="8">
        <v>563609</v>
      </c>
      <c r="BS87" s="8">
        <v>563609</v>
      </c>
      <c r="BT87" s="8">
        <v>563609</v>
      </c>
      <c r="BU87" s="8">
        <v>563609</v>
      </c>
      <c r="BV87" s="8">
        <v>563609</v>
      </c>
      <c r="BW87" s="8">
        <v>563609</v>
      </c>
      <c r="BX87" s="8">
        <v>563609</v>
      </c>
      <c r="BY87" s="8">
        <v>563609</v>
      </c>
      <c r="BZ87" s="8">
        <v>563609</v>
      </c>
      <c r="CA87" s="8">
        <v>563609</v>
      </c>
      <c r="CB87" s="9">
        <f t="shared" si="62"/>
        <v>563609</v>
      </c>
      <c r="CC87" s="8">
        <v>12650</v>
      </c>
      <c r="CD87" s="8">
        <v>12650</v>
      </c>
      <c r="CE87" s="8">
        <v>12650</v>
      </c>
      <c r="CF87" s="8">
        <v>12650</v>
      </c>
      <c r="CG87" s="8">
        <v>12650</v>
      </c>
      <c r="CH87" s="8">
        <v>12650</v>
      </c>
      <c r="CI87" s="8">
        <v>12650</v>
      </c>
      <c r="CJ87" s="8">
        <v>12650</v>
      </c>
      <c r="CK87" s="8">
        <v>12650</v>
      </c>
      <c r="CL87" s="8">
        <v>12650</v>
      </c>
      <c r="CM87" s="8">
        <v>12650</v>
      </c>
      <c r="CN87" s="8">
        <v>12650</v>
      </c>
      <c r="CO87" s="9">
        <f t="shared" si="63"/>
        <v>12650</v>
      </c>
      <c r="CP87" s="8">
        <v>7055</v>
      </c>
      <c r="CQ87" s="8">
        <v>7055</v>
      </c>
      <c r="CR87" s="8">
        <v>7055</v>
      </c>
      <c r="CS87" s="8">
        <v>7055</v>
      </c>
      <c r="CT87" s="8">
        <v>7055</v>
      </c>
      <c r="CU87" s="8">
        <v>7055</v>
      </c>
      <c r="CV87" s="8">
        <v>7055</v>
      </c>
      <c r="CW87" s="8">
        <v>7055</v>
      </c>
      <c r="CX87" s="8">
        <v>7055</v>
      </c>
      <c r="CY87" s="8">
        <v>7055</v>
      </c>
      <c r="CZ87" s="8">
        <v>7055</v>
      </c>
      <c r="DA87" s="8">
        <v>7055</v>
      </c>
      <c r="DB87" s="9">
        <f t="shared" si="64"/>
        <v>7055</v>
      </c>
      <c r="DC87" s="8">
        <v>0</v>
      </c>
      <c r="DD87" s="8">
        <v>0</v>
      </c>
      <c r="DE87" s="8">
        <v>0</v>
      </c>
      <c r="DF87" s="8">
        <v>0</v>
      </c>
      <c r="DG87" s="8">
        <v>0</v>
      </c>
      <c r="DH87" s="8">
        <v>0</v>
      </c>
      <c r="DI87" s="8">
        <v>0</v>
      </c>
      <c r="DJ87" s="8">
        <v>0</v>
      </c>
      <c r="DK87" s="8">
        <v>0</v>
      </c>
      <c r="DL87" s="8">
        <v>0</v>
      </c>
      <c r="DM87" s="8">
        <v>0</v>
      </c>
      <c r="DN87" s="8">
        <v>0</v>
      </c>
      <c r="DO87" s="9">
        <f t="shared" si="65"/>
        <v>0</v>
      </c>
      <c r="DP87" s="8">
        <v>0</v>
      </c>
      <c r="DQ87" s="8">
        <v>0</v>
      </c>
      <c r="DR87" s="8">
        <v>0</v>
      </c>
      <c r="DS87" s="8">
        <v>0</v>
      </c>
      <c r="DT87" s="8">
        <v>0</v>
      </c>
      <c r="DU87" s="8">
        <v>0</v>
      </c>
      <c r="DV87" s="8">
        <v>0</v>
      </c>
      <c r="DW87" s="8">
        <v>0</v>
      </c>
      <c r="DX87" s="8">
        <v>0</v>
      </c>
      <c r="DY87" s="8">
        <v>0</v>
      </c>
      <c r="DZ87" s="8">
        <v>0</v>
      </c>
      <c r="EA87" s="8">
        <v>0</v>
      </c>
      <c r="EB87" s="9">
        <f t="shared" si="66"/>
        <v>0</v>
      </c>
      <c r="EC87" s="8">
        <v>0</v>
      </c>
      <c r="ED87" s="8">
        <v>0</v>
      </c>
      <c r="EE87" s="8">
        <v>0</v>
      </c>
      <c r="EF87" s="8">
        <v>0</v>
      </c>
      <c r="EG87" s="8">
        <v>0</v>
      </c>
      <c r="EH87" s="8">
        <v>0</v>
      </c>
      <c r="EI87" s="8">
        <v>0</v>
      </c>
      <c r="EJ87" s="8">
        <v>0</v>
      </c>
      <c r="EK87" s="8">
        <v>0</v>
      </c>
      <c r="EL87" s="8">
        <v>0</v>
      </c>
      <c r="EM87" s="8">
        <v>0</v>
      </c>
      <c r="EN87" s="8">
        <v>0</v>
      </c>
      <c r="EO87" s="9">
        <f t="shared" si="67"/>
        <v>0</v>
      </c>
      <c r="EP87" s="8">
        <v>3126</v>
      </c>
      <c r="EQ87" s="8">
        <v>3126</v>
      </c>
      <c r="ER87" s="8">
        <v>3126</v>
      </c>
      <c r="ES87" s="8">
        <v>3126</v>
      </c>
      <c r="ET87" s="8">
        <v>3126</v>
      </c>
      <c r="EU87" s="8">
        <v>3126</v>
      </c>
      <c r="EV87" s="8">
        <v>3126</v>
      </c>
      <c r="EW87" s="8">
        <v>3126</v>
      </c>
      <c r="EX87" s="8">
        <v>3126</v>
      </c>
      <c r="EY87" s="8">
        <v>3126</v>
      </c>
      <c r="EZ87" s="8">
        <v>3126</v>
      </c>
      <c r="FA87" s="8">
        <v>3126</v>
      </c>
      <c r="FB87" s="9">
        <f t="shared" si="68"/>
        <v>3126</v>
      </c>
      <c r="FC87" s="8">
        <v>10</v>
      </c>
      <c r="FD87" s="8">
        <v>10</v>
      </c>
      <c r="FE87" s="8">
        <v>10</v>
      </c>
      <c r="FF87" s="8">
        <v>10</v>
      </c>
      <c r="FG87" s="8">
        <v>10</v>
      </c>
      <c r="FH87" s="8">
        <v>10</v>
      </c>
      <c r="FI87" s="8">
        <v>10</v>
      </c>
      <c r="FJ87" s="8"/>
      <c r="FK87" s="8"/>
      <c r="FL87" s="8"/>
      <c r="FM87" s="8"/>
      <c r="FN87" s="8"/>
      <c r="FO87" s="9">
        <f t="shared" si="69"/>
        <v>10</v>
      </c>
    </row>
    <row r="88" spans="2:171" ht="14.25" customHeight="1" x14ac:dyDescent="0.3">
      <c r="B88" s="7" t="s">
        <v>54</v>
      </c>
      <c r="C88" s="8">
        <v>0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9">
        <f t="shared" si="57"/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9">
        <f t="shared" si="58"/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9">
        <f t="shared" si="59"/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>
        <v>0</v>
      </c>
      <c r="AY88" s="8">
        <v>0</v>
      </c>
      <c r="AZ88" s="8">
        <v>0</v>
      </c>
      <c r="BA88" s="8">
        <v>0</v>
      </c>
      <c r="BB88" s="9">
        <f t="shared" si="60"/>
        <v>0</v>
      </c>
      <c r="BC88" s="8">
        <v>0</v>
      </c>
      <c r="BD88" s="8">
        <v>0</v>
      </c>
      <c r="BE88" s="8">
        <v>0</v>
      </c>
      <c r="BF88" s="8">
        <v>0</v>
      </c>
      <c r="BG88" s="8">
        <v>0</v>
      </c>
      <c r="BH88" s="8">
        <v>0</v>
      </c>
      <c r="BI88" s="8">
        <v>0</v>
      </c>
      <c r="BJ88" s="8">
        <v>0</v>
      </c>
      <c r="BK88" s="8">
        <v>0</v>
      </c>
      <c r="BL88" s="8">
        <v>0</v>
      </c>
      <c r="BM88" s="8">
        <v>0</v>
      </c>
      <c r="BN88" s="8">
        <v>0</v>
      </c>
      <c r="BO88" s="9">
        <f t="shared" si="61"/>
        <v>0</v>
      </c>
      <c r="BP88" s="8">
        <v>68447</v>
      </c>
      <c r="BQ88" s="8">
        <v>68447</v>
      </c>
      <c r="BR88" s="8">
        <v>68447</v>
      </c>
      <c r="BS88" s="8">
        <v>68447</v>
      </c>
      <c r="BT88" s="8">
        <v>68447</v>
      </c>
      <c r="BU88" s="8">
        <v>68447</v>
      </c>
      <c r="BV88" s="8">
        <v>68447</v>
      </c>
      <c r="BW88" s="8">
        <v>68447</v>
      </c>
      <c r="BX88" s="8">
        <v>68447</v>
      </c>
      <c r="BY88" s="8">
        <v>68447</v>
      </c>
      <c r="BZ88" s="8">
        <v>68447</v>
      </c>
      <c r="CA88" s="8">
        <v>68447</v>
      </c>
      <c r="CB88" s="9">
        <f t="shared" si="62"/>
        <v>68447</v>
      </c>
      <c r="CC88" s="8">
        <v>21975</v>
      </c>
      <c r="CD88" s="8">
        <v>21975</v>
      </c>
      <c r="CE88" s="8">
        <v>21975</v>
      </c>
      <c r="CF88" s="8">
        <v>21975</v>
      </c>
      <c r="CG88" s="8">
        <v>21975</v>
      </c>
      <c r="CH88" s="8">
        <v>21975</v>
      </c>
      <c r="CI88" s="8">
        <v>21975</v>
      </c>
      <c r="CJ88" s="8">
        <v>21975</v>
      </c>
      <c r="CK88" s="8">
        <v>21975</v>
      </c>
      <c r="CL88" s="8">
        <v>21975</v>
      </c>
      <c r="CM88" s="8">
        <v>21975</v>
      </c>
      <c r="CN88" s="8">
        <v>21975</v>
      </c>
      <c r="CO88" s="9">
        <f t="shared" si="63"/>
        <v>21975</v>
      </c>
      <c r="CP88" s="8">
        <v>15569</v>
      </c>
      <c r="CQ88" s="8">
        <v>15569</v>
      </c>
      <c r="CR88" s="8">
        <v>15569</v>
      </c>
      <c r="CS88" s="8">
        <v>15569</v>
      </c>
      <c r="CT88" s="8">
        <v>15569</v>
      </c>
      <c r="CU88" s="8">
        <v>15569</v>
      </c>
      <c r="CV88" s="8">
        <v>15569</v>
      </c>
      <c r="CW88" s="8">
        <v>15569</v>
      </c>
      <c r="CX88" s="8">
        <v>15569</v>
      </c>
      <c r="CY88" s="8">
        <v>15569</v>
      </c>
      <c r="CZ88" s="8">
        <v>15569</v>
      </c>
      <c r="DA88" s="8">
        <v>15569</v>
      </c>
      <c r="DB88" s="9">
        <f t="shared" si="64"/>
        <v>15569</v>
      </c>
      <c r="DC88" s="8">
        <v>0</v>
      </c>
      <c r="DD88" s="8">
        <v>0</v>
      </c>
      <c r="DE88" s="8">
        <v>0</v>
      </c>
      <c r="DF88" s="8">
        <v>0</v>
      </c>
      <c r="DG88" s="8">
        <v>0</v>
      </c>
      <c r="DH88" s="8">
        <v>0</v>
      </c>
      <c r="DI88" s="8">
        <v>0</v>
      </c>
      <c r="DJ88" s="8">
        <v>0</v>
      </c>
      <c r="DK88" s="8">
        <v>0</v>
      </c>
      <c r="DL88" s="8">
        <v>0</v>
      </c>
      <c r="DM88" s="8">
        <v>0</v>
      </c>
      <c r="DN88" s="8">
        <v>0</v>
      </c>
      <c r="DO88" s="9">
        <f t="shared" si="65"/>
        <v>0</v>
      </c>
      <c r="DP88" s="8">
        <v>3986250</v>
      </c>
      <c r="DQ88" s="8">
        <v>3986250</v>
      </c>
      <c r="DR88" s="8">
        <v>3986250</v>
      </c>
      <c r="DS88" s="8">
        <v>3986250</v>
      </c>
      <c r="DT88" s="8">
        <v>3986250</v>
      </c>
      <c r="DU88" s="8">
        <v>3986250</v>
      </c>
      <c r="DV88" s="8">
        <v>3986250</v>
      </c>
      <c r="DW88" s="8">
        <v>3986250</v>
      </c>
      <c r="DX88" s="8">
        <v>3986250</v>
      </c>
      <c r="DY88" s="8">
        <v>3986250</v>
      </c>
      <c r="DZ88" s="8">
        <v>3986250</v>
      </c>
      <c r="EA88" s="8">
        <v>3986250</v>
      </c>
      <c r="EB88" s="9">
        <f t="shared" si="66"/>
        <v>3986250</v>
      </c>
      <c r="EC88" s="8">
        <v>0</v>
      </c>
      <c r="ED88" s="8">
        <v>0</v>
      </c>
      <c r="EE88" s="8">
        <v>0</v>
      </c>
      <c r="EF88" s="8">
        <v>0</v>
      </c>
      <c r="EG88" s="8">
        <v>0</v>
      </c>
      <c r="EH88" s="8">
        <v>0</v>
      </c>
      <c r="EI88" s="8">
        <v>0</v>
      </c>
      <c r="EJ88" s="8">
        <v>0</v>
      </c>
      <c r="EK88" s="8">
        <v>0</v>
      </c>
      <c r="EL88" s="8">
        <v>0</v>
      </c>
      <c r="EM88" s="8">
        <v>0</v>
      </c>
      <c r="EN88" s="8">
        <v>0</v>
      </c>
      <c r="EO88" s="9">
        <f t="shared" si="67"/>
        <v>0</v>
      </c>
      <c r="EP88" s="8">
        <v>9378</v>
      </c>
      <c r="EQ88" s="8">
        <v>9378</v>
      </c>
      <c r="ER88" s="8">
        <v>9378</v>
      </c>
      <c r="ES88" s="8">
        <v>9378</v>
      </c>
      <c r="ET88" s="8">
        <v>9378</v>
      </c>
      <c r="EU88" s="8">
        <v>9378</v>
      </c>
      <c r="EV88" s="8">
        <v>9378</v>
      </c>
      <c r="EW88" s="8">
        <v>9378</v>
      </c>
      <c r="EX88" s="8">
        <v>9378</v>
      </c>
      <c r="EY88" s="8">
        <v>9378</v>
      </c>
      <c r="EZ88" s="8">
        <v>9378</v>
      </c>
      <c r="FA88" s="8">
        <v>9378</v>
      </c>
      <c r="FB88" s="9">
        <f t="shared" si="68"/>
        <v>9378</v>
      </c>
      <c r="FC88" s="8">
        <v>10</v>
      </c>
      <c r="FD88" s="8">
        <v>10</v>
      </c>
      <c r="FE88" s="8">
        <v>10</v>
      </c>
      <c r="FF88" s="8">
        <v>10</v>
      </c>
      <c r="FG88" s="8">
        <v>10</v>
      </c>
      <c r="FH88" s="8">
        <v>10</v>
      </c>
      <c r="FI88" s="8">
        <v>10</v>
      </c>
      <c r="FJ88" s="8"/>
      <c r="FK88" s="8"/>
      <c r="FL88" s="8"/>
      <c r="FM88" s="8"/>
      <c r="FN88" s="8"/>
      <c r="FO88" s="9">
        <f t="shared" si="69"/>
        <v>10</v>
      </c>
    </row>
    <row r="89" spans="2:171" ht="14.25" customHeight="1" x14ac:dyDescent="0.3">
      <c r="B89" s="7" t="s">
        <v>55</v>
      </c>
      <c r="C89" s="8">
        <v>26966</v>
      </c>
      <c r="D89" s="8">
        <v>26966</v>
      </c>
      <c r="E89" s="8">
        <v>26966</v>
      </c>
      <c r="F89" s="8">
        <v>26966</v>
      </c>
      <c r="G89" s="8">
        <v>26966</v>
      </c>
      <c r="H89" s="8">
        <v>26966</v>
      </c>
      <c r="I89" s="8">
        <v>26966</v>
      </c>
      <c r="J89" s="8">
        <v>26966</v>
      </c>
      <c r="K89" s="8">
        <v>26966</v>
      </c>
      <c r="L89" s="8">
        <v>26966</v>
      </c>
      <c r="M89" s="8">
        <v>26966</v>
      </c>
      <c r="N89" s="8">
        <v>26966</v>
      </c>
      <c r="O89" s="9">
        <f t="shared" si="57"/>
        <v>26966</v>
      </c>
      <c r="P89" s="8">
        <v>31276</v>
      </c>
      <c r="Q89" s="8">
        <v>31276</v>
      </c>
      <c r="R89" s="8">
        <v>31276</v>
      </c>
      <c r="S89" s="8">
        <v>31276</v>
      </c>
      <c r="T89" s="8">
        <v>31276</v>
      </c>
      <c r="U89" s="8">
        <v>31276</v>
      </c>
      <c r="V89" s="8">
        <v>31276</v>
      </c>
      <c r="W89" s="8">
        <v>31276</v>
      </c>
      <c r="X89" s="8">
        <v>31276</v>
      </c>
      <c r="Y89" s="8">
        <v>31276</v>
      </c>
      <c r="Z89" s="8">
        <v>31276</v>
      </c>
      <c r="AA89" s="8">
        <v>31276</v>
      </c>
      <c r="AB89" s="9">
        <f t="shared" si="58"/>
        <v>31276</v>
      </c>
      <c r="AC89" s="8">
        <v>34397</v>
      </c>
      <c r="AD89" s="8">
        <v>34397</v>
      </c>
      <c r="AE89" s="8">
        <v>34397</v>
      </c>
      <c r="AF89" s="8">
        <v>34397</v>
      </c>
      <c r="AG89" s="8">
        <v>34397</v>
      </c>
      <c r="AH89" s="8">
        <v>34397</v>
      </c>
      <c r="AI89" s="8">
        <v>34397</v>
      </c>
      <c r="AJ89" s="8">
        <v>34397</v>
      </c>
      <c r="AK89" s="8">
        <v>34397</v>
      </c>
      <c r="AL89" s="8">
        <v>34397</v>
      </c>
      <c r="AM89" s="8">
        <v>34397</v>
      </c>
      <c r="AN89" s="8">
        <v>34397</v>
      </c>
      <c r="AO89" s="9">
        <f t="shared" si="59"/>
        <v>34397</v>
      </c>
      <c r="AP89" s="8">
        <v>31724</v>
      </c>
      <c r="AQ89" s="8">
        <v>31724</v>
      </c>
      <c r="AR89" s="8">
        <v>31724</v>
      </c>
      <c r="AS89" s="8">
        <v>31724</v>
      </c>
      <c r="AT89" s="8">
        <v>31724</v>
      </c>
      <c r="AU89" s="8">
        <v>31724</v>
      </c>
      <c r="AV89" s="8">
        <v>31724</v>
      </c>
      <c r="AW89" s="8">
        <v>31724</v>
      </c>
      <c r="AX89" s="8">
        <v>31724</v>
      </c>
      <c r="AY89" s="8">
        <v>31724</v>
      </c>
      <c r="AZ89" s="8">
        <v>31724</v>
      </c>
      <c r="BA89" s="8">
        <v>31724</v>
      </c>
      <c r="BB89" s="9">
        <f t="shared" si="60"/>
        <v>31724</v>
      </c>
      <c r="BC89" s="8">
        <v>20520</v>
      </c>
      <c r="BD89" s="8">
        <v>20520</v>
      </c>
      <c r="BE89" s="8">
        <v>20520</v>
      </c>
      <c r="BF89" s="8">
        <v>20520</v>
      </c>
      <c r="BG89" s="8">
        <v>20520</v>
      </c>
      <c r="BH89" s="8">
        <v>20520</v>
      </c>
      <c r="BI89" s="8">
        <v>20520</v>
      </c>
      <c r="BJ89" s="8">
        <v>20520</v>
      </c>
      <c r="BK89" s="8">
        <v>20520</v>
      </c>
      <c r="BL89" s="8">
        <v>20520</v>
      </c>
      <c r="BM89" s="8">
        <v>20520</v>
      </c>
      <c r="BN89" s="8">
        <v>20520</v>
      </c>
      <c r="BO89" s="9">
        <f t="shared" si="61"/>
        <v>20520</v>
      </c>
      <c r="BP89" s="8">
        <v>9271</v>
      </c>
      <c r="BQ89" s="8">
        <v>9271</v>
      </c>
      <c r="BR89" s="8">
        <v>9271</v>
      </c>
      <c r="BS89" s="8">
        <v>9271</v>
      </c>
      <c r="BT89" s="8">
        <v>9271</v>
      </c>
      <c r="BU89" s="8">
        <v>9271</v>
      </c>
      <c r="BV89" s="8">
        <v>9271</v>
      </c>
      <c r="BW89" s="8">
        <v>9271</v>
      </c>
      <c r="BX89" s="8">
        <v>9271</v>
      </c>
      <c r="BY89" s="8">
        <v>9271</v>
      </c>
      <c r="BZ89" s="8">
        <v>9271</v>
      </c>
      <c r="CA89" s="8">
        <v>9271</v>
      </c>
      <c r="CB89" s="9">
        <f t="shared" si="62"/>
        <v>9271</v>
      </c>
      <c r="CC89" s="8">
        <v>9512</v>
      </c>
      <c r="CD89" s="8">
        <v>9512</v>
      </c>
      <c r="CE89" s="8">
        <v>9512</v>
      </c>
      <c r="CF89" s="8">
        <v>9512</v>
      </c>
      <c r="CG89" s="8">
        <v>9512</v>
      </c>
      <c r="CH89" s="8">
        <v>9512</v>
      </c>
      <c r="CI89" s="8">
        <v>9512</v>
      </c>
      <c r="CJ89" s="8">
        <v>9512</v>
      </c>
      <c r="CK89" s="8">
        <v>9512</v>
      </c>
      <c r="CL89" s="8">
        <v>9512</v>
      </c>
      <c r="CM89" s="8">
        <v>9512</v>
      </c>
      <c r="CN89" s="8">
        <v>9512</v>
      </c>
      <c r="CO89" s="9">
        <f t="shared" si="63"/>
        <v>9512</v>
      </c>
      <c r="CP89" s="8">
        <v>13073</v>
      </c>
      <c r="CQ89" s="8">
        <v>13073</v>
      </c>
      <c r="CR89" s="8">
        <v>13073</v>
      </c>
      <c r="CS89" s="8">
        <v>13073</v>
      </c>
      <c r="CT89" s="8">
        <v>13073</v>
      </c>
      <c r="CU89" s="8">
        <v>13073</v>
      </c>
      <c r="CV89" s="8">
        <v>13073</v>
      </c>
      <c r="CW89" s="8">
        <v>13073</v>
      </c>
      <c r="CX89" s="8">
        <v>13073</v>
      </c>
      <c r="CY89" s="8">
        <v>13073</v>
      </c>
      <c r="CZ89" s="8">
        <v>13073</v>
      </c>
      <c r="DA89" s="8">
        <v>13073</v>
      </c>
      <c r="DB89" s="9">
        <f t="shared" si="64"/>
        <v>13073</v>
      </c>
      <c r="DC89" s="8">
        <v>0</v>
      </c>
      <c r="DD89" s="8">
        <v>0</v>
      </c>
      <c r="DE89" s="8">
        <v>0</v>
      </c>
      <c r="DF89" s="8">
        <v>0</v>
      </c>
      <c r="DG89" s="8">
        <v>0</v>
      </c>
      <c r="DH89" s="8">
        <v>0</v>
      </c>
      <c r="DI89" s="8">
        <v>0</v>
      </c>
      <c r="DJ89" s="8">
        <v>0</v>
      </c>
      <c r="DK89" s="8">
        <v>0</v>
      </c>
      <c r="DL89" s="8">
        <v>0</v>
      </c>
      <c r="DM89" s="8">
        <v>0</v>
      </c>
      <c r="DN89" s="8">
        <v>0</v>
      </c>
      <c r="DO89" s="9">
        <f t="shared" si="65"/>
        <v>0</v>
      </c>
      <c r="DP89" s="8">
        <v>9301250</v>
      </c>
      <c r="DQ89" s="8">
        <v>9301250</v>
      </c>
      <c r="DR89" s="8">
        <v>9301250</v>
      </c>
      <c r="DS89" s="8">
        <v>9301250</v>
      </c>
      <c r="DT89" s="8">
        <v>9301250</v>
      </c>
      <c r="DU89" s="8">
        <v>9301250</v>
      </c>
      <c r="DV89" s="8">
        <v>9301250</v>
      </c>
      <c r="DW89" s="8">
        <v>9301250</v>
      </c>
      <c r="DX89" s="8">
        <v>9301250</v>
      </c>
      <c r="DY89" s="8">
        <v>9301250</v>
      </c>
      <c r="DZ89" s="8">
        <v>9301250</v>
      </c>
      <c r="EA89" s="8">
        <v>9301250</v>
      </c>
      <c r="EB89" s="9">
        <f t="shared" si="66"/>
        <v>9301250</v>
      </c>
      <c r="EC89" s="8">
        <v>0</v>
      </c>
      <c r="ED89" s="8">
        <v>0</v>
      </c>
      <c r="EE89" s="8">
        <v>0</v>
      </c>
      <c r="EF89" s="8">
        <v>0</v>
      </c>
      <c r="EG89" s="8">
        <v>0</v>
      </c>
      <c r="EH89" s="8">
        <v>0</v>
      </c>
      <c r="EI89" s="8">
        <v>0</v>
      </c>
      <c r="EJ89" s="8">
        <v>0</v>
      </c>
      <c r="EK89" s="8">
        <v>0</v>
      </c>
      <c r="EL89" s="8">
        <v>0</v>
      </c>
      <c r="EM89" s="8">
        <v>0</v>
      </c>
      <c r="EN89" s="8">
        <v>0</v>
      </c>
      <c r="EO89" s="9">
        <f t="shared" si="67"/>
        <v>0</v>
      </c>
      <c r="EP89" s="8">
        <v>12504</v>
      </c>
      <c r="EQ89" s="8">
        <v>12504</v>
      </c>
      <c r="ER89" s="8">
        <v>12504</v>
      </c>
      <c r="ES89" s="8">
        <v>12504</v>
      </c>
      <c r="ET89" s="8">
        <v>12504</v>
      </c>
      <c r="EU89" s="8">
        <v>12504</v>
      </c>
      <c r="EV89" s="8">
        <v>12504</v>
      </c>
      <c r="EW89" s="8">
        <v>12504</v>
      </c>
      <c r="EX89" s="8">
        <v>12504</v>
      </c>
      <c r="EY89" s="8">
        <v>12504</v>
      </c>
      <c r="EZ89" s="8">
        <v>12504</v>
      </c>
      <c r="FA89" s="8">
        <v>12504</v>
      </c>
      <c r="FB89" s="9">
        <f t="shared" si="68"/>
        <v>12504</v>
      </c>
      <c r="FC89" s="8">
        <v>10</v>
      </c>
      <c r="FD89" s="8">
        <v>10</v>
      </c>
      <c r="FE89" s="8">
        <v>10</v>
      </c>
      <c r="FF89" s="8">
        <v>10</v>
      </c>
      <c r="FG89" s="8">
        <v>10</v>
      </c>
      <c r="FH89" s="8">
        <v>10</v>
      </c>
      <c r="FI89" s="8">
        <v>10</v>
      </c>
      <c r="FJ89" s="8"/>
      <c r="FK89" s="8"/>
      <c r="FL89" s="8"/>
      <c r="FM89" s="8"/>
      <c r="FN89" s="8"/>
      <c r="FO89" s="9">
        <f t="shared" si="69"/>
        <v>10</v>
      </c>
    </row>
    <row r="90" spans="2:171" ht="14.25" customHeight="1" x14ac:dyDescent="0.3">
      <c r="B90" s="7" t="s">
        <v>56</v>
      </c>
      <c r="C90" s="8">
        <v>18467</v>
      </c>
      <c r="D90" s="8">
        <v>18467</v>
      </c>
      <c r="E90" s="8">
        <v>18467</v>
      </c>
      <c r="F90" s="8">
        <v>18467</v>
      </c>
      <c r="G90" s="8">
        <v>18467</v>
      </c>
      <c r="H90" s="8">
        <v>18467</v>
      </c>
      <c r="I90" s="8">
        <v>18467</v>
      </c>
      <c r="J90" s="8">
        <v>18467</v>
      </c>
      <c r="K90" s="8">
        <v>18467</v>
      </c>
      <c r="L90" s="8">
        <v>18467</v>
      </c>
      <c r="M90" s="8">
        <v>18467</v>
      </c>
      <c r="N90" s="8">
        <v>18467</v>
      </c>
      <c r="O90" s="9">
        <f t="shared" si="57"/>
        <v>18467</v>
      </c>
      <c r="P90" s="8">
        <v>20434</v>
      </c>
      <c r="Q90" s="8">
        <v>20434</v>
      </c>
      <c r="R90" s="8">
        <v>20434</v>
      </c>
      <c r="S90" s="8">
        <v>20434</v>
      </c>
      <c r="T90" s="8">
        <v>20434</v>
      </c>
      <c r="U90" s="8">
        <v>20434</v>
      </c>
      <c r="V90" s="8">
        <v>20434</v>
      </c>
      <c r="W90" s="8">
        <v>20434</v>
      </c>
      <c r="X90" s="8">
        <v>20434</v>
      </c>
      <c r="Y90" s="8">
        <v>20434</v>
      </c>
      <c r="Z90" s="8">
        <v>20434</v>
      </c>
      <c r="AA90" s="8">
        <v>20434</v>
      </c>
      <c r="AB90" s="9">
        <f t="shared" si="58"/>
        <v>20434</v>
      </c>
      <c r="AC90" s="8">
        <v>22950</v>
      </c>
      <c r="AD90" s="8">
        <v>22950</v>
      </c>
      <c r="AE90" s="8">
        <v>22950</v>
      </c>
      <c r="AF90" s="8">
        <v>22950</v>
      </c>
      <c r="AG90" s="8">
        <v>22950</v>
      </c>
      <c r="AH90" s="8">
        <v>22950</v>
      </c>
      <c r="AI90" s="8">
        <v>22950</v>
      </c>
      <c r="AJ90" s="8">
        <v>22950</v>
      </c>
      <c r="AK90" s="8">
        <v>22950</v>
      </c>
      <c r="AL90" s="8">
        <v>22950</v>
      </c>
      <c r="AM90" s="8">
        <v>22950</v>
      </c>
      <c r="AN90" s="8">
        <v>22950</v>
      </c>
      <c r="AO90" s="9">
        <f t="shared" si="59"/>
        <v>22950</v>
      </c>
      <c r="AP90" s="8">
        <v>22660</v>
      </c>
      <c r="AQ90" s="8">
        <v>22660</v>
      </c>
      <c r="AR90" s="8">
        <v>22660</v>
      </c>
      <c r="AS90" s="8">
        <v>22660</v>
      </c>
      <c r="AT90" s="8">
        <v>22660</v>
      </c>
      <c r="AU90" s="8">
        <v>22660</v>
      </c>
      <c r="AV90" s="8">
        <v>22660</v>
      </c>
      <c r="AW90" s="8">
        <v>22660</v>
      </c>
      <c r="AX90" s="8">
        <v>22660</v>
      </c>
      <c r="AY90" s="8">
        <v>22660</v>
      </c>
      <c r="AZ90" s="8">
        <v>22660</v>
      </c>
      <c r="BA90" s="8">
        <v>22660</v>
      </c>
      <c r="BB90" s="9">
        <f t="shared" si="60"/>
        <v>22660</v>
      </c>
      <c r="BC90" s="8">
        <v>29190</v>
      </c>
      <c r="BD90" s="8">
        <v>29190</v>
      </c>
      <c r="BE90" s="8">
        <v>29190</v>
      </c>
      <c r="BF90" s="8">
        <v>29190</v>
      </c>
      <c r="BG90" s="8">
        <v>29190</v>
      </c>
      <c r="BH90" s="8">
        <v>29190</v>
      </c>
      <c r="BI90" s="8">
        <v>29190</v>
      </c>
      <c r="BJ90" s="8">
        <v>29190</v>
      </c>
      <c r="BK90" s="8">
        <v>29190</v>
      </c>
      <c r="BL90" s="8">
        <v>29190</v>
      </c>
      <c r="BM90" s="8">
        <v>29190</v>
      </c>
      <c r="BN90" s="8">
        <v>29190</v>
      </c>
      <c r="BO90" s="9">
        <f t="shared" si="61"/>
        <v>29190</v>
      </c>
      <c r="BP90" s="8">
        <v>22583</v>
      </c>
      <c r="BQ90" s="8">
        <v>22583</v>
      </c>
      <c r="BR90" s="8">
        <v>22583</v>
      </c>
      <c r="BS90" s="8">
        <v>22583</v>
      </c>
      <c r="BT90" s="8">
        <v>22583</v>
      </c>
      <c r="BU90" s="8">
        <v>22583</v>
      </c>
      <c r="BV90" s="8">
        <v>22583</v>
      </c>
      <c r="BW90" s="8">
        <v>22583</v>
      </c>
      <c r="BX90" s="8">
        <v>22583</v>
      </c>
      <c r="BY90" s="8">
        <v>22583</v>
      </c>
      <c r="BZ90" s="8">
        <v>22583</v>
      </c>
      <c r="CA90" s="8">
        <v>22583</v>
      </c>
      <c r="CB90" s="9">
        <f t="shared" si="62"/>
        <v>22583</v>
      </c>
      <c r="CC90" s="8">
        <v>23171</v>
      </c>
      <c r="CD90" s="8">
        <v>23171</v>
      </c>
      <c r="CE90" s="8">
        <v>23171</v>
      </c>
      <c r="CF90" s="8">
        <v>23171</v>
      </c>
      <c r="CG90" s="8">
        <v>23171</v>
      </c>
      <c r="CH90" s="8">
        <v>23171</v>
      </c>
      <c r="CI90" s="8">
        <v>23171</v>
      </c>
      <c r="CJ90" s="8">
        <v>23171</v>
      </c>
      <c r="CK90" s="8">
        <v>23171</v>
      </c>
      <c r="CL90" s="8">
        <v>23171</v>
      </c>
      <c r="CM90" s="8">
        <v>23171</v>
      </c>
      <c r="CN90" s="8">
        <v>23171</v>
      </c>
      <c r="CO90" s="9">
        <f t="shared" si="63"/>
        <v>23171</v>
      </c>
      <c r="CP90" s="8">
        <v>18558</v>
      </c>
      <c r="CQ90" s="8">
        <v>18558</v>
      </c>
      <c r="CR90" s="8">
        <v>18558</v>
      </c>
      <c r="CS90" s="8">
        <v>18558</v>
      </c>
      <c r="CT90" s="8">
        <v>18558</v>
      </c>
      <c r="CU90" s="8">
        <v>18558</v>
      </c>
      <c r="CV90" s="8">
        <v>18558</v>
      </c>
      <c r="CW90" s="8">
        <v>18558</v>
      </c>
      <c r="CX90" s="8">
        <v>18558</v>
      </c>
      <c r="CY90" s="8">
        <v>18558</v>
      </c>
      <c r="CZ90" s="8">
        <v>18558</v>
      </c>
      <c r="DA90" s="8">
        <v>18558</v>
      </c>
      <c r="DB90" s="9">
        <f t="shared" si="64"/>
        <v>18558</v>
      </c>
      <c r="DC90" s="8">
        <v>0</v>
      </c>
      <c r="DD90" s="8">
        <v>0</v>
      </c>
      <c r="DE90" s="8">
        <v>0</v>
      </c>
      <c r="DF90" s="8">
        <v>0</v>
      </c>
      <c r="DG90" s="8">
        <v>0</v>
      </c>
      <c r="DH90" s="8">
        <v>0</v>
      </c>
      <c r="DI90" s="8">
        <v>0</v>
      </c>
      <c r="DJ90" s="8">
        <v>0</v>
      </c>
      <c r="DK90" s="8">
        <v>0</v>
      </c>
      <c r="DL90" s="8">
        <v>0</v>
      </c>
      <c r="DM90" s="8">
        <v>0</v>
      </c>
      <c r="DN90" s="8">
        <v>0</v>
      </c>
      <c r="DO90" s="9">
        <f t="shared" si="65"/>
        <v>0</v>
      </c>
      <c r="DP90" s="8">
        <v>0</v>
      </c>
      <c r="DQ90" s="8">
        <v>0</v>
      </c>
      <c r="DR90" s="8">
        <v>0</v>
      </c>
      <c r="DS90" s="8">
        <v>0</v>
      </c>
      <c r="DT90" s="8">
        <v>0</v>
      </c>
      <c r="DU90" s="8">
        <v>0</v>
      </c>
      <c r="DV90" s="8">
        <v>0</v>
      </c>
      <c r="DW90" s="8">
        <v>0</v>
      </c>
      <c r="DX90" s="8">
        <v>0</v>
      </c>
      <c r="DY90" s="8">
        <v>0</v>
      </c>
      <c r="DZ90" s="8">
        <v>0</v>
      </c>
      <c r="EA90" s="8">
        <v>0</v>
      </c>
      <c r="EB90" s="9">
        <f t="shared" si="66"/>
        <v>0</v>
      </c>
      <c r="EC90" s="8">
        <v>0</v>
      </c>
      <c r="ED90" s="8">
        <v>0</v>
      </c>
      <c r="EE90" s="8">
        <v>0</v>
      </c>
      <c r="EF90" s="8">
        <v>0</v>
      </c>
      <c r="EG90" s="8">
        <v>0</v>
      </c>
      <c r="EH90" s="8">
        <v>0</v>
      </c>
      <c r="EI90" s="8">
        <v>0</v>
      </c>
      <c r="EJ90" s="8">
        <v>0</v>
      </c>
      <c r="EK90" s="8">
        <v>0</v>
      </c>
      <c r="EL90" s="8">
        <v>0</v>
      </c>
      <c r="EM90" s="8">
        <v>0</v>
      </c>
      <c r="EN90" s="8">
        <v>0</v>
      </c>
      <c r="EO90" s="9">
        <f t="shared" si="67"/>
        <v>0</v>
      </c>
      <c r="EP90" s="8">
        <v>7294</v>
      </c>
      <c r="EQ90" s="8">
        <v>7294</v>
      </c>
      <c r="ER90" s="8">
        <v>7294</v>
      </c>
      <c r="ES90" s="8">
        <v>7294</v>
      </c>
      <c r="ET90" s="8">
        <v>7294</v>
      </c>
      <c r="EU90" s="8">
        <v>7294</v>
      </c>
      <c r="EV90" s="8">
        <v>7294</v>
      </c>
      <c r="EW90" s="8">
        <v>7294</v>
      </c>
      <c r="EX90" s="8">
        <v>7294</v>
      </c>
      <c r="EY90" s="8">
        <v>7294</v>
      </c>
      <c r="EZ90" s="8">
        <v>7294</v>
      </c>
      <c r="FA90" s="8">
        <v>7294</v>
      </c>
      <c r="FB90" s="9">
        <f t="shared" si="68"/>
        <v>7294</v>
      </c>
      <c r="FC90" s="8">
        <v>10</v>
      </c>
      <c r="FD90" s="8">
        <v>10</v>
      </c>
      <c r="FE90" s="8">
        <v>10</v>
      </c>
      <c r="FF90" s="8">
        <v>10</v>
      </c>
      <c r="FG90" s="8">
        <v>10</v>
      </c>
      <c r="FH90" s="8">
        <v>10</v>
      </c>
      <c r="FI90" s="8">
        <v>10</v>
      </c>
      <c r="FJ90" s="8"/>
      <c r="FK90" s="8"/>
      <c r="FL90" s="8"/>
      <c r="FM90" s="8"/>
      <c r="FN90" s="8"/>
      <c r="FO90" s="9">
        <f t="shared" si="69"/>
        <v>10</v>
      </c>
    </row>
    <row r="91" spans="2:171" ht="14.25" customHeight="1" x14ac:dyDescent="0.3">
      <c r="B91" s="7" t="s">
        <v>57</v>
      </c>
      <c r="C91" s="8">
        <v>10805</v>
      </c>
      <c r="D91" s="8">
        <v>10805</v>
      </c>
      <c r="E91" s="8">
        <v>10805</v>
      </c>
      <c r="F91" s="8">
        <v>10805</v>
      </c>
      <c r="G91" s="8">
        <v>10805</v>
      </c>
      <c r="H91" s="8">
        <v>10805</v>
      </c>
      <c r="I91" s="8">
        <v>10805</v>
      </c>
      <c r="J91" s="8">
        <v>10805</v>
      </c>
      <c r="K91" s="8">
        <v>10805</v>
      </c>
      <c r="L91" s="8">
        <v>10805</v>
      </c>
      <c r="M91" s="8">
        <v>10805</v>
      </c>
      <c r="N91" s="8">
        <v>10805</v>
      </c>
      <c r="O91" s="9">
        <f t="shared" si="57"/>
        <v>10805</v>
      </c>
      <c r="P91" s="8">
        <v>11634</v>
      </c>
      <c r="Q91" s="8">
        <v>11634</v>
      </c>
      <c r="R91" s="8">
        <v>11634</v>
      </c>
      <c r="S91" s="8">
        <v>11634</v>
      </c>
      <c r="T91" s="8">
        <v>11634</v>
      </c>
      <c r="U91" s="8">
        <v>11634</v>
      </c>
      <c r="V91" s="8">
        <v>11634</v>
      </c>
      <c r="W91" s="8">
        <v>11634</v>
      </c>
      <c r="X91" s="8">
        <v>11634</v>
      </c>
      <c r="Y91" s="8">
        <v>11634</v>
      </c>
      <c r="Z91" s="8">
        <v>11634</v>
      </c>
      <c r="AA91" s="8">
        <v>11634</v>
      </c>
      <c r="AB91" s="9">
        <f t="shared" si="58"/>
        <v>11634</v>
      </c>
      <c r="AC91" s="8">
        <v>635947</v>
      </c>
      <c r="AD91" s="8">
        <v>635947</v>
      </c>
      <c r="AE91" s="8">
        <v>635947</v>
      </c>
      <c r="AF91" s="8">
        <v>635947</v>
      </c>
      <c r="AG91" s="8">
        <v>635947</v>
      </c>
      <c r="AH91" s="8">
        <v>635947</v>
      </c>
      <c r="AI91" s="8">
        <v>635947</v>
      </c>
      <c r="AJ91" s="8">
        <v>635947</v>
      </c>
      <c r="AK91" s="8">
        <v>635947</v>
      </c>
      <c r="AL91" s="8">
        <v>635947</v>
      </c>
      <c r="AM91" s="8">
        <v>635947</v>
      </c>
      <c r="AN91" s="8">
        <v>635947</v>
      </c>
      <c r="AO91" s="9">
        <f t="shared" si="59"/>
        <v>635947</v>
      </c>
      <c r="AP91" s="8">
        <v>14420</v>
      </c>
      <c r="AQ91" s="8">
        <v>14420</v>
      </c>
      <c r="AR91" s="8">
        <v>14420</v>
      </c>
      <c r="AS91" s="8">
        <v>14420</v>
      </c>
      <c r="AT91" s="8">
        <v>14420</v>
      </c>
      <c r="AU91" s="8">
        <v>14420</v>
      </c>
      <c r="AV91" s="8">
        <v>14420</v>
      </c>
      <c r="AW91" s="8">
        <v>14420</v>
      </c>
      <c r="AX91" s="8">
        <v>14420</v>
      </c>
      <c r="AY91" s="8">
        <v>14420</v>
      </c>
      <c r="AZ91" s="8">
        <v>14420</v>
      </c>
      <c r="BA91" s="8">
        <v>14420</v>
      </c>
      <c r="BB91" s="9">
        <f t="shared" si="60"/>
        <v>14420</v>
      </c>
      <c r="BC91" s="8">
        <v>16931</v>
      </c>
      <c r="BD91" s="8">
        <v>16931</v>
      </c>
      <c r="BE91" s="8">
        <v>16931</v>
      </c>
      <c r="BF91" s="8">
        <v>16931</v>
      </c>
      <c r="BG91" s="8">
        <v>16931</v>
      </c>
      <c r="BH91" s="8">
        <v>16931</v>
      </c>
      <c r="BI91" s="8">
        <v>16931</v>
      </c>
      <c r="BJ91" s="8">
        <v>16931</v>
      </c>
      <c r="BK91" s="8">
        <v>16931</v>
      </c>
      <c r="BL91" s="8">
        <v>16931</v>
      </c>
      <c r="BM91" s="8">
        <v>16931</v>
      </c>
      <c r="BN91" s="8">
        <v>16931</v>
      </c>
      <c r="BO91" s="9">
        <f t="shared" si="61"/>
        <v>16931</v>
      </c>
      <c r="BP91" s="8">
        <v>13745</v>
      </c>
      <c r="BQ91" s="8">
        <v>13745</v>
      </c>
      <c r="BR91" s="8">
        <v>13745</v>
      </c>
      <c r="BS91" s="8">
        <v>13745</v>
      </c>
      <c r="BT91" s="8">
        <v>13745</v>
      </c>
      <c r="BU91" s="8">
        <v>13745</v>
      </c>
      <c r="BV91" s="8">
        <v>13745</v>
      </c>
      <c r="BW91" s="8">
        <v>13745</v>
      </c>
      <c r="BX91" s="8">
        <v>13745</v>
      </c>
      <c r="BY91" s="8">
        <v>13745</v>
      </c>
      <c r="BZ91" s="8">
        <v>13745</v>
      </c>
      <c r="CA91" s="8">
        <v>13745</v>
      </c>
      <c r="CB91" s="9">
        <f t="shared" si="62"/>
        <v>13745</v>
      </c>
      <c r="CC91" s="8">
        <v>313243</v>
      </c>
      <c r="CD91" s="8">
        <v>313243</v>
      </c>
      <c r="CE91" s="8">
        <v>313243</v>
      </c>
      <c r="CF91" s="8">
        <v>313243</v>
      </c>
      <c r="CG91" s="8">
        <v>313243</v>
      </c>
      <c r="CH91" s="8">
        <v>313243</v>
      </c>
      <c r="CI91" s="8">
        <v>313243</v>
      </c>
      <c r="CJ91" s="8">
        <v>313243</v>
      </c>
      <c r="CK91" s="8">
        <v>313243</v>
      </c>
      <c r="CL91" s="8">
        <v>313243</v>
      </c>
      <c r="CM91" s="8">
        <v>313243</v>
      </c>
      <c r="CN91" s="8">
        <v>313243</v>
      </c>
      <c r="CO91" s="9">
        <f t="shared" si="63"/>
        <v>313243</v>
      </c>
      <c r="CP91" s="8">
        <v>13786</v>
      </c>
      <c r="CQ91" s="8">
        <v>13786</v>
      </c>
      <c r="CR91" s="8">
        <v>13786</v>
      </c>
      <c r="CS91" s="8">
        <v>13786</v>
      </c>
      <c r="CT91" s="8">
        <v>13786</v>
      </c>
      <c r="CU91" s="8">
        <v>13786</v>
      </c>
      <c r="CV91" s="8">
        <v>13786</v>
      </c>
      <c r="CW91" s="8">
        <v>13786</v>
      </c>
      <c r="CX91" s="8">
        <v>13786</v>
      </c>
      <c r="CY91" s="8">
        <v>13786</v>
      </c>
      <c r="CZ91" s="8">
        <v>13786</v>
      </c>
      <c r="DA91" s="8">
        <v>13786</v>
      </c>
      <c r="DB91" s="9">
        <f t="shared" si="64"/>
        <v>13786</v>
      </c>
      <c r="DC91" s="8">
        <v>0</v>
      </c>
      <c r="DD91" s="8">
        <v>0</v>
      </c>
      <c r="DE91" s="8">
        <v>0</v>
      </c>
      <c r="DF91" s="8">
        <v>0</v>
      </c>
      <c r="DG91" s="8">
        <v>0</v>
      </c>
      <c r="DH91" s="8">
        <v>0</v>
      </c>
      <c r="DI91" s="8">
        <v>0</v>
      </c>
      <c r="DJ91" s="8">
        <v>0</v>
      </c>
      <c r="DK91" s="8">
        <v>0</v>
      </c>
      <c r="DL91" s="8">
        <v>0</v>
      </c>
      <c r="DM91" s="8">
        <v>0</v>
      </c>
      <c r="DN91" s="8">
        <v>0</v>
      </c>
      <c r="DO91" s="9">
        <f t="shared" si="65"/>
        <v>0</v>
      </c>
      <c r="DP91" s="8">
        <v>0</v>
      </c>
      <c r="DQ91" s="8">
        <v>0</v>
      </c>
      <c r="DR91" s="8">
        <v>0</v>
      </c>
      <c r="DS91" s="8">
        <v>0</v>
      </c>
      <c r="DT91" s="8">
        <v>0</v>
      </c>
      <c r="DU91" s="8">
        <v>0</v>
      </c>
      <c r="DV91" s="8">
        <v>0</v>
      </c>
      <c r="DW91" s="8">
        <v>0</v>
      </c>
      <c r="DX91" s="8">
        <v>0</v>
      </c>
      <c r="DY91" s="8">
        <v>0</v>
      </c>
      <c r="DZ91" s="8">
        <v>0</v>
      </c>
      <c r="EA91" s="8">
        <v>0</v>
      </c>
      <c r="EB91" s="9">
        <f t="shared" si="66"/>
        <v>0</v>
      </c>
      <c r="EC91" s="8">
        <v>0</v>
      </c>
      <c r="ED91" s="8">
        <v>0</v>
      </c>
      <c r="EE91" s="8">
        <v>0</v>
      </c>
      <c r="EF91" s="8">
        <v>0</v>
      </c>
      <c r="EG91" s="8">
        <v>0</v>
      </c>
      <c r="EH91" s="8">
        <v>0</v>
      </c>
      <c r="EI91" s="8">
        <v>0</v>
      </c>
      <c r="EJ91" s="8">
        <v>0</v>
      </c>
      <c r="EK91" s="8">
        <v>0</v>
      </c>
      <c r="EL91" s="8">
        <v>0</v>
      </c>
      <c r="EM91" s="8">
        <v>0</v>
      </c>
      <c r="EN91" s="8">
        <v>0</v>
      </c>
      <c r="EO91" s="9">
        <f t="shared" si="67"/>
        <v>0</v>
      </c>
      <c r="EP91" s="8">
        <v>6200</v>
      </c>
      <c r="EQ91" s="8">
        <v>6200</v>
      </c>
      <c r="ER91" s="8">
        <v>6200</v>
      </c>
      <c r="ES91" s="8">
        <v>6200</v>
      </c>
      <c r="ET91" s="8">
        <v>6200</v>
      </c>
      <c r="EU91" s="8">
        <v>6200</v>
      </c>
      <c r="EV91" s="8">
        <v>6200</v>
      </c>
      <c r="EW91" s="8">
        <v>6200</v>
      </c>
      <c r="EX91" s="8">
        <v>6200</v>
      </c>
      <c r="EY91" s="8">
        <v>6200</v>
      </c>
      <c r="EZ91" s="8">
        <v>6200</v>
      </c>
      <c r="FA91" s="8">
        <v>6200</v>
      </c>
      <c r="FB91" s="9">
        <f t="shared" si="68"/>
        <v>6200</v>
      </c>
      <c r="FC91" s="8">
        <v>10</v>
      </c>
      <c r="FD91" s="8">
        <v>10</v>
      </c>
      <c r="FE91" s="8">
        <v>10</v>
      </c>
      <c r="FF91" s="8">
        <v>10</v>
      </c>
      <c r="FG91" s="8">
        <v>10</v>
      </c>
      <c r="FH91" s="8">
        <v>10</v>
      </c>
      <c r="FI91" s="8">
        <v>10</v>
      </c>
      <c r="FJ91" s="8"/>
      <c r="FK91" s="8"/>
      <c r="FL91" s="8"/>
      <c r="FM91" s="8"/>
      <c r="FN91" s="8"/>
      <c r="FO91" s="9">
        <f t="shared" si="69"/>
        <v>10</v>
      </c>
    </row>
    <row r="92" spans="2:171" ht="14.25" customHeight="1" x14ac:dyDescent="0.3">
      <c r="B92" s="7" t="s">
        <v>58</v>
      </c>
      <c r="C92" s="8">
        <v>10825</v>
      </c>
      <c r="D92" s="8">
        <v>10825</v>
      </c>
      <c r="E92" s="8">
        <v>10825</v>
      </c>
      <c r="F92" s="8">
        <v>10825</v>
      </c>
      <c r="G92" s="8">
        <v>10825</v>
      </c>
      <c r="H92" s="8">
        <v>10825</v>
      </c>
      <c r="I92" s="8">
        <v>10825</v>
      </c>
      <c r="J92" s="8">
        <v>10825</v>
      </c>
      <c r="K92" s="8">
        <v>10825</v>
      </c>
      <c r="L92" s="8">
        <v>10825</v>
      </c>
      <c r="M92" s="8">
        <v>10825</v>
      </c>
      <c r="N92" s="8">
        <v>10825</v>
      </c>
      <c r="O92" s="9">
        <f t="shared" si="57"/>
        <v>10825</v>
      </c>
      <c r="P92" s="8">
        <v>12043</v>
      </c>
      <c r="Q92" s="8">
        <v>12043</v>
      </c>
      <c r="R92" s="8">
        <v>12043</v>
      </c>
      <c r="S92" s="8">
        <v>12043</v>
      </c>
      <c r="T92" s="8">
        <v>12043</v>
      </c>
      <c r="U92" s="8">
        <v>12043</v>
      </c>
      <c r="V92" s="8">
        <v>12043</v>
      </c>
      <c r="W92" s="8">
        <v>12043</v>
      </c>
      <c r="X92" s="8">
        <v>12043</v>
      </c>
      <c r="Y92" s="8">
        <v>12043</v>
      </c>
      <c r="Z92" s="8">
        <v>12043</v>
      </c>
      <c r="AA92" s="8">
        <v>12043</v>
      </c>
      <c r="AB92" s="9">
        <f t="shared" si="58"/>
        <v>12043</v>
      </c>
      <c r="AC92" s="8">
        <v>14050</v>
      </c>
      <c r="AD92" s="8">
        <v>14050</v>
      </c>
      <c r="AE92" s="8">
        <v>14050</v>
      </c>
      <c r="AF92" s="8">
        <v>14050</v>
      </c>
      <c r="AG92" s="8">
        <v>14050</v>
      </c>
      <c r="AH92" s="8">
        <v>14050</v>
      </c>
      <c r="AI92" s="8">
        <v>14050</v>
      </c>
      <c r="AJ92" s="8">
        <v>14050</v>
      </c>
      <c r="AK92" s="8">
        <v>14050</v>
      </c>
      <c r="AL92" s="8">
        <v>14050</v>
      </c>
      <c r="AM92" s="8">
        <v>14050</v>
      </c>
      <c r="AN92" s="8">
        <v>14050</v>
      </c>
      <c r="AO92" s="9">
        <f t="shared" si="59"/>
        <v>14050</v>
      </c>
      <c r="AP92" s="8">
        <v>13390</v>
      </c>
      <c r="AQ92" s="8">
        <v>13390</v>
      </c>
      <c r="AR92" s="8">
        <v>13390</v>
      </c>
      <c r="AS92" s="8">
        <v>13390</v>
      </c>
      <c r="AT92" s="8">
        <v>13390</v>
      </c>
      <c r="AU92" s="8">
        <v>13390</v>
      </c>
      <c r="AV92" s="8">
        <v>13390</v>
      </c>
      <c r="AW92" s="8">
        <v>13390</v>
      </c>
      <c r="AX92" s="8">
        <v>13390</v>
      </c>
      <c r="AY92" s="8">
        <v>13390</v>
      </c>
      <c r="AZ92" s="8">
        <v>13390</v>
      </c>
      <c r="BA92" s="8">
        <v>13390</v>
      </c>
      <c r="BB92" s="9">
        <f t="shared" si="60"/>
        <v>13390</v>
      </c>
      <c r="BC92" s="8">
        <v>14594</v>
      </c>
      <c r="BD92" s="8">
        <v>14594</v>
      </c>
      <c r="BE92" s="8">
        <v>14594</v>
      </c>
      <c r="BF92" s="8">
        <v>14594</v>
      </c>
      <c r="BG92" s="8">
        <v>14594</v>
      </c>
      <c r="BH92" s="8">
        <v>14594</v>
      </c>
      <c r="BI92" s="8">
        <v>14594</v>
      </c>
      <c r="BJ92" s="8">
        <v>14594</v>
      </c>
      <c r="BK92" s="8">
        <v>14594</v>
      </c>
      <c r="BL92" s="8">
        <v>14594</v>
      </c>
      <c r="BM92" s="8">
        <v>14594</v>
      </c>
      <c r="BN92" s="8">
        <v>14594</v>
      </c>
      <c r="BO92" s="9">
        <f t="shared" si="61"/>
        <v>14594</v>
      </c>
      <c r="BP92" s="8">
        <v>6677</v>
      </c>
      <c r="BQ92" s="8">
        <v>6677</v>
      </c>
      <c r="BR92" s="8">
        <v>6677</v>
      </c>
      <c r="BS92" s="8">
        <v>6677</v>
      </c>
      <c r="BT92" s="8">
        <v>6677</v>
      </c>
      <c r="BU92" s="8">
        <v>6677</v>
      </c>
      <c r="BV92" s="8">
        <v>6677</v>
      </c>
      <c r="BW92" s="8">
        <v>6677</v>
      </c>
      <c r="BX92" s="8">
        <v>6677</v>
      </c>
      <c r="BY92" s="8">
        <v>6677</v>
      </c>
      <c r="BZ92" s="8">
        <v>6677</v>
      </c>
      <c r="CA92" s="8">
        <v>6677</v>
      </c>
      <c r="CB92" s="9">
        <f t="shared" si="62"/>
        <v>6677</v>
      </c>
      <c r="CC92" s="8">
        <v>6851</v>
      </c>
      <c r="CD92" s="8">
        <v>6851</v>
      </c>
      <c r="CE92" s="8">
        <v>6851</v>
      </c>
      <c r="CF92" s="8">
        <v>6851</v>
      </c>
      <c r="CG92" s="8">
        <v>6851</v>
      </c>
      <c r="CH92" s="8">
        <v>6851</v>
      </c>
      <c r="CI92" s="8">
        <v>6851</v>
      </c>
      <c r="CJ92" s="8">
        <v>6851</v>
      </c>
      <c r="CK92" s="8">
        <v>6851</v>
      </c>
      <c r="CL92" s="8">
        <v>6851</v>
      </c>
      <c r="CM92" s="8">
        <v>6851</v>
      </c>
      <c r="CN92" s="8">
        <v>6851</v>
      </c>
      <c r="CO92" s="9">
        <f t="shared" si="63"/>
        <v>6851</v>
      </c>
      <c r="CP92" s="8">
        <v>9479</v>
      </c>
      <c r="CQ92" s="8">
        <v>9479</v>
      </c>
      <c r="CR92" s="8">
        <v>9479</v>
      </c>
      <c r="CS92" s="8">
        <v>9479</v>
      </c>
      <c r="CT92" s="8">
        <v>9479</v>
      </c>
      <c r="CU92" s="8">
        <v>9479</v>
      </c>
      <c r="CV92" s="8">
        <v>9479</v>
      </c>
      <c r="CW92" s="8">
        <v>9479</v>
      </c>
      <c r="CX92" s="8">
        <v>9479</v>
      </c>
      <c r="CY92" s="8">
        <v>9479</v>
      </c>
      <c r="CZ92" s="8">
        <v>9479</v>
      </c>
      <c r="DA92" s="8">
        <v>9479</v>
      </c>
      <c r="DB92" s="9">
        <f t="shared" si="64"/>
        <v>9479</v>
      </c>
      <c r="DC92" s="8">
        <v>0</v>
      </c>
      <c r="DD92" s="8">
        <v>0</v>
      </c>
      <c r="DE92" s="8">
        <v>0</v>
      </c>
      <c r="DF92" s="8">
        <v>0</v>
      </c>
      <c r="DG92" s="8">
        <v>0</v>
      </c>
      <c r="DH92" s="8">
        <v>0</v>
      </c>
      <c r="DI92" s="8">
        <v>0</v>
      </c>
      <c r="DJ92" s="8">
        <v>0</v>
      </c>
      <c r="DK92" s="8">
        <v>0</v>
      </c>
      <c r="DL92" s="8">
        <v>0</v>
      </c>
      <c r="DM92" s="8">
        <v>0</v>
      </c>
      <c r="DN92" s="8">
        <v>0</v>
      </c>
      <c r="DO92" s="9">
        <f t="shared" si="65"/>
        <v>0</v>
      </c>
      <c r="DP92" s="8">
        <v>0</v>
      </c>
      <c r="DQ92" s="8">
        <v>0</v>
      </c>
      <c r="DR92" s="8">
        <v>0</v>
      </c>
      <c r="DS92" s="8">
        <v>0</v>
      </c>
      <c r="DT92" s="8">
        <v>0</v>
      </c>
      <c r="DU92" s="8">
        <v>0</v>
      </c>
      <c r="DV92" s="8">
        <v>0</v>
      </c>
      <c r="DW92" s="8">
        <v>0</v>
      </c>
      <c r="DX92" s="8">
        <v>0</v>
      </c>
      <c r="DY92" s="8">
        <v>0</v>
      </c>
      <c r="DZ92" s="8">
        <v>0</v>
      </c>
      <c r="EA92" s="8">
        <v>0</v>
      </c>
      <c r="EB92" s="9">
        <f t="shared" si="66"/>
        <v>0</v>
      </c>
      <c r="EC92" s="8">
        <v>0</v>
      </c>
      <c r="ED92" s="8">
        <v>0</v>
      </c>
      <c r="EE92" s="8">
        <v>0</v>
      </c>
      <c r="EF92" s="8">
        <v>0</v>
      </c>
      <c r="EG92" s="8">
        <v>0</v>
      </c>
      <c r="EH92" s="8">
        <v>0</v>
      </c>
      <c r="EI92" s="8">
        <v>0</v>
      </c>
      <c r="EJ92" s="8">
        <v>0</v>
      </c>
      <c r="EK92" s="8">
        <v>0</v>
      </c>
      <c r="EL92" s="8">
        <v>0</v>
      </c>
      <c r="EM92" s="8">
        <v>0</v>
      </c>
      <c r="EN92" s="8">
        <v>0</v>
      </c>
      <c r="EO92" s="9">
        <f t="shared" si="67"/>
        <v>0</v>
      </c>
      <c r="EP92" s="8">
        <v>2084</v>
      </c>
      <c r="EQ92" s="8">
        <v>2084</v>
      </c>
      <c r="ER92" s="8">
        <v>2084</v>
      </c>
      <c r="ES92" s="8">
        <v>2084</v>
      </c>
      <c r="ET92" s="8">
        <v>2084</v>
      </c>
      <c r="EU92" s="8">
        <v>2084</v>
      </c>
      <c r="EV92" s="8">
        <v>2084</v>
      </c>
      <c r="EW92" s="8">
        <v>2084</v>
      </c>
      <c r="EX92" s="8">
        <v>2084</v>
      </c>
      <c r="EY92" s="8">
        <v>2084</v>
      </c>
      <c r="EZ92" s="8">
        <v>2084</v>
      </c>
      <c r="FA92" s="8">
        <v>2084</v>
      </c>
      <c r="FB92" s="9">
        <f t="shared" si="68"/>
        <v>2084</v>
      </c>
      <c r="FC92" s="8">
        <v>10</v>
      </c>
      <c r="FD92" s="8">
        <v>10</v>
      </c>
      <c r="FE92" s="8">
        <v>10</v>
      </c>
      <c r="FF92" s="8">
        <v>10</v>
      </c>
      <c r="FG92" s="8">
        <v>10</v>
      </c>
      <c r="FH92" s="8">
        <v>10</v>
      </c>
      <c r="FI92" s="8">
        <v>10</v>
      </c>
      <c r="FJ92" s="8"/>
      <c r="FK92" s="8"/>
      <c r="FL92" s="8"/>
      <c r="FM92" s="8"/>
      <c r="FN92" s="8"/>
      <c r="FO92" s="9">
        <f t="shared" si="69"/>
        <v>10</v>
      </c>
    </row>
    <row r="93" spans="2:171" ht="14.25" customHeight="1" x14ac:dyDescent="0.3">
      <c r="B93" s="7" t="s">
        <v>59</v>
      </c>
      <c r="C93" s="8">
        <v>8561</v>
      </c>
      <c r="D93" s="8">
        <v>8561</v>
      </c>
      <c r="E93" s="8">
        <v>8561</v>
      </c>
      <c r="F93" s="8">
        <v>8561</v>
      </c>
      <c r="G93" s="8">
        <v>8561</v>
      </c>
      <c r="H93" s="8">
        <v>8561</v>
      </c>
      <c r="I93" s="8">
        <v>8561</v>
      </c>
      <c r="J93" s="8">
        <v>8561</v>
      </c>
      <c r="K93" s="8">
        <v>8561</v>
      </c>
      <c r="L93" s="8">
        <v>8561</v>
      </c>
      <c r="M93" s="8">
        <v>8561</v>
      </c>
      <c r="N93" s="8">
        <v>8561</v>
      </c>
      <c r="O93" s="9">
        <f t="shared" si="57"/>
        <v>8561</v>
      </c>
      <c r="P93" s="8">
        <v>15987</v>
      </c>
      <c r="Q93" s="8">
        <v>15987</v>
      </c>
      <c r="R93" s="8">
        <v>15987</v>
      </c>
      <c r="S93" s="8">
        <v>15987</v>
      </c>
      <c r="T93" s="8">
        <v>15987</v>
      </c>
      <c r="U93" s="8">
        <v>15987</v>
      </c>
      <c r="V93" s="8">
        <v>15987</v>
      </c>
      <c r="W93" s="8">
        <v>15987</v>
      </c>
      <c r="X93" s="8">
        <v>15987</v>
      </c>
      <c r="Y93" s="8">
        <v>15987</v>
      </c>
      <c r="Z93" s="8">
        <v>15987</v>
      </c>
      <c r="AA93" s="8">
        <v>15987</v>
      </c>
      <c r="AB93" s="9">
        <f t="shared" si="58"/>
        <v>15987</v>
      </c>
      <c r="AC93" s="8">
        <v>17793</v>
      </c>
      <c r="AD93" s="8">
        <v>17793</v>
      </c>
      <c r="AE93" s="8">
        <v>17793</v>
      </c>
      <c r="AF93" s="8">
        <v>17793</v>
      </c>
      <c r="AG93" s="8">
        <v>17793</v>
      </c>
      <c r="AH93" s="8">
        <v>17793</v>
      </c>
      <c r="AI93" s="8">
        <v>17793</v>
      </c>
      <c r="AJ93" s="8">
        <v>17793</v>
      </c>
      <c r="AK93" s="8">
        <v>17793</v>
      </c>
      <c r="AL93" s="8">
        <v>17793</v>
      </c>
      <c r="AM93" s="8">
        <v>17793</v>
      </c>
      <c r="AN93" s="8">
        <v>17793</v>
      </c>
      <c r="AO93" s="9">
        <f t="shared" si="59"/>
        <v>17793</v>
      </c>
      <c r="AP93" s="8">
        <v>12360</v>
      </c>
      <c r="AQ93" s="8">
        <v>12360</v>
      </c>
      <c r="AR93" s="8">
        <v>12360</v>
      </c>
      <c r="AS93" s="8">
        <v>12360</v>
      </c>
      <c r="AT93" s="8">
        <v>12360</v>
      </c>
      <c r="AU93" s="8">
        <v>12360</v>
      </c>
      <c r="AV93" s="8">
        <v>12360</v>
      </c>
      <c r="AW93" s="8">
        <v>12360</v>
      </c>
      <c r="AX93" s="8">
        <v>12360</v>
      </c>
      <c r="AY93" s="8">
        <v>12360</v>
      </c>
      <c r="AZ93" s="8">
        <v>12360</v>
      </c>
      <c r="BA93" s="8">
        <v>12360</v>
      </c>
      <c r="BB93" s="9">
        <f t="shared" si="60"/>
        <v>12360</v>
      </c>
      <c r="BC93" s="8">
        <v>12681</v>
      </c>
      <c r="BD93" s="8">
        <v>12681</v>
      </c>
      <c r="BE93" s="8">
        <v>12681</v>
      </c>
      <c r="BF93" s="8">
        <v>12681</v>
      </c>
      <c r="BG93" s="8">
        <v>12681</v>
      </c>
      <c r="BH93" s="8">
        <v>12681</v>
      </c>
      <c r="BI93" s="8">
        <v>12681</v>
      </c>
      <c r="BJ93" s="8">
        <v>12681</v>
      </c>
      <c r="BK93" s="8">
        <v>12681</v>
      </c>
      <c r="BL93" s="8">
        <v>12681</v>
      </c>
      <c r="BM93" s="8">
        <v>12681</v>
      </c>
      <c r="BN93" s="8">
        <v>12681</v>
      </c>
      <c r="BO93" s="9">
        <f t="shared" si="61"/>
        <v>12681</v>
      </c>
      <c r="BP93" s="8">
        <v>7864</v>
      </c>
      <c r="BQ93" s="8">
        <v>7864</v>
      </c>
      <c r="BR93" s="8">
        <v>7864</v>
      </c>
      <c r="BS93" s="8">
        <v>7864</v>
      </c>
      <c r="BT93" s="8">
        <v>7864</v>
      </c>
      <c r="BU93" s="8">
        <v>7864</v>
      </c>
      <c r="BV93" s="8">
        <v>7864</v>
      </c>
      <c r="BW93" s="8">
        <v>7864</v>
      </c>
      <c r="BX93" s="8">
        <v>7864</v>
      </c>
      <c r="BY93" s="8">
        <v>7864</v>
      </c>
      <c r="BZ93" s="8">
        <v>7864</v>
      </c>
      <c r="CA93" s="8">
        <v>7864</v>
      </c>
      <c r="CB93" s="9">
        <f t="shared" si="62"/>
        <v>7864</v>
      </c>
      <c r="CC93" s="8">
        <v>8068</v>
      </c>
      <c r="CD93" s="8">
        <v>8068</v>
      </c>
      <c r="CE93" s="8">
        <v>8068</v>
      </c>
      <c r="CF93" s="8">
        <v>8068</v>
      </c>
      <c r="CG93" s="8">
        <v>8068</v>
      </c>
      <c r="CH93" s="8">
        <v>8068</v>
      </c>
      <c r="CI93" s="8">
        <v>8068</v>
      </c>
      <c r="CJ93" s="8">
        <v>8068</v>
      </c>
      <c r="CK93" s="8">
        <v>8068</v>
      </c>
      <c r="CL93" s="8">
        <v>8068</v>
      </c>
      <c r="CM93" s="8">
        <v>8068</v>
      </c>
      <c r="CN93" s="8">
        <v>8068</v>
      </c>
      <c r="CO93" s="9">
        <f t="shared" si="63"/>
        <v>8068</v>
      </c>
      <c r="CP93" s="8">
        <v>6340</v>
      </c>
      <c r="CQ93" s="8">
        <v>6340</v>
      </c>
      <c r="CR93" s="8">
        <v>6340</v>
      </c>
      <c r="CS93" s="8">
        <v>6340</v>
      </c>
      <c r="CT93" s="8">
        <v>6340</v>
      </c>
      <c r="CU93" s="8">
        <v>6340</v>
      </c>
      <c r="CV93" s="8">
        <v>6340</v>
      </c>
      <c r="CW93" s="8">
        <v>6340</v>
      </c>
      <c r="CX93" s="8">
        <v>6340</v>
      </c>
      <c r="CY93" s="8">
        <v>6340</v>
      </c>
      <c r="CZ93" s="8">
        <v>6340</v>
      </c>
      <c r="DA93" s="8">
        <v>6340</v>
      </c>
      <c r="DB93" s="9">
        <f t="shared" si="64"/>
        <v>6340</v>
      </c>
      <c r="DC93" s="8">
        <v>0</v>
      </c>
      <c r="DD93" s="8">
        <v>0</v>
      </c>
      <c r="DE93" s="8">
        <v>0</v>
      </c>
      <c r="DF93" s="8">
        <v>0</v>
      </c>
      <c r="DG93" s="8">
        <v>0</v>
      </c>
      <c r="DH93" s="8">
        <v>0</v>
      </c>
      <c r="DI93" s="8">
        <v>0</v>
      </c>
      <c r="DJ93" s="8">
        <v>0</v>
      </c>
      <c r="DK93" s="8">
        <v>0</v>
      </c>
      <c r="DL93" s="8">
        <v>0</v>
      </c>
      <c r="DM93" s="8">
        <v>0</v>
      </c>
      <c r="DN93" s="8">
        <v>0</v>
      </c>
      <c r="DO93" s="9">
        <f t="shared" si="65"/>
        <v>0</v>
      </c>
      <c r="DP93" s="8">
        <v>0</v>
      </c>
      <c r="DQ93" s="8">
        <v>0</v>
      </c>
      <c r="DR93" s="8">
        <v>0</v>
      </c>
      <c r="DS93" s="8">
        <v>0</v>
      </c>
      <c r="DT93" s="8">
        <v>0</v>
      </c>
      <c r="DU93" s="8">
        <v>0</v>
      </c>
      <c r="DV93" s="8">
        <v>0</v>
      </c>
      <c r="DW93" s="8">
        <v>0</v>
      </c>
      <c r="DX93" s="8">
        <v>0</v>
      </c>
      <c r="DY93" s="8">
        <v>0</v>
      </c>
      <c r="DZ93" s="8">
        <v>0</v>
      </c>
      <c r="EA93" s="8">
        <v>0</v>
      </c>
      <c r="EB93" s="9">
        <f t="shared" si="66"/>
        <v>0</v>
      </c>
      <c r="EC93" s="8">
        <v>0</v>
      </c>
      <c r="ED93" s="8">
        <v>0</v>
      </c>
      <c r="EE93" s="8">
        <v>0</v>
      </c>
      <c r="EF93" s="8">
        <v>0</v>
      </c>
      <c r="EG93" s="8">
        <v>0</v>
      </c>
      <c r="EH93" s="8">
        <v>0</v>
      </c>
      <c r="EI93" s="8">
        <v>0</v>
      </c>
      <c r="EJ93" s="8">
        <v>0</v>
      </c>
      <c r="EK93" s="8">
        <v>0</v>
      </c>
      <c r="EL93" s="8">
        <v>0</v>
      </c>
      <c r="EM93" s="8">
        <v>0</v>
      </c>
      <c r="EN93" s="8">
        <v>0</v>
      </c>
      <c r="EO93" s="9">
        <f t="shared" si="67"/>
        <v>0</v>
      </c>
      <c r="EP93" s="8">
        <v>4168</v>
      </c>
      <c r="EQ93" s="8">
        <v>4168</v>
      </c>
      <c r="ER93" s="8">
        <v>4168</v>
      </c>
      <c r="ES93" s="8">
        <v>4168</v>
      </c>
      <c r="ET93" s="8">
        <v>4168</v>
      </c>
      <c r="EU93" s="8">
        <v>4168</v>
      </c>
      <c r="EV93" s="8">
        <v>4168</v>
      </c>
      <c r="EW93" s="8">
        <v>4168</v>
      </c>
      <c r="EX93" s="8">
        <v>4168</v>
      </c>
      <c r="EY93" s="8">
        <v>4168</v>
      </c>
      <c r="EZ93" s="8">
        <v>4168</v>
      </c>
      <c r="FA93" s="8">
        <v>4168</v>
      </c>
      <c r="FB93" s="9">
        <f t="shared" si="68"/>
        <v>4168</v>
      </c>
      <c r="FC93" s="8">
        <v>10</v>
      </c>
      <c r="FD93" s="8">
        <v>10</v>
      </c>
      <c r="FE93" s="8">
        <v>10</v>
      </c>
      <c r="FF93" s="8">
        <v>10</v>
      </c>
      <c r="FG93" s="8">
        <v>10</v>
      </c>
      <c r="FH93" s="8">
        <v>10</v>
      </c>
      <c r="FI93" s="8">
        <v>10</v>
      </c>
      <c r="FJ93" s="8"/>
      <c r="FK93" s="8"/>
      <c r="FL93" s="8"/>
      <c r="FM93" s="8"/>
      <c r="FN93" s="8"/>
      <c r="FO93" s="9">
        <f t="shared" si="69"/>
        <v>10</v>
      </c>
    </row>
    <row r="94" spans="2:171" ht="14.25" customHeight="1" x14ac:dyDescent="0.3">
      <c r="B94" s="7" t="s">
        <v>60</v>
      </c>
      <c r="C94" s="8">
        <v>7804</v>
      </c>
      <c r="D94" s="8">
        <v>7804</v>
      </c>
      <c r="E94" s="8">
        <v>7804</v>
      </c>
      <c r="F94" s="8">
        <v>7804</v>
      </c>
      <c r="G94" s="8">
        <v>7804</v>
      </c>
      <c r="H94" s="8">
        <v>7804</v>
      </c>
      <c r="I94" s="8">
        <v>7804</v>
      </c>
      <c r="J94" s="8">
        <v>7804</v>
      </c>
      <c r="K94" s="8">
        <v>7804</v>
      </c>
      <c r="L94" s="8">
        <v>7804</v>
      </c>
      <c r="M94" s="8">
        <v>7804</v>
      </c>
      <c r="N94" s="8">
        <v>7804</v>
      </c>
      <c r="O94" s="9">
        <f t="shared" si="57"/>
        <v>7804</v>
      </c>
      <c r="P94" s="8">
        <v>14053</v>
      </c>
      <c r="Q94" s="8">
        <v>14053</v>
      </c>
      <c r="R94" s="8">
        <v>14053</v>
      </c>
      <c r="S94" s="8">
        <v>14053</v>
      </c>
      <c r="T94" s="8">
        <v>14053</v>
      </c>
      <c r="U94" s="8">
        <v>14053</v>
      </c>
      <c r="V94" s="8">
        <v>14053</v>
      </c>
      <c r="W94" s="8">
        <v>14053</v>
      </c>
      <c r="X94" s="8">
        <v>14053</v>
      </c>
      <c r="Y94" s="8">
        <v>14053</v>
      </c>
      <c r="Z94" s="8">
        <v>14053</v>
      </c>
      <c r="AA94" s="8">
        <v>14053</v>
      </c>
      <c r="AB94" s="9">
        <f t="shared" si="58"/>
        <v>14053</v>
      </c>
      <c r="AC94" s="8">
        <v>16140</v>
      </c>
      <c r="AD94" s="8">
        <v>16140</v>
      </c>
      <c r="AE94" s="8">
        <v>16140</v>
      </c>
      <c r="AF94" s="8">
        <v>16140</v>
      </c>
      <c r="AG94" s="8">
        <v>16140</v>
      </c>
      <c r="AH94" s="8">
        <v>16140</v>
      </c>
      <c r="AI94" s="8">
        <v>16140</v>
      </c>
      <c r="AJ94" s="8">
        <v>16140</v>
      </c>
      <c r="AK94" s="8">
        <v>16140</v>
      </c>
      <c r="AL94" s="8">
        <v>16140</v>
      </c>
      <c r="AM94" s="8">
        <v>16140</v>
      </c>
      <c r="AN94" s="8">
        <v>16140</v>
      </c>
      <c r="AO94" s="9">
        <f t="shared" si="59"/>
        <v>16140</v>
      </c>
      <c r="AP94" s="8">
        <v>16480</v>
      </c>
      <c r="AQ94" s="8">
        <v>16480</v>
      </c>
      <c r="AR94" s="8">
        <v>16480</v>
      </c>
      <c r="AS94" s="8">
        <v>16480</v>
      </c>
      <c r="AT94" s="8">
        <v>16480</v>
      </c>
      <c r="AU94" s="8">
        <v>16480</v>
      </c>
      <c r="AV94" s="8">
        <v>16480</v>
      </c>
      <c r="AW94" s="8">
        <v>16480</v>
      </c>
      <c r="AX94" s="8">
        <v>16480</v>
      </c>
      <c r="AY94" s="8">
        <v>16480</v>
      </c>
      <c r="AZ94" s="8">
        <v>16480</v>
      </c>
      <c r="BA94" s="8">
        <v>16480</v>
      </c>
      <c r="BB94" s="9">
        <f t="shared" si="60"/>
        <v>16480</v>
      </c>
      <c r="BC94" s="8">
        <v>24722</v>
      </c>
      <c r="BD94" s="8">
        <v>24722</v>
      </c>
      <c r="BE94" s="8">
        <v>24722</v>
      </c>
      <c r="BF94" s="8">
        <v>24722</v>
      </c>
      <c r="BG94" s="8">
        <v>24722</v>
      </c>
      <c r="BH94" s="8">
        <v>24722</v>
      </c>
      <c r="BI94" s="8">
        <v>24722</v>
      </c>
      <c r="BJ94" s="8">
        <v>24722</v>
      </c>
      <c r="BK94" s="8">
        <v>24722</v>
      </c>
      <c r="BL94" s="8">
        <v>24722</v>
      </c>
      <c r="BM94" s="8">
        <v>24722</v>
      </c>
      <c r="BN94" s="8">
        <v>24722</v>
      </c>
      <c r="BO94" s="9">
        <f t="shared" si="61"/>
        <v>24722</v>
      </c>
      <c r="BP94" s="8">
        <v>12364</v>
      </c>
      <c r="BQ94" s="8">
        <v>12364</v>
      </c>
      <c r="BR94" s="8">
        <v>12364</v>
      </c>
      <c r="BS94" s="8">
        <v>12364</v>
      </c>
      <c r="BT94" s="8">
        <v>12364</v>
      </c>
      <c r="BU94" s="8">
        <v>12364</v>
      </c>
      <c r="BV94" s="8">
        <v>12364</v>
      </c>
      <c r="BW94" s="8">
        <v>12364</v>
      </c>
      <c r="BX94" s="8">
        <v>12364</v>
      </c>
      <c r="BY94" s="8">
        <v>12364</v>
      </c>
      <c r="BZ94" s="8">
        <v>12364</v>
      </c>
      <c r="CA94" s="8">
        <v>12364</v>
      </c>
      <c r="CB94" s="9">
        <f t="shared" si="62"/>
        <v>12364</v>
      </c>
      <c r="CC94" s="8">
        <v>12685</v>
      </c>
      <c r="CD94" s="8">
        <v>12685</v>
      </c>
      <c r="CE94" s="8">
        <v>12685</v>
      </c>
      <c r="CF94" s="8">
        <v>12685</v>
      </c>
      <c r="CG94" s="8">
        <v>12685</v>
      </c>
      <c r="CH94" s="8">
        <v>12685</v>
      </c>
      <c r="CI94" s="8">
        <v>12685</v>
      </c>
      <c r="CJ94" s="8">
        <v>12685</v>
      </c>
      <c r="CK94" s="8">
        <v>12685</v>
      </c>
      <c r="CL94" s="8">
        <v>12685</v>
      </c>
      <c r="CM94" s="8">
        <v>12685</v>
      </c>
      <c r="CN94" s="8">
        <v>12685</v>
      </c>
      <c r="CO94" s="9">
        <f t="shared" si="63"/>
        <v>12685</v>
      </c>
      <c r="CP94" s="8">
        <v>8750</v>
      </c>
      <c r="CQ94" s="8">
        <v>8750</v>
      </c>
      <c r="CR94" s="8">
        <v>8750</v>
      </c>
      <c r="CS94" s="8">
        <v>8750</v>
      </c>
      <c r="CT94" s="8">
        <v>8750</v>
      </c>
      <c r="CU94" s="8">
        <v>8750</v>
      </c>
      <c r="CV94" s="8">
        <v>8750</v>
      </c>
      <c r="CW94" s="8">
        <v>8750</v>
      </c>
      <c r="CX94" s="8">
        <v>8750</v>
      </c>
      <c r="CY94" s="8">
        <v>8750</v>
      </c>
      <c r="CZ94" s="8">
        <v>8750</v>
      </c>
      <c r="DA94" s="8">
        <v>8750</v>
      </c>
      <c r="DB94" s="9">
        <f t="shared" si="64"/>
        <v>8750</v>
      </c>
      <c r="DC94" s="8">
        <v>0</v>
      </c>
      <c r="DD94" s="8">
        <v>0</v>
      </c>
      <c r="DE94" s="8">
        <v>0</v>
      </c>
      <c r="DF94" s="8">
        <v>0</v>
      </c>
      <c r="DG94" s="8">
        <v>0</v>
      </c>
      <c r="DH94" s="8">
        <v>0</v>
      </c>
      <c r="DI94" s="8">
        <v>0</v>
      </c>
      <c r="DJ94" s="8">
        <v>0</v>
      </c>
      <c r="DK94" s="8">
        <v>0</v>
      </c>
      <c r="DL94" s="8">
        <v>0</v>
      </c>
      <c r="DM94" s="8">
        <v>0</v>
      </c>
      <c r="DN94" s="8">
        <v>0</v>
      </c>
      <c r="DO94" s="9">
        <f t="shared" si="65"/>
        <v>0</v>
      </c>
      <c r="DP94" s="8">
        <v>0</v>
      </c>
      <c r="DQ94" s="8">
        <v>0</v>
      </c>
      <c r="DR94" s="8">
        <v>0</v>
      </c>
      <c r="DS94" s="8">
        <v>0</v>
      </c>
      <c r="DT94" s="8">
        <v>0</v>
      </c>
      <c r="DU94" s="8">
        <v>0</v>
      </c>
      <c r="DV94" s="8">
        <v>0</v>
      </c>
      <c r="DW94" s="8">
        <v>0</v>
      </c>
      <c r="DX94" s="8">
        <v>0</v>
      </c>
      <c r="DY94" s="8">
        <v>0</v>
      </c>
      <c r="DZ94" s="8">
        <v>0</v>
      </c>
      <c r="EA94" s="8">
        <v>0</v>
      </c>
      <c r="EB94" s="9">
        <f t="shared" si="66"/>
        <v>0</v>
      </c>
      <c r="EC94" s="8">
        <v>0</v>
      </c>
      <c r="ED94" s="8">
        <v>0</v>
      </c>
      <c r="EE94" s="8">
        <v>0</v>
      </c>
      <c r="EF94" s="8">
        <v>0</v>
      </c>
      <c r="EG94" s="8">
        <v>0</v>
      </c>
      <c r="EH94" s="8">
        <v>0</v>
      </c>
      <c r="EI94" s="8">
        <v>0</v>
      </c>
      <c r="EJ94" s="8">
        <v>0</v>
      </c>
      <c r="EK94" s="8">
        <v>0</v>
      </c>
      <c r="EL94" s="8">
        <v>0</v>
      </c>
      <c r="EM94" s="8">
        <v>0</v>
      </c>
      <c r="EN94" s="8">
        <v>0</v>
      </c>
      <c r="EO94" s="9">
        <f t="shared" si="67"/>
        <v>0</v>
      </c>
      <c r="EP94" s="8">
        <v>4168</v>
      </c>
      <c r="EQ94" s="8">
        <v>4168</v>
      </c>
      <c r="ER94" s="8">
        <v>4168</v>
      </c>
      <c r="ES94" s="8">
        <v>4168</v>
      </c>
      <c r="ET94" s="8">
        <v>4168</v>
      </c>
      <c r="EU94" s="8">
        <v>4168</v>
      </c>
      <c r="EV94" s="8">
        <v>4168</v>
      </c>
      <c r="EW94" s="8">
        <v>4168</v>
      </c>
      <c r="EX94" s="8">
        <v>4168</v>
      </c>
      <c r="EY94" s="8">
        <v>4168</v>
      </c>
      <c r="EZ94" s="8">
        <v>4168</v>
      </c>
      <c r="FA94" s="8">
        <v>4168</v>
      </c>
      <c r="FB94" s="9">
        <f t="shared" si="68"/>
        <v>4168</v>
      </c>
      <c r="FC94" s="8">
        <v>10</v>
      </c>
      <c r="FD94" s="8">
        <v>10</v>
      </c>
      <c r="FE94" s="8">
        <v>10</v>
      </c>
      <c r="FF94" s="8">
        <v>10</v>
      </c>
      <c r="FG94" s="8">
        <v>10</v>
      </c>
      <c r="FH94" s="8">
        <v>10</v>
      </c>
      <c r="FI94" s="8">
        <v>10</v>
      </c>
      <c r="FJ94" s="8"/>
      <c r="FK94" s="8"/>
      <c r="FL94" s="8"/>
      <c r="FM94" s="8"/>
      <c r="FN94" s="8"/>
      <c r="FO94" s="9">
        <f t="shared" si="69"/>
        <v>10</v>
      </c>
    </row>
    <row r="95" spans="2:171" ht="14.25" customHeight="1" x14ac:dyDescent="0.3">
      <c r="B95" s="14" t="s">
        <v>68</v>
      </c>
      <c r="C95" s="16">
        <f t="shared" ref="C95:AH95" si="70">SUM(C77:C94)</f>
        <v>4451662</v>
      </c>
      <c r="D95" s="16">
        <f t="shared" si="70"/>
        <v>4451662</v>
      </c>
      <c r="E95" s="16">
        <f t="shared" si="70"/>
        <v>16220442</v>
      </c>
      <c r="F95" s="16">
        <f t="shared" si="70"/>
        <v>16220442</v>
      </c>
      <c r="G95" s="16">
        <f t="shared" si="70"/>
        <v>16220442</v>
      </c>
      <c r="H95" s="16">
        <f t="shared" si="70"/>
        <v>16220442</v>
      </c>
      <c r="I95" s="16">
        <f t="shared" si="70"/>
        <v>16220442</v>
      </c>
      <c r="J95" s="16">
        <f t="shared" si="70"/>
        <v>16220442</v>
      </c>
      <c r="K95" s="16">
        <f t="shared" si="70"/>
        <v>16220442</v>
      </c>
      <c r="L95" s="16">
        <f t="shared" si="70"/>
        <v>16220442</v>
      </c>
      <c r="M95" s="16">
        <f t="shared" si="70"/>
        <v>16220442</v>
      </c>
      <c r="N95" s="16">
        <f t="shared" si="70"/>
        <v>16220442</v>
      </c>
      <c r="O95" s="16">
        <f t="shared" si="70"/>
        <v>16220442</v>
      </c>
      <c r="P95" s="16">
        <f t="shared" si="70"/>
        <v>11921185</v>
      </c>
      <c r="Q95" s="16">
        <f t="shared" si="70"/>
        <v>11921185</v>
      </c>
      <c r="R95" s="16">
        <f t="shared" si="70"/>
        <v>11921185</v>
      </c>
      <c r="S95" s="16">
        <f t="shared" si="70"/>
        <v>11921185</v>
      </c>
      <c r="T95" s="16">
        <f t="shared" si="70"/>
        <v>11921185</v>
      </c>
      <c r="U95" s="16">
        <f t="shared" si="70"/>
        <v>11921185</v>
      </c>
      <c r="V95" s="16">
        <f t="shared" si="70"/>
        <v>11921185</v>
      </c>
      <c r="W95" s="16">
        <f t="shared" si="70"/>
        <v>11921185</v>
      </c>
      <c r="X95" s="16">
        <f t="shared" si="70"/>
        <v>11921185</v>
      </c>
      <c r="Y95" s="16">
        <f t="shared" si="70"/>
        <v>11921185</v>
      </c>
      <c r="Z95" s="16">
        <f t="shared" si="70"/>
        <v>11921185</v>
      </c>
      <c r="AA95" s="16">
        <f t="shared" si="70"/>
        <v>11921185</v>
      </c>
      <c r="AB95" s="16">
        <f t="shared" si="70"/>
        <v>11921185</v>
      </c>
      <c r="AC95" s="16">
        <f t="shared" si="70"/>
        <v>6440512</v>
      </c>
      <c r="AD95" s="16">
        <f t="shared" si="70"/>
        <v>6440512</v>
      </c>
      <c r="AE95" s="16">
        <f t="shared" si="70"/>
        <v>6440512</v>
      </c>
      <c r="AF95" s="16">
        <f t="shared" si="70"/>
        <v>6440512</v>
      </c>
      <c r="AG95" s="16">
        <f t="shared" si="70"/>
        <v>6440512</v>
      </c>
      <c r="AH95" s="16">
        <f t="shared" si="70"/>
        <v>6440512</v>
      </c>
      <c r="AI95" s="16">
        <f t="shared" ref="AI95:BN95" si="71">SUM(AI77:AI94)</f>
        <v>6440512</v>
      </c>
      <c r="AJ95" s="16">
        <f t="shared" si="71"/>
        <v>6440512</v>
      </c>
      <c r="AK95" s="16">
        <f t="shared" si="71"/>
        <v>6440512</v>
      </c>
      <c r="AL95" s="16">
        <f t="shared" si="71"/>
        <v>6440512</v>
      </c>
      <c r="AM95" s="16">
        <f t="shared" si="71"/>
        <v>6440512</v>
      </c>
      <c r="AN95" s="16">
        <f t="shared" si="71"/>
        <v>6440512</v>
      </c>
      <c r="AO95" s="16">
        <f t="shared" si="71"/>
        <v>6440512</v>
      </c>
      <c r="AP95" s="16">
        <f t="shared" si="71"/>
        <v>5615714</v>
      </c>
      <c r="AQ95" s="16">
        <f t="shared" si="71"/>
        <v>5615714</v>
      </c>
      <c r="AR95" s="16">
        <f t="shared" si="71"/>
        <v>5615714</v>
      </c>
      <c r="AS95" s="16">
        <f t="shared" si="71"/>
        <v>5615714</v>
      </c>
      <c r="AT95" s="16">
        <f t="shared" si="71"/>
        <v>5615714</v>
      </c>
      <c r="AU95" s="16">
        <f t="shared" si="71"/>
        <v>5615714</v>
      </c>
      <c r="AV95" s="16">
        <f t="shared" si="71"/>
        <v>5615714</v>
      </c>
      <c r="AW95" s="16">
        <f t="shared" si="71"/>
        <v>5615714</v>
      </c>
      <c r="AX95" s="16">
        <f t="shared" si="71"/>
        <v>5615714</v>
      </c>
      <c r="AY95" s="16">
        <f t="shared" si="71"/>
        <v>5615714</v>
      </c>
      <c r="AZ95" s="16">
        <f t="shared" si="71"/>
        <v>5615714</v>
      </c>
      <c r="BA95" s="16">
        <f t="shared" si="71"/>
        <v>5615714</v>
      </c>
      <c r="BB95" s="16">
        <f t="shared" si="71"/>
        <v>5615714</v>
      </c>
      <c r="BC95" s="16">
        <f t="shared" si="71"/>
        <v>7963057</v>
      </c>
      <c r="BD95" s="16">
        <f t="shared" si="71"/>
        <v>7963057</v>
      </c>
      <c r="BE95" s="16">
        <f t="shared" si="71"/>
        <v>7963057</v>
      </c>
      <c r="BF95" s="16">
        <f t="shared" si="71"/>
        <v>7963057</v>
      </c>
      <c r="BG95" s="16">
        <f t="shared" si="71"/>
        <v>7963057</v>
      </c>
      <c r="BH95" s="16">
        <f t="shared" si="71"/>
        <v>7963057</v>
      </c>
      <c r="BI95" s="16">
        <f t="shared" si="71"/>
        <v>7963057</v>
      </c>
      <c r="BJ95" s="16">
        <f t="shared" si="71"/>
        <v>7963057</v>
      </c>
      <c r="BK95" s="16">
        <f t="shared" si="71"/>
        <v>7963057</v>
      </c>
      <c r="BL95" s="16">
        <f t="shared" si="71"/>
        <v>7963057</v>
      </c>
      <c r="BM95" s="16">
        <f t="shared" si="71"/>
        <v>7963057</v>
      </c>
      <c r="BN95" s="16">
        <f t="shared" si="71"/>
        <v>7963057</v>
      </c>
      <c r="BO95" s="16">
        <f t="shared" ref="BO95:CT95" si="72">SUM(BO77:BO94)</f>
        <v>7963057</v>
      </c>
      <c r="BP95" s="16">
        <f t="shared" si="72"/>
        <v>6134894</v>
      </c>
      <c r="BQ95" s="16">
        <f t="shared" si="72"/>
        <v>6134894</v>
      </c>
      <c r="BR95" s="16">
        <f t="shared" si="72"/>
        <v>6134894</v>
      </c>
      <c r="BS95" s="16">
        <f t="shared" si="72"/>
        <v>6134894</v>
      </c>
      <c r="BT95" s="16">
        <f t="shared" si="72"/>
        <v>6134894</v>
      </c>
      <c r="BU95" s="16">
        <f t="shared" si="72"/>
        <v>6134894</v>
      </c>
      <c r="BV95" s="16">
        <f t="shared" si="72"/>
        <v>6134894</v>
      </c>
      <c r="BW95" s="16">
        <f t="shared" si="72"/>
        <v>6134894</v>
      </c>
      <c r="BX95" s="16">
        <f t="shared" si="72"/>
        <v>6134894</v>
      </c>
      <c r="BY95" s="16">
        <f t="shared" si="72"/>
        <v>6134894</v>
      </c>
      <c r="BZ95" s="16">
        <f t="shared" si="72"/>
        <v>6134894</v>
      </c>
      <c r="CA95" s="16">
        <f t="shared" si="72"/>
        <v>6134894</v>
      </c>
      <c r="CB95" s="16">
        <f t="shared" si="72"/>
        <v>6134894</v>
      </c>
      <c r="CC95" s="16">
        <f t="shared" si="72"/>
        <v>8896359</v>
      </c>
      <c r="CD95" s="16">
        <f t="shared" si="72"/>
        <v>8896359</v>
      </c>
      <c r="CE95" s="16">
        <f t="shared" si="72"/>
        <v>8896359</v>
      </c>
      <c r="CF95" s="16">
        <f t="shared" si="72"/>
        <v>8896359</v>
      </c>
      <c r="CG95" s="16">
        <f t="shared" si="72"/>
        <v>8896359</v>
      </c>
      <c r="CH95" s="16">
        <f t="shared" si="72"/>
        <v>8896359</v>
      </c>
      <c r="CI95" s="16">
        <f t="shared" si="72"/>
        <v>8896359</v>
      </c>
      <c r="CJ95" s="16">
        <f t="shared" si="72"/>
        <v>8896359</v>
      </c>
      <c r="CK95" s="16">
        <f t="shared" si="72"/>
        <v>8896359</v>
      </c>
      <c r="CL95" s="16">
        <f t="shared" si="72"/>
        <v>8896359</v>
      </c>
      <c r="CM95" s="16">
        <f t="shared" si="72"/>
        <v>8896359</v>
      </c>
      <c r="CN95" s="16">
        <f t="shared" si="72"/>
        <v>8896359</v>
      </c>
      <c r="CO95" s="16">
        <f t="shared" si="72"/>
        <v>8896359</v>
      </c>
      <c r="CP95" s="16">
        <f t="shared" si="72"/>
        <v>4157090</v>
      </c>
      <c r="CQ95" s="16">
        <f t="shared" si="72"/>
        <v>4157090</v>
      </c>
      <c r="CR95" s="16">
        <f t="shared" si="72"/>
        <v>4157090</v>
      </c>
      <c r="CS95" s="16">
        <f t="shared" si="72"/>
        <v>4157090</v>
      </c>
      <c r="CT95" s="16">
        <f t="shared" si="72"/>
        <v>4157090</v>
      </c>
      <c r="CU95" s="16">
        <f t="shared" ref="CU95:DZ95" si="73">SUM(CU77:CU94)</f>
        <v>4157090</v>
      </c>
      <c r="CV95" s="16">
        <f t="shared" si="73"/>
        <v>4157090</v>
      </c>
      <c r="CW95" s="16">
        <f t="shared" si="73"/>
        <v>4157090</v>
      </c>
      <c r="CX95" s="16">
        <f t="shared" si="73"/>
        <v>4157090</v>
      </c>
      <c r="CY95" s="16">
        <f t="shared" si="73"/>
        <v>4157090</v>
      </c>
      <c r="CZ95" s="16">
        <f t="shared" si="73"/>
        <v>4157090</v>
      </c>
      <c r="DA95" s="16">
        <f t="shared" si="73"/>
        <v>4157090</v>
      </c>
      <c r="DB95" s="16">
        <f t="shared" si="73"/>
        <v>4157090</v>
      </c>
      <c r="DC95" s="16">
        <f t="shared" si="73"/>
        <v>3710812</v>
      </c>
      <c r="DD95" s="16">
        <f t="shared" si="73"/>
        <v>3710812</v>
      </c>
      <c r="DE95" s="16">
        <f t="shared" si="73"/>
        <v>3710812</v>
      </c>
      <c r="DF95" s="16">
        <f t="shared" si="73"/>
        <v>3710812</v>
      </c>
      <c r="DG95" s="16">
        <f t="shared" si="73"/>
        <v>3710812</v>
      </c>
      <c r="DH95" s="16">
        <f t="shared" si="73"/>
        <v>3710812</v>
      </c>
      <c r="DI95" s="16">
        <f t="shared" si="73"/>
        <v>3710812</v>
      </c>
      <c r="DJ95" s="16">
        <f t="shared" si="73"/>
        <v>3710812</v>
      </c>
      <c r="DK95" s="16">
        <f t="shared" si="73"/>
        <v>3710812</v>
      </c>
      <c r="DL95" s="16">
        <f t="shared" si="73"/>
        <v>3710812</v>
      </c>
      <c r="DM95" s="16">
        <f t="shared" si="73"/>
        <v>3710812</v>
      </c>
      <c r="DN95" s="16">
        <f t="shared" si="73"/>
        <v>3710812</v>
      </c>
      <c r="DO95" s="16">
        <f t="shared" si="73"/>
        <v>3710812</v>
      </c>
      <c r="DP95" s="16">
        <f t="shared" si="73"/>
        <v>30702526</v>
      </c>
      <c r="DQ95" s="16">
        <f t="shared" si="73"/>
        <v>30702526</v>
      </c>
      <c r="DR95" s="16">
        <f t="shared" si="73"/>
        <v>30702526</v>
      </c>
      <c r="DS95" s="16">
        <f t="shared" si="73"/>
        <v>30702526</v>
      </c>
      <c r="DT95" s="16">
        <f t="shared" si="73"/>
        <v>30702526</v>
      </c>
      <c r="DU95" s="16">
        <f t="shared" si="73"/>
        <v>30702526</v>
      </c>
      <c r="DV95" s="16">
        <f t="shared" si="73"/>
        <v>30702526</v>
      </c>
      <c r="DW95" s="16">
        <f t="shared" si="73"/>
        <v>30702526</v>
      </c>
      <c r="DX95" s="16">
        <f t="shared" si="73"/>
        <v>30702526</v>
      </c>
      <c r="DY95" s="16">
        <f t="shared" si="73"/>
        <v>30702526</v>
      </c>
      <c r="DZ95" s="16">
        <f t="shared" si="73"/>
        <v>30702526</v>
      </c>
      <c r="EA95" s="16">
        <f t="shared" ref="EA95:FF95" si="74">SUM(EA77:EA94)</f>
        <v>30702526</v>
      </c>
      <c r="EB95" s="16">
        <f t="shared" si="74"/>
        <v>30702526</v>
      </c>
      <c r="EC95" s="16">
        <f t="shared" si="74"/>
        <v>30674754</v>
      </c>
      <c r="ED95" s="16">
        <f t="shared" si="74"/>
        <v>30674754</v>
      </c>
      <c r="EE95" s="16">
        <f t="shared" si="74"/>
        <v>30674754</v>
      </c>
      <c r="EF95" s="16">
        <f t="shared" si="74"/>
        <v>30674754</v>
      </c>
      <c r="EG95" s="16">
        <f t="shared" si="74"/>
        <v>30674754</v>
      </c>
      <c r="EH95" s="16">
        <f t="shared" si="74"/>
        <v>30674754</v>
      </c>
      <c r="EI95" s="16">
        <f t="shared" si="74"/>
        <v>30674754</v>
      </c>
      <c r="EJ95" s="16">
        <f t="shared" si="74"/>
        <v>30674754</v>
      </c>
      <c r="EK95" s="16">
        <f t="shared" si="74"/>
        <v>30674754</v>
      </c>
      <c r="EL95" s="16">
        <f t="shared" si="74"/>
        <v>30674754</v>
      </c>
      <c r="EM95" s="16">
        <f t="shared" si="74"/>
        <v>30674754</v>
      </c>
      <c r="EN95" s="16">
        <f t="shared" si="74"/>
        <v>30674754</v>
      </c>
      <c r="EO95" s="16">
        <f t="shared" si="74"/>
        <v>30674754</v>
      </c>
      <c r="EP95" s="16">
        <f t="shared" si="74"/>
        <v>4782867</v>
      </c>
      <c r="EQ95" s="16">
        <f t="shared" si="74"/>
        <v>4782867</v>
      </c>
      <c r="ER95" s="16">
        <f t="shared" si="74"/>
        <v>4782867</v>
      </c>
      <c r="ES95" s="16">
        <f t="shared" si="74"/>
        <v>4782867</v>
      </c>
      <c r="ET95" s="16">
        <f t="shared" si="74"/>
        <v>4782867</v>
      </c>
      <c r="EU95" s="16">
        <f t="shared" si="74"/>
        <v>4782867</v>
      </c>
      <c r="EV95" s="16">
        <f t="shared" si="74"/>
        <v>4782867</v>
      </c>
      <c r="EW95" s="16">
        <f t="shared" si="74"/>
        <v>4782867</v>
      </c>
      <c r="EX95" s="16">
        <f t="shared" si="74"/>
        <v>4782867</v>
      </c>
      <c r="EY95" s="16">
        <f t="shared" si="74"/>
        <v>4782867</v>
      </c>
      <c r="EZ95" s="16">
        <f t="shared" si="74"/>
        <v>4782867</v>
      </c>
      <c r="FA95" s="16">
        <f t="shared" si="74"/>
        <v>4782867</v>
      </c>
      <c r="FB95" s="16">
        <f t="shared" si="74"/>
        <v>4782867</v>
      </c>
      <c r="FC95" s="16">
        <f t="shared" si="74"/>
        <v>4182864</v>
      </c>
      <c r="FD95" s="16">
        <f t="shared" si="74"/>
        <v>4182864</v>
      </c>
      <c r="FE95" s="16">
        <f t="shared" si="74"/>
        <v>4182864</v>
      </c>
      <c r="FF95" s="16">
        <f t="shared" si="74"/>
        <v>4182864</v>
      </c>
      <c r="FG95" s="16">
        <f t="shared" ref="FG95:GL95" si="75">SUM(FG77:FG94)</f>
        <v>4182864</v>
      </c>
      <c r="FH95" s="16">
        <f t="shared" si="75"/>
        <v>4182864</v>
      </c>
      <c r="FI95" s="16">
        <f t="shared" si="75"/>
        <v>4182864</v>
      </c>
      <c r="FJ95" s="16">
        <f t="shared" si="75"/>
        <v>0</v>
      </c>
      <c r="FK95" s="16">
        <f t="shared" si="75"/>
        <v>0</v>
      </c>
      <c r="FL95" s="16">
        <f t="shared" si="75"/>
        <v>0</v>
      </c>
      <c r="FM95" s="16">
        <f t="shared" si="75"/>
        <v>0</v>
      </c>
      <c r="FN95" s="16">
        <f t="shared" si="75"/>
        <v>0</v>
      </c>
      <c r="FO95" s="16">
        <f t="shared" si="75"/>
        <v>4182864</v>
      </c>
    </row>
    <row r="96" spans="2:171" ht="14.25" customHeight="1" x14ac:dyDescent="0.3">
      <c r="B96" s="4" t="s">
        <v>69</v>
      </c>
    </row>
    <row r="97" spans="2:171" ht="14.25" customHeight="1" x14ac:dyDescent="0.3">
      <c r="C97" s="33" t="s">
        <v>4</v>
      </c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3" t="s">
        <v>5</v>
      </c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3" t="s">
        <v>6</v>
      </c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3" t="s">
        <v>7</v>
      </c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3" t="s">
        <v>8</v>
      </c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3" t="s">
        <v>9</v>
      </c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3" t="s">
        <v>10</v>
      </c>
      <c r="CD97" s="34"/>
      <c r="CE97" s="34"/>
      <c r="CF97" s="34"/>
      <c r="CG97" s="34"/>
      <c r="CH97" s="34"/>
      <c r="CI97" s="34"/>
      <c r="CJ97" s="34"/>
      <c r="CK97" s="34"/>
      <c r="CL97" s="34"/>
      <c r="CM97" s="34"/>
      <c r="CN97" s="34"/>
      <c r="CO97" s="34"/>
      <c r="CP97" s="33" t="s">
        <v>11</v>
      </c>
      <c r="CQ97" s="34"/>
      <c r="CR97" s="34"/>
      <c r="CS97" s="34"/>
      <c r="CT97" s="34"/>
      <c r="CU97" s="34"/>
      <c r="CV97" s="34"/>
      <c r="CW97" s="34"/>
      <c r="CX97" s="34"/>
      <c r="CY97" s="34"/>
      <c r="CZ97" s="34"/>
      <c r="DA97" s="34"/>
      <c r="DB97" s="34"/>
      <c r="DC97" s="33" t="s">
        <v>12</v>
      </c>
      <c r="DD97" s="34"/>
      <c r="DE97" s="34"/>
      <c r="DF97" s="34"/>
      <c r="DG97" s="34"/>
      <c r="DH97" s="34"/>
      <c r="DI97" s="34"/>
      <c r="DJ97" s="34"/>
      <c r="DK97" s="34"/>
      <c r="DL97" s="34"/>
      <c r="DM97" s="34"/>
      <c r="DN97" s="34"/>
      <c r="DO97" s="34"/>
      <c r="DP97" s="33" t="s">
        <v>13</v>
      </c>
      <c r="DQ97" s="34"/>
      <c r="DR97" s="34"/>
      <c r="DS97" s="34"/>
      <c r="DT97" s="34"/>
      <c r="DU97" s="34"/>
      <c r="DV97" s="34"/>
      <c r="DW97" s="34"/>
      <c r="DX97" s="34"/>
      <c r="DY97" s="34"/>
      <c r="DZ97" s="34"/>
      <c r="EA97" s="34"/>
      <c r="EB97" s="34"/>
      <c r="EC97" s="33" t="s">
        <v>14</v>
      </c>
      <c r="ED97" s="34"/>
      <c r="EE97" s="34"/>
      <c r="EF97" s="34"/>
      <c r="EG97" s="34"/>
      <c r="EH97" s="34"/>
      <c r="EI97" s="34"/>
      <c r="EJ97" s="34"/>
      <c r="EK97" s="34"/>
      <c r="EL97" s="34"/>
      <c r="EM97" s="34"/>
      <c r="EN97" s="34"/>
      <c r="EO97" s="34"/>
      <c r="EP97" s="33" t="s">
        <v>15</v>
      </c>
      <c r="EQ97" s="34"/>
      <c r="ER97" s="34"/>
      <c r="ES97" s="34"/>
      <c r="ET97" s="34"/>
      <c r="EU97" s="34"/>
      <c r="EV97" s="34"/>
      <c r="EW97" s="34"/>
      <c r="EX97" s="34"/>
      <c r="EY97" s="34"/>
      <c r="EZ97" s="34"/>
      <c r="FA97" s="34"/>
      <c r="FB97" s="34"/>
      <c r="FC97" s="33" t="s">
        <v>16</v>
      </c>
      <c r="FD97" s="34"/>
      <c r="FE97" s="34"/>
      <c r="FF97" s="34"/>
      <c r="FG97" s="34"/>
      <c r="FH97" s="34"/>
      <c r="FI97" s="34"/>
      <c r="FJ97" s="34"/>
      <c r="FK97" s="34"/>
      <c r="FL97" s="34"/>
      <c r="FM97" s="34"/>
      <c r="FN97" s="34"/>
      <c r="FO97" s="34"/>
    </row>
    <row r="98" spans="2:171" ht="14.25" customHeight="1" x14ac:dyDescent="0.3">
      <c r="B98" s="5" t="s">
        <v>17</v>
      </c>
      <c r="C98" s="6" t="s">
        <v>18</v>
      </c>
      <c r="D98" s="6" t="s">
        <v>19</v>
      </c>
      <c r="E98" s="6" t="s">
        <v>20</v>
      </c>
      <c r="F98" s="6" t="s">
        <v>21</v>
      </c>
      <c r="G98" s="6" t="s">
        <v>22</v>
      </c>
      <c r="H98" s="6" t="s">
        <v>23</v>
      </c>
      <c r="I98" s="6" t="s">
        <v>24</v>
      </c>
      <c r="J98" s="6" t="s">
        <v>25</v>
      </c>
      <c r="K98" s="6" t="s">
        <v>26</v>
      </c>
      <c r="L98" s="6" t="s">
        <v>27</v>
      </c>
      <c r="M98" s="6" t="s">
        <v>28</v>
      </c>
      <c r="N98" s="6" t="s">
        <v>29</v>
      </c>
      <c r="O98" s="6" t="s">
        <v>30</v>
      </c>
      <c r="P98" s="6" t="s">
        <v>18</v>
      </c>
      <c r="Q98" s="6" t="s">
        <v>19</v>
      </c>
      <c r="R98" s="6" t="s">
        <v>20</v>
      </c>
      <c r="S98" s="6" t="s">
        <v>21</v>
      </c>
      <c r="T98" s="6" t="s">
        <v>22</v>
      </c>
      <c r="U98" s="6" t="s">
        <v>23</v>
      </c>
      <c r="V98" s="6" t="s">
        <v>24</v>
      </c>
      <c r="W98" s="6" t="s">
        <v>25</v>
      </c>
      <c r="X98" s="6" t="s">
        <v>26</v>
      </c>
      <c r="Y98" s="6" t="s">
        <v>27</v>
      </c>
      <c r="Z98" s="6" t="s">
        <v>28</v>
      </c>
      <c r="AA98" s="6" t="s">
        <v>29</v>
      </c>
      <c r="AB98" s="6" t="s">
        <v>31</v>
      </c>
      <c r="AC98" s="6" t="s">
        <v>18</v>
      </c>
      <c r="AD98" s="6" t="s">
        <v>19</v>
      </c>
      <c r="AE98" s="6" t="s">
        <v>20</v>
      </c>
      <c r="AF98" s="6" t="s">
        <v>21</v>
      </c>
      <c r="AG98" s="6" t="s">
        <v>22</v>
      </c>
      <c r="AH98" s="6" t="s">
        <v>23</v>
      </c>
      <c r="AI98" s="6" t="s">
        <v>24</v>
      </c>
      <c r="AJ98" s="6" t="s">
        <v>25</v>
      </c>
      <c r="AK98" s="6" t="s">
        <v>26</v>
      </c>
      <c r="AL98" s="6" t="s">
        <v>27</v>
      </c>
      <c r="AM98" s="6" t="s">
        <v>28</v>
      </c>
      <c r="AN98" s="6" t="s">
        <v>29</v>
      </c>
      <c r="AO98" s="6" t="s">
        <v>32</v>
      </c>
      <c r="AP98" s="6" t="s">
        <v>18</v>
      </c>
      <c r="AQ98" s="6" t="s">
        <v>19</v>
      </c>
      <c r="AR98" s="6" t="s">
        <v>20</v>
      </c>
      <c r="AS98" s="6" t="s">
        <v>21</v>
      </c>
      <c r="AT98" s="6" t="s">
        <v>22</v>
      </c>
      <c r="AU98" s="6" t="s">
        <v>23</v>
      </c>
      <c r="AV98" s="6" t="s">
        <v>24</v>
      </c>
      <c r="AW98" s="6" t="s">
        <v>25</v>
      </c>
      <c r="AX98" s="6" t="s">
        <v>26</v>
      </c>
      <c r="AY98" s="6" t="s">
        <v>27</v>
      </c>
      <c r="AZ98" s="6" t="s">
        <v>28</v>
      </c>
      <c r="BA98" s="6" t="s">
        <v>29</v>
      </c>
      <c r="BB98" s="6" t="s">
        <v>33</v>
      </c>
      <c r="BC98" s="6" t="s">
        <v>18</v>
      </c>
      <c r="BD98" s="6" t="s">
        <v>19</v>
      </c>
      <c r="BE98" s="6" t="s">
        <v>20</v>
      </c>
      <c r="BF98" s="6" t="s">
        <v>21</v>
      </c>
      <c r="BG98" s="6" t="s">
        <v>22</v>
      </c>
      <c r="BH98" s="6" t="s">
        <v>23</v>
      </c>
      <c r="BI98" s="6" t="s">
        <v>24</v>
      </c>
      <c r="BJ98" s="6" t="s">
        <v>25</v>
      </c>
      <c r="BK98" s="6" t="s">
        <v>26</v>
      </c>
      <c r="BL98" s="6" t="s">
        <v>27</v>
      </c>
      <c r="BM98" s="6" t="s">
        <v>28</v>
      </c>
      <c r="BN98" s="6" t="s">
        <v>29</v>
      </c>
      <c r="BO98" s="6" t="s">
        <v>34</v>
      </c>
      <c r="BP98" s="6" t="s">
        <v>18</v>
      </c>
      <c r="BQ98" s="6" t="s">
        <v>19</v>
      </c>
      <c r="BR98" s="6" t="s">
        <v>20</v>
      </c>
      <c r="BS98" s="6" t="s">
        <v>21</v>
      </c>
      <c r="BT98" s="6" t="s">
        <v>22</v>
      </c>
      <c r="BU98" s="6" t="s">
        <v>23</v>
      </c>
      <c r="BV98" s="6" t="s">
        <v>24</v>
      </c>
      <c r="BW98" s="6" t="s">
        <v>25</v>
      </c>
      <c r="BX98" s="6" t="s">
        <v>26</v>
      </c>
      <c r="BY98" s="6" t="s">
        <v>27</v>
      </c>
      <c r="BZ98" s="6" t="s">
        <v>28</v>
      </c>
      <c r="CA98" s="6" t="s">
        <v>29</v>
      </c>
      <c r="CB98" s="6" t="s">
        <v>35</v>
      </c>
      <c r="CC98" s="6" t="s">
        <v>18</v>
      </c>
      <c r="CD98" s="6" t="s">
        <v>19</v>
      </c>
      <c r="CE98" s="6" t="s">
        <v>20</v>
      </c>
      <c r="CF98" s="6" t="s">
        <v>21</v>
      </c>
      <c r="CG98" s="6" t="s">
        <v>22</v>
      </c>
      <c r="CH98" s="6" t="s">
        <v>23</v>
      </c>
      <c r="CI98" s="6" t="s">
        <v>24</v>
      </c>
      <c r="CJ98" s="6" t="s">
        <v>25</v>
      </c>
      <c r="CK98" s="6" t="s">
        <v>26</v>
      </c>
      <c r="CL98" s="6" t="s">
        <v>27</v>
      </c>
      <c r="CM98" s="6" t="s">
        <v>28</v>
      </c>
      <c r="CN98" s="6" t="s">
        <v>29</v>
      </c>
      <c r="CO98" s="6" t="s">
        <v>36</v>
      </c>
      <c r="CP98" s="6" t="s">
        <v>18</v>
      </c>
      <c r="CQ98" s="6" t="s">
        <v>19</v>
      </c>
      <c r="CR98" s="6" t="s">
        <v>20</v>
      </c>
      <c r="CS98" s="6" t="s">
        <v>21</v>
      </c>
      <c r="CT98" s="6" t="s">
        <v>22</v>
      </c>
      <c r="CU98" s="6" t="s">
        <v>23</v>
      </c>
      <c r="CV98" s="6" t="s">
        <v>24</v>
      </c>
      <c r="CW98" s="6" t="s">
        <v>25</v>
      </c>
      <c r="CX98" s="6" t="s">
        <v>26</v>
      </c>
      <c r="CY98" s="6" t="s">
        <v>27</v>
      </c>
      <c r="CZ98" s="6" t="s">
        <v>28</v>
      </c>
      <c r="DA98" s="6" t="s">
        <v>29</v>
      </c>
      <c r="DB98" s="6" t="s">
        <v>37</v>
      </c>
      <c r="DC98" s="6" t="s">
        <v>18</v>
      </c>
      <c r="DD98" s="6" t="s">
        <v>19</v>
      </c>
      <c r="DE98" s="6" t="s">
        <v>20</v>
      </c>
      <c r="DF98" s="6" t="s">
        <v>21</v>
      </c>
      <c r="DG98" s="6" t="s">
        <v>22</v>
      </c>
      <c r="DH98" s="6" t="s">
        <v>23</v>
      </c>
      <c r="DI98" s="6" t="s">
        <v>24</v>
      </c>
      <c r="DJ98" s="6" t="s">
        <v>25</v>
      </c>
      <c r="DK98" s="6" t="s">
        <v>26</v>
      </c>
      <c r="DL98" s="6" t="s">
        <v>27</v>
      </c>
      <c r="DM98" s="6" t="s">
        <v>28</v>
      </c>
      <c r="DN98" s="6" t="s">
        <v>29</v>
      </c>
      <c r="DO98" s="6" t="s">
        <v>38</v>
      </c>
      <c r="DP98" s="6" t="s">
        <v>18</v>
      </c>
      <c r="DQ98" s="6" t="s">
        <v>19</v>
      </c>
      <c r="DR98" s="6" t="s">
        <v>20</v>
      </c>
      <c r="DS98" s="6" t="s">
        <v>21</v>
      </c>
      <c r="DT98" s="6" t="s">
        <v>22</v>
      </c>
      <c r="DU98" s="6" t="s">
        <v>23</v>
      </c>
      <c r="DV98" s="6" t="s">
        <v>24</v>
      </c>
      <c r="DW98" s="6" t="s">
        <v>25</v>
      </c>
      <c r="DX98" s="6" t="s">
        <v>26</v>
      </c>
      <c r="DY98" s="6" t="s">
        <v>27</v>
      </c>
      <c r="DZ98" s="6" t="s">
        <v>28</v>
      </c>
      <c r="EA98" s="6" t="s">
        <v>29</v>
      </c>
      <c r="EB98" s="6" t="s">
        <v>39</v>
      </c>
      <c r="EC98" s="6" t="s">
        <v>18</v>
      </c>
      <c r="ED98" s="6" t="s">
        <v>19</v>
      </c>
      <c r="EE98" s="6" t="s">
        <v>20</v>
      </c>
      <c r="EF98" s="6" t="s">
        <v>21</v>
      </c>
      <c r="EG98" s="6" t="s">
        <v>22</v>
      </c>
      <c r="EH98" s="6" t="s">
        <v>23</v>
      </c>
      <c r="EI98" s="6" t="s">
        <v>24</v>
      </c>
      <c r="EJ98" s="6" t="s">
        <v>25</v>
      </c>
      <c r="EK98" s="6" t="s">
        <v>26</v>
      </c>
      <c r="EL98" s="6" t="s">
        <v>27</v>
      </c>
      <c r="EM98" s="6" t="s">
        <v>28</v>
      </c>
      <c r="EN98" s="6" t="s">
        <v>29</v>
      </c>
      <c r="EO98" s="6" t="s">
        <v>40</v>
      </c>
      <c r="EP98" s="6" t="s">
        <v>18</v>
      </c>
      <c r="EQ98" s="6" t="s">
        <v>19</v>
      </c>
      <c r="ER98" s="6" t="s">
        <v>20</v>
      </c>
      <c r="ES98" s="6" t="s">
        <v>21</v>
      </c>
      <c r="ET98" s="6" t="s">
        <v>22</v>
      </c>
      <c r="EU98" s="6" t="s">
        <v>23</v>
      </c>
      <c r="EV98" s="6" t="s">
        <v>24</v>
      </c>
      <c r="EW98" s="6" t="s">
        <v>25</v>
      </c>
      <c r="EX98" s="6" t="s">
        <v>26</v>
      </c>
      <c r="EY98" s="6" t="s">
        <v>27</v>
      </c>
      <c r="EZ98" s="6" t="s">
        <v>28</v>
      </c>
      <c r="FA98" s="6" t="s">
        <v>29</v>
      </c>
      <c r="FB98" s="6" t="s">
        <v>41</v>
      </c>
      <c r="FC98" s="6" t="s">
        <v>18</v>
      </c>
      <c r="FD98" s="6" t="s">
        <v>19</v>
      </c>
      <c r="FE98" s="6" t="s">
        <v>20</v>
      </c>
      <c r="FF98" s="6" t="s">
        <v>21</v>
      </c>
      <c r="FG98" s="6" t="s">
        <v>22</v>
      </c>
      <c r="FH98" s="6" t="s">
        <v>23</v>
      </c>
      <c r="FI98" s="6" t="s">
        <v>24</v>
      </c>
      <c r="FJ98" s="6" t="s">
        <v>25</v>
      </c>
      <c r="FK98" s="6" t="s">
        <v>26</v>
      </c>
      <c r="FL98" s="6" t="s">
        <v>27</v>
      </c>
      <c r="FM98" s="6" t="s">
        <v>28</v>
      </c>
      <c r="FN98" s="6" t="s">
        <v>29</v>
      </c>
      <c r="FO98" s="6" t="s">
        <v>42</v>
      </c>
    </row>
    <row r="99" spans="2:171" ht="14.25" customHeight="1" x14ac:dyDescent="0.3">
      <c r="B99" s="7" t="s">
        <v>43</v>
      </c>
      <c r="C99" s="8">
        <v>4128812</v>
      </c>
      <c r="D99" s="8">
        <v>4128812</v>
      </c>
      <c r="E99" s="8">
        <v>15897592</v>
      </c>
      <c r="F99" s="8">
        <v>15897592</v>
      </c>
      <c r="G99" s="8">
        <v>15897592</v>
      </c>
      <c r="H99" s="8">
        <v>15891592</v>
      </c>
      <c r="I99" s="8">
        <v>15891592</v>
      </c>
      <c r="J99" s="8">
        <v>15765687</v>
      </c>
      <c r="K99" s="8">
        <v>4289447</v>
      </c>
      <c r="L99" s="8">
        <v>4289447</v>
      </c>
      <c r="M99" s="8">
        <v>4752812</v>
      </c>
      <c r="N99" s="8">
        <v>4752812</v>
      </c>
      <c r="O99" s="9">
        <f t="shared" ref="O99:O116" si="76">N99</f>
        <v>4752812</v>
      </c>
      <c r="P99" s="8">
        <v>4693552</v>
      </c>
      <c r="Q99" s="8">
        <v>4693552</v>
      </c>
      <c r="R99" s="8">
        <v>4693552</v>
      </c>
      <c r="S99" s="8">
        <v>4693552</v>
      </c>
      <c r="T99" s="8">
        <v>4693552</v>
      </c>
      <c r="U99" s="8">
        <v>4693552</v>
      </c>
      <c r="V99" s="8">
        <v>4693552</v>
      </c>
      <c r="W99" s="8">
        <v>4702608</v>
      </c>
      <c r="X99" s="8">
        <v>4702608</v>
      </c>
      <c r="Y99" s="8">
        <v>4702608</v>
      </c>
      <c r="Z99" s="8">
        <v>4702608</v>
      </c>
      <c r="AA99" s="8">
        <v>4702608</v>
      </c>
      <c r="AB99" s="9">
        <f t="shared" ref="AB99:AB116" si="77">AA99</f>
        <v>4702608</v>
      </c>
      <c r="AC99" s="8">
        <v>3911026</v>
      </c>
      <c r="AD99" s="8">
        <v>3911026</v>
      </c>
      <c r="AE99" s="8">
        <v>3911026</v>
      </c>
      <c r="AF99" s="8">
        <v>3801216</v>
      </c>
      <c r="AG99" s="8">
        <v>3801216</v>
      </c>
      <c r="AH99" s="8">
        <v>3756148</v>
      </c>
      <c r="AI99" s="8">
        <v>3756148</v>
      </c>
      <c r="AJ99" s="8">
        <v>3756148</v>
      </c>
      <c r="AK99" s="8">
        <v>3771148</v>
      </c>
      <c r="AL99" s="8">
        <v>3871148</v>
      </c>
      <c r="AM99" s="8">
        <v>3871148</v>
      </c>
      <c r="AN99" s="8">
        <v>3871148</v>
      </c>
      <c r="AO99" s="9">
        <f t="shared" ref="AO99:AO116" si="78">AN99</f>
        <v>3871148</v>
      </c>
      <c r="AP99" s="8">
        <v>4389807</v>
      </c>
      <c r="AQ99" s="8">
        <v>4389807</v>
      </c>
      <c r="AR99" s="8">
        <v>4389807</v>
      </c>
      <c r="AS99" s="8">
        <v>4389807</v>
      </c>
      <c r="AT99" s="8">
        <v>4377222</v>
      </c>
      <c r="AU99" s="8">
        <v>4377222</v>
      </c>
      <c r="AV99" s="8">
        <v>4377222</v>
      </c>
      <c r="AW99" s="8">
        <v>4350459</v>
      </c>
      <c r="AX99" s="8">
        <v>4353459</v>
      </c>
      <c r="AY99" s="8">
        <v>4353459</v>
      </c>
      <c r="AZ99" s="8">
        <v>4353459</v>
      </c>
      <c r="BA99" s="8">
        <v>4352479</v>
      </c>
      <c r="BB99" s="9">
        <f t="shared" ref="BB99:BB116" si="79">BA99</f>
        <v>4352479</v>
      </c>
      <c r="BC99" s="8">
        <v>4513827</v>
      </c>
      <c r="BD99" s="8">
        <v>4513827</v>
      </c>
      <c r="BE99" s="8">
        <v>4513827</v>
      </c>
      <c r="BF99" s="8">
        <v>4513827</v>
      </c>
      <c r="BG99" s="8">
        <v>4513827</v>
      </c>
      <c r="BH99" s="8">
        <v>4513827</v>
      </c>
      <c r="BI99" s="8">
        <v>3946764</v>
      </c>
      <c r="BJ99" s="8">
        <v>3946764</v>
      </c>
      <c r="BK99" s="8">
        <v>3946764</v>
      </c>
      <c r="BL99" s="8">
        <v>3946764</v>
      </c>
      <c r="BM99" s="8">
        <v>3977035</v>
      </c>
      <c r="BN99" s="8">
        <v>3977035</v>
      </c>
      <c r="BO99" s="9">
        <f t="shared" ref="BO99:BO116" si="80">BN99</f>
        <v>3977035</v>
      </c>
      <c r="BP99" s="8">
        <v>4195666</v>
      </c>
      <c r="BQ99" s="8">
        <v>4195666</v>
      </c>
      <c r="BR99" s="8">
        <v>4195666</v>
      </c>
      <c r="BS99" s="8">
        <v>4195666</v>
      </c>
      <c r="BT99" s="8">
        <v>4195666</v>
      </c>
      <c r="BU99" s="8">
        <v>4195666</v>
      </c>
      <c r="BV99" s="8">
        <v>4195666</v>
      </c>
      <c r="BW99" s="8">
        <v>4195666</v>
      </c>
      <c r="BX99" s="8">
        <v>4195666</v>
      </c>
      <c r="BY99" s="8">
        <v>4195666</v>
      </c>
      <c r="BZ99" s="8">
        <v>4195666</v>
      </c>
      <c r="CA99" s="8">
        <v>4202266</v>
      </c>
      <c r="CB99" s="9">
        <f t="shared" ref="CB99:CB116" si="81">CA99</f>
        <v>4202266</v>
      </c>
      <c r="CC99" s="8">
        <v>4783688</v>
      </c>
      <c r="CD99" s="8">
        <v>4783688</v>
      </c>
      <c r="CE99" s="8">
        <v>4783688</v>
      </c>
      <c r="CF99" s="8">
        <v>4101143</v>
      </c>
      <c r="CG99" s="8">
        <v>3490652</v>
      </c>
      <c r="CH99" s="8">
        <v>3490652</v>
      </c>
      <c r="CI99" s="8">
        <v>3490652</v>
      </c>
      <c r="CJ99" s="8">
        <v>3490652</v>
      </c>
      <c r="CK99" s="8">
        <v>3490652</v>
      </c>
      <c r="CL99" s="8">
        <v>3490652</v>
      </c>
      <c r="CM99" s="8">
        <v>3532198</v>
      </c>
      <c r="CN99" s="8">
        <v>2924379</v>
      </c>
      <c r="CO99" s="9">
        <f t="shared" ref="CO99:CO116" si="82">CN99</f>
        <v>2924379</v>
      </c>
      <c r="CP99" s="8">
        <v>3949109</v>
      </c>
      <c r="CQ99" s="8">
        <v>3949109</v>
      </c>
      <c r="CR99" s="8">
        <v>3949109</v>
      </c>
      <c r="CS99" s="8">
        <v>3949109</v>
      </c>
      <c r="CT99" s="8">
        <v>3949109</v>
      </c>
      <c r="CU99" s="8">
        <v>3938465</v>
      </c>
      <c r="CV99" s="8">
        <v>3938465</v>
      </c>
      <c r="CW99" s="8">
        <v>3938465</v>
      </c>
      <c r="CX99" s="8">
        <v>3938465</v>
      </c>
      <c r="CY99" s="8">
        <v>3938465</v>
      </c>
      <c r="CZ99" s="8">
        <v>3928965</v>
      </c>
      <c r="DA99" s="8">
        <v>3199280</v>
      </c>
      <c r="DB99" s="9">
        <f t="shared" ref="DB99:DB116" si="83">DA99</f>
        <v>3199280</v>
      </c>
      <c r="DC99" s="8">
        <v>3677484</v>
      </c>
      <c r="DD99" s="8">
        <v>3677484</v>
      </c>
      <c r="DE99" s="8">
        <v>3677484</v>
      </c>
      <c r="DF99" s="8">
        <v>3677484</v>
      </c>
      <c r="DG99" s="8">
        <v>3771152</v>
      </c>
      <c r="DH99" s="8">
        <v>3841152</v>
      </c>
      <c r="DI99" s="8">
        <v>3841152</v>
      </c>
      <c r="DJ99" s="8">
        <v>3841152</v>
      </c>
      <c r="DK99" s="8">
        <v>3841152</v>
      </c>
      <c r="DL99" s="8">
        <v>3928152</v>
      </c>
      <c r="DM99" s="8">
        <v>3928152</v>
      </c>
      <c r="DN99" s="8">
        <v>3784939</v>
      </c>
      <c r="DO99" s="9">
        <f t="shared" ref="DO99:DO116" si="84">DN99</f>
        <v>3784939</v>
      </c>
      <c r="DP99" s="8">
        <v>4127526</v>
      </c>
      <c r="DQ99" s="8">
        <v>4127526</v>
      </c>
      <c r="DR99" s="8">
        <v>4127526</v>
      </c>
      <c r="DS99" s="8">
        <v>4127526</v>
      </c>
      <c r="DT99" s="8">
        <v>4127526</v>
      </c>
      <c r="DU99" s="8">
        <v>4127526</v>
      </c>
      <c r="DV99" s="8">
        <v>4127526</v>
      </c>
      <c r="DW99" s="8">
        <v>4127526</v>
      </c>
      <c r="DX99" s="8">
        <v>4127526</v>
      </c>
      <c r="DY99" s="8">
        <v>4127526</v>
      </c>
      <c r="DZ99" s="8">
        <v>4127526</v>
      </c>
      <c r="EA99" s="8">
        <v>3999809</v>
      </c>
      <c r="EB99" s="9">
        <f t="shared" ref="EB99:EB116" si="85">EA99</f>
        <v>3999809</v>
      </c>
      <c r="EC99" s="8">
        <v>30674754</v>
      </c>
      <c r="ED99" s="8">
        <v>30674754</v>
      </c>
      <c r="EE99" s="8">
        <v>30674754</v>
      </c>
      <c r="EF99" s="8">
        <v>30674754</v>
      </c>
      <c r="EG99" s="8">
        <v>30710139</v>
      </c>
      <c r="EH99" s="8">
        <v>27678180</v>
      </c>
      <c r="EI99" s="8">
        <v>27678180</v>
      </c>
      <c r="EJ99" s="8">
        <v>27678180</v>
      </c>
      <c r="EK99" s="8">
        <v>27678180</v>
      </c>
      <c r="EL99" s="8">
        <v>27641880</v>
      </c>
      <c r="EM99" s="8">
        <v>3168714</v>
      </c>
      <c r="EN99" s="8">
        <v>3168714</v>
      </c>
      <c r="EO99" s="9">
        <f t="shared" ref="EO99:EO116" si="86">EN99</f>
        <v>3168714</v>
      </c>
      <c r="EP99" s="8">
        <v>4435821</v>
      </c>
      <c r="EQ99" s="8">
        <v>4435821</v>
      </c>
      <c r="ER99" s="8">
        <v>4435821</v>
      </c>
      <c r="ES99" s="8">
        <v>4435821</v>
      </c>
      <c r="ET99" s="8">
        <v>4435821</v>
      </c>
      <c r="EU99" s="8">
        <v>4435821</v>
      </c>
      <c r="EV99" s="8">
        <v>4435821</v>
      </c>
      <c r="EW99" s="8">
        <v>4435821</v>
      </c>
      <c r="EX99" s="8">
        <v>4435821</v>
      </c>
      <c r="EY99" s="8">
        <v>4435821</v>
      </c>
      <c r="EZ99" s="8">
        <v>4435821</v>
      </c>
      <c r="FA99" s="8">
        <v>4435821</v>
      </c>
      <c r="FB99" s="9">
        <f t="shared" ref="FB99:FB116" si="87">FA99</f>
        <v>4435821</v>
      </c>
      <c r="FC99" s="8">
        <v>4182704</v>
      </c>
      <c r="FD99" s="8">
        <v>4182704</v>
      </c>
      <c r="FE99" s="8">
        <v>4182704</v>
      </c>
      <c r="FF99" s="8">
        <v>4182704</v>
      </c>
      <c r="FG99" s="8">
        <v>4182704</v>
      </c>
      <c r="FH99" s="8">
        <v>4182704</v>
      </c>
      <c r="FI99" s="8">
        <v>4182704</v>
      </c>
      <c r="FJ99" s="8"/>
      <c r="FK99" s="8"/>
      <c r="FL99" s="8"/>
      <c r="FM99" s="8"/>
      <c r="FN99" s="8"/>
      <c r="FO99" s="9">
        <f t="shared" ref="FO99:FO116" si="88">FI99</f>
        <v>4182704</v>
      </c>
    </row>
    <row r="100" spans="2:171" ht="14.25" customHeight="1" x14ac:dyDescent="0.3">
      <c r="B100" s="7" t="s">
        <v>44</v>
      </c>
      <c r="C100" s="8">
        <v>54576</v>
      </c>
      <c r="D100" s="8">
        <v>54576</v>
      </c>
      <c r="E100" s="8">
        <v>54576</v>
      </c>
      <c r="F100" s="8">
        <v>54576</v>
      </c>
      <c r="G100" s="8">
        <v>54576</v>
      </c>
      <c r="H100" s="8">
        <v>54576</v>
      </c>
      <c r="I100" s="8">
        <v>54576</v>
      </c>
      <c r="J100" s="8">
        <v>54576</v>
      </c>
      <c r="K100" s="8">
        <v>54576</v>
      </c>
      <c r="L100" s="8">
        <v>54576</v>
      </c>
      <c r="M100" s="8">
        <v>54576</v>
      </c>
      <c r="N100" s="8">
        <v>54576</v>
      </c>
      <c r="O100" s="9">
        <f t="shared" si="76"/>
        <v>54576</v>
      </c>
      <c r="P100" s="8">
        <v>56213</v>
      </c>
      <c r="Q100" s="8">
        <v>56213</v>
      </c>
      <c r="R100" s="8">
        <v>56213</v>
      </c>
      <c r="S100" s="8">
        <v>56213</v>
      </c>
      <c r="T100" s="8">
        <v>116213</v>
      </c>
      <c r="U100" s="8">
        <v>116213</v>
      </c>
      <c r="V100" s="8">
        <v>116213</v>
      </c>
      <c r="W100" s="8">
        <v>116213</v>
      </c>
      <c r="X100" s="8">
        <v>116213</v>
      </c>
      <c r="Y100" s="8">
        <v>116213</v>
      </c>
      <c r="Z100" s="8">
        <v>116213</v>
      </c>
      <c r="AA100" s="8">
        <v>116213</v>
      </c>
      <c r="AB100" s="9">
        <f t="shared" si="77"/>
        <v>116213</v>
      </c>
      <c r="AC100" s="8">
        <v>58349</v>
      </c>
      <c r="AD100" s="8">
        <v>58349</v>
      </c>
      <c r="AE100" s="8">
        <v>58349</v>
      </c>
      <c r="AF100" s="8">
        <v>58349</v>
      </c>
      <c r="AG100" s="8">
        <v>58349</v>
      </c>
      <c r="AH100" s="8">
        <v>58349</v>
      </c>
      <c r="AI100" s="8">
        <v>58349</v>
      </c>
      <c r="AJ100" s="8">
        <v>58349</v>
      </c>
      <c r="AK100" s="8">
        <v>58349</v>
      </c>
      <c r="AL100" s="8">
        <v>58349</v>
      </c>
      <c r="AM100" s="8">
        <v>58349</v>
      </c>
      <c r="AN100" s="8">
        <v>58349</v>
      </c>
      <c r="AO100" s="9">
        <f t="shared" si="78"/>
        <v>58349</v>
      </c>
      <c r="AP100" s="8">
        <v>64890</v>
      </c>
      <c r="AQ100" s="8">
        <v>64890</v>
      </c>
      <c r="AR100" s="8">
        <v>64890</v>
      </c>
      <c r="AS100" s="8">
        <v>64890</v>
      </c>
      <c r="AT100" s="8">
        <v>64890</v>
      </c>
      <c r="AU100" s="8">
        <v>64890</v>
      </c>
      <c r="AV100" s="8">
        <v>64890</v>
      </c>
      <c r="AW100" s="8">
        <v>78955</v>
      </c>
      <c r="AX100" s="8">
        <v>78955</v>
      </c>
      <c r="AY100" s="8">
        <v>78955</v>
      </c>
      <c r="AZ100" s="8">
        <v>78955</v>
      </c>
      <c r="BA100" s="8">
        <v>78955</v>
      </c>
      <c r="BB100" s="9">
        <f t="shared" si="79"/>
        <v>78955</v>
      </c>
      <c r="BC100" s="8">
        <v>104652</v>
      </c>
      <c r="BD100" s="8">
        <v>104652</v>
      </c>
      <c r="BE100" s="8">
        <v>104652</v>
      </c>
      <c r="BF100" s="8">
        <v>104652</v>
      </c>
      <c r="BG100" s="8">
        <v>104652</v>
      </c>
      <c r="BH100" s="8">
        <v>104652</v>
      </c>
      <c r="BI100" s="8">
        <v>90187</v>
      </c>
      <c r="BJ100" s="8">
        <v>90187</v>
      </c>
      <c r="BK100" s="8">
        <v>90187</v>
      </c>
      <c r="BL100" s="8">
        <v>90187</v>
      </c>
      <c r="BM100" s="8">
        <v>90187</v>
      </c>
      <c r="BN100" s="8">
        <v>90187</v>
      </c>
      <c r="BO100" s="9">
        <f t="shared" si="80"/>
        <v>90187</v>
      </c>
      <c r="BP100" s="8">
        <v>141261</v>
      </c>
      <c r="BQ100" s="8">
        <v>141261</v>
      </c>
      <c r="BR100" s="8">
        <v>141261</v>
      </c>
      <c r="BS100" s="8">
        <v>141261</v>
      </c>
      <c r="BT100" s="8">
        <v>141261</v>
      </c>
      <c r="BU100" s="8">
        <v>141261</v>
      </c>
      <c r="BV100" s="8">
        <v>141261</v>
      </c>
      <c r="BW100" s="8">
        <v>141261</v>
      </c>
      <c r="BX100" s="8">
        <v>141261</v>
      </c>
      <c r="BY100" s="8">
        <v>141261</v>
      </c>
      <c r="BZ100" s="8">
        <v>141261</v>
      </c>
      <c r="CA100" s="8">
        <v>141261</v>
      </c>
      <c r="CB100" s="9">
        <f t="shared" si="81"/>
        <v>141261</v>
      </c>
      <c r="CC100" s="8">
        <v>144934</v>
      </c>
      <c r="CD100" s="8">
        <v>144934</v>
      </c>
      <c r="CE100" s="8">
        <v>144934</v>
      </c>
      <c r="CF100" s="8">
        <v>132217</v>
      </c>
      <c r="CG100" s="8">
        <v>68090</v>
      </c>
      <c r="CH100" s="8">
        <v>68090</v>
      </c>
      <c r="CI100" s="8">
        <v>68090</v>
      </c>
      <c r="CJ100" s="8">
        <v>68090</v>
      </c>
      <c r="CK100" s="8">
        <v>68090</v>
      </c>
      <c r="CL100" s="8">
        <v>68090</v>
      </c>
      <c r="CM100" s="8">
        <v>144934</v>
      </c>
      <c r="CN100" s="8">
        <v>144934</v>
      </c>
      <c r="CO100" s="9">
        <f t="shared" si="82"/>
        <v>144934</v>
      </c>
      <c r="CP100" s="8">
        <v>71111</v>
      </c>
      <c r="CQ100" s="8">
        <v>71111</v>
      </c>
      <c r="CR100" s="8">
        <v>71111</v>
      </c>
      <c r="CS100" s="8">
        <v>71111</v>
      </c>
      <c r="CT100" s="8">
        <v>71111</v>
      </c>
      <c r="CU100" s="8">
        <v>71111</v>
      </c>
      <c r="CV100" s="8">
        <v>71111</v>
      </c>
      <c r="CW100" s="8">
        <v>71111</v>
      </c>
      <c r="CX100" s="8">
        <v>71111</v>
      </c>
      <c r="CY100" s="8">
        <v>71111</v>
      </c>
      <c r="CZ100" s="8">
        <v>80111</v>
      </c>
      <c r="DA100" s="8">
        <v>80111</v>
      </c>
      <c r="DB100" s="9">
        <f t="shared" si="83"/>
        <v>80111</v>
      </c>
      <c r="DC100" s="8">
        <v>33328</v>
      </c>
      <c r="DD100" s="8">
        <v>33328</v>
      </c>
      <c r="DE100" s="8">
        <v>33328</v>
      </c>
      <c r="DF100" s="8">
        <v>33328</v>
      </c>
      <c r="DG100" s="8">
        <v>33328</v>
      </c>
      <c r="DH100" s="8">
        <v>33328</v>
      </c>
      <c r="DI100" s="8">
        <v>33328</v>
      </c>
      <c r="DJ100" s="8">
        <v>33328</v>
      </c>
      <c r="DK100" s="8">
        <v>33328</v>
      </c>
      <c r="DL100" s="8">
        <v>33328</v>
      </c>
      <c r="DM100" s="8">
        <v>33328</v>
      </c>
      <c r="DN100" s="8">
        <v>33328</v>
      </c>
      <c r="DO100" s="9">
        <f t="shared" si="84"/>
        <v>33328</v>
      </c>
      <c r="DP100" s="8">
        <v>0</v>
      </c>
      <c r="DQ100" s="8">
        <v>0</v>
      </c>
      <c r="DR100" s="8">
        <v>0</v>
      </c>
      <c r="DS100" s="8">
        <v>0</v>
      </c>
      <c r="DT100" s="8">
        <v>0</v>
      </c>
      <c r="DU100" s="8">
        <v>0</v>
      </c>
      <c r="DV100" s="8">
        <v>0</v>
      </c>
      <c r="DW100" s="8">
        <v>0</v>
      </c>
      <c r="DX100" s="8">
        <v>0</v>
      </c>
      <c r="DY100" s="8">
        <v>0</v>
      </c>
      <c r="DZ100" s="8">
        <v>0</v>
      </c>
      <c r="EA100" s="8">
        <v>0</v>
      </c>
      <c r="EB100" s="9">
        <f t="shared" si="85"/>
        <v>0</v>
      </c>
      <c r="EC100" s="8">
        <v>0</v>
      </c>
      <c r="ED100" s="8">
        <v>0</v>
      </c>
      <c r="EE100" s="8">
        <v>0</v>
      </c>
      <c r="EF100" s="8">
        <v>0</v>
      </c>
      <c r="EG100" s="8">
        <v>6773</v>
      </c>
      <c r="EH100" s="8">
        <v>6773</v>
      </c>
      <c r="EI100" s="8">
        <v>6773</v>
      </c>
      <c r="EJ100" s="8">
        <v>240920</v>
      </c>
      <c r="EK100" s="8">
        <v>240920</v>
      </c>
      <c r="EL100" s="8">
        <v>240920</v>
      </c>
      <c r="EM100" s="8">
        <v>240920</v>
      </c>
      <c r="EN100" s="8">
        <v>240920</v>
      </c>
      <c r="EO100" s="9">
        <f t="shared" si="86"/>
        <v>240920</v>
      </c>
      <c r="EP100" s="8">
        <v>6929</v>
      </c>
      <c r="EQ100" s="8">
        <v>6929</v>
      </c>
      <c r="ER100" s="8">
        <v>6929</v>
      </c>
      <c r="ES100" s="8">
        <v>6929</v>
      </c>
      <c r="ET100" s="8">
        <v>6929</v>
      </c>
      <c r="EU100" s="8">
        <v>6929</v>
      </c>
      <c r="EV100" s="8">
        <v>6929</v>
      </c>
      <c r="EW100" s="8">
        <v>6929</v>
      </c>
      <c r="EX100" s="8">
        <v>6929</v>
      </c>
      <c r="EY100" s="8">
        <v>6929</v>
      </c>
      <c r="EZ100" s="8">
        <v>6929</v>
      </c>
      <c r="FA100" s="8">
        <v>6929</v>
      </c>
      <c r="FB100" s="9">
        <f t="shared" si="87"/>
        <v>6929</v>
      </c>
      <c r="FC100" s="8">
        <v>0</v>
      </c>
      <c r="FD100" s="8">
        <v>0</v>
      </c>
      <c r="FE100" s="8">
        <v>0</v>
      </c>
      <c r="FF100" s="8">
        <v>0</v>
      </c>
      <c r="FG100" s="8">
        <v>0</v>
      </c>
      <c r="FH100" s="8">
        <v>0</v>
      </c>
      <c r="FI100" s="8">
        <v>0</v>
      </c>
      <c r="FJ100" s="8"/>
      <c r="FK100" s="8"/>
      <c r="FL100" s="8"/>
      <c r="FM100" s="8"/>
      <c r="FN100" s="8"/>
      <c r="FO100" s="9">
        <f t="shared" si="88"/>
        <v>0</v>
      </c>
    </row>
    <row r="101" spans="2:171" ht="14.25" customHeight="1" x14ac:dyDescent="0.3">
      <c r="B101" s="7" t="s">
        <v>45</v>
      </c>
      <c r="C101" s="8">
        <v>23059</v>
      </c>
      <c r="D101" s="8">
        <v>23059</v>
      </c>
      <c r="E101" s="8">
        <v>23059</v>
      </c>
      <c r="F101" s="8">
        <v>23059</v>
      </c>
      <c r="G101" s="8">
        <v>23059</v>
      </c>
      <c r="H101" s="8">
        <v>23059</v>
      </c>
      <c r="I101" s="8">
        <v>23059</v>
      </c>
      <c r="J101" s="8">
        <v>23059</v>
      </c>
      <c r="K101" s="8">
        <v>4525059</v>
      </c>
      <c r="L101" s="8">
        <v>4525059</v>
      </c>
      <c r="M101" s="8">
        <v>5264599</v>
      </c>
      <c r="N101" s="8">
        <v>5264599</v>
      </c>
      <c r="O101" s="9">
        <f t="shared" si="76"/>
        <v>5264599</v>
      </c>
      <c r="P101" s="8">
        <v>24642</v>
      </c>
      <c r="Q101" s="8">
        <v>24642</v>
      </c>
      <c r="R101" s="8">
        <v>24642</v>
      </c>
      <c r="S101" s="8">
        <v>24642</v>
      </c>
      <c r="T101" s="8">
        <v>24642</v>
      </c>
      <c r="U101" s="8">
        <v>24642</v>
      </c>
      <c r="V101" s="8">
        <v>4477642</v>
      </c>
      <c r="W101" s="8">
        <v>4477642</v>
      </c>
      <c r="X101" s="8">
        <v>4477642</v>
      </c>
      <c r="Y101" s="8">
        <v>4477642</v>
      </c>
      <c r="Z101" s="8">
        <v>4477642</v>
      </c>
      <c r="AA101" s="8">
        <v>3795311</v>
      </c>
      <c r="AB101" s="9">
        <f t="shared" si="77"/>
        <v>3795311</v>
      </c>
      <c r="AC101" s="8">
        <v>23431</v>
      </c>
      <c r="AD101" s="8">
        <v>23431</v>
      </c>
      <c r="AE101" s="8">
        <v>23431</v>
      </c>
      <c r="AF101" s="8">
        <v>23431</v>
      </c>
      <c r="AG101" s="8">
        <v>23431</v>
      </c>
      <c r="AH101" s="8">
        <v>33414</v>
      </c>
      <c r="AI101" s="8">
        <v>33414</v>
      </c>
      <c r="AJ101" s="8">
        <v>33414</v>
      </c>
      <c r="AK101" s="8">
        <v>33414</v>
      </c>
      <c r="AL101" s="8">
        <v>214280</v>
      </c>
      <c r="AM101" s="8">
        <v>214280</v>
      </c>
      <c r="AN101" s="8">
        <v>214280</v>
      </c>
      <c r="AO101" s="9">
        <f t="shared" si="78"/>
        <v>214280</v>
      </c>
      <c r="AP101" s="8">
        <v>13390</v>
      </c>
      <c r="AQ101" s="8">
        <v>13390</v>
      </c>
      <c r="AR101" s="8">
        <v>13390</v>
      </c>
      <c r="AS101" s="8">
        <v>13390</v>
      </c>
      <c r="AT101" s="8">
        <v>13390</v>
      </c>
      <c r="AU101" s="8">
        <v>13390</v>
      </c>
      <c r="AV101" s="8">
        <v>13390</v>
      </c>
      <c r="AW101" s="8">
        <v>13390</v>
      </c>
      <c r="AX101" s="8">
        <v>13390</v>
      </c>
      <c r="AY101" s="8">
        <v>263946</v>
      </c>
      <c r="AZ101" s="8">
        <v>263946</v>
      </c>
      <c r="BA101" s="8">
        <v>385001</v>
      </c>
      <c r="BB101" s="9">
        <f t="shared" si="79"/>
        <v>385001</v>
      </c>
      <c r="BC101" s="8">
        <v>18468</v>
      </c>
      <c r="BD101" s="8">
        <v>18468</v>
      </c>
      <c r="BE101" s="8">
        <v>18468</v>
      </c>
      <c r="BF101" s="8">
        <v>18468</v>
      </c>
      <c r="BG101" s="8">
        <v>18468</v>
      </c>
      <c r="BH101" s="8">
        <v>18468</v>
      </c>
      <c r="BI101" s="8">
        <v>15354</v>
      </c>
      <c r="BJ101" s="8">
        <v>15354</v>
      </c>
      <c r="BK101" s="8">
        <v>15354</v>
      </c>
      <c r="BL101" s="8">
        <v>15354</v>
      </c>
      <c r="BM101" s="8">
        <v>15354</v>
      </c>
      <c r="BN101" s="8">
        <v>15354</v>
      </c>
      <c r="BO101" s="9">
        <f t="shared" si="80"/>
        <v>15354</v>
      </c>
      <c r="BP101" s="8">
        <v>11102</v>
      </c>
      <c r="BQ101" s="8">
        <v>11102</v>
      </c>
      <c r="BR101" s="8">
        <v>11102</v>
      </c>
      <c r="BS101" s="8">
        <v>11102</v>
      </c>
      <c r="BT101" s="8">
        <v>161557</v>
      </c>
      <c r="BU101" s="8">
        <v>161557</v>
      </c>
      <c r="BV101" s="8">
        <v>161557</v>
      </c>
      <c r="BW101" s="8">
        <v>161557</v>
      </c>
      <c r="BX101" s="8">
        <v>161557</v>
      </c>
      <c r="BY101" s="8">
        <v>161557</v>
      </c>
      <c r="BZ101" s="8">
        <v>161557</v>
      </c>
      <c r="CA101" s="8">
        <v>161557</v>
      </c>
      <c r="CB101" s="9">
        <f t="shared" si="81"/>
        <v>161557</v>
      </c>
      <c r="CC101" s="8">
        <v>11391</v>
      </c>
      <c r="CD101" s="8">
        <v>11391</v>
      </c>
      <c r="CE101" s="8">
        <v>11391</v>
      </c>
      <c r="CF101" s="8">
        <v>7974</v>
      </c>
      <c r="CG101" s="8">
        <v>3986</v>
      </c>
      <c r="CH101" s="8">
        <v>3986</v>
      </c>
      <c r="CI101" s="8">
        <v>3986</v>
      </c>
      <c r="CJ101" s="8">
        <v>3986</v>
      </c>
      <c r="CK101" s="8">
        <v>3986</v>
      </c>
      <c r="CL101" s="8">
        <v>88628</v>
      </c>
      <c r="CM101" s="8">
        <v>96033</v>
      </c>
      <c r="CN101" s="8">
        <v>96033</v>
      </c>
      <c r="CO101" s="9">
        <f t="shared" si="82"/>
        <v>96033</v>
      </c>
      <c r="CP101" s="8">
        <v>8967</v>
      </c>
      <c r="CQ101" s="8">
        <v>8967</v>
      </c>
      <c r="CR101" s="8">
        <v>8967</v>
      </c>
      <c r="CS101" s="8">
        <v>8967</v>
      </c>
      <c r="CT101" s="8">
        <v>8967</v>
      </c>
      <c r="CU101" s="8">
        <v>8967</v>
      </c>
      <c r="CV101" s="8">
        <v>8967</v>
      </c>
      <c r="CW101" s="8">
        <v>8967</v>
      </c>
      <c r="CX101" s="8">
        <v>8967</v>
      </c>
      <c r="CY101" s="8">
        <v>8967</v>
      </c>
      <c r="CZ101" s="8">
        <v>6258817</v>
      </c>
      <c r="DA101" s="8">
        <v>6258817</v>
      </c>
      <c r="DB101" s="9">
        <f t="shared" si="83"/>
        <v>6258817</v>
      </c>
      <c r="DC101" s="8">
        <v>0</v>
      </c>
      <c r="DD101" s="8">
        <v>0</v>
      </c>
      <c r="DE101" s="8">
        <v>0</v>
      </c>
      <c r="DF101" s="8">
        <v>0</v>
      </c>
      <c r="DG101" s="8">
        <v>0</v>
      </c>
      <c r="DH101" s="8">
        <v>0</v>
      </c>
      <c r="DI101" s="8">
        <v>0</v>
      </c>
      <c r="DJ101" s="8">
        <v>0</v>
      </c>
      <c r="DK101" s="8">
        <v>7943900</v>
      </c>
      <c r="DL101" s="8">
        <v>7943900</v>
      </c>
      <c r="DM101" s="8">
        <v>9744243</v>
      </c>
      <c r="DN101" s="8">
        <v>9744243</v>
      </c>
      <c r="DO101" s="9">
        <f t="shared" si="84"/>
        <v>9744243</v>
      </c>
      <c r="DP101" s="8">
        <v>0</v>
      </c>
      <c r="DQ101" s="8">
        <v>0</v>
      </c>
      <c r="DR101" s="8">
        <v>0</v>
      </c>
      <c r="DS101" s="8">
        <v>0</v>
      </c>
      <c r="DT101" s="8">
        <v>0</v>
      </c>
      <c r="DU101" s="8">
        <v>0</v>
      </c>
      <c r="DV101" s="8">
        <v>0</v>
      </c>
      <c r="DW101" s="8">
        <v>0</v>
      </c>
      <c r="DX101" s="8">
        <v>0</v>
      </c>
      <c r="DY101" s="8">
        <v>0</v>
      </c>
      <c r="DZ101" s="8">
        <v>0</v>
      </c>
      <c r="EA101" s="8">
        <v>0</v>
      </c>
      <c r="EB101" s="9">
        <f t="shared" si="85"/>
        <v>0</v>
      </c>
      <c r="EC101" s="8">
        <v>0</v>
      </c>
      <c r="ED101" s="8">
        <v>0</v>
      </c>
      <c r="EE101" s="8">
        <v>0</v>
      </c>
      <c r="EF101" s="8">
        <v>0</v>
      </c>
      <c r="EG101" s="8">
        <v>5926</v>
      </c>
      <c r="EH101" s="8">
        <v>5926</v>
      </c>
      <c r="EI101" s="8">
        <v>5926</v>
      </c>
      <c r="EJ101" s="8">
        <v>5926</v>
      </c>
      <c r="EK101" s="8">
        <v>5926</v>
      </c>
      <c r="EL101" s="8">
        <v>7496</v>
      </c>
      <c r="EM101" s="8">
        <v>7496</v>
      </c>
      <c r="EN101" s="8">
        <v>7496</v>
      </c>
      <c r="EO101" s="9">
        <f t="shared" si="86"/>
        <v>7496</v>
      </c>
      <c r="EP101" s="8">
        <v>2970</v>
      </c>
      <c r="EQ101" s="8">
        <v>2970</v>
      </c>
      <c r="ER101" s="8">
        <v>2970</v>
      </c>
      <c r="ES101" s="8">
        <v>2970</v>
      </c>
      <c r="ET101" s="8">
        <v>2970</v>
      </c>
      <c r="EU101" s="8">
        <v>2970</v>
      </c>
      <c r="EV101" s="8">
        <v>2970</v>
      </c>
      <c r="EW101" s="8">
        <v>2970</v>
      </c>
      <c r="EX101" s="8">
        <v>2970</v>
      </c>
      <c r="EY101" s="8">
        <v>2970</v>
      </c>
      <c r="EZ101" s="8">
        <v>2970</v>
      </c>
      <c r="FA101" s="8">
        <v>2970</v>
      </c>
      <c r="FB101" s="9">
        <f t="shared" si="87"/>
        <v>2970</v>
      </c>
      <c r="FC101" s="8">
        <v>10</v>
      </c>
      <c r="FD101" s="8">
        <v>10</v>
      </c>
      <c r="FE101" s="8">
        <v>10</v>
      </c>
      <c r="FF101" s="8">
        <v>10</v>
      </c>
      <c r="FG101" s="8">
        <v>10</v>
      </c>
      <c r="FH101" s="8">
        <v>10</v>
      </c>
      <c r="FI101" s="8">
        <v>10</v>
      </c>
      <c r="FJ101" s="8"/>
      <c r="FK101" s="8"/>
      <c r="FL101" s="8"/>
      <c r="FM101" s="8"/>
      <c r="FN101" s="8"/>
      <c r="FO101" s="9">
        <f t="shared" si="88"/>
        <v>10</v>
      </c>
    </row>
    <row r="102" spans="2:171" ht="14.25" customHeight="1" x14ac:dyDescent="0.3">
      <c r="B102" s="7" t="s">
        <v>46</v>
      </c>
      <c r="C102" s="8">
        <v>9750</v>
      </c>
      <c r="D102" s="8">
        <v>9750</v>
      </c>
      <c r="E102" s="8">
        <v>9750</v>
      </c>
      <c r="F102" s="8">
        <v>9750</v>
      </c>
      <c r="G102" s="8">
        <v>9750</v>
      </c>
      <c r="H102" s="8">
        <v>9750</v>
      </c>
      <c r="I102" s="8">
        <v>9750</v>
      </c>
      <c r="J102" s="8">
        <v>9750</v>
      </c>
      <c r="K102" s="8">
        <v>9750</v>
      </c>
      <c r="L102" s="8">
        <v>9750</v>
      </c>
      <c r="M102" s="8">
        <v>9750</v>
      </c>
      <c r="N102" s="8">
        <v>1673736</v>
      </c>
      <c r="O102" s="9">
        <f t="shared" si="76"/>
        <v>1673736</v>
      </c>
      <c r="P102" s="8">
        <v>15091</v>
      </c>
      <c r="Q102" s="8">
        <v>3847256</v>
      </c>
      <c r="R102" s="8">
        <v>3847256</v>
      </c>
      <c r="S102" s="8">
        <v>6300204</v>
      </c>
      <c r="T102" s="8">
        <v>6300204</v>
      </c>
      <c r="U102" s="8">
        <v>6527454</v>
      </c>
      <c r="V102" s="8">
        <v>6527454</v>
      </c>
      <c r="W102" s="8">
        <v>6527454</v>
      </c>
      <c r="X102" s="8">
        <v>6527454</v>
      </c>
      <c r="Y102" s="8">
        <v>9418442</v>
      </c>
      <c r="Z102" s="8">
        <v>11296606</v>
      </c>
      <c r="AA102" s="8">
        <v>11296606</v>
      </c>
      <c r="AB102" s="9">
        <f t="shared" si="77"/>
        <v>11296606</v>
      </c>
      <c r="AC102" s="8">
        <v>14630</v>
      </c>
      <c r="AD102" s="8">
        <v>14630</v>
      </c>
      <c r="AE102" s="8">
        <v>14630</v>
      </c>
      <c r="AF102" s="8">
        <v>34819</v>
      </c>
      <c r="AG102" s="8">
        <v>8652905</v>
      </c>
      <c r="AH102" s="8">
        <v>8652905</v>
      </c>
      <c r="AI102" s="8">
        <v>8652905</v>
      </c>
      <c r="AJ102" s="8">
        <v>8790900</v>
      </c>
      <c r="AK102" s="8">
        <v>8790900</v>
      </c>
      <c r="AL102" s="8">
        <v>8790900</v>
      </c>
      <c r="AM102" s="8">
        <v>8790900</v>
      </c>
      <c r="AN102" s="8">
        <v>8790900</v>
      </c>
      <c r="AO102" s="9">
        <f t="shared" si="78"/>
        <v>8790900</v>
      </c>
      <c r="AP102" s="8">
        <v>15965</v>
      </c>
      <c r="AQ102" s="8">
        <v>15965</v>
      </c>
      <c r="AR102" s="8">
        <v>15965</v>
      </c>
      <c r="AS102" s="8">
        <v>15965</v>
      </c>
      <c r="AT102" s="8">
        <v>18965</v>
      </c>
      <c r="AU102" s="8">
        <v>665828</v>
      </c>
      <c r="AV102" s="8">
        <v>665828</v>
      </c>
      <c r="AW102" s="8">
        <v>665828</v>
      </c>
      <c r="AX102" s="8">
        <v>665828</v>
      </c>
      <c r="AY102" s="8">
        <v>678411</v>
      </c>
      <c r="AZ102" s="8">
        <v>678411</v>
      </c>
      <c r="BA102" s="8">
        <v>678411</v>
      </c>
      <c r="BB102" s="9">
        <f t="shared" si="79"/>
        <v>678411</v>
      </c>
      <c r="BC102" s="8">
        <v>15148</v>
      </c>
      <c r="BD102" s="8">
        <v>15148</v>
      </c>
      <c r="BE102" s="8">
        <v>15148</v>
      </c>
      <c r="BF102" s="8">
        <v>15148</v>
      </c>
      <c r="BG102" s="8">
        <v>15148</v>
      </c>
      <c r="BH102" s="8">
        <v>15148</v>
      </c>
      <c r="BI102" s="8">
        <v>12510</v>
      </c>
      <c r="BJ102" s="8">
        <v>12510</v>
      </c>
      <c r="BK102" s="8">
        <v>12510</v>
      </c>
      <c r="BL102" s="8">
        <v>12510</v>
      </c>
      <c r="BM102" s="8">
        <v>12510</v>
      </c>
      <c r="BN102" s="8">
        <v>12510</v>
      </c>
      <c r="BO102" s="9">
        <f t="shared" si="80"/>
        <v>12510</v>
      </c>
      <c r="BP102" s="8">
        <v>17987</v>
      </c>
      <c r="BQ102" s="8">
        <v>17987</v>
      </c>
      <c r="BR102" s="8">
        <v>17987</v>
      </c>
      <c r="BS102" s="8">
        <v>17987</v>
      </c>
      <c r="BT102" s="8">
        <v>17987</v>
      </c>
      <c r="BU102" s="8">
        <v>17987</v>
      </c>
      <c r="BV102" s="8">
        <v>17987</v>
      </c>
      <c r="BW102" s="8">
        <v>17987</v>
      </c>
      <c r="BX102" s="8">
        <v>17987</v>
      </c>
      <c r="BY102" s="8">
        <v>17987</v>
      </c>
      <c r="BZ102" s="8">
        <v>17987</v>
      </c>
      <c r="CA102" s="8">
        <v>60987</v>
      </c>
      <c r="CB102" s="9">
        <f t="shared" si="81"/>
        <v>60987</v>
      </c>
      <c r="CC102" s="8">
        <v>18455</v>
      </c>
      <c r="CD102" s="8">
        <v>18455</v>
      </c>
      <c r="CE102" s="8">
        <v>18455</v>
      </c>
      <c r="CF102" s="8">
        <v>12918</v>
      </c>
      <c r="CG102" s="8">
        <v>7232</v>
      </c>
      <c r="CH102" s="8">
        <v>2243714</v>
      </c>
      <c r="CI102" s="8">
        <v>2243714</v>
      </c>
      <c r="CJ102" s="8">
        <v>2243714</v>
      </c>
      <c r="CK102" s="8">
        <v>2243714</v>
      </c>
      <c r="CL102" s="8">
        <v>2243714</v>
      </c>
      <c r="CM102" s="8">
        <v>2254937</v>
      </c>
      <c r="CN102" s="8">
        <v>2254937</v>
      </c>
      <c r="CO102" s="9">
        <f t="shared" si="82"/>
        <v>2254937</v>
      </c>
      <c r="CP102" s="8">
        <v>13147</v>
      </c>
      <c r="CQ102" s="8">
        <v>13147</v>
      </c>
      <c r="CR102" s="8">
        <v>13147</v>
      </c>
      <c r="CS102" s="8">
        <v>13147</v>
      </c>
      <c r="CT102" s="8">
        <v>13147</v>
      </c>
      <c r="CU102" s="8">
        <v>13147</v>
      </c>
      <c r="CV102" s="8">
        <v>13147</v>
      </c>
      <c r="CW102" s="8">
        <v>13147</v>
      </c>
      <c r="CX102" s="8">
        <v>77908</v>
      </c>
      <c r="CY102" s="8">
        <v>77908</v>
      </c>
      <c r="CZ102" s="8">
        <v>78408</v>
      </c>
      <c r="DA102" s="8">
        <v>78408</v>
      </c>
      <c r="DB102" s="9">
        <f t="shared" si="83"/>
        <v>78408</v>
      </c>
      <c r="DC102" s="8">
        <v>0</v>
      </c>
      <c r="DD102" s="8">
        <v>0</v>
      </c>
      <c r="DE102" s="8">
        <v>0</v>
      </c>
      <c r="DF102" s="8">
        <v>0</v>
      </c>
      <c r="DG102" s="8">
        <v>0</v>
      </c>
      <c r="DH102" s="8">
        <v>0</v>
      </c>
      <c r="DI102" s="8">
        <v>0</v>
      </c>
      <c r="DJ102" s="8">
        <v>0</v>
      </c>
      <c r="DK102" s="8">
        <v>0</v>
      </c>
      <c r="DL102" s="8">
        <v>0</v>
      </c>
      <c r="DM102" s="8">
        <v>0</v>
      </c>
      <c r="DN102" s="8">
        <v>0</v>
      </c>
      <c r="DO102" s="9">
        <f t="shared" si="84"/>
        <v>0</v>
      </c>
      <c r="DP102" s="8">
        <v>0</v>
      </c>
      <c r="DQ102" s="8">
        <v>3978246</v>
      </c>
      <c r="DR102" s="8">
        <v>3978246</v>
      </c>
      <c r="DS102" s="8">
        <v>3978246</v>
      </c>
      <c r="DT102" s="8">
        <v>3978246</v>
      </c>
      <c r="DU102" s="8">
        <v>3978246</v>
      </c>
      <c r="DV102" s="8">
        <v>3978246</v>
      </c>
      <c r="DW102" s="8">
        <v>3978246</v>
      </c>
      <c r="DX102" s="8">
        <v>3978246</v>
      </c>
      <c r="DY102" s="8">
        <v>3978246</v>
      </c>
      <c r="DZ102" s="8">
        <v>3978246</v>
      </c>
      <c r="EA102" s="8">
        <v>3978246</v>
      </c>
      <c r="EB102" s="9">
        <f t="shared" si="85"/>
        <v>3978246</v>
      </c>
      <c r="EC102" s="8">
        <v>0</v>
      </c>
      <c r="ED102" s="8">
        <v>0</v>
      </c>
      <c r="EE102" s="8">
        <v>0</v>
      </c>
      <c r="EF102" s="8">
        <v>0</v>
      </c>
      <c r="EG102" s="8">
        <v>1694</v>
      </c>
      <c r="EH102" s="8">
        <v>1694</v>
      </c>
      <c r="EI102" s="8">
        <v>1694</v>
      </c>
      <c r="EJ102" s="8">
        <v>1694</v>
      </c>
      <c r="EK102" s="8">
        <v>1694</v>
      </c>
      <c r="EL102" s="8">
        <v>3479</v>
      </c>
      <c r="EM102" s="8">
        <v>3479</v>
      </c>
      <c r="EN102" s="8">
        <v>3479</v>
      </c>
      <c r="EO102" s="9">
        <f t="shared" si="86"/>
        <v>3479</v>
      </c>
      <c r="EP102" s="8">
        <v>5863</v>
      </c>
      <c r="EQ102" s="8">
        <v>5863</v>
      </c>
      <c r="ER102" s="8">
        <v>5863</v>
      </c>
      <c r="ES102" s="8">
        <v>5863</v>
      </c>
      <c r="ET102" s="8">
        <v>5863</v>
      </c>
      <c r="EU102" s="8">
        <v>5863</v>
      </c>
      <c r="EV102" s="8">
        <v>5863</v>
      </c>
      <c r="EW102" s="8">
        <v>5863</v>
      </c>
      <c r="EX102" s="8">
        <v>5863</v>
      </c>
      <c r="EY102" s="8">
        <v>5863</v>
      </c>
      <c r="EZ102" s="8">
        <v>5863</v>
      </c>
      <c r="FA102" s="8">
        <v>5863</v>
      </c>
      <c r="FB102" s="9">
        <f t="shared" si="87"/>
        <v>5863</v>
      </c>
      <c r="FC102" s="8">
        <v>10</v>
      </c>
      <c r="FD102" s="8">
        <v>10</v>
      </c>
      <c r="FE102" s="8">
        <v>10</v>
      </c>
      <c r="FF102" s="8">
        <v>10</v>
      </c>
      <c r="FG102" s="8">
        <v>10</v>
      </c>
      <c r="FH102" s="8">
        <v>10</v>
      </c>
      <c r="FI102" s="8">
        <v>10</v>
      </c>
      <c r="FJ102" s="8"/>
      <c r="FK102" s="8"/>
      <c r="FL102" s="8"/>
      <c r="FM102" s="8"/>
      <c r="FN102" s="8"/>
      <c r="FO102" s="9">
        <f t="shared" si="88"/>
        <v>10</v>
      </c>
    </row>
    <row r="103" spans="2:171" ht="14.25" customHeight="1" x14ac:dyDescent="0.3">
      <c r="B103" s="7" t="s">
        <v>47</v>
      </c>
      <c r="C103" s="8">
        <v>6703</v>
      </c>
      <c r="D103" s="8">
        <v>6703</v>
      </c>
      <c r="E103" s="8">
        <v>6703</v>
      </c>
      <c r="F103" s="8">
        <v>6703</v>
      </c>
      <c r="G103" s="8">
        <v>6703</v>
      </c>
      <c r="H103" s="8">
        <v>6703</v>
      </c>
      <c r="I103" s="8">
        <v>6703</v>
      </c>
      <c r="J103" s="8">
        <v>6703</v>
      </c>
      <c r="K103" s="8">
        <v>6703</v>
      </c>
      <c r="L103" s="8">
        <v>6703</v>
      </c>
      <c r="M103" s="8">
        <v>6703</v>
      </c>
      <c r="N103" s="8">
        <v>6703</v>
      </c>
      <c r="O103" s="9">
        <f t="shared" si="76"/>
        <v>6703</v>
      </c>
      <c r="P103" s="8">
        <v>8171</v>
      </c>
      <c r="Q103" s="8">
        <v>8171</v>
      </c>
      <c r="R103" s="8">
        <v>8171</v>
      </c>
      <c r="S103" s="8">
        <v>8171</v>
      </c>
      <c r="T103" s="8">
        <v>8171</v>
      </c>
      <c r="U103" s="8">
        <v>8171</v>
      </c>
      <c r="V103" s="8">
        <v>8171</v>
      </c>
      <c r="W103" s="8">
        <v>14207</v>
      </c>
      <c r="X103" s="8">
        <v>14207</v>
      </c>
      <c r="Y103" s="8">
        <v>16617</v>
      </c>
      <c r="Z103" s="8">
        <v>16617</v>
      </c>
      <c r="AA103" s="8">
        <v>16617</v>
      </c>
      <c r="AB103" s="9">
        <f t="shared" si="77"/>
        <v>16617</v>
      </c>
      <c r="AC103" s="8">
        <v>10165</v>
      </c>
      <c r="AD103" s="8">
        <v>10165</v>
      </c>
      <c r="AE103" s="8">
        <v>10165</v>
      </c>
      <c r="AF103" s="8">
        <v>10165</v>
      </c>
      <c r="AG103" s="8">
        <v>10165</v>
      </c>
      <c r="AH103" s="8">
        <v>10165</v>
      </c>
      <c r="AI103" s="8">
        <v>10165</v>
      </c>
      <c r="AJ103" s="8">
        <v>10165</v>
      </c>
      <c r="AK103" s="8">
        <v>10165</v>
      </c>
      <c r="AL103" s="8">
        <v>10165</v>
      </c>
      <c r="AM103" s="8">
        <v>10165</v>
      </c>
      <c r="AN103" s="8">
        <v>10165</v>
      </c>
      <c r="AO103" s="9">
        <f t="shared" si="78"/>
        <v>10165</v>
      </c>
      <c r="AP103" s="8">
        <v>11330</v>
      </c>
      <c r="AQ103" s="8">
        <v>11330</v>
      </c>
      <c r="AR103" s="8">
        <v>11330</v>
      </c>
      <c r="AS103" s="8">
        <v>11330</v>
      </c>
      <c r="AT103" s="8">
        <v>14330</v>
      </c>
      <c r="AU103" s="8">
        <v>14330</v>
      </c>
      <c r="AV103" s="8">
        <v>14330</v>
      </c>
      <c r="AW103" s="8">
        <v>14330</v>
      </c>
      <c r="AX103" s="8">
        <v>1148670</v>
      </c>
      <c r="AY103" s="8">
        <v>1148670</v>
      </c>
      <c r="AZ103" s="8">
        <v>1148670</v>
      </c>
      <c r="BA103" s="8">
        <v>1158975</v>
      </c>
      <c r="BB103" s="9">
        <f t="shared" si="79"/>
        <v>1158975</v>
      </c>
      <c r="BC103" s="8">
        <v>1530650</v>
      </c>
      <c r="BD103" s="8">
        <v>1530650</v>
      </c>
      <c r="BE103" s="8">
        <v>1530650</v>
      </c>
      <c r="BF103" s="8">
        <v>1530650</v>
      </c>
      <c r="BG103" s="8">
        <v>1530650</v>
      </c>
      <c r="BH103" s="8">
        <v>1530650</v>
      </c>
      <c r="BI103" s="8">
        <v>1374479</v>
      </c>
      <c r="BJ103" s="8">
        <v>1374479</v>
      </c>
      <c r="BK103" s="8">
        <v>1374479</v>
      </c>
      <c r="BL103" s="8">
        <v>1374479</v>
      </c>
      <c r="BM103" s="8">
        <v>1374479</v>
      </c>
      <c r="BN103" s="8">
        <v>1374479</v>
      </c>
      <c r="BO103" s="9">
        <f t="shared" si="80"/>
        <v>1374479</v>
      </c>
      <c r="BP103" s="8">
        <v>8728</v>
      </c>
      <c r="BQ103" s="8">
        <v>8728</v>
      </c>
      <c r="BR103" s="8">
        <v>8728</v>
      </c>
      <c r="BS103" s="8">
        <v>8728</v>
      </c>
      <c r="BT103" s="8">
        <v>8728</v>
      </c>
      <c r="BU103" s="8">
        <v>8728</v>
      </c>
      <c r="BV103" s="8">
        <v>8728</v>
      </c>
      <c r="BW103" s="8">
        <v>664448</v>
      </c>
      <c r="BX103" s="8">
        <v>664448</v>
      </c>
      <c r="BY103" s="8">
        <v>664448</v>
      </c>
      <c r="BZ103" s="8">
        <v>664448</v>
      </c>
      <c r="CA103" s="8">
        <v>3064448</v>
      </c>
      <c r="CB103" s="9">
        <f t="shared" si="81"/>
        <v>3064448</v>
      </c>
      <c r="CC103" s="8">
        <v>7563</v>
      </c>
      <c r="CD103" s="8">
        <v>7563</v>
      </c>
      <c r="CE103" s="8">
        <v>7563</v>
      </c>
      <c r="CF103" s="8">
        <v>5294</v>
      </c>
      <c r="CG103" s="8">
        <v>2646</v>
      </c>
      <c r="CH103" s="8">
        <v>2646</v>
      </c>
      <c r="CI103" s="8">
        <v>2646</v>
      </c>
      <c r="CJ103" s="8">
        <v>2646</v>
      </c>
      <c r="CK103" s="8">
        <v>2646</v>
      </c>
      <c r="CL103" s="8">
        <v>2646</v>
      </c>
      <c r="CM103" s="8">
        <v>100486</v>
      </c>
      <c r="CN103" s="8">
        <v>100486</v>
      </c>
      <c r="CO103" s="9">
        <f t="shared" si="82"/>
        <v>100486</v>
      </c>
      <c r="CP103" s="8">
        <v>1616</v>
      </c>
      <c r="CQ103" s="8">
        <v>1616</v>
      </c>
      <c r="CR103" s="8">
        <v>1616</v>
      </c>
      <c r="CS103" s="8">
        <v>1616</v>
      </c>
      <c r="CT103" s="8">
        <v>1616</v>
      </c>
      <c r="CU103" s="8">
        <v>1926</v>
      </c>
      <c r="CV103" s="8">
        <v>1926</v>
      </c>
      <c r="CW103" s="8">
        <v>1926</v>
      </c>
      <c r="CX103" s="8">
        <v>1926</v>
      </c>
      <c r="CY103" s="8">
        <v>1926</v>
      </c>
      <c r="CZ103" s="8">
        <v>1926</v>
      </c>
      <c r="DA103" s="8">
        <v>1926</v>
      </c>
      <c r="DB103" s="9">
        <f t="shared" si="83"/>
        <v>1926</v>
      </c>
      <c r="DC103" s="8">
        <v>0</v>
      </c>
      <c r="DD103" s="8">
        <v>0</v>
      </c>
      <c r="DE103" s="8">
        <v>0</v>
      </c>
      <c r="DF103" s="8">
        <v>0</v>
      </c>
      <c r="DG103" s="8">
        <v>0</v>
      </c>
      <c r="DH103" s="8">
        <v>0</v>
      </c>
      <c r="DI103" s="8">
        <v>0</v>
      </c>
      <c r="DJ103" s="8">
        <v>0</v>
      </c>
      <c r="DK103" s="8">
        <v>0</v>
      </c>
      <c r="DL103" s="8">
        <v>0</v>
      </c>
      <c r="DM103" s="8">
        <v>5960113</v>
      </c>
      <c r="DN103" s="8">
        <v>5960113</v>
      </c>
      <c r="DO103" s="9">
        <f t="shared" si="84"/>
        <v>5960113</v>
      </c>
      <c r="DP103" s="8">
        <v>0</v>
      </c>
      <c r="DQ103" s="8">
        <v>0</v>
      </c>
      <c r="DR103" s="8">
        <v>0</v>
      </c>
      <c r="DS103" s="8">
        <v>0</v>
      </c>
      <c r="DT103" s="8">
        <v>0</v>
      </c>
      <c r="DU103" s="8">
        <v>0</v>
      </c>
      <c r="DV103" s="8">
        <v>0</v>
      </c>
      <c r="DW103" s="8">
        <v>0</v>
      </c>
      <c r="DX103" s="8">
        <v>0</v>
      </c>
      <c r="DY103" s="8">
        <v>0</v>
      </c>
      <c r="DZ103" s="8">
        <v>0</v>
      </c>
      <c r="EA103" s="8">
        <v>0</v>
      </c>
      <c r="EB103" s="9">
        <f t="shared" si="85"/>
        <v>0</v>
      </c>
      <c r="EC103" s="8">
        <v>0</v>
      </c>
      <c r="ED103" s="8">
        <v>0</v>
      </c>
      <c r="EE103" s="8">
        <v>0</v>
      </c>
      <c r="EF103" s="8">
        <v>0</v>
      </c>
      <c r="EG103" s="8">
        <v>5080</v>
      </c>
      <c r="EH103" s="8">
        <v>5080</v>
      </c>
      <c r="EI103" s="8">
        <v>5080</v>
      </c>
      <c r="EJ103" s="8">
        <v>5080</v>
      </c>
      <c r="EK103" s="8">
        <v>5080</v>
      </c>
      <c r="EL103" s="8">
        <v>6270</v>
      </c>
      <c r="EM103" s="8">
        <v>6270</v>
      </c>
      <c r="EN103" s="8">
        <v>6270</v>
      </c>
      <c r="EO103" s="9">
        <f t="shared" si="86"/>
        <v>6270</v>
      </c>
      <c r="EP103" s="8">
        <v>710</v>
      </c>
      <c r="EQ103" s="8">
        <v>710</v>
      </c>
      <c r="ER103" s="8">
        <v>710</v>
      </c>
      <c r="ES103" s="8">
        <v>710</v>
      </c>
      <c r="ET103" s="8">
        <v>710</v>
      </c>
      <c r="EU103" s="8">
        <v>710</v>
      </c>
      <c r="EV103" s="8">
        <v>710</v>
      </c>
      <c r="EW103" s="8">
        <v>710</v>
      </c>
      <c r="EX103" s="8">
        <v>710</v>
      </c>
      <c r="EY103" s="8">
        <v>710</v>
      </c>
      <c r="EZ103" s="8">
        <v>710</v>
      </c>
      <c r="FA103" s="8">
        <v>710</v>
      </c>
      <c r="FB103" s="9">
        <f t="shared" si="87"/>
        <v>710</v>
      </c>
      <c r="FC103" s="8">
        <v>10</v>
      </c>
      <c r="FD103" s="8">
        <v>10</v>
      </c>
      <c r="FE103" s="8">
        <v>10</v>
      </c>
      <c r="FF103" s="8">
        <v>10</v>
      </c>
      <c r="FG103" s="8">
        <v>10</v>
      </c>
      <c r="FH103" s="8">
        <v>10</v>
      </c>
      <c r="FI103" s="8">
        <v>10</v>
      </c>
      <c r="FJ103" s="8"/>
      <c r="FK103" s="8"/>
      <c r="FL103" s="8"/>
      <c r="FM103" s="8"/>
      <c r="FN103" s="8"/>
      <c r="FO103" s="9">
        <f t="shared" si="88"/>
        <v>10</v>
      </c>
    </row>
    <row r="104" spans="2:171" ht="14.25" customHeight="1" x14ac:dyDescent="0.3">
      <c r="B104" s="7" t="s">
        <v>48</v>
      </c>
      <c r="C104" s="8">
        <v>8794</v>
      </c>
      <c r="D104" s="8">
        <v>8794</v>
      </c>
      <c r="E104" s="8">
        <v>8794</v>
      </c>
      <c r="F104" s="8">
        <v>8794</v>
      </c>
      <c r="G104" s="8">
        <v>8794</v>
      </c>
      <c r="H104" s="8">
        <v>8794</v>
      </c>
      <c r="I104" s="8">
        <v>8794</v>
      </c>
      <c r="J104" s="8">
        <v>8794</v>
      </c>
      <c r="K104" s="8">
        <v>8794</v>
      </c>
      <c r="L104" s="8">
        <v>8794</v>
      </c>
      <c r="M104" s="8">
        <v>8794</v>
      </c>
      <c r="N104" s="8">
        <v>8794</v>
      </c>
      <c r="O104" s="9">
        <f t="shared" si="76"/>
        <v>8794</v>
      </c>
      <c r="P104" s="8">
        <v>13274</v>
      </c>
      <c r="Q104" s="8">
        <v>13274</v>
      </c>
      <c r="R104" s="8">
        <v>13274</v>
      </c>
      <c r="S104" s="8">
        <v>13274</v>
      </c>
      <c r="T104" s="8">
        <v>13274</v>
      </c>
      <c r="U104" s="8">
        <v>13274</v>
      </c>
      <c r="V104" s="8">
        <v>13274</v>
      </c>
      <c r="W104" s="8">
        <v>13274</v>
      </c>
      <c r="X104" s="8">
        <v>13274</v>
      </c>
      <c r="Y104" s="8">
        <v>13274</v>
      </c>
      <c r="Z104" s="8">
        <v>13274</v>
      </c>
      <c r="AA104" s="8">
        <v>13274</v>
      </c>
      <c r="AB104" s="9">
        <f t="shared" si="77"/>
        <v>13274</v>
      </c>
      <c r="AC104" s="8">
        <v>15315</v>
      </c>
      <c r="AD104" s="8">
        <v>15315</v>
      </c>
      <c r="AE104" s="8">
        <v>15315</v>
      </c>
      <c r="AF104" s="8">
        <v>354259</v>
      </c>
      <c r="AG104" s="8">
        <v>354259</v>
      </c>
      <c r="AH104" s="8">
        <v>354259</v>
      </c>
      <c r="AI104" s="8">
        <v>354259</v>
      </c>
      <c r="AJ104" s="8">
        <v>354259</v>
      </c>
      <c r="AK104" s="8">
        <v>354259</v>
      </c>
      <c r="AL104" s="8">
        <v>354259</v>
      </c>
      <c r="AM104" s="8">
        <v>354259</v>
      </c>
      <c r="AN104" s="8">
        <v>354259</v>
      </c>
      <c r="AO104" s="9">
        <f t="shared" si="78"/>
        <v>354259</v>
      </c>
      <c r="AP104" s="8">
        <v>13699</v>
      </c>
      <c r="AQ104" s="8">
        <v>13699</v>
      </c>
      <c r="AR104" s="8">
        <v>13699</v>
      </c>
      <c r="AS104" s="8">
        <v>13699</v>
      </c>
      <c r="AT104" s="8">
        <v>13699</v>
      </c>
      <c r="AU104" s="8">
        <v>13699</v>
      </c>
      <c r="AV104" s="8">
        <v>13699</v>
      </c>
      <c r="AW104" s="8">
        <v>13699</v>
      </c>
      <c r="AX104" s="8">
        <v>1243966</v>
      </c>
      <c r="AY104" s="8">
        <v>1243966</v>
      </c>
      <c r="AZ104" s="8">
        <v>1243966</v>
      </c>
      <c r="BA104" s="8">
        <v>1243966</v>
      </c>
      <c r="BB104" s="9">
        <f t="shared" si="79"/>
        <v>1243966</v>
      </c>
      <c r="BC104" s="8">
        <v>18833</v>
      </c>
      <c r="BD104" s="8">
        <v>18833</v>
      </c>
      <c r="BE104" s="8">
        <v>18833</v>
      </c>
      <c r="BF104" s="8">
        <v>18833</v>
      </c>
      <c r="BG104" s="8">
        <v>18833</v>
      </c>
      <c r="BH104" s="8">
        <v>18833</v>
      </c>
      <c r="BI104" s="8">
        <v>15578</v>
      </c>
      <c r="BJ104" s="8">
        <v>15578</v>
      </c>
      <c r="BK104" s="8">
        <v>15578</v>
      </c>
      <c r="BL104" s="8">
        <v>15578</v>
      </c>
      <c r="BM104" s="8">
        <v>15578</v>
      </c>
      <c r="BN104" s="8">
        <v>15578</v>
      </c>
      <c r="BO104" s="9">
        <f t="shared" si="80"/>
        <v>15578</v>
      </c>
      <c r="BP104" s="8">
        <v>13337</v>
      </c>
      <c r="BQ104" s="8">
        <v>13337</v>
      </c>
      <c r="BR104" s="8">
        <v>13337</v>
      </c>
      <c r="BS104" s="8">
        <v>13337</v>
      </c>
      <c r="BT104" s="8">
        <v>13337</v>
      </c>
      <c r="BU104" s="8">
        <v>13337</v>
      </c>
      <c r="BV104" s="8">
        <v>13337</v>
      </c>
      <c r="BW104" s="8">
        <v>13337</v>
      </c>
      <c r="BX104" s="8">
        <v>1232119</v>
      </c>
      <c r="BY104" s="8">
        <v>1232119</v>
      </c>
      <c r="BZ104" s="8">
        <v>1232119</v>
      </c>
      <c r="CA104" s="8">
        <v>1232119</v>
      </c>
      <c r="CB104" s="9">
        <f t="shared" si="81"/>
        <v>1232119</v>
      </c>
      <c r="CC104" s="8">
        <v>13684</v>
      </c>
      <c r="CD104" s="8">
        <v>13684</v>
      </c>
      <c r="CE104" s="8">
        <v>13684</v>
      </c>
      <c r="CF104" s="8">
        <v>9579</v>
      </c>
      <c r="CG104" s="8">
        <v>4789</v>
      </c>
      <c r="CH104" s="8">
        <v>4789</v>
      </c>
      <c r="CI104" s="8">
        <v>4789</v>
      </c>
      <c r="CJ104" s="8">
        <v>4789</v>
      </c>
      <c r="CK104" s="8">
        <v>4789</v>
      </c>
      <c r="CL104" s="8">
        <v>4789</v>
      </c>
      <c r="CM104" s="8">
        <v>13684</v>
      </c>
      <c r="CN104" s="8">
        <v>13684</v>
      </c>
      <c r="CO104" s="9">
        <f t="shared" si="82"/>
        <v>13684</v>
      </c>
      <c r="CP104" s="8">
        <v>7771</v>
      </c>
      <c r="CQ104" s="8">
        <v>7771</v>
      </c>
      <c r="CR104" s="8">
        <v>7771</v>
      </c>
      <c r="CS104" s="8">
        <v>7771</v>
      </c>
      <c r="CT104" s="8">
        <v>7771</v>
      </c>
      <c r="CU104" s="8">
        <v>7771</v>
      </c>
      <c r="CV104" s="8">
        <v>7771</v>
      </c>
      <c r="CW104" s="8">
        <v>7771</v>
      </c>
      <c r="CX104" s="8">
        <v>7771</v>
      </c>
      <c r="CY104" s="8">
        <v>7771</v>
      </c>
      <c r="CZ104" s="8">
        <v>7771</v>
      </c>
      <c r="DA104" s="8">
        <v>7771</v>
      </c>
      <c r="DB104" s="9">
        <f t="shared" si="83"/>
        <v>7771</v>
      </c>
      <c r="DC104" s="8">
        <v>0</v>
      </c>
      <c r="DD104" s="8">
        <v>0</v>
      </c>
      <c r="DE104" s="8">
        <v>0</v>
      </c>
      <c r="DF104" s="8">
        <v>0</v>
      </c>
      <c r="DG104" s="8">
        <v>0</v>
      </c>
      <c r="DH104" s="8">
        <v>0</v>
      </c>
      <c r="DI104" s="8">
        <v>0</v>
      </c>
      <c r="DJ104" s="8">
        <v>0</v>
      </c>
      <c r="DK104" s="8">
        <v>0</v>
      </c>
      <c r="DL104" s="8">
        <v>0</v>
      </c>
      <c r="DM104" s="8">
        <v>8335525</v>
      </c>
      <c r="DN104" s="8">
        <v>8335525</v>
      </c>
      <c r="DO104" s="9">
        <f t="shared" si="84"/>
        <v>8335525</v>
      </c>
      <c r="DP104" s="8">
        <v>0</v>
      </c>
      <c r="DQ104" s="8">
        <v>0</v>
      </c>
      <c r="DR104" s="8">
        <v>0</v>
      </c>
      <c r="DS104" s="8">
        <v>0</v>
      </c>
      <c r="DT104" s="8">
        <v>0</v>
      </c>
      <c r="DU104" s="8">
        <v>0</v>
      </c>
      <c r="DV104" s="8">
        <v>0</v>
      </c>
      <c r="DW104" s="8">
        <v>0</v>
      </c>
      <c r="DX104" s="8">
        <v>0</v>
      </c>
      <c r="DY104" s="8">
        <v>0</v>
      </c>
      <c r="DZ104" s="8">
        <v>0</v>
      </c>
      <c r="EA104" s="8">
        <v>329064</v>
      </c>
      <c r="EB104" s="9">
        <f t="shared" si="85"/>
        <v>329064</v>
      </c>
      <c r="EC104" s="8">
        <v>0</v>
      </c>
      <c r="ED104" s="8">
        <v>0</v>
      </c>
      <c r="EE104" s="8">
        <v>0</v>
      </c>
      <c r="EF104" s="8">
        <v>0</v>
      </c>
      <c r="EG104" s="8">
        <v>5926</v>
      </c>
      <c r="EH104" s="8">
        <v>5926</v>
      </c>
      <c r="EI104" s="8">
        <v>5926</v>
      </c>
      <c r="EJ104" s="8">
        <v>5926</v>
      </c>
      <c r="EK104" s="8">
        <v>5926</v>
      </c>
      <c r="EL104" s="8">
        <v>6646</v>
      </c>
      <c r="EM104" s="8">
        <v>6646</v>
      </c>
      <c r="EN104" s="8">
        <v>6646</v>
      </c>
      <c r="EO104" s="9">
        <f t="shared" si="86"/>
        <v>6646</v>
      </c>
      <c r="EP104" s="8">
        <v>6540</v>
      </c>
      <c r="EQ104" s="8">
        <v>6540</v>
      </c>
      <c r="ER104" s="8">
        <v>6540</v>
      </c>
      <c r="ES104" s="8">
        <v>6540</v>
      </c>
      <c r="ET104" s="8">
        <v>6540</v>
      </c>
      <c r="EU104" s="8">
        <v>6540</v>
      </c>
      <c r="EV104" s="8">
        <v>6540</v>
      </c>
      <c r="EW104" s="8">
        <v>6540</v>
      </c>
      <c r="EX104" s="8">
        <v>6540</v>
      </c>
      <c r="EY104" s="8">
        <v>6540</v>
      </c>
      <c r="EZ104" s="8">
        <v>6540</v>
      </c>
      <c r="FA104" s="8">
        <v>6540</v>
      </c>
      <c r="FB104" s="9">
        <f t="shared" si="87"/>
        <v>6540</v>
      </c>
      <c r="FC104" s="8">
        <v>10</v>
      </c>
      <c r="FD104" s="8">
        <v>10</v>
      </c>
      <c r="FE104" s="8">
        <v>10</v>
      </c>
      <c r="FF104" s="8">
        <v>10</v>
      </c>
      <c r="FG104" s="8">
        <v>10</v>
      </c>
      <c r="FH104" s="8">
        <v>10</v>
      </c>
      <c r="FI104" s="8">
        <v>10</v>
      </c>
      <c r="FJ104" s="8"/>
      <c r="FK104" s="8"/>
      <c r="FL104" s="8"/>
      <c r="FM104" s="8"/>
      <c r="FN104" s="8"/>
      <c r="FO104" s="9">
        <f t="shared" si="88"/>
        <v>10</v>
      </c>
    </row>
    <row r="105" spans="2:171" ht="14.25" customHeight="1" x14ac:dyDescent="0.3">
      <c r="B105" s="7" t="s">
        <v>49</v>
      </c>
      <c r="C105" s="8">
        <v>19164</v>
      </c>
      <c r="D105" s="8">
        <v>19164</v>
      </c>
      <c r="E105" s="8">
        <v>19164</v>
      </c>
      <c r="F105" s="8">
        <v>19164</v>
      </c>
      <c r="G105" s="8">
        <v>19164</v>
      </c>
      <c r="H105" s="8">
        <v>19164</v>
      </c>
      <c r="I105" s="8">
        <v>19164</v>
      </c>
      <c r="J105" s="8">
        <v>19164</v>
      </c>
      <c r="K105" s="8">
        <v>19164</v>
      </c>
      <c r="L105" s="8">
        <v>19164</v>
      </c>
      <c r="M105" s="8">
        <v>19164</v>
      </c>
      <c r="N105" s="8">
        <v>19164</v>
      </c>
      <c r="O105" s="9">
        <f t="shared" si="76"/>
        <v>19164</v>
      </c>
      <c r="P105" s="8">
        <v>20898</v>
      </c>
      <c r="Q105" s="8">
        <v>20898</v>
      </c>
      <c r="R105" s="8">
        <v>1337840</v>
      </c>
      <c r="S105" s="8">
        <v>1337840</v>
      </c>
      <c r="T105" s="8">
        <v>1337840</v>
      </c>
      <c r="U105" s="8">
        <v>1337840</v>
      </c>
      <c r="V105" s="8">
        <v>1337840</v>
      </c>
      <c r="W105" s="8">
        <v>1337840</v>
      </c>
      <c r="X105" s="8">
        <v>1355440</v>
      </c>
      <c r="Y105" s="8">
        <v>1375440</v>
      </c>
      <c r="Z105" s="8">
        <v>1375440</v>
      </c>
      <c r="AA105" s="8">
        <v>1375440</v>
      </c>
      <c r="AB105" s="9">
        <f t="shared" si="77"/>
        <v>1375440</v>
      </c>
      <c r="AC105" s="8">
        <v>16233</v>
      </c>
      <c r="AD105" s="8">
        <v>16233</v>
      </c>
      <c r="AE105" s="8">
        <v>87066</v>
      </c>
      <c r="AF105" s="8">
        <v>87066</v>
      </c>
      <c r="AG105" s="8">
        <v>87066</v>
      </c>
      <c r="AH105" s="8">
        <v>87066</v>
      </c>
      <c r="AI105" s="8">
        <v>87066</v>
      </c>
      <c r="AJ105" s="8">
        <v>87066</v>
      </c>
      <c r="AK105" s="8">
        <v>87066</v>
      </c>
      <c r="AL105" s="8">
        <v>87066</v>
      </c>
      <c r="AM105" s="8">
        <v>897066</v>
      </c>
      <c r="AN105" s="8">
        <v>2291726</v>
      </c>
      <c r="AO105" s="9">
        <f t="shared" si="78"/>
        <v>2291726</v>
      </c>
      <c r="AP105" s="8">
        <v>15038</v>
      </c>
      <c r="AQ105" s="8">
        <v>15038</v>
      </c>
      <c r="AR105" s="8">
        <v>15038</v>
      </c>
      <c r="AS105" s="8">
        <v>1127220</v>
      </c>
      <c r="AT105" s="8">
        <v>1127220</v>
      </c>
      <c r="AU105" s="8">
        <v>1156953</v>
      </c>
      <c r="AV105" s="8">
        <v>1156953</v>
      </c>
      <c r="AW105" s="8">
        <v>1156953</v>
      </c>
      <c r="AX105" s="8">
        <v>1156953</v>
      </c>
      <c r="AY105" s="8">
        <v>1156953</v>
      </c>
      <c r="AZ105" s="8">
        <v>1156953</v>
      </c>
      <c r="BA105" s="8">
        <v>2133191</v>
      </c>
      <c r="BB105" s="9">
        <f t="shared" si="79"/>
        <v>2133191</v>
      </c>
      <c r="BC105" s="8">
        <v>17276</v>
      </c>
      <c r="BD105" s="8">
        <v>17276</v>
      </c>
      <c r="BE105" s="8">
        <v>17276</v>
      </c>
      <c r="BF105" s="8">
        <v>17276</v>
      </c>
      <c r="BG105" s="8">
        <v>17276</v>
      </c>
      <c r="BH105" s="8">
        <v>17276</v>
      </c>
      <c r="BI105" s="8">
        <v>14167</v>
      </c>
      <c r="BJ105" s="8">
        <v>14167</v>
      </c>
      <c r="BK105" s="8">
        <v>14167</v>
      </c>
      <c r="BL105" s="8">
        <v>14167</v>
      </c>
      <c r="BM105" s="8">
        <v>14167</v>
      </c>
      <c r="BN105" s="8">
        <v>82639</v>
      </c>
      <c r="BO105" s="9">
        <f t="shared" si="80"/>
        <v>82639</v>
      </c>
      <c r="BP105" s="8">
        <v>11951</v>
      </c>
      <c r="BQ105" s="8">
        <v>11951</v>
      </c>
      <c r="BR105" s="8">
        <v>11951</v>
      </c>
      <c r="BS105" s="8">
        <v>11951</v>
      </c>
      <c r="BT105" s="8">
        <v>11951</v>
      </c>
      <c r="BU105" s="8">
        <v>11951</v>
      </c>
      <c r="BV105" s="8">
        <v>11951</v>
      </c>
      <c r="BW105" s="8">
        <v>11951</v>
      </c>
      <c r="BX105" s="8">
        <v>11951</v>
      </c>
      <c r="BY105" s="8">
        <v>11951</v>
      </c>
      <c r="BZ105" s="8">
        <v>11951</v>
      </c>
      <c r="CA105" s="8">
        <v>11951</v>
      </c>
      <c r="CB105" s="9">
        <f t="shared" si="81"/>
        <v>11951</v>
      </c>
      <c r="CC105" s="8">
        <v>12262</v>
      </c>
      <c r="CD105" s="8">
        <v>12262</v>
      </c>
      <c r="CE105" s="8">
        <v>12262</v>
      </c>
      <c r="CF105" s="8">
        <v>8584</v>
      </c>
      <c r="CG105" s="8">
        <v>4330</v>
      </c>
      <c r="CH105" s="8">
        <v>4330</v>
      </c>
      <c r="CI105" s="8">
        <v>4330</v>
      </c>
      <c r="CJ105" s="8">
        <v>4330</v>
      </c>
      <c r="CK105" s="8">
        <v>4330</v>
      </c>
      <c r="CL105" s="8">
        <v>4330</v>
      </c>
      <c r="CM105" s="8">
        <v>1149753</v>
      </c>
      <c r="CN105" s="8">
        <v>1149753</v>
      </c>
      <c r="CO105" s="9">
        <f t="shared" si="82"/>
        <v>1149753</v>
      </c>
      <c r="CP105" s="8">
        <v>9458</v>
      </c>
      <c r="CQ105" s="8">
        <v>9458</v>
      </c>
      <c r="CR105" s="8">
        <v>9458</v>
      </c>
      <c r="CS105" s="8">
        <v>9458</v>
      </c>
      <c r="CT105" s="8">
        <v>1661590</v>
      </c>
      <c r="CU105" s="8">
        <v>1662157</v>
      </c>
      <c r="CV105" s="8">
        <v>1662157</v>
      </c>
      <c r="CW105" s="8">
        <v>1662157</v>
      </c>
      <c r="CX105" s="8">
        <v>1662157</v>
      </c>
      <c r="CY105" s="8">
        <v>1662778</v>
      </c>
      <c r="CZ105" s="8">
        <v>1662778</v>
      </c>
      <c r="DA105" s="8">
        <v>1662778</v>
      </c>
      <c r="DB105" s="9">
        <f t="shared" si="83"/>
        <v>1662778</v>
      </c>
      <c r="DC105" s="8">
        <v>0</v>
      </c>
      <c r="DD105" s="8">
        <v>0</v>
      </c>
      <c r="DE105" s="8">
        <v>0</v>
      </c>
      <c r="DF105" s="8">
        <v>0</v>
      </c>
      <c r="DG105" s="8">
        <v>0</v>
      </c>
      <c r="DH105" s="8">
        <v>0</v>
      </c>
      <c r="DI105" s="8">
        <v>0</v>
      </c>
      <c r="DJ105" s="8">
        <v>0</v>
      </c>
      <c r="DK105" s="8">
        <v>0</v>
      </c>
      <c r="DL105" s="8">
        <v>0</v>
      </c>
      <c r="DM105" s="8">
        <v>5385954</v>
      </c>
      <c r="DN105" s="8">
        <v>25574386</v>
      </c>
      <c r="DO105" s="9">
        <f t="shared" si="84"/>
        <v>25574386</v>
      </c>
      <c r="DP105" s="8">
        <v>0</v>
      </c>
      <c r="DQ105" s="8">
        <v>0</v>
      </c>
      <c r="DR105" s="8">
        <v>0</v>
      </c>
      <c r="DS105" s="8">
        <v>0</v>
      </c>
      <c r="DT105" s="8">
        <v>0</v>
      </c>
      <c r="DU105" s="8">
        <v>0</v>
      </c>
      <c r="DV105" s="8">
        <v>0</v>
      </c>
      <c r="DW105" s="8">
        <v>0</v>
      </c>
      <c r="DX105" s="8">
        <v>0</v>
      </c>
      <c r="DY105" s="8">
        <v>0</v>
      </c>
      <c r="DZ105" s="8">
        <v>0</v>
      </c>
      <c r="EA105" s="8">
        <v>115827</v>
      </c>
      <c r="EB105" s="9">
        <f t="shared" si="85"/>
        <v>115827</v>
      </c>
      <c r="EC105" s="8">
        <v>0</v>
      </c>
      <c r="ED105" s="8">
        <v>0</v>
      </c>
      <c r="EE105" s="8">
        <v>0</v>
      </c>
      <c r="EF105" s="8">
        <v>0</v>
      </c>
      <c r="EG105" s="8">
        <v>8466</v>
      </c>
      <c r="EH105" s="8">
        <v>6091623</v>
      </c>
      <c r="EI105" s="8">
        <v>6091623</v>
      </c>
      <c r="EJ105" s="8">
        <v>6091623</v>
      </c>
      <c r="EK105" s="8">
        <v>6091623</v>
      </c>
      <c r="EL105" s="8">
        <v>6092813</v>
      </c>
      <c r="EM105" s="8">
        <v>6092813</v>
      </c>
      <c r="EN105" s="8">
        <v>6092813</v>
      </c>
      <c r="EO105" s="9">
        <f t="shared" si="86"/>
        <v>6092813</v>
      </c>
      <c r="EP105" s="8">
        <v>6033</v>
      </c>
      <c r="EQ105" s="8">
        <v>6033</v>
      </c>
      <c r="ER105" s="8">
        <v>6033</v>
      </c>
      <c r="ES105" s="8">
        <v>6033</v>
      </c>
      <c r="ET105" s="8">
        <v>6033</v>
      </c>
      <c r="EU105" s="8">
        <v>6033</v>
      </c>
      <c r="EV105" s="8">
        <v>6033</v>
      </c>
      <c r="EW105" s="8">
        <v>6033</v>
      </c>
      <c r="EX105" s="8">
        <v>6033</v>
      </c>
      <c r="EY105" s="8">
        <v>6033</v>
      </c>
      <c r="EZ105" s="8">
        <v>6033</v>
      </c>
      <c r="FA105" s="8">
        <v>6033</v>
      </c>
      <c r="FB105" s="9">
        <f t="shared" si="87"/>
        <v>6033</v>
      </c>
      <c r="FC105" s="8">
        <v>10</v>
      </c>
      <c r="FD105" s="8">
        <v>10</v>
      </c>
      <c r="FE105" s="8">
        <v>10</v>
      </c>
      <c r="FF105" s="8">
        <v>10</v>
      </c>
      <c r="FG105" s="8">
        <v>10</v>
      </c>
      <c r="FH105" s="8">
        <v>10</v>
      </c>
      <c r="FI105" s="8">
        <v>10</v>
      </c>
      <c r="FJ105" s="8"/>
      <c r="FK105" s="8"/>
      <c r="FL105" s="8"/>
      <c r="FM105" s="8"/>
      <c r="FN105" s="8"/>
      <c r="FO105" s="9">
        <f t="shared" si="88"/>
        <v>10</v>
      </c>
    </row>
    <row r="106" spans="2:171" ht="14.25" customHeight="1" x14ac:dyDescent="0.3">
      <c r="B106" s="7" t="s">
        <v>50</v>
      </c>
      <c r="C106" s="8">
        <v>22603</v>
      </c>
      <c r="D106" s="8">
        <v>22603</v>
      </c>
      <c r="E106" s="8">
        <v>22603</v>
      </c>
      <c r="F106" s="8">
        <v>22603</v>
      </c>
      <c r="G106" s="8">
        <v>22603</v>
      </c>
      <c r="H106" s="8">
        <v>22603</v>
      </c>
      <c r="I106" s="8">
        <v>22603</v>
      </c>
      <c r="J106" s="8">
        <v>22603</v>
      </c>
      <c r="K106" s="8">
        <v>756403</v>
      </c>
      <c r="L106" s="8">
        <v>756403</v>
      </c>
      <c r="M106" s="8">
        <v>756403</v>
      </c>
      <c r="N106" s="8">
        <v>788479</v>
      </c>
      <c r="O106" s="9">
        <f t="shared" si="76"/>
        <v>788479</v>
      </c>
      <c r="P106" s="8">
        <v>126364</v>
      </c>
      <c r="Q106" s="8">
        <v>126364</v>
      </c>
      <c r="R106" s="8">
        <v>126364</v>
      </c>
      <c r="S106" s="8">
        <v>491628</v>
      </c>
      <c r="T106" s="8">
        <v>491628</v>
      </c>
      <c r="U106" s="8">
        <v>491628</v>
      </c>
      <c r="V106" s="8">
        <v>491628</v>
      </c>
      <c r="W106" s="8">
        <v>491628</v>
      </c>
      <c r="X106" s="8">
        <v>491628</v>
      </c>
      <c r="Y106" s="8">
        <v>491628</v>
      </c>
      <c r="Z106" s="8">
        <v>491628</v>
      </c>
      <c r="AA106" s="8">
        <v>1032986</v>
      </c>
      <c r="AB106" s="9">
        <f t="shared" si="77"/>
        <v>1032986</v>
      </c>
      <c r="AC106" s="8">
        <v>572264</v>
      </c>
      <c r="AD106" s="8">
        <v>572264</v>
      </c>
      <c r="AE106" s="8">
        <v>572264</v>
      </c>
      <c r="AF106" s="8">
        <v>572264</v>
      </c>
      <c r="AG106" s="8">
        <v>572264</v>
      </c>
      <c r="AH106" s="8">
        <v>574764</v>
      </c>
      <c r="AI106" s="8">
        <v>574764</v>
      </c>
      <c r="AJ106" s="8">
        <v>574764</v>
      </c>
      <c r="AK106" s="8">
        <v>574764</v>
      </c>
      <c r="AL106" s="8">
        <v>574764</v>
      </c>
      <c r="AM106" s="8">
        <v>574764</v>
      </c>
      <c r="AN106" s="8">
        <v>2284764</v>
      </c>
      <c r="AO106" s="9">
        <f t="shared" si="78"/>
        <v>2284764</v>
      </c>
      <c r="AP106" s="8">
        <v>187666</v>
      </c>
      <c r="AQ106" s="8">
        <v>187666</v>
      </c>
      <c r="AR106" s="8">
        <v>187666</v>
      </c>
      <c r="AS106" s="8">
        <v>187666</v>
      </c>
      <c r="AT106" s="8">
        <v>188666</v>
      </c>
      <c r="AU106" s="8">
        <v>188666</v>
      </c>
      <c r="AV106" s="8">
        <v>188666</v>
      </c>
      <c r="AW106" s="8">
        <v>188666</v>
      </c>
      <c r="AX106" s="8">
        <v>188666</v>
      </c>
      <c r="AY106" s="8">
        <v>188666</v>
      </c>
      <c r="AZ106" s="8">
        <v>188666</v>
      </c>
      <c r="BA106" s="8">
        <v>59997</v>
      </c>
      <c r="BB106" s="9">
        <f t="shared" si="79"/>
        <v>59997</v>
      </c>
      <c r="BC106" s="8">
        <v>29913</v>
      </c>
      <c r="BD106" s="8">
        <v>29913</v>
      </c>
      <c r="BE106" s="8">
        <v>1111645</v>
      </c>
      <c r="BF106" s="8">
        <v>1111645</v>
      </c>
      <c r="BG106" s="8">
        <v>1111645</v>
      </c>
      <c r="BH106" s="8">
        <v>1111645</v>
      </c>
      <c r="BI106" s="8">
        <v>1106031</v>
      </c>
      <c r="BJ106" s="8">
        <v>1106031</v>
      </c>
      <c r="BK106" s="8">
        <v>24299</v>
      </c>
      <c r="BL106" s="8">
        <v>24299</v>
      </c>
      <c r="BM106" s="8">
        <v>24299</v>
      </c>
      <c r="BN106" s="8">
        <v>1082931</v>
      </c>
      <c r="BO106" s="9">
        <f t="shared" si="80"/>
        <v>1082931</v>
      </c>
      <c r="BP106" s="8">
        <v>22012</v>
      </c>
      <c r="BQ106" s="8">
        <v>22012</v>
      </c>
      <c r="BR106" s="8">
        <v>22012</v>
      </c>
      <c r="BS106" s="8">
        <v>22012</v>
      </c>
      <c r="BT106" s="8">
        <v>22012</v>
      </c>
      <c r="BU106" s="8">
        <v>22012</v>
      </c>
      <c r="BV106" s="8">
        <v>22012</v>
      </c>
      <c r="BW106" s="8">
        <v>22012</v>
      </c>
      <c r="BX106" s="8">
        <v>22012</v>
      </c>
      <c r="BY106" s="8">
        <v>22012</v>
      </c>
      <c r="BZ106" s="8">
        <v>755655</v>
      </c>
      <c r="CA106" s="8">
        <v>755655</v>
      </c>
      <c r="CB106" s="9">
        <f t="shared" si="81"/>
        <v>755655</v>
      </c>
      <c r="CC106" s="8">
        <v>180044</v>
      </c>
      <c r="CD106" s="8">
        <v>180044</v>
      </c>
      <c r="CE106" s="8">
        <v>180044</v>
      </c>
      <c r="CF106" s="8">
        <v>173269</v>
      </c>
      <c r="CG106" s="8">
        <v>90600</v>
      </c>
      <c r="CH106" s="8">
        <v>90600</v>
      </c>
      <c r="CI106" s="8">
        <v>540623</v>
      </c>
      <c r="CJ106" s="8">
        <v>540623</v>
      </c>
      <c r="CK106" s="8">
        <v>540623</v>
      </c>
      <c r="CL106" s="8">
        <v>1961048</v>
      </c>
      <c r="CM106" s="8">
        <v>3449031</v>
      </c>
      <c r="CN106" s="8">
        <v>3449031</v>
      </c>
      <c r="CO106" s="9">
        <f t="shared" si="82"/>
        <v>3449031</v>
      </c>
      <c r="CP106" s="8">
        <v>16432</v>
      </c>
      <c r="CQ106" s="8">
        <v>16432</v>
      </c>
      <c r="CR106" s="8">
        <v>16432</v>
      </c>
      <c r="CS106" s="8">
        <v>16432</v>
      </c>
      <c r="CT106" s="8">
        <v>16432</v>
      </c>
      <c r="CU106" s="8">
        <v>16432</v>
      </c>
      <c r="CV106" s="8">
        <v>16432</v>
      </c>
      <c r="CW106" s="8">
        <v>1463147</v>
      </c>
      <c r="CX106" s="8">
        <v>1463147</v>
      </c>
      <c r="CY106" s="8">
        <v>1463147</v>
      </c>
      <c r="CZ106" s="8">
        <v>1463147</v>
      </c>
      <c r="DA106" s="8">
        <v>1985593</v>
      </c>
      <c r="DB106" s="9">
        <f t="shared" si="83"/>
        <v>1985593</v>
      </c>
      <c r="DC106" s="8">
        <v>0</v>
      </c>
      <c r="DD106" s="8">
        <v>0</v>
      </c>
      <c r="DE106" s="8">
        <v>0</v>
      </c>
      <c r="DF106" s="8">
        <v>0</v>
      </c>
      <c r="DG106" s="8">
        <v>4326119</v>
      </c>
      <c r="DH106" s="8">
        <v>4326119</v>
      </c>
      <c r="DI106" s="8">
        <v>4326119</v>
      </c>
      <c r="DJ106" s="8">
        <v>4326119</v>
      </c>
      <c r="DK106" s="8">
        <v>4645716</v>
      </c>
      <c r="DL106" s="8">
        <v>4645716</v>
      </c>
      <c r="DM106" s="8">
        <v>16485804</v>
      </c>
      <c r="DN106" s="8">
        <v>17202625</v>
      </c>
      <c r="DO106" s="9">
        <f t="shared" si="84"/>
        <v>17202625</v>
      </c>
      <c r="DP106" s="8">
        <v>3986250</v>
      </c>
      <c r="DQ106" s="8">
        <v>3986250</v>
      </c>
      <c r="DR106" s="8">
        <v>3986250</v>
      </c>
      <c r="DS106" s="8">
        <v>3986250</v>
      </c>
      <c r="DT106" s="8">
        <v>3986250</v>
      </c>
      <c r="DU106" s="8">
        <v>3986250</v>
      </c>
      <c r="DV106" s="8">
        <v>3986250</v>
      </c>
      <c r="DW106" s="8">
        <v>3986250</v>
      </c>
      <c r="DX106" s="8">
        <v>3986250</v>
      </c>
      <c r="DY106" s="8">
        <v>3986250</v>
      </c>
      <c r="DZ106" s="8">
        <v>3986250</v>
      </c>
      <c r="EA106" s="8">
        <v>3986250</v>
      </c>
      <c r="EB106" s="9">
        <f t="shared" si="85"/>
        <v>3986250</v>
      </c>
      <c r="EC106" s="8">
        <v>0</v>
      </c>
      <c r="ED106" s="8">
        <v>0</v>
      </c>
      <c r="EE106" s="8">
        <v>0</v>
      </c>
      <c r="EF106" s="8">
        <v>0</v>
      </c>
      <c r="EG106" s="8">
        <v>20317</v>
      </c>
      <c r="EH106" s="8">
        <v>20317</v>
      </c>
      <c r="EI106" s="8">
        <v>20317</v>
      </c>
      <c r="EJ106" s="8">
        <v>20317</v>
      </c>
      <c r="EK106" s="8">
        <v>20317</v>
      </c>
      <c r="EL106" s="8">
        <v>21887</v>
      </c>
      <c r="EM106" s="8">
        <v>21887</v>
      </c>
      <c r="EN106" s="8">
        <v>21887</v>
      </c>
      <c r="EO106" s="9">
        <f t="shared" si="86"/>
        <v>21887</v>
      </c>
      <c r="EP106" s="8">
        <v>7139</v>
      </c>
      <c r="EQ106" s="8">
        <v>7139</v>
      </c>
      <c r="ER106" s="8">
        <v>7139</v>
      </c>
      <c r="ES106" s="8">
        <v>7139</v>
      </c>
      <c r="ET106" s="8">
        <v>7139</v>
      </c>
      <c r="EU106" s="8">
        <v>7139</v>
      </c>
      <c r="EV106" s="8">
        <v>7139</v>
      </c>
      <c r="EW106" s="8">
        <v>7139</v>
      </c>
      <c r="EX106" s="8">
        <v>7139</v>
      </c>
      <c r="EY106" s="8">
        <v>7139</v>
      </c>
      <c r="EZ106" s="8">
        <v>7139</v>
      </c>
      <c r="FA106" s="8">
        <v>10998043</v>
      </c>
      <c r="FB106" s="9">
        <f t="shared" si="87"/>
        <v>10998043</v>
      </c>
      <c r="FC106" s="8">
        <v>10</v>
      </c>
      <c r="FD106" s="8">
        <v>10</v>
      </c>
      <c r="FE106" s="8">
        <v>10</v>
      </c>
      <c r="FF106" s="8">
        <v>10</v>
      </c>
      <c r="FG106" s="8">
        <v>10</v>
      </c>
      <c r="FH106" s="8">
        <v>10</v>
      </c>
      <c r="FI106" s="8">
        <v>10</v>
      </c>
      <c r="FJ106" s="8"/>
      <c r="FK106" s="8"/>
      <c r="FL106" s="8"/>
      <c r="FM106" s="8"/>
      <c r="FN106" s="8"/>
      <c r="FO106" s="9">
        <f t="shared" si="88"/>
        <v>10</v>
      </c>
    </row>
    <row r="107" spans="2:171" ht="14.25" customHeight="1" x14ac:dyDescent="0.3">
      <c r="B107" s="7" t="s">
        <v>51</v>
      </c>
      <c r="C107" s="8">
        <v>52172</v>
      </c>
      <c r="D107" s="8">
        <v>52172</v>
      </c>
      <c r="E107" s="8">
        <v>52172</v>
      </c>
      <c r="F107" s="8">
        <v>52172</v>
      </c>
      <c r="G107" s="8">
        <v>316172</v>
      </c>
      <c r="H107" s="8">
        <v>14236138</v>
      </c>
      <c r="I107" s="8">
        <v>14236138</v>
      </c>
      <c r="J107" s="8">
        <v>14236138</v>
      </c>
      <c r="K107" s="8">
        <v>22278578</v>
      </c>
      <c r="L107" s="8">
        <v>32868288</v>
      </c>
      <c r="M107" s="8">
        <v>33073288</v>
      </c>
      <c r="N107" s="8">
        <v>36989603</v>
      </c>
      <c r="O107" s="9">
        <f t="shared" si="76"/>
        <v>36989603</v>
      </c>
      <c r="P107" s="8">
        <v>6810295</v>
      </c>
      <c r="Q107" s="8">
        <v>6810295</v>
      </c>
      <c r="R107" s="8">
        <v>6810295</v>
      </c>
      <c r="S107" s="8">
        <v>6810295</v>
      </c>
      <c r="T107" s="8">
        <v>6810295</v>
      </c>
      <c r="U107" s="8">
        <v>6810295</v>
      </c>
      <c r="V107" s="8">
        <v>6810295</v>
      </c>
      <c r="W107" s="8">
        <v>6810295</v>
      </c>
      <c r="X107" s="8">
        <v>6810295</v>
      </c>
      <c r="Y107" s="8">
        <v>6810295</v>
      </c>
      <c r="Z107" s="8">
        <v>7623318</v>
      </c>
      <c r="AA107" s="8">
        <v>14032001</v>
      </c>
      <c r="AB107" s="9">
        <f t="shared" si="77"/>
        <v>14032001</v>
      </c>
      <c r="AC107" s="8">
        <v>106766</v>
      </c>
      <c r="AD107" s="8">
        <v>106766</v>
      </c>
      <c r="AE107" s="8">
        <v>106766</v>
      </c>
      <c r="AF107" s="8">
        <v>109266</v>
      </c>
      <c r="AG107" s="8">
        <v>109266</v>
      </c>
      <c r="AH107" s="8">
        <v>109766</v>
      </c>
      <c r="AI107" s="8">
        <v>109766</v>
      </c>
      <c r="AJ107" s="8">
        <v>109766</v>
      </c>
      <c r="AK107" s="8">
        <v>1363360</v>
      </c>
      <c r="AL107" s="8">
        <v>1861003</v>
      </c>
      <c r="AM107" s="8">
        <v>1861003</v>
      </c>
      <c r="AN107" s="8">
        <v>1861003</v>
      </c>
      <c r="AO107" s="9">
        <f t="shared" si="78"/>
        <v>1861003</v>
      </c>
      <c r="AP107" s="8">
        <v>82915</v>
      </c>
      <c r="AQ107" s="8">
        <v>82915</v>
      </c>
      <c r="AR107" s="8">
        <v>82915</v>
      </c>
      <c r="AS107" s="8">
        <v>5587890</v>
      </c>
      <c r="AT107" s="8">
        <v>5590455</v>
      </c>
      <c r="AU107" s="8">
        <v>5590455</v>
      </c>
      <c r="AV107" s="8">
        <v>5590455</v>
      </c>
      <c r="AW107" s="8">
        <v>5590455</v>
      </c>
      <c r="AX107" s="8">
        <v>5590455</v>
      </c>
      <c r="AY107" s="8">
        <v>5590455</v>
      </c>
      <c r="AZ107" s="8">
        <v>5590455</v>
      </c>
      <c r="BA107" s="8">
        <v>16909905</v>
      </c>
      <c r="BB107" s="9">
        <f t="shared" si="79"/>
        <v>16909905</v>
      </c>
      <c r="BC107" s="8">
        <v>115897</v>
      </c>
      <c r="BD107" s="8">
        <v>115897</v>
      </c>
      <c r="BE107" s="8">
        <v>115897</v>
      </c>
      <c r="BF107" s="8">
        <v>115897</v>
      </c>
      <c r="BG107" s="8">
        <v>115897</v>
      </c>
      <c r="BH107" s="8">
        <v>115897</v>
      </c>
      <c r="BI107" s="8">
        <v>3664753</v>
      </c>
      <c r="BJ107" s="8">
        <v>3664753</v>
      </c>
      <c r="BK107" s="8">
        <v>3664753</v>
      </c>
      <c r="BL107" s="8">
        <v>3664753</v>
      </c>
      <c r="BM107" s="8">
        <v>3664753</v>
      </c>
      <c r="BN107" s="8">
        <v>3664753</v>
      </c>
      <c r="BO107" s="9">
        <f t="shared" si="80"/>
        <v>3664753</v>
      </c>
      <c r="BP107" s="8">
        <v>71643</v>
      </c>
      <c r="BQ107" s="8">
        <v>71643</v>
      </c>
      <c r="BR107" s="8">
        <v>71643</v>
      </c>
      <c r="BS107" s="8">
        <v>71643</v>
      </c>
      <c r="BT107" s="8">
        <v>71643</v>
      </c>
      <c r="BU107" s="8">
        <v>24064522</v>
      </c>
      <c r="BV107" s="8">
        <v>24064522</v>
      </c>
      <c r="BW107" s="8">
        <v>27314932</v>
      </c>
      <c r="BX107" s="8">
        <v>27314932</v>
      </c>
      <c r="BY107" s="8">
        <v>27314932</v>
      </c>
      <c r="BZ107" s="8">
        <v>27314932</v>
      </c>
      <c r="CA107" s="8">
        <v>25125412</v>
      </c>
      <c r="CB107" s="9">
        <f t="shared" si="81"/>
        <v>25125412</v>
      </c>
      <c r="CC107" s="8">
        <v>73506</v>
      </c>
      <c r="CD107" s="8">
        <v>73506</v>
      </c>
      <c r="CE107" s="8">
        <v>73506</v>
      </c>
      <c r="CF107" s="8">
        <v>51455</v>
      </c>
      <c r="CG107" s="8">
        <v>33048</v>
      </c>
      <c r="CH107" s="8">
        <v>33048</v>
      </c>
      <c r="CI107" s="8">
        <v>33048</v>
      </c>
      <c r="CJ107" s="8">
        <v>33048</v>
      </c>
      <c r="CK107" s="8">
        <v>8339993</v>
      </c>
      <c r="CL107" s="8">
        <v>8339993</v>
      </c>
      <c r="CM107" s="8">
        <v>8380451</v>
      </c>
      <c r="CN107" s="8">
        <v>10994892</v>
      </c>
      <c r="CO107" s="9">
        <f t="shared" si="82"/>
        <v>10994892</v>
      </c>
      <c r="CP107" s="8">
        <v>45774</v>
      </c>
      <c r="CQ107" s="8">
        <v>45774</v>
      </c>
      <c r="CR107" s="8">
        <v>45774</v>
      </c>
      <c r="CS107" s="8">
        <v>45774</v>
      </c>
      <c r="CT107" s="8">
        <v>10722943</v>
      </c>
      <c r="CU107" s="8">
        <v>10722943</v>
      </c>
      <c r="CV107" s="8">
        <v>10722943</v>
      </c>
      <c r="CW107" s="8">
        <v>10722943</v>
      </c>
      <c r="CX107" s="8">
        <v>10722943</v>
      </c>
      <c r="CY107" s="8">
        <v>10722943</v>
      </c>
      <c r="CZ107" s="8">
        <v>10722943</v>
      </c>
      <c r="DA107" s="8">
        <v>11741384</v>
      </c>
      <c r="DB107" s="9">
        <f t="shared" si="83"/>
        <v>11741384</v>
      </c>
      <c r="DC107" s="8">
        <v>0</v>
      </c>
      <c r="DD107" s="8">
        <v>0</v>
      </c>
      <c r="DE107" s="8">
        <v>0</v>
      </c>
      <c r="DF107" s="8">
        <v>2514515</v>
      </c>
      <c r="DG107" s="8">
        <v>6983585</v>
      </c>
      <c r="DH107" s="8">
        <v>6983585</v>
      </c>
      <c r="DI107" s="8">
        <v>6983585</v>
      </c>
      <c r="DJ107" s="8">
        <v>6983585</v>
      </c>
      <c r="DK107" s="8">
        <v>6983585</v>
      </c>
      <c r="DL107" s="8">
        <v>51902800</v>
      </c>
      <c r="DM107" s="8">
        <v>80310595</v>
      </c>
      <c r="DN107" s="8">
        <v>78492160</v>
      </c>
      <c r="DO107" s="9">
        <f t="shared" si="84"/>
        <v>78492160</v>
      </c>
      <c r="DP107" s="8">
        <v>9301250</v>
      </c>
      <c r="DQ107" s="8">
        <v>9301250</v>
      </c>
      <c r="DR107" s="8">
        <v>9301250</v>
      </c>
      <c r="DS107" s="8">
        <v>9301250</v>
      </c>
      <c r="DT107" s="8">
        <v>9301250</v>
      </c>
      <c r="DU107" s="8">
        <v>9301250</v>
      </c>
      <c r="DV107" s="8">
        <v>9301250</v>
      </c>
      <c r="DW107" s="8">
        <v>9301250</v>
      </c>
      <c r="DX107" s="8">
        <v>9301250</v>
      </c>
      <c r="DY107" s="8">
        <v>9301250</v>
      </c>
      <c r="DZ107" s="8">
        <v>9301250</v>
      </c>
      <c r="EA107" s="8">
        <v>9462117</v>
      </c>
      <c r="EB107" s="9">
        <f t="shared" si="85"/>
        <v>9462117</v>
      </c>
      <c r="EC107" s="8">
        <v>0</v>
      </c>
      <c r="ED107" s="8">
        <v>0</v>
      </c>
      <c r="EE107" s="8">
        <v>0</v>
      </c>
      <c r="EF107" s="8">
        <v>0</v>
      </c>
      <c r="EG107" s="8">
        <v>32168</v>
      </c>
      <c r="EH107" s="8">
        <v>32168</v>
      </c>
      <c r="EI107" s="8">
        <v>32168</v>
      </c>
      <c r="EJ107" s="8">
        <v>32168</v>
      </c>
      <c r="EK107" s="8">
        <v>32168</v>
      </c>
      <c r="EL107" s="8">
        <v>44560</v>
      </c>
      <c r="EM107" s="8">
        <v>44560</v>
      </c>
      <c r="EN107" s="8">
        <v>44560</v>
      </c>
      <c r="EO107" s="9">
        <f t="shared" si="86"/>
        <v>44560</v>
      </c>
      <c r="EP107" s="8">
        <v>17818</v>
      </c>
      <c r="EQ107" s="8">
        <v>17818</v>
      </c>
      <c r="ER107" s="8">
        <v>17818</v>
      </c>
      <c r="ES107" s="8">
        <v>17818</v>
      </c>
      <c r="ET107" s="8">
        <v>17818</v>
      </c>
      <c r="EU107" s="8">
        <v>17818</v>
      </c>
      <c r="EV107" s="8">
        <v>17818</v>
      </c>
      <c r="EW107" s="8">
        <v>17818</v>
      </c>
      <c r="EX107" s="8">
        <v>17818</v>
      </c>
      <c r="EY107" s="8">
        <v>17818</v>
      </c>
      <c r="EZ107" s="8">
        <v>17818</v>
      </c>
      <c r="FA107" s="8">
        <v>17818</v>
      </c>
      <c r="FB107" s="9">
        <f t="shared" si="87"/>
        <v>17818</v>
      </c>
      <c r="FC107" s="8">
        <v>10</v>
      </c>
      <c r="FD107" s="8">
        <v>10</v>
      </c>
      <c r="FE107" s="8">
        <v>10</v>
      </c>
      <c r="FF107" s="8">
        <v>10</v>
      </c>
      <c r="FG107" s="8">
        <v>10</v>
      </c>
      <c r="FH107" s="8">
        <v>10</v>
      </c>
      <c r="FI107" s="8">
        <v>10</v>
      </c>
      <c r="FJ107" s="8"/>
      <c r="FK107" s="8"/>
      <c r="FL107" s="8"/>
      <c r="FM107" s="8"/>
      <c r="FN107" s="8"/>
      <c r="FO107" s="9">
        <f t="shared" si="88"/>
        <v>10</v>
      </c>
    </row>
    <row r="108" spans="2:171" ht="14.25" customHeight="1" x14ac:dyDescent="0.3">
      <c r="B108" s="7" t="s">
        <v>52</v>
      </c>
      <c r="C108" s="8">
        <v>20560</v>
      </c>
      <c r="D108" s="8">
        <v>20560</v>
      </c>
      <c r="E108" s="8">
        <v>20560</v>
      </c>
      <c r="F108" s="8">
        <v>20560</v>
      </c>
      <c r="G108" s="8">
        <v>20560</v>
      </c>
      <c r="H108" s="8">
        <v>20560</v>
      </c>
      <c r="I108" s="8">
        <v>20560</v>
      </c>
      <c r="J108" s="8">
        <v>146465</v>
      </c>
      <c r="K108" s="8">
        <v>2846465</v>
      </c>
      <c r="L108" s="8">
        <v>2846465</v>
      </c>
      <c r="M108" s="8">
        <v>2946465</v>
      </c>
      <c r="N108" s="8">
        <v>4122649</v>
      </c>
      <c r="O108" s="9">
        <f t="shared" si="76"/>
        <v>4122649</v>
      </c>
      <c r="P108" s="8">
        <v>22608</v>
      </c>
      <c r="Q108" s="8">
        <v>22608</v>
      </c>
      <c r="R108" s="8">
        <v>22608</v>
      </c>
      <c r="S108" s="8">
        <v>279091</v>
      </c>
      <c r="T108" s="8">
        <v>279091</v>
      </c>
      <c r="U108" s="8">
        <v>279091</v>
      </c>
      <c r="V108" s="8">
        <v>279091</v>
      </c>
      <c r="W108" s="8">
        <v>279091</v>
      </c>
      <c r="X108" s="8">
        <v>279091</v>
      </c>
      <c r="Y108" s="8">
        <v>516575</v>
      </c>
      <c r="Z108" s="8">
        <v>516575</v>
      </c>
      <c r="AA108" s="8">
        <v>3275675</v>
      </c>
      <c r="AB108" s="9">
        <f t="shared" si="77"/>
        <v>3275675</v>
      </c>
      <c r="AC108" s="8">
        <v>945905</v>
      </c>
      <c r="AD108" s="8">
        <v>945905</v>
      </c>
      <c r="AE108" s="8">
        <v>945905</v>
      </c>
      <c r="AF108" s="8">
        <v>945905</v>
      </c>
      <c r="AG108" s="8">
        <v>945905</v>
      </c>
      <c r="AH108" s="8">
        <v>945905</v>
      </c>
      <c r="AI108" s="8">
        <v>945905</v>
      </c>
      <c r="AJ108" s="8">
        <v>4006609</v>
      </c>
      <c r="AK108" s="8">
        <v>4006609</v>
      </c>
      <c r="AL108" s="8">
        <v>4468585</v>
      </c>
      <c r="AM108" s="8">
        <v>4468585</v>
      </c>
      <c r="AN108" s="8">
        <v>4468585</v>
      </c>
      <c r="AO108" s="9">
        <f t="shared" si="78"/>
        <v>4468585</v>
      </c>
      <c r="AP108" s="8">
        <v>16995</v>
      </c>
      <c r="AQ108" s="8">
        <v>16995</v>
      </c>
      <c r="AR108" s="8">
        <v>16995</v>
      </c>
      <c r="AS108" s="8">
        <v>16995</v>
      </c>
      <c r="AT108" s="8">
        <v>18415</v>
      </c>
      <c r="AU108" s="8">
        <v>22839</v>
      </c>
      <c r="AV108" s="8">
        <v>22839</v>
      </c>
      <c r="AW108" s="8">
        <v>26667</v>
      </c>
      <c r="AX108" s="8">
        <v>26667</v>
      </c>
      <c r="AY108" s="8">
        <v>26667</v>
      </c>
      <c r="AZ108" s="8">
        <v>26667</v>
      </c>
      <c r="BA108" s="8">
        <v>26667</v>
      </c>
      <c r="BB108" s="9">
        <f t="shared" si="79"/>
        <v>26667</v>
      </c>
      <c r="BC108" s="8">
        <v>17432</v>
      </c>
      <c r="BD108" s="8">
        <v>17432</v>
      </c>
      <c r="BE108" s="8">
        <v>17432</v>
      </c>
      <c r="BF108" s="8">
        <v>17432</v>
      </c>
      <c r="BG108" s="8">
        <v>17432</v>
      </c>
      <c r="BH108" s="8">
        <v>17432</v>
      </c>
      <c r="BI108" s="8">
        <v>14492</v>
      </c>
      <c r="BJ108" s="8">
        <v>14492</v>
      </c>
      <c r="BK108" s="8">
        <v>14492</v>
      </c>
      <c r="BL108" s="8">
        <v>14492</v>
      </c>
      <c r="BM108" s="8">
        <v>14492</v>
      </c>
      <c r="BN108" s="8">
        <v>14492</v>
      </c>
      <c r="BO108" s="9">
        <f t="shared" si="80"/>
        <v>14492</v>
      </c>
      <c r="BP108" s="8">
        <v>936647</v>
      </c>
      <c r="BQ108" s="8">
        <v>936647</v>
      </c>
      <c r="BR108" s="8">
        <v>936647</v>
      </c>
      <c r="BS108" s="8">
        <v>936647</v>
      </c>
      <c r="BT108" s="8">
        <v>936647</v>
      </c>
      <c r="BU108" s="8">
        <v>936647</v>
      </c>
      <c r="BV108" s="8">
        <v>936647</v>
      </c>
      <c r="BW108" s="8">
        <v>936647</v>
      </c>
      <c r="BX108" s="8">
        <v>936647</v>
      </c>
      <c r="BY108" s="8">
        <v>936647</v>
      </c>
      <c r="BZ108" s="8">
        <v>936647</v>
      </c>
      <c r="CA108" s="8">
        <v>936647</v>
      </c>
      <c r="CB108" s="9">
        <f t="shared" si="81"/>
        <v>936647</v>
      </c>
      <c r="CC108" s="8">
        <v>3242677</v>
      </c>
      <c r="CD108" s="8">
        <v>3242677</v>
      </c>
      <c r="CE108" s="8">
        <v>3242677</v>
      </c>
      <c r="CF108" s="8">
        <v>3236542</v>
      </c>
      <c r="CG108" s="8">
        <v>1620999</v>
      </c>
      <c r="CH108" s="8">
        <v>1620999</v>
      </c>
      <c r="CI108" s="8">
        <v>1620999</v>
      </c>
      <c r="CJ108" s="8">
        <v>1620999</v>
      </c>
      <c r="CK108" s="8">
        <v>1620999</v>
      </c>
      <c r="CL108" s="8">
        <v>1993366</v>
      </c>
      <c r="CM108" s="8">
        <v>3600225</v>
      </c>
      <c r="CN108" s="8">
        <v>3600225</v>
      </c>
      <c r="CO108" s="9">
        <f t="shared" si="82"/>
        <v>3600225</v>
      </c>
      <c r="CP108" s="8">
        <v>11095</v>
      </c>
      <c r="CQ108" s="8">
        <v>11095</v>
      </c>
      <c r="CR108" s="8">
        <v>11095</v>
      </c>
      <c r="CS108" s="8">
        <v>11095</v>
      </c>
      <c r="CT108" s="8">
        <v>11095</v>
      </c>
      <c r="CU108" s="8">
        <v>11095</v>
      </c>
      <c r="CV108" s="8">
        <v>11095</v>
      </c>
      <c r="CW108" s="8">
        <v>11095</v>
      </c>
      <c r="CX108" s="8">
        <v>11095</v>
      </c>
      <c r="CY108" s="8">
        <v>5116931</v>
      </c>
      <c r="CZ108" s="8">
        <v>5116931</v>
      </c>
      <c r="DA108" s="8">
        <v>5116931</v>
      </c>
      <c r="DB108" s="9">
        <f t="shared" si="83"/>
        <v>5116931</v>
      </c>
      <c r="DC108" s="8">
        <v>0</v>
      </c>
      <c r="DD108" s="8">
        <v>0</v>
      </c>
      <c r="DE108" s="8">
        <v>1089715</v>
      </c>
      <c r="DF108" s="8">
        <v>1089715</v>
      </c>
      <c r="DG108" s="8">
        <v>1089715</v>
      </c>
      <c r="DH108" s="8">
        <v>1089715</v>
      </c>
      <c r="DI108" s="8">
        <v>1089715</v>
      </c>
      <c r="DJ108" s="8">
        <v>1089715</v>
      </c>
      <c r="DK108" s="8">
        <v>1089715</v>
      </c>
      <c r="DL108" s="8">
        <v>1089715</v>
      </c>
      <c r="DM108" s="8">
        <v>7899193</v>
      </c>
      <c r="DN108" s="8">
        <v>7899193</v>
      </c>
      <c r="DO108" s="9">
        <f t="shared" si="84"/>
        <v>7899193</v>
      </c>
      <c r="DP108" s="8">
        <v>0</v>
      </c>
      <c r="DQ108" s="8">
        <v>0</v>
      </c>
      <c r="DR108" s="8">
        <v>0</v>
      </c>
      <c r="DS108" s="8">
        <v>0</v>
      </c>
      <c r="DT108" s="8">
        <v>0</v>
      </c>
      <c r="DU108" s="8">
        <v>0</v>
      </c>
      <c r="DV108" s="8">
        <v>0</v>
      </c>
      <c r="DW108" s="8">
        <v>0</v>
      </c>
      <c r="DX108" s="8">
        <v>0</v>
      </c>
      <c r="DY108" s="8">
        <v>0</v>
      </c>
      <c r="DZ108" s="8">
        <v>0</v>
      </c>
      <c r="EA108" s="8">
        <v>0</v>
      </c>
      <c r="EB108" s="9">
        <f t="shared" si="85"/>
        <v>0</v>
      </c>
      <c r="EC108" s="8">
        <v>0</v>
      </c>
      <c r="ED108" s="8">
        <v>0</v>
      </c>
      <c r="EE108" s="8">
        <v>0</v>
      </c>
      <c r="EF108" s="8">
        <v>0</v>
      </c>
      <c r="EG108" s="8">
        <v>10159</v>
      </c>
      <c r="EH108" s="8">
        <v>10159</v>
      </c>
      <c r="EI108" s="8">
        <v>10159</v>
      </c>
      <c r="EJ108" s="8">
        <v>10159</v>
      </c>
      <c r="EK108" s="8">
        <v>10159</v>
      </c>
      <c r="EL108" s="8">
        <v>12541</v>
      </c>
      <c r="EM108" s="8">
        <v>431652</v>
      </c>
      <c r="EN108" s="8">
        <v>300457</v>
      </c>
      <c r="EO108" s="9">
        <f t="shared" si="86"/>
        <v>300457</v>
      </c>
      <c r="EP108" s="8">
        <v>7424</v>
      </c>
      <c r="EQ108" s="8">
        <v>7424</v>
      </c>
      <c r="ER108" s="8">
        <v>7424</v>
      </c>
      <c r="ES108" s="8">
        <v>7424</v>
      </c>
      <c r="ET108" s="8">
        <v>7424</v>
      </c>
      <c r="EU108" s="8">
        <v>7424</v>
      </c>
      <c r="EV108" s="8">
        <v>7424</v>
      </c>
      <c r="EW108" s="8">
        <v>7424</v>
      </c>
      <c r="EX108" s="8">
        <v>7424</v>
      </c>
      <c r="EY108" s="8">
        <v>7424</v>
      </c>
      <c r="EZ108" s="8">
        <v>7424</v>
      </c>
      <c r="FA108" s="8">
        <v>7424</v>
      </c>
      <c r="FB108" s="9">
        <f t="shared" si="87"/>
        <v>7424</v>
      </c>
      <c r="FC108" s="8">
        <v>10</v>
      </c>
      <c r="FD108" s="8">
        <v>10</v>
      </c>
      <c r="FE108" s="8">
        <v>10</v>
      </c>
      <c r="FF108" s="8">
        <v>10</v>
      </c>
      <c r="FG108" s="8">
        <v>10</v>
      </c>
      <c r="FH108" s="8">
        <v>10</v>
      </c>
      <c r="FI108" s="8">
        <v>10</v>
      </c>
      <c r="FJ108" s="8"/>
      <c r="FK108" s="8"/>
      <c r="FL108" s="8"/>
      <c r="FM108" s="8"/>
      <c r="FN108" s="8"/>
      <c r="FO108" s="9">
        <f t="shared" si="88"/>
        <v>10</v>
      </c>
    </row>
    <row r="109" spans="2:171" ht="14.25" customHeight="1" x14ac:dyDescent="0.3">
      <c r="B109" s="7" t="s">
        <v>53</v>
      </c>
      <c r="C109" s="8">
        <v>22041</v>
      </c>
      <c r="D109" s="8">
        <v>22041</v>
      </c>
      <c r="E109" s="8">
        <v>22041</v>
      </c>
      <c r="F109" s="8">
        <v>22041</v>
      </c>
      <c r="G109" s="8">
        <v>22041</v>
      </c>
      <c r="H109" s="8">
        <v>22041</v>
      </c>
      <c r="I109" s="8">
        <v>22041</v>
      </c>
      <c r="J109" s="8">
        <v>22041</v>
      </c>
      <c r="K109" s="8">
        <v>22041</v>
      </c>
      <c r="L109" s="8">
        <v>22041</v>
      </c>
      <c r="M109" s="8">
        <v>22041</v>
      </c>
      <c r="N109" s="8">
        <v>22041</v>
      </c>
      <c r="O109" s="9">
        <f t="shared" si="76"/>
        <v>22041</v>
      </c>
      <c r="P109" s="8">
        <v>24650</v>
      </c>
      <c r="Q109" s="8">
        <v>24650</v>
      </c>
      <c r="R109" s="8">
        <v>24650</v>
      </c>
      <c r="S109" s="8">
        <v>24650</v>
      </c>
      <c r="T109" s="8">
        <v>24650</v>
      </c>
      <c r="U109" s="8">
        <v>24650</v>
      </c>
      <c r="V109" s="8">
        <v>24650</v>
      </c>
      <c r="W109" s="8">
        <v>24650</v>
      </c>
      <c r="X109" s="8">
        <v>24650</v>
      </c>
      <c r="Y109" s="8">
        <v>24650</v>
      </c>
      <c r="Z109" s="8">
        <v>24650</v>
      </c>
      <c r="AA109" s="8">
        <v>24650</v>
      </c>
      <c r="AB109" s="9">
        <f t="shared" si="77"/>
        <v>24650</v>
      </c>
      <c r="AC109" s="8">
        <v>25151</v>
      </c>
      <c r="AD109" s="8">
        <v>25151</v>
      </c>
      <c r="AE109" s="8">
        <v>25151</v>
      </c>
      <c r="AF109" s="8">
        <v>156411</v>
      </c>
      <c r="AG109" s="8">
        <v>156411</v>
      </c>
      <c r="AH109" s="8">
        <v>160526</v>
      </c>
      <c r="AI109" s="8">
        <v>160526</v>
      </c>
      <c r="AJ109" s="8">
        <v>160526</v>
      </c>
      <c r="AK109" s="8">
        <v>160526</v>
      </c>
      <c r="AL109" s="8">
        <v>160526</v>
      </c>
      <c r="AM109" s="8">
        <v>160526</v>
      </c>
      <c r="AN109" s="8">
        <v>160526</v>
      </c>
      <c r="AO109" s="9">
        <f t="shared" si="78"/>
        <v>160526</v>
      </c>
      <c r="AP109" s="8">
        <v>692985</v>
      </c>
      <c r="AQ109" s="8">
        <v>692985</v>
      </c>
      <c r="AR109" s="8">
        <v>692985</v>
      </c>
      <c r="AS109" s="8">
        <v>692985</v>
      </c>
      <c r="AT109" s="8">
        <v>692985</v>
      </c>
      <c r="AU109" s="8">
        <v>692985</v>
      </c>
      <c r="AV109" s="8">
        <v>692985</v>
      </c>
      <c r="AW109" s="8">
        <v>692985</v>
      </c>
      <c r="AX109" s="8">
        <v>692985</v>
      </c>
      <c r="AY109" s="8">
        <v>692985</v>
      </c>
      <c r="AZ109" s="8">
        <v>692985</v>
      </c>
      <c r="BA109" s="8">
        <v>425441</v>
      </c>
      <c r="BB109" s="9">
        <f t="shared" si="79"/>
        <v>425441</v>
      </c>
      <c r="BC109" s="8">
        <v>1462323</v>
      </c>
      <c r="BD109" s="8">
        <v>1462323</v>
      </c>
      <c r="BE109" s="8">
        <v>1462323</v>
      </c>
      <c r="BF109" s="8">
        <v>1462323</v>
      </c>
      <c r="BG109" s="8">
        <v>1462323</v>
      </c>
      <c r="BH109" s="8">
        <v>1462323</v>
      </c>
      <c r="BI109" s="8">
        <v>1311653</v>
      </c>
      <c r="BJ109" s="8">
        <v>1311653</v>
      </c>
      <c r="BK109" s="8">
        <v>1311653</v>
      </c>
      <c r="BL109" s="8">
        <v>1311653</v>
      </c>
      <c r="BM109" s="8">
        <v>1311653</v>
      </c>
      <c r="BN109" s="8">
        <v>1311653</v>
      </c>
      <c r="BO109" s="9">
        <f t="shared" si="80"/>
        <v>1311653</v>
      </c>
      <c r="BP109" s="8">
        <v>563609</v>
      </c>
      <c r="BQ109" s="8">
        <v>563609</v>
      </c>
      <c r="BR109" s="8">
        <v>563609</v>
      </c>
      <c r="BS109" s="8">
        <v>563609</v>
      </c>
      <c r="BT109" s="8">
        <v>563609</v>
      </c>
      <c r="BU109" s="8">
        <v>563609</v>
      </c>
      <c r="BV109" s="8">
        <v>647839</v>
      </c>
      <c r="BW109" s="8">
        <v>678139</v>
      </c>
      <c r="BX109" s="8">
        <v>678139</v>
      </c>
      <c r="BY109" s="8">
        <v>678139</v>
      </c>
      <c r="BZ109" s="8">
        <v>678139</v>
      </c>
      <c r="CA109" s="8">
        <v>140311</v>
      </c>
      <c r="CB109" s="9">
        <f t="shared" si="81"/>
        <v>140311</v>
      </c>
      <c r="CC109" s="8">
        <v>12650</v>
      </c>
      <c r="CD109" s="8">
        <v>12650</v>
      </c>
      <c r="CE109" s="8">
        <v>12650</v>
      </c>
      <c r="CF109" s="8">
        <v>8855</v>
      </c>
      <c r="CG109" s="8">
        <v>4427</v>
      </c>
      <c r="CH109" s="8">
        <v>4427</v>
      </c>
      <c r="CI109" s="8">
        <v>4427</v>
      </c>
      <c r="CJ109" s="8">
        <v>4427</v>
      </c>
      <c r="CK109" s="8">
        <v>4427</v>
      </c>
      <c r="CL109" s="8">
        <v>4427</v>
      </c>
      <c r="CM109" s="8">
        <v>440660</v>
      </c>
      <c r="CN109" s="8">
        <v>450100</v>
      </c>
      <c r="CO109" s="9">
        <f t="shared" si="82"/>
        <v>450100</v>
      </c>
      <c r="CP109" s="8">
        <v>7055</v>
      </c>
      <c r="CQ109" s="8">
        <v>7055</v>
      </c>
      <c r="CR109" s="8">
        <v>7055</v>
      </c>
      <c r="CS109" s="8">
        <v>7055</v>
      </c>
      <c r="CT109" s="8">
        <v>250007</v>
      </c>
      <c r="CU109" s="8">
        <v>250007</v>
      </c>
      <c r="CV109" s="8">
        <v>266968</v>
      </c>
      <c r="CW109" s="8">
        <v>266968</v>
      </c>
      <c r="CX109" s="8">
        <v>266968</v>
      </c>
      <c r="CY109" s="8">
        <v>266968</v>
      </c>
      <c r="CZ109" s="8">
        <v>266968</v>
      </c>
      <c r="DA109" s="8">
        <v>266968</v>
      </c>
      <c r="DB109" s="9">
        <f t="shared" si="83"/>
        <v>266968</v>
      </c>
      <c r="DC109" s="8">
        <v>0</v>
      </c>
      <c r="DD109" s="8">
        <v>0</v>
      </c>
      <c r="DE109" s="8">
        <v>0</v>
      </c>
      <c r="DF109" s="8">
        <v>0</v>
      </c>
      <c r="DG109" s="8">
        <v>33826</v>
      </c>
      <c r="DH109" s="8">
        <v>33826</v>
      </c>
      <c r="DI109" s="8">
        <v>33826</v>
      </c>
      <c r="DJ109" s="8">
        <v>33826</v>
      </c>
      <c r="DK109" s="8">
        <v>33826</v>
      </c>
      <c r="DL109" s="8">
        <v>3346047</v>
      </c>
      <c r="DM109" s="8">
        <v>6440875</v>
      </c>
      <c r="DN109" s="8">
        <v>8582147</v>
      </c>
      <c r="DO109" s="9">
        <f t="shared" si="84"/>
        <v>8582147</v>
      </c>
      <c r="DP109" s="8">
        <v>0</v>
      </c>
      <c r="DQ109" s="8">
        <v>0</v>
      </c>
      <c r="DR109" s="8">
        <v>0</v>
      </c>
      <c r="DS109" s="8">
        <v>0</v>
      </c>
      <c r="DT109" s="8">
        <v>0</v>
      </c>
      <c r="DU109" s="8">
        <v>0</v>
      </c>
      <c r="DV109" s="8">
        <v>0</v>
      </c>
      <c r="DW109" s="8">
        <v>0</v>
      </c>
      <c r="DX109" s="8">
        <v>0</v>
      </c>
      <c r="DY109" s="8">
        <v>0</v>
      </c>
      <c r="DZ109" s="8">
        <v>0</v>
      </c>
      <c r="EA109" s="8">
        <v>0</v>
      </c>
      <c r="EB109" s="9">
        <f t="shared" si="85"/>
        <v>0</v>
      </c>
      <c r="EC109" s="8">
        <v>0</v>
      </c>
      <c r="ED109" s="8">
        <v>0</v>
      </c>
      <c r="EE109" s="8">
        <v>0</v>
      </c>
      <c r="EF109" s="8">
        <v>0</v>
      </c>
      <c r="EG109" s="8">
        <v>5080</v>
      </c>
      <c r="EH109" s="8">
        <v>5080</v>
      </c>
      <c r="EI109" s="8">
        <v>5080</v>
      </c>
      <c r="EJ109" s="8">
        <v>5080</v>
      </c>
      <c r="EK109" s="8">
        <v>5080</v>
      </c>
      <c r="EL109" s="8">
        <v>6865</v>
      </c>
      <c r="EM109" s="8">
        <v>6865</v>
      </c>
      <c r="EN109" s="8">
        <v>6865</v>
      </c>
      <c r="EO109" s="9">
        <f t="shared" si="86"/>
        <v>6865</v>
      </c>
      <c r="EP109" s="8">
        <v>2970</v>
      </c>
      <c r="EQ109" s="8">
        <v>2970</v>
      </c>
      <c r="ER109" s="8">
        <v>2970</v>
      </c>
      <c r="ES109" s="8">
        <v>2970</v>
      </c>
      <c r="ET109" s="8">
        <v>2970</v>
      </c>
      <c r="EU109" s="8">
        <v>2970</v>
      </c>
      <c r="EV109" s="8">
        <v>2970</v>
      </c>
      <c r="EW109" s="8">
        <v>2970</v>
      </c>
      <c r="EX109" s="8">
        <v>2970</v>
      </c>
      <c r="EY109" s="8">
        <v>2970</v>
      </c>
      <c r="EZ109" s="8">
        <v>2970</v>
      </c>
      <c r="FA109" s="8">
        <v>2970</v>
      </c>
      <c r="FB109" s="9">
        <f t="shared" si="87"/>
        <v>2970</v>
      </c>
      <c r="FC109" s="8">
        <v>10</v>
      </c>
      <c r="FD109" s="8">
        <v>10</v>
      </c>
      <c r="FE109" s="8">
        <v>10</v>
      </c>
      <c r="FF109" s="8">
        <v>10</v>
      </c>
      <c r="FG109" s="8">
        <v>10</v>
      </c>
      <c r="FH109" s="8">
        <v>10</v>
      </c>
      <c r="FI109" s="8">
        <v>10</v>
      </c>
      <c r="FJ109" s="8"/>
      <c r="FK109" s="8"/>
      <c r="FL109" s="8"/>
      <c r="FM109" s="8"/>
      <c r="FN109" s="8"/>
      <c r="FO109" s="9">
        <f t="shared" si="88"/>
        <v>10</v>
      </c>
    </row>
    <row r="110" spans="2:171" ht="14.25" customHeight="1" x14ac:dyDescent="0.3">
      <c r="B110" s="7" t="s">
        <v>54</v>
      </c>
      <c r="C110" s="8">
        <v>0</v>
      </c>
      <c r="D110" s="8">
        <v>0</v>
      </c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9">
        <f t="shared" si="76"/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9">
        <f t="shared" si="77"/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0</v>
      </c>
      <c r="AN110" s="8">
        <v>0</v>
      </c>
      <c r="AO110" s="9">
        <f t="shared" si="78"/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X110" s="8">
        <v>0</v>
      </c>
      <c r="AY110" s="8">
        <v>0</v>
      </c>
      <c r="AZ110" s="8">
        <v>0</v>
      </c>
      <c r="BA110" s="8">
        <v>0</v>
      </c>
      <c r="BB110" s="9">
        <f t="shared" si="79"/>
        <v>0</v>
      </c>
      <c r="BC110" s="8">
        <v>0</v>
      </c>
      <c r="BD110" s="8">
        <v>0</v>
      </c>
      <c r="BE110" s="8">
        <v>0</v>
      </c>
      <c r="BF110" s="8">
        <v>0</v>
      </c>
      <c r="BG110" s="8">
        <v>0</v>
      </c>
      <c r="BH110" s="8">
        <v>0</v>
      </c>
      <c r="BI110" s="8">
        <v>0</v>
      </c>
      <c r="BJ110" s="8">
        <v>0</v>
      </c>
      <c r="BK110" s="8">
        <v>0</v>
      </c>
      <c r="BL110" s="8">
        <v>0</v>
      </c>
      <c r="BM110" s="8">
        <v>0</v>
      </c>
      <c r="BN110" s="8">
        <v>0</v>
      </c>
      <c r="BO110" s="9">
        <f t="shared" si="80"/>
        <v>0</v>
      </c>
      <c r="BP110" s="8">
        <v>68447</v>
      </c>
      <c r="BQ110" s="8">
        <v>68447</v>
      </c>
      <c r="BR110" s="8">
        <v>68447</v>
      </c>
      <c r="BS110" s="8">
        <v>68447</v>
      </c>
      <c r="BT110" s="8">
        <v>68447</v>
      </c>
      <c r="BU110" s="8">
        <v>68447</v>
      </c>
      <c r="BV110" s="8">
        <v>68447</v>
      </c>
      <c r="BW110" s="8">
        <v>68447</v>
      </c>
      <c r="BX110" s="8">
        <v>68447</v>
      </c>
      <c r="BY110" s="8">
        <v>68447</v>
      </c>
      <c r="BZ110" s="8">
        <v>68447</v>
      </c>
      <c r="CA110" s="8">
        <v>68447</v>
      </c>
      <c r="CB110" s="9">
        <f t="shared" si="81"/>
        <v>68447</v>
      </c>
      <c r="CC110" s="8">
        <v>21975</v>
      </c>
      <c r="CD110" s="8">
        <v>21975</v>
      </c>
      <c r="CE110" s="8">
        <v>21975</v>
      </c>
      <c r="CF110" s="8">
        <v>21975</v>
      </c>
      <c r="CG110" s="8">
        <v>21975</v>
      </c>
      <c r="CH110" s="8">
        <v>21975</v>
      </c>
      <c r="CI110" s="8">
        <v>7690</v>
      </c>
      <c r="CJ110" s="8">
        <v>7690</v>
      </c>
      <c r="CK110" s="8">
        <v>7690</v>
      </c>
      <c r="CL110" s="8">
        <v>7690</v>
      </c>
      <c r="CM110" s="8">
        <v>21975</v>
      </c>
      <c r="CN110" s="8">
        <v>21975</v>
      </c>
      <c r="CO110" s="9">
        <f t="shared" si="82"/>
        <v>21975</v>
      </c>
      <c r="CP110" s="8">
        <v>15569</v>
      </c>
      <c r="CQ110" s="8">
        <v>15569</v>
      </c>
      <c r="CR110" s="8">
        <v>15569</v>
      </c>
      <c r="CS110" s="8">
        <v>15569</v>
      </c>
      <c r="CT110" s="8">
        <v>15569</v>
      </c>
      <c r="CU110" s="8">
        <v>19306</v>
      </c>
      <c r="CV110" s="8">
        <v>19306</v>
      </c>
      <c r="CW110" s="8">
        <v>19306</v>
      </c>
      <c r="CX110" s="8">
        <v>19306</v>
      </c>
      <c r="CY110" s="8">
        <v>19306</v>
      </c>
      <c r="CZ110" s="8">
        <v>19306</v>
      </c>
      <c r="DA110" s="8">
        <v>2042437</v>
      </c>
      <c r="DB110" s="9">
        <f t="shared" si="83"/>
        <v>2042437</v>
      </c>
      <c r="DC110" s="8">
        <v>0</v>
      </c>
      <c r="DD110" s="8">
        <v>0</v>
      </c>
      <c r="DE110" s="8">
        <v>0</v>
      </c>
      <c r="DF110" s="8">
        <v>0</v>
      </c>
      <c r="DG110" s="8">
        <v>0</v>
      </c>
      <c r="DH110" s="8">
        <v>0</v>
      </c>
      <c r="DI110" s="8">
        <v>0</v>
      </c>
      <c r="DJ110" s="8">
        <v>0</v>
      </c>
      <c r="DK110" s="8">
        <v>0</v>
      </c>
      <c r="DL110" s="8">
        <v>0</v>
      </c>
      <c r="DM110" s="8">
        <v>1603019</v>
      </c>
      <c r="DN110" s="8">
        <v>1603019</v>
      </c>
      <c r="DO110" s="9">
        <f t="shared" si="84"/>
        <v>1603019</v>
      </c>
      <c r="DP110" s="8">
        <v>3986250</v>
      </c>
      <c r="DQ110" s="8">
        <v>3986250</v>
      </c>
      <c r="DR110" s="8">
        <v>3986250</v>
      </c>
      <c r="DS110" s="8">
        <v>3986250</v>
      </c>
      <c r="DT110" s="8">
        <v>3986250</v>
      </c>
      <c r="DU110" s="8">
        <v>3986250</v>
      </c>
      <c r="DV110" s="8">
        <v>3986250</v>
      </c>
      <c r="DW110" s="8">
        <v>3986250</v>
      </c>
      <c r="DX110" s="8">
        <v>3986250</v>
      </c>
      <c r="DY110" s="8">
        <v>3986250</v>
      </c>
      <c r="DZ110" s="8">
        <v>3986250</v>
      </c>
      <c r="EA110" s="8">
        <v>4033097</v>
      </c>
      <c r="EB110" s="9">
        <f t="shared" si="85"/>
        <v>4033097</v>
      </c>
      <c r="EC110" s="8">
        <v>0</v>
      </c>
      <c r="ED110" s="8">
        <v>0</v>
      </c>
      <c r="EE110" s="8">
        <v>0</v>
      </c>
      <c r="EF110" s="8">
        <v>0</v>
      </c>
      <c r="EG110" s="8">
        <v>5080</v>
      </c>
      <c r="EH110" s="8">
        <v>5080</v>
      </c>
      <c r="EI110" s="8">
        <v>5080</v>
      </c>
      <c r="EJ110" s="8">
        <v>5080</v>
      </c>
      <c r="EK110" s="8">
        <v>5080</v>
      </c>
      <c r="EL110" s="8">
        <v>6270</v>
      </c>
      <c r="EM110" s="8">
        <v>6270</v>
      </c>
      <c r="EN110" s="8">
        <v>6270</v>
      </c>
      <c r="EO110" s="9">
        <f t="shared" si="86"/>
        <v>6270</v>
      </c>
      <c r="EP110" s="8">
        <v>8909</v>
      </c>
      <c r="EQ110" s="8">
        <v>8909</v>
      </c>
      <c r="ER110" s="8">
        <v>8909</v>
      </c>
      <c r="ES110" s="8">
        <v>8909</v>
      </c>
      <c r="ET110" s="8">
        <v>8909</v>
      </c>
      <c r="EU110" s="8">
        <v>8909</v>
      </c>
      <c r="EV110" s="8">
        <v>8909</v>
      </c>
      <c r="EW110" s="8">
        <v>8909</v>
      </c>
      <c r="EX110" s="8">
        <v>8909</v>
      </c>
      <c r="EY110" s="8">
        <v>8909</v>
      </c>
      <c r="EZ110" s="8">
        <v>8909</v>
      </c>
      <c r="FA110" s="8">
        <v>8909</v>
      </c>
      <c r="FB110" s="9">
        <f t="shared" si="87"/>
        <v>8909</v>
      </c>
      <c r="FC110" s="8">
        <v>10</v>
      </c>
      <c r="FD110" s="8">
        <v>10</v>
      </c>
      <c r="FE110" s="8">
        <v>10</v>
      </c>
      <c r="FF110" s="8">
        <v>10</v>
      </c>
      <c r="FG110" s="8">
        <v>10</v>
      </c>
      <c r="FH110" s="8">
        <v>10</v>
      </c>
      <c r="FI110" s="8">
        <v>10</v>
      </c>
      <c r="FJ110" s="8"/>
      <c r="FK110" s="8"/>
      <c r="FL110" s="8"/>
      <c r="FM110" s="8"/>
      <c r="FN110" s="8"/>
      <c r="FO110" s="9">
        <f t="shared" si="88"/>
        <v>10</v>
      </c>
    </row>
    <row r="111" spans="2:171" ht="14.25" customHeight="1" x14ac:dyDescent="0.3">
      <c r="B111" s="7" t="s">
        <v>55</v>
      </c>
      <c r="C111" s="8">
        <v>26966</v>
      </c>
      <c r="D111" s="8">
        <v>26966</v>
      </c>
      <c r="E111" s="8">
        <v>26966</v>
      </c>
      <c r="F111" s="8">
        <v>26966</v>
      </c>
      <c r="G111" s="8">
        <v>126966</v>
      </c>
      <c r="H111" s="8">
        <v>126966</v>
      </c>
      <c r="I111" s="8">
        <v>126966</v>
      </c>
      <c r="J111" s="8">
        <v>126966</v>
      </c>
      <c r="K111" s="8">
        <v>126966</v>
      </c>
      <c r="L111" s="8">
        <v>126966</v>
      </c>
      <c r="M111" s="8">
        <v>212711</v>
      </c>
      <c r="N111" s="8">
        <v>212711</v>
      </c>
      <c r="O111" s="9">
        <f t="shared" si="76"/>
        <v>212711</v>
      </c>
      <c r="P111" s="8">
        <v>31276</v>
      </c>
      <c r="Q111" s="8">
        <v>31276</v>
      </c>
      <c r="R111" s="8">
        <v>31276</v>
      </c>
      <c r="S111" s="8">
        <v>31276</v>
      </c>
      <c r="T111" s="8">
        <v>31276</v>
      </c>
      <c r="U111" s="8">
        <v>44112</v>
      </c>
      <c r="V111" s="8">
        <v>44112</v>
      </c>
      <c r="W111" s="8">
        <v>44112</v>
      </c>
      <c r="X111" s="8">
        <v>567415</v>
      </c>
      <c r="Y111" s="8">
        <v>567415</v>
      </c>
      <c r="Z111" s="8">
        <v>826590</v>
      </c>
      <c r="AA111" s="8">
        <v>826590</v>
      </c>
      <c r="AB111" s="9">
        <f t="shared" si="77"/>
        <v>826590</v>
      </c>
      <c r="AC111" s="8">
        <v>34397</v>
      </c>
      <c r="AD111" s="8">
        <v>34397</v>
      </c>
      <c r="AE111" s="8">
        <v>34397</v>
      </c>
      <c r="AF111" s="8">
        <v>34397</v>
      </c>
      <c r="AG111" s="8">
        <v>34397</v>
      </c>
      <c r="AH111" s="8">
        <v>41397</v>
      </c>
      <c r="AI111" s="8">
        <v>61685</v>
      </c>
      <c r="AJ111" s="8">
        <v>518239</v>
      </c>
      <c r="AK111" s="8">
        <v>518239</v>
      </c>
      <c r="AL111" s="8">
        <v>1035175</v>
      </c>
      <c r="AM111" s="8">
        <v>1035175</v>
      </c>
      <c r="AN111" s="8">
        <v>899900</v>
      </c>
      <c r="AO111" s="9">
        <f t="shared" si="78"/>
        <v>899900</v>
      </c>
      <c r="AP111" s="8">
        <v>31724</v>
      </c>
      <c r="AQ111" s="8">
        <v>31724</v>
      </c>
      <c r="AR111" s="8">
        <v>31724</v>
      </c>
      <c r="AS111" s="8">
        <v>31724</v>
      </c>
      <c r="AT111" s="8">
        <v>31724</v>
      </c>
      <c r="AU111" s="8">
        <v>31724</v>
      </c>
      <c r="AV111" s="8">
        <v>31724</v>
      </c>
      <c r="AW111" s="8">
        <v>659380</v>
      </c>
      <c r="AX111" s="8">
        <v>659380</v>
      </c>
      <c r="AY111" s="8">
        <v>708090</v>
      </c>
      <c r="AZ111" s="8">
        <v>708090</v>
      </c>
      <c r="BA111" s="8">
        <v>373378</v>
      </c>
      <c r="BB111" s="9">
        <f t="shared" si="79"/>
        <v>373378</v>
      </c>
      <c r="BC111" s="8">
        <v>20520</v>
      </c>
      <c r="BD111" s="8">
        <v>20520</v>
      </c>
      <c r="BE111" s="8">
        <v>20520</v>
      </c>
      <c r="BF111" s="8">
        <v>20520</v>
      </c>
      <c r="BG111" s="8">
        <v>423428</v>
      </c>
      <c r="BH111" s="8">
        <v>423428</v>
      </c>
      <c r="BI111" s="8">
        <v>420310</v>
      </c>
      <c r="BJ111" s="8">
        <v>420310</v>
      </c>
      <c r="BK111" s="8">
        <v>420310</v>
      </c>
      <c r="BL111" s="8">
        <v>420310</v>
      </c>
      <c r="BM111" s="8">
        <v>420310</v>
      </c>
      <c r="BN111" s="8">
        <v>420310</v>
      </c>
      <c r="BO111" s="9">
        <f t="shared" si="80"/>
        <v>420310</v>
      </c>
      <c r="BP111" s="8">
        <v>9271</v>
      </c>
      <c r="BQ111" s="8">
        <v>9271</v>
      </c>
      <c r="BR111" s="8">
        <v>9271</v>
      </c>
      <c r="BS111" s="8">
        <v>9271</v>
      </c>
      <c r="BT111" s="8">
        <v>9271</v>
      </c>
      <c r="BU111" s="8">
        <v>784906</v>
      </c>
      <c r="BV111" s="8">
        <v>784906</v>
      </c>
      <c r="BW111" s="8">
        <v>784906</v>
      </c>
      <c r="BX111" s="8">
        <v>784906</v>
      </c>
      <c r="BY111" s="8">
        <v>784906</v>
      </c>
      <c r="BZ111" s="8">
        <v>784906</v>
      </c>
      <c r="CA111" s="8">
        <v>749167</v>
      </c>
      <c r="CB111" s="9">
        <f t="shared" si="81"/>
        <v>749167</v>
      </c>
      <c r="CC111" s="8">
        <v>9512</v>
      </c>
      <c r="CD111" s="8">
        <v>9512</v>
      </c>
      <c r="CE111" s="8">
        <v>9512</v>
      </c>
      <c r="CF111" s="8">
        <v>6659</v>
      </c>
      <c r="CG111" s="8">
        <v>5964</v>
      </c>
      <c r="CH111" s="8">
        <v>5964</v>
      </c>
      <c r="CI111" s="8">
        <v>5964</v>
      </c>
      <c r="CJ111" s="8">
        <v>5964</v>
      </c>
      <c r="CK111" s="8">
        <v>5964</v>
      </c>
      <c r="CL111" s="8">
        <v>5964</v>
      </c>
      <c r="CM111" s="8">
        <v>24272</v>
      </c>
      <c r="CN111" s="8">
        <v>24272</v>
      </c>
      <c r="CO111" s="9">
        <f t="shared" si="82"/>
        <v>24272</v>
      </c>
      <c r="CP111" s="8">
        <v>13073</v>
      </c>
      <c r="CQ111" s="8">
        <v>13073</v>
      </c>
      <c r="CR111" s="8">
        <v>13073</v>
      </c>
      <c r="CS111" s="8">
        <v>777303</v>
      </c>
      <c r="CT111" s="8">
        <v>777303</v>
      </c>
      <c r="CU111" s="8">
        <v>777303</v>
      </c>
      <c r="CV111" s="8">
        <v>777303</v>
      </c>
      <c r="CW111" s="8">
        <v>777303</v>
      </c>
      <c r="CX111" s="8">
        <v>777303</v>
      </c>
      <c r="CY111" s="8">
        <v>777303</v>
      </c>
      <c r="CZ111" s="8">
        <v>777303</v>
      </c>
      <c r="DA111" s="8">
        <v>812303</v>
      </c>
      <c r="DB111" s="9">
        <f t="shared" si="83"/>
        <v>812303</v>
      </c>
      <c r="DC111" s="8">
        <v>0</v>
      </c>
      <c r="DD111" s="8">
        <v>0</v>
      </c>
      <c r="DE111" s="8">
        <v>0</v>
      </c>
      <c r="DF111" s="8">
        <v>0</v>
      </c>
      <c r="DG111" s="8">
        <v>0</v>
      </c>
      <c r="DH111" s="8">
        <v>0</v>
      </c>
      <c r="DI111" s="8">
        <v>0</v>
      </c>
      <c r="DJ111" s="8">
        <v>0</v>
      </c>
      <c r="DK111" s="8">
        <v>0</v>
      </c>
      <c r="DL111" s="8">
        <v>0</v>
      </c>
      <c r="DM111" s="8">
        <v>3907752</v>
      </c>
      <c r="DN111" s="8">
        <v>3907752</v>
      </c>
      <c r="DO111" s="9">
        <f t="shared" si="84"/>
        <v>3907752</v>
      </c>
      <c r="DP111" s="8">
        <v>9301250</v>
      </c>
      <c r="DQ111" s="8">
        <v>9301250</v>
      </c>
      <c r="DR111" s="8">
        <v>9301250</v>
      </c>
      <c r="DS111" s="8">
        <v>9301250</v>
      </c>
      <c r="DT111" s="8">
        <v>9301250</v>
      </c>
      <c r="DU111" s="8">
        <v>9301250</v>
      </c>
      <c r="DV111" s="8">
        <v>9301250</v>
      </c>
      <c r="DW111" s="8">
        <v>9301250</v>
      </c>
      <c r="DX111" s="8">
        <v>9301250</v>
      </c>
      <c r="DY111" s="8">
        <v>9301250</v>
      </c>
      <c r="DZ111" s="8">
        <v>9301250</v>
      </c>
      <c r="EA111" s="8">
        <v>8558484</v>
      </c>
      <c r="EB111" s="9">
        <f t="shared" si="85"/>
        <v>8558484</v>
      </c>
      <c r="EC111" s="8">
        <v>0</v>
      </c>
      <c r="ED111" s="8">
        <v>0</v>
      </c>
      <c r="EE111" s="8">
        <v>0</v>
      </c>
      <c r="EF111" s="8">
        <v>0</v>
      </c>
      <c r="EG111" s="8">
        <v>11175</v>
      </c>
      <c r="EH111" s="8">
        <v>11175</v>
      </c>
      <c r="EI111" s="8">
        <v>11175</v>
      </c>
      <c r="EJ111" s="8">
        <v>11175</v>
      </c>
      <c r="EK111" s="8">
        <v>11175</v>
      </c>
      <c r="EL111" s="8">
        <v>12960</v>
      </c>
      <c r="EM111" s="8">
        <v>12960</v>
      </c>
      <c r="EN111" s="8">
        <v>12960</v>
      </c>
      <c r="EO111" s="9">
        <f t="shared" si="86"/>
        <v>12960</v>
      </c>
      <c r="EP111" s="8">
        <v>11879</v>
      </c>
      <c r="EQ111" s="8">
        <v>11879</v>
      </c>
      <c r="ER111" s="8">
        <v>11879</v>
      </c>
      <c r="ES111" s="8">
        <v>11879</v>
      </c>
      <c r="ET111" s="8">
        <v>11879</v>
      </c>
      <c r="EU111" s="8">
        <v>11879</v>
      </c>
      <c r="EV111" s="8">
        <v>11879</v>
      </c>
      <c r="EW111" s="8">
        <v>11879</v>
      </c>
      <c r="EX111" s="8">
        <v>11879</v>
      </c>
      <c r="EY111" s="8">
        <v>11879</v>
      </c>
      <c r="EZ111" s="8">
        <v>11879</v>
      </c>
      <c r="FA111" s="8">
        <v>11879</v>
      </c>
      <c r="FB111" s="9">
        <f t="shared" si="87"/>
        <v>11879</v>
      </c>
      <c r="FC111" s="8">
        <v>10</v>
      </c>
      <c r="FD111" s="8">
        <v>10</v>
      </c>
      <c r="FE111" s="8">
        <v>10</v>
      </c>
      <c r="FF111" s="8">
        <v>10</v>
      </c>
      <c r="FG111" s="8">
        <v>10</v>
      </c>
      <c r="FH111" s="8">
        <v>10</v>
      </c>
      <c r="FI111" s="8">
        <v>10</v>
      </c>
      <c r="FJ111" s="8"/>
      <c r="FK111" s="8"/>
      <c r="FL111" s="8"/>
      <c r="FM111" s="8"/>
      <c r="FN111" s="8"/>
      <c r="FO111" s="9">
        <f t="shared" si="88"/>
        <v>10</v>
      </c>
    </row>
    <row r="112" spans="2:171" ht="14.25" customHeight="1" x14ac:dyDescent="0.3">
      <c r="B112" s="7" t="s">
        <v>56</v>
      </c>
      <c r="C112" s="8">
        <v>18467</v>
      </c>
      <c r="D112" s="8">
        <v>18467</v>
      </c>
      <c r="E112" s="8">
        <v>18467</v>
      </c>
      <c r="F112" s="8">
        <v>18467</v>
      </c>
      <c r="G112" s="8">
        <v>18467</v>
      </c>
      <c r="H112" s="8">
        <v>18467</v>
      </c>
      <c r="I112" s="8">
        <v>18467</v>
      </c>
      <c r="J112" s="8">
        <v>18467</v>
      </c>
      <c r="K112" s="8">
        <v>18467</v>
      </c>
      <c r="L112" s="8">
        <v>18467</v>
      </c>
      <c r="M112" s="8">
        <v>18467</v>
      </c>
      <c r="N112" s="8">
        <v>18467</v>
      </c>
      <c r="O112" s="9">
        <f t="shared" si="76"/>
        <v>18467</v>
      </c>
      <c r="P112" s="8">
        <v>20434</v>
      </c>
      <c r="Q112" s="8">
        <v>20434</v>
      </c>
      <c r="R112" s="8">
        <v>20434</v>
      </c>
      <c r="S112" s="8">
        <v>20434</v>
      </c>
      <c r="T112" s="8">
        <v>20434</v>
      </c>
      <c r="U112" s="8">
        <v>20434</v>
      </c>
      <c r="V112" s="8">
        <v>20434</v>
      </c>
      <c r="W112" s="8">
        <v>20434</v>
      </c>
      <c r="X112" s="8">
        <v>20434</v>
      </c>
      <c r="Y112" s="8">
        <v>62794</v>
      </c>
      <c r="Z112" s="8">
        <v>101205</v>
      </c>
      <c r="AA112" s="8">
        <v>101205</v>
      </c>
      <c r="AB112" s="9">
        <f t="shared" si="77"/>
        <v>101205</v>
      </c>
      <c r="AC112" s="8">
        <v>22950</v>
      </c>
      <c r="AD112" s="8">
        <v>42484</v>
      </c>
      <c r="AE112" s="8">
        <v>42484</v>
      </c>
      <c r="AF112" s="8">
        <v>193534</v>
      </c>
      <c r="AG112" s="8">
        <v>193534</v>
      </c>
      <c r="AH112" s="8">
        <v>193534</v>
      </c>
      <c r="AI112" s="8">
        <v>243899</v>
      </c>
      <c r="AJ112" s="8">
        <v>243899</v>
      </c>
      <c r="AK112" s="8">
        <v>243899</v>
      </c>
      <c r="AL112" s="8">
        <v>243899</v>
      </c>
      <c r="AM112" s="8">
        <v>243899</v>
      </c>
      <c r="AN112" s="8">
        <v>243899</v>
      </c>
      <c r="AO112" s="9">
        <f t="shared" si="78"/>
        <v>243899</v>
      </c>
      <c r="AP112" s="8">
        <v>22660</v>
      </c>
      <c r="AQ112" s="8">
        <v>22660</v>
      </c>
      <c r="AR112" s="8">
        <v>22660</v>
      </c>
      <c r="AS112" s="8">
        <v>22660</v>
      </c>
      <c r="AT112" s="8">
        <v>22660</v>
      </c>
      <c r="AU112" s="8">
        <v>22660</v>
      </c>
      <c r="AV112" s="8">
        <v>22660</v>
      </c>
      <c r="AW112" s="8">
        <v>30030</v>
      </c>
      <c r="AX112" s="8">
        <v>30030</v>
      </c>
      <c r="AY112" s="8">
        <v>286552</v>
      </c>
      <c r="AZ112" s="8">
        <v>286552</v>
      </c>
      <c r="BA112" s="8">
        <v>289095</v>
      </c>
      <c r="BB112" s="9">
        <f t="shared" si="79"/>
        <v>289095</v>
      </c>
      <c r="BC112" s="8">
        <v>29190</v>
      </c>
      <c r="BD112" s="8">
        <v>29190</v>
      </c>
      <c r="BE112" s="8">
        <v>29190</v>
      </c>
      <c r="BF112" s="8">
        <v>29190</v>
      </c>
      <c r="BG112" s="8">
        <v>29190</v>
      </c>
      <c r="BH112" s="8">
        <v>29190</v>
      </c>
      <c r="BI112" s="8">
        <v>24629</v>
      </c>
      <c r="BJ112" s="8">
        <v>24629</v>
      </c>
      <c r="BK112" s="8">
        <v>24629</v>
      </c>
      <c r="BL112" s="8">
        <v>24629</v>
      </c>
      <c r="BM112" s="8">
        <v>24629</v>
      </c>
      <c r="BN112" s="8">
        <v>24629</v>
      </c>
      <c r="BO112" s="9">
        <f t="shared" si="80"/>
        <v>24629</v>
      </c>
      <c r="BP112" s="8">
        <v>22583</v>
      </c>
      <c r="BQ112" s="8">
        <v>22583</v>
      </c>
      <c r="BR112" s="8">
        <v>22583</v>
      </c>
      <c r="BS112" s="8">
        <v>22583</v>
      </c>
      <c r="BT112" s="8">
        <v>22583</v>
      </c>
      <c r="BU112" s="8">
        <v>22583</v>
      </c>
      <c r="BV112" s="8">
        <v>22583</v>
      </c>
      <c r="BW112" s="8">
        <v>22583</v>
      </c>
      <c r="BX112" s="8">
        <v>22583</v>
      </c>
      <c r="BY112" s="8">
        <v>22583</v>
      </c>
      <c r="BZ112" s="8">
        <v>22583</v>
      </c>
      <c r="CA112" s="8">
        <v>3013458</v>
      </c>
      <c r="CB112" s="9">
        <f t="shared" si="81"/>
        <v>3013458</v>
      </c>
      <c r="CC112" s="8">
        <v>23171</v>
      </c>
      <c r="CD112" s="8">
        <v>23171</v>
      </c>
      <c r="CE112" s="8">
        <v>23171</v>
      </c>
      <c r="CF112" s="8">
        <v>16219</v>
      </c>
      <c r="CG112" s="8">
        <v>13560</v>
      </c>
      <c r="CH112" s="8">
        <v>13560</v>
      </c>
      <c r="CI112" s="8">
        <v>149106</v>
      </c>
      <c r="CJ112" s="8">
        <v>149106</v>
      </c>
      <c r="CK112" s="8">
        <v>1588951</v>
      </c>
      <c r="CL112" s="8">
        <v>1588951</v>
      </c>
      <c r="CM112" s="8">
        <v>1598562</v>
      </c>
      <c r="CN112" s="8">
        <v>1598562</v>
      </c>
      <c r="CO112" s="9">
        <f t="shared" si="82"/>
        <v>1598562</v>
      </c>
      <c r="CP112" s="8">
        <v>18558</v>
      </c>
      <c r="CQ112" s="8">
        <v>18558</v>
      </c>
      <c r="CR112" s="8">
        <v>18558</v>
      </c>
      <c r="CS112" s="8">
        <v>18558</v>
      </c>
      <c r="CT112" s="8">
        <v>18558</v>
      </c>
      <c r="CU112" s="8">
        <v>18558</v>
      </c>
      <c r="CV112" s="8">
        <v>18558</v>
      </c>
      <c r="CW112" s="8">
        <v>18558</v>
      </c>
      <c r="CX112" s="8">
        <v>18558</v>
      </c>
      <c r="CY112" s="8">
        <v>169560</v>
      </c>
      <c r="CZ112" s="8">
        <v>169560</v>
      </c>
      <c r="DA112" s="8">
        <v>169560</v>
      </c>
      <c r="DB112" s="9">
        <f t="shared" si="83"/>
        <v>169560</v>
      </c>
      <c r="DC112" s="8">
        <v>0</v>
      </c>
      <c r="DD112" s="8">
        <v>0</v>
      </c>
      <c r="DE112" s="8">
        <v>0</v>
      </c>
      <c r="DF112" s="8">
        <v>0</v>
      </c>
      <c r="DG112" s="8">
        <v>0</v>
      </c>
      <c r="DH112" s="8">
        <v>0</v>
      </c>
      <c r="DI112" s="8">
        <v>0</v>
      </c>
      <c r="DJ112" s="8">
        <v>0</v>
      </c>
      <c r="DK112" s="8">
        <v>4620268</v>
      </c>
      <c r="DL112" s="8">
        <v>4620268</v>
      </c>
      <c r="DM112" s="8">
        <v>11447397</v>
      </c>
      <c r="DN112" s="8">
        <v>11447397</v>
      </c>
      <c r="DO112" s="9">
        <f t="shared" si="84"/>
        <v>11447397</v>
      </c>
      <c r="DP112" s="8">
        <v>0</v>
      </c>
      <c r="DQ112" s="8">
        <v>0</v>
      </c>
      <c r="DR112" s="8">
        <v>0</v>
      </c>
      <c r="DS112" s="8">
        <v>0</v>
      </c>
      <c r="DT112" s="8">
        <v>0</v>
      </c>
      <c r="DU112" s="8">
        <v>0</v>
      </c>
      <c r="DV112" s="8">
        <v>0</v>
      </c>
      <c r="DW112" s="8">
        <v>0</v>
      </c>
      <c r="DX112" s="8">
        <v>0</v>
      </c>
      <c r="DY112" s="8">
        <v>0</v>
      </c>
      <c r="DZ112" s="8">
        <v>0</v>
      </c>
      <c r="EA112" s="8">
        <v>0</v>
      </c>
      <c r="EB112" s="9">
        <f t="shared" si="85"/>
        <v>0</v>
      </c>
      <c r="EC112" s="8">
        <v>0</v>
      </c>
      <c r="ED112" s="8">
        <v>0</v>
      </c>
      <c r="EE112" s="8">
        <v>0</v>
      </c>
      <c r="EF112" s="8">
        <v>0</v>
      </c>
      <c r="EG112" s="8">
        <v>10159</v>
      </c>
      <c r="EH112" s="8">
        <v>10159</v>
      </c>
      <c r="EI112" s="8">
        <v>10159</v>
      </c>
      <c r="EJ112" s="8">
        <v>10159</v>
      </c>
      <c r="EK112" s="8">
        <v>10159</v>
      </c>
      <c r="EL112" s="8">
        <v>12161</v>
      </c>
      <c r="EM112" s="8">
        <v>12161</v>
      </c>
      <c r="EN112" s="8">
        <v>12161</v>
      </c>
      <c r="EO112" s="9">
        <f t="shared" si="86"/>
        <v>12161</v>
      </c>
      <c r="EP112" s="8">
        <v>6929</v>
      </c>
      <c r="EQ112" s="8">
        <v>6929</v>
      </c>
      <c r="ER112" s="8">
        <v>6929</v>
      </c>
      <c r="ES112" s="8">
        <v>6929</v>
      </c>
      <c r="ET112" s="8">
        <v>6929</v>
      </c>
      <c r="EU112" s="8">
        <v>6929</v>
      </c>
      <c r="EV112" s="8">
        <v>6929</v>
      </c>
      <c r="EW112" s="8">
        <v>6929</v>
      </c>
      <c r="EX112" s="8">
        <v>6929</v>
      </c>
      <c r="EY112" s="8">
        <v>6929</v>
      </c>
      <c r="EZ112" s="8">
        <v>6929</v>
      </c>
      <c r="FA112" s="8">
        <v>6929</v>
      </c>
      <c r="FB112" s="9">
        <f t="shared" si="87"/>
        <v>6929</v>
      </c>
      <c r="FC112" s="8">
        <v>10</v>
      </c>
      <c r="FD112" s="8">
        <v>10</v>
      </c>
      <c r="FE112" s="8">
        <v>10</v>
      </c>
      <c r="FF112" s="8">
        <v>10</v>
      </c>
      <c r="FG112" s="8">
        <v>10</v>
      </c>
      <c r="FH112" s="8">
        <v>10</v>
      </c>
      <c r="FI112" s="8">
        <v>10</v>
      </c>
      <c r="FJ112" s="8"/>
      <c r="FK112" s="8"/>
      <c r="FL112" s="8"/>
      <c r="FM112" s="8"/>
      <c r="FN112" s="8"/>
      <c r="FO112" s="9">
        <f t="shared" si="88"/>
        <v>10</v>
      </c>
    </row>
    <row r="113" spans="2:171" ht="14.25" customHeight="1" x14ac:dyDescent="0.3">
      <c r="B113" s="7" t="s">
        <v>57</v>
      </c>
      <c r="C113" s="8">
        <v>10805</v>
      </c>
      <c r="D113" s="8">
        <v>10805</v>
      </c>
      <c r="E113" s="8">
        <v>10805</v>
      </c>
      <c r="F113" s="8">
        <v>10805</v>
      </c>
      <c r="G113" s="8">
        <v>10805</v>
      </c>
      <c r="H113" s="8">
        <v>16805</v>
      </c>
      <c r="I113" s="8">
        <v>16805</v>
      </c>
      <c r="J113" s="8">
        <v>16805</v>
      </c>
      <c r="K113" s="8">
        <v>16805</v>
      </c>
      <c r="L113" s="8">
        <v>16805</v>
      </c>
      <c r="M113" s="8">
        <v>16805</v>
      </c>
      <c r="N113" s="8">
        <v>16805</v>
      </c>
      <c r="O113" s="9">
        <f t="shared" si="76"/>
        <v>16805</v>
      </c>
      <c r="P113" s="8">
        <v>11634</v>
      </c>
      <c r="Q113" s="8">
        <v>11634</v>
      </c>
      <c r="R113" s="8">
        <v>11634</v>
      </c>
      <c r="S113" s="8">
        <v>11634</v>
      </c>
      <c r="T113" s="8">
        <v>11634</v>
      </c>
      <c r="U113" s="8">
        <v>11634</v>
      </c>
      <c r="V113" s="8">
        <v>11634</v>
      </c>
      <c r="W113" s="8">
        <v>11634</v>
      </c>
      <c r="X113" s="8">
        <v>11634</v>
      </c>
      <c r="Y113" s="8">
        <v>11634</v>
      </c>
      <c r="Z113" s="8">
        <v>11634</v>
      </c>
      <c r="AA113" s="8">
        <v>11634</v>
      </c>
      <c r="AB113" s="9">
        <f t="shared" si="77"/>
        <v>11634</v>
      </c>
      <c r="AC113" s="8">
        <v>635947</v>
      </c>
      <c r="AD113" s="8">
        <v>635947</v>
      </c>
      <c r="AE113" s="8">
        <v>635947</v>
      </c>
      <c r="AF113" s="8">
        <v>636947</v>
      </c>
      <c r="AG113" s="8">
        <v>636947</v>
      </c>
      <c r="AH113" s="8">
        <v>636947</v>
      </c>
      <c r="AI113" s="8">
        <v>636947</v>
      </c>
      <c r="AJ113" s="8">
        <v>636947</v>
      </c>
      <c r="AK113" s="8">
        <v>636947</v>
      </c>
      <c r="AL113" s="8">
        <v>636947</v>
      </c>
      <c r="AM113" s="8">
        <v>636947</v>
      </c>
      <c r="AN113" s="8">
        <v>636947</v>
      </c>
      <c r="AO113" s="9">
        <f t="shared" si="78"/>
        <v>636947</v>
      </c>
      <c r="AP113" s="8">
        <v>14420</v>
      </c>
      <c r="AQ113" s="8">
        <v>14420</v>
      </c>
      <c r="AR113" s="8">
        <v>14420</v>
      </c>
      <c r="AS113" s="8">
        <v>14420</v>
      </c>
      <c r="AT113" s="8">
        <v>15020</v>
      </c>
      <c r="AU113" s="8">
        <v>15020</v>
      </c>
      <c r="AV113" s="8">
        <v>15020</v>
      </c>
      <c r="AW113" s="8">
        <v>2678138</v>
      </c>
      <c r="AX113" s="8">
        <v>2678138</v>
      </c>
      <c r="AY113" s="8">
        <v>2678138</v>
      </c>
      <c r="AZ113" s="8">
        <v>2678138</v>
      </c>
      <c r="BA113" s="8">
        <v>2678138</v>
      </c>
      <c r="BB113" s="9">
        <f t="shared" si="79"/>
        <v>2678138</v>
      </c>
      <c r="BC113" s="8">
        <v>16931</v>
      </c>
      <c r="BD113" s="8">
        <v>16931</v>
      </c>
      <c r="BE113" s="8">
        <v>16931</v>
      </c>
      <c r="BF113" s="8">
        <v>16931</v>
      </c>
      <c r="BG113" s="8">
        <v>16931</v>
      </c>
      <c r="BH113" s="8">
        <v>16931</v>
      </c>
      <c r="BI113" s="8">
        <v>13940</v>
      </c>
      <c r="BJ113" s="8">
        <v>13940</v>
      </c>
      <c r="BK113" s="8">
        <v>13940</v>
      </c>
      <c r="BL113" s="8">
        <v>13940</v>
      </c>
      <c r="BM113" s="8">
        <v>13940</v>
      </c>
      <c r="BN113" s="8">
        <v>13940</v>
      </c>
      <c r="BO113" s="9">
        <f t="shared" si="80"/>
        <v>13940</v>
      </c>
      <c r="BP113" s="8">
        <v>13745</v>
      </c>
      <c r="BQ113" s="8">
        <v>13745</v>
      </c>
      <c r="BR113" s="8">
        <v>13745</v>
      </c>
      <c r="BS113" s="8">
        <v>13745</v>
      </c>
      <c r="BT113" s="8">
        <v>13745</v>
      </c>
      <c r="BU113" s="8">
        <v>13745</v>
      </c>
      <c r="BV113" s="8">
        <v>13745</v>
      </c>
      <c r="BW113" s="8">
        <v>13745</v>
      </c>
      <c r="BX113" s="8">
        <v>13745</v>
      </c>
      <c r="BY113" s="8">
        <v>13745</v>
      </c>
      <c r="BZ113" s="8">
        <v>13745</v>
      </c>
      <c r="CA113" s="8">
        <v>2711223</v>
      </c>
      <c r="CB113" s="9">
        <f t="shared" si="81"/>
        <v>2711223</v>
      </c>
      <c r="CC113" s="8">
        <v>313243</v>
      </c>
      <c r="CD113" s="8">
        <v>313243</v>
      </c>
      <c r="CE113" s="8">
        <v>313243</v>
      </c>
      <c r="CF113" s="8">
        <v>309021</v>
      </c>
      <c r="CG113" s="8">
        <v>158250</v>
      </c>
      <c r="CH113" s="8">
        <v>158250</v>
      </c>
      <c r="CI113" s="8">
        <v>158250</v>
      </c>
      <c r="CJ113" s="8">
        <v>158250</v>
      </c>
      <c r="CK113" s="8">
        <v>158250</v>
      </c>
      <c r="CL113" s="8">
        <v>158250</v>
      </c>
      <c r="CM113" s="8">
        <v>935389</v>
      </c>
      <c r="CN113" s="8">
        <v>927808</v>
      </c>
      <c r="CO113" s="9">
        <f t="shared" si="82"/>
        <v>927808</v>
      </c>
      <c r="CP113" s="8">
        <v>13786</v>
      </c>
      <c r="CQ113" s="8">
        <v>13786</v>
      </c>
      <c r="CR113" s="8">
        <v>13786</v>
      </c>
      <c r="CS113" s="8">
        <v>13786</v>
      </c>
      <c r="CT113" s="8">
        <v>1912606</v>
      </c>
      <c r="CU113" s="8">
        <v>1912606</v>
      </c>
      <c r="CV113" s="8">
        <v>1912606</v>
      </c>
      <c r="CW113" s="8">
        <v>1912606</v>
      </c>
      <c r="CX113" s="8">
        <v>1912606</v>
      </c>
      <c r="CY113" s="8">
        <v>1912606</v>
      </c>
      <c r="CZ113" s="8">
        <v>1912606</v>
      </c>
      <c r="DA113" s="8">
        <v>2767129</v>
      </c>
      <c r="DB113" s="9">
        <f t="shared" si="83"/>
        <v>2767129</v>
      </c>
      <c r="DC113" s="8">
        <v>0</v>
      </c>
      <c r="DD113" s="8">
        <v>0</v>
      </c>
      <c r="DE113" s="8">
        <v>814039</v>
      </c>
      <c r="DF113" s="8">
        <v>814039</v>
      </c>
      <c r="DG113" s="8">
        <v>1256295</v>
      </c>
      <c r="DH113" s="8">
        <v>1256295</v>
      </c>
      <c r="DI113" s="8">
        <v>1256295</v>
      </c>
      <c r="DJ113" s="8">
        <v>1256295</v>
      </c>
      <c r="DK113" s="8">
        <v>1256295</v>
      </c>
      <c r="DL113" s="8">
        <v>2903454</v>
      </c>
      <c r="DM113" s="8">
        <v>2903454</v>
      </c>
      <c r="DN113" s="8">
        <v>3007656</v>
      </c>
      <c r="DO113" s="9">
        <f t="shared" si="84"/>
        <v>3007656</v>
      </c>
      <c r="DP113" s="8">
        <v>0</v>
      </c>
      <c r="DQ113" s="8">
        <v>0</v>
      </c>
      <c r="DR113" s="8">
        <v>0</v>
      </c>
      <c r="DS113" s="8">
        <v>0</v>
      </c>
      <c r="DT113" s="8">
        <v>0</v>
      </c>
      <c r="DU113" s="8">
        <v>0</v>
      </c>
      <c r="DV113" s="8">
        <v>0</v>
      </c>
      <c r="DW113" s="8">
        <v>0</v>
      </c>
      <c r="DX113" s="8">
        <v>0</v>
      </c>
      <c r="DY113" s="8">
        <v>0</v>
      </c>
      <c r="DZ113" s="8">
        <v>0</v>
      </c>
      <c r="EA113" s="8">
        <v>0</v>
      </c>
      <c r="EB113" s="9">
        <f t="shared" si="85"/>
        <v>0</v>
      </c>
      <c r="EC113" s="8">
        <v>0</v>
      </c>
      <c r="ED113" s="8">
        <v>0</v>
      </c>
      <c r="EE113" s="8">
        <v>0</v>
      </c>
      <c r="EF113" s="8">
        <v>0</v>
      </c>
      <c r="EG113" s="8">
        <v>7619</v>
      </c>
      <c r="EH113" s="8">
        <v>7619</v>
      </c>
      <c r="EI113" s="8">
        <v>7619</v>
      </c>
      <c r="EJ113" s="8">
        <v>7619</v>
      </c>
      <c r="EK113" s="8">
        <v>7619</v>
      </c>
      <c r="EL113" s="8">
        <v>9216</v>
      </c>
      <c r="EM113" s="8">
        <v>9216</v>
      </c>
      <c r="EN113" s="8">
        <v>9216</v>
      </c>
      <c r="EO113" s="9">
        <f t="shared" si="86"/>
        <v>9216</v>
      </c>
      <c r="EP113" s="8">
        <v>5890</v>
      </c>
      <c r="EQ113" s="8">
        <v>5890</v>
      </c>
      <c r="ER113" s="8">
        <v>5890</v>
      </c>
      <c r="ES113" s="8">
        <v>5890</v>
      </c>
      <c r="ET113" s="8">
        <v>5890</v>
      </c>
      <c r="EU113" s="8">
        <v>5890</v>
      </c>
      <c r="EV113" s="8">
        <v>5890</v>
      </c>
      <c r="EW113" s="8">
        <v>5890</v>
      </c>
      <c r="EX113" s="8">
        <v>5890</v>
      </c>
      <c r="EY113" s="8">
        <v>5890</v>
      </c>
      <c r="EZ113" s="8">
        <v>5890</v>
      </c>
      <c r="FA113" s="8">
        <v>5890</v>
      </c>
      <c r="FB113" s="9">
        <f t="shared" si="87"/>
        <v>5890</v>
      </c>
      <c r="FC113" s="8">
        <v>10</v>
      </c>
      <c r="FD113" s="8">
        <v>10</v>
      </c>
      <c r="FE113" s="8">
        <v>10</v>
      </c>
      <c r="FF113" s="8">
        <v>10</v>
      </c>
      <c r="FG113" s="8">
        <v>10</v>
      </c>
      <c r="FH113" s="8">
        <v>10</v>
      </c>
      <c r="FI113" s="8">
        <v>10</v>
      </c>
      <c r="FJ113" s="8"/>
      <c r="FK113" s="8"/>
      <c r="FL113" s="8"/>
      <c r="FM113" s="8"/>
      <c r="FN113" s="8"/>
      <c r="FO113" s="9">
        <f t="shared" si="88"/>
        <v>10</v>
      </c>
    </row>
    <row r="114" spans="2:171" ht="14.25" customHeight="1" x14ac:dyDescent="0.3">
      <c r="B114" s="7" t="s">
        <v>58</v>
      </c>
      <c r="C114" s="8">
        <v>10825</v>
      </c>
      <c r="D114" s="8">
        <v>10825</v>
      </c>
      <c r="E114" s="8">
        <v>10825</v>
      </c>
      <c r="F114" s="8">
        <v>10825</v>
      </c>
      <c r="G114" s="8">
        <v>10825</v>
      </c>
      <c r="H114" s="8">
        <v>10825</v>
      </c>
      <c r="I114" s="8">
        <v>10825</v>
      </c>
      <c r="J114" s="8">
        <v>10825</v>
      </c>
      <c r="K114" s="8">
        <v>10825</v>
      </c>
      <c r="L114" s="8">
        <v>10825</v>
      </c>
      <c r="M114" s="8">
        <v>10825</v>
      </c>
      <c r="N114" s="8">
        <v>10825</v>
      </c>
      <c r="O114" s="9">
        <f t="shared" si="76"/>
        <v>10825</v>
      </c>
      <c r="P114" s="8">
        <v>12043</v>
      </c>
      <c r="Q114" s="8">
        <v>12043</v>
      </c>
      <c r="R114" s="8">
        <v>12043</v>
      </c>
      <c r="S114" s="8">
        <v>12043</v>
      </c>
      <c r="T114" s="8">
        <v>12043</v>
      </c>
      <c r="U114" s="8">
        <v>12043</v>
      </c>
      <c r="V114" s="8">
        <v>12043</v>
      </c>
      <c r="W114" s="8">
        <v>12043</v>
      </c>
      <c r="X114" s="8">
        <v>12043</v>
      </c>
      <c r="Y114" s="8">
        <v>12043</v>
      </c>
      <c r="Z114" s="8">
        <v>12043</v>
      </c>
      <c r="AA114" s="8">
        <v>12043</v>
      </c>
      <c r="AB114" s="9">
        <f t="shared" si="77"/>
        <v>12043</v>
      </c>
      <c r="AC114" s="8">
        <v>14050</v>
      </c>
      <c r="AD114" s="8">
        <v>14050</v>
      </c>
      <c r="AE114" s="8">
        <v>14050</v>
      </c>
      <c r="AF114" s="8">
        <v>15050</v>
      </c>
      <c r="AG114" s="8">
        <v>303884</v>
      </c>
      <c r="AH114" s="8">
        <v>312054</v>
      </c>
      <c r="AI114" s="8">
        <v>312054</v>
      </c>
      <c r="AJ114" s="8">
        <v>492054</v>
      </c>
      <c r="AK114" s="8">
        <v>492054</v>
      </c>
      <c r="AL114" s="8">
        <v>492054</v>
      </c>
      <c r="AM114" s="8">
        <v>875093</v>
      </c>
      <c r="AN114" s="8">
        <v>875093</v>
      </c>
      <c r="AO114" s="9">
        <f t="shared" si="78"/>
        <v>875093</v>
      </c>
      <c r="AP114" s="8">
        <v>13390</v>
      </c>
      <c r="AQ114" s="8">
        <v>13390</v>
      </c>
      <c r="AR114" s="8">
        <v>13390</v>
      </c>
      <c r="AS114" s="8">
        <v>13390</v>
      </c>
      <c r="AT114" s="8">
        <v>14390</v>
      </c>
      <c r="AU114" s="8">
        <v>14390</v>
      </c>
      <c r="AV114" s="8">
        <v>14390</v>
      </c>
      <c r="AW114" s="8">
        <v>14390</v>
      </c>
      <c r="AX114" s="8">
        <v>14390</v>
      </c>
      <c r="AY114" s="8">
        <v>1344390</v>
      </c>
      <c r="AZ114" s="8">
        <v>1344390</v>
      </c>
      <c r="BA114" s="8">
        <v>3344390</v>
      </c>
      <c r="BB114" s="9">
        <f t="shared" si="79"/>
        <v>3344390</v>
      </c>
      <c r="BC114" s="8">
        <v>14594</v>
      </c>
      <c r="BD114" s="8">
        <v>14594</v>
      </c>
      <c r="BE114" s="8">
        <v>14594</v>
      </c>
      <c r="BF114" s="8">
        <v>14594</v>
      </c>
      <c r="BG114" s="8">
        <v>14594</v>
      </c>
      <c r="BH114" s="8">
        <v>14594</v>
      </c>
      <c r="BI114" s="8">
        <v>12046</v>
      </c>
      <c r="BJ114" s="8">
        <v>12046</v>
      </c>
      <c r="BK114" s="8">
        <v>12046</v>
      </c>
      <c r="BL114" s="8">
        <v>12046</v>
      </c>
      <c r="BM114" s="8">
        <v>12046</v>
      </c>
      <c r="BN114" s="8">
        <v>12046</v>
      </c>
      <c r="BO114" s="9">
        <f t="shared" si="80"/>
        <v>12046</v>
      </c>
      <c r="BP114" s="8">
        <v>6677</v>
      </c>
      <c r="BQ114" s="8">
        <v>6677</v>
      </c>
      <c r="BR114" s="8">
        <v>6677</v>
      </c>
      <c r="BS114" s="8">
        <v>6677</v>
      </c>
      <c r="BT114" s="8">
        <v>6677</v>
      </c>
      <c r="BU114" s="8">
        <v>6677</v>
      </c>
      <c r="BV114" s="8">
        <v>6677</v>
      </c>
      <c r="BW114" s="8">
        <v>6677</v>
      </c>
      <c r="BX114" s="8">
        <v>6677</v>
      </c>
      <c r="BY114" s="8">
        <v>6677</v>
      </c>
      <c r="BZ114" s="8">
        <v>6677</v>
      </c>
      <c r="CA114" s="8">
        <v>6677</v>
      </c>
      <c r="CB114" s="9">
        <f t="shared" si="81"/>
        <v>6677</v>
      </c>
      <c r="CC114" s="8">
        <v>6851</v>
      </c>
      <c r="CD114" s="8">
        <v>6851</v>
      </c>
      <c r="CE114" s="8">
        <v>6851</v>
      </c>
      <c r="CF114" s="8">
        <v>4796</v>
      </c>
      <c r="CG114" s="8">
        <v>1384956</v>
      </c>
      <c r="CH114" s="8">
        <v>1384956</v>
      </c>
      <c r="CI114" s="8">
        <v>1384956</v>
      </c>
      <c r="CJ114" s="8">
        <v>1384956</v>
      </c>
      <c r="CK114" s="8">
        <v>1384956</v>
      </c>
      <c r="CL114" s="8">
        <v>2064304</v>
      </c>
      <c r="CM114" s="8">
        <v>2068136</v>
      </c>
      <c r="CN114" s="8">
        <v>2101136</v>
      </c>
      <c r="CO114" s="9">
        <f t="shared" si="82"/>
        <v>2101136</v>
      </c>
      <c r="CP114" s="8">
        <v>9479</v>
      </c>
      <c r="CQ114" s="8">
        <v>9479</v>
      </c>
      <c r="CR114" s="8">
        <v>9479</v>
      </c>
      <c r="CS114" s="8">
        <v>9479</v>
      </c>
      <c r="CT114" s="8">
        <v>9479</v>
      </c>
      <c r="CU114" s="8">
        <v>9479</v>
      </c>
      <c r="CV114" s="8">
        <v>9479</v>
      </c>
      <c r="CW114" s="8">
        <v>9479</v>
      </c>
      <c r="CX114" s="8">
        <v>9479</v>
      </c>
      <c r="CY114" s="8">
        <v>9479</v>
      </c>
      <c r="CZ114" s="8">
        <v>9479</v>
      </c>
      <c r="DA114" s="8">
        <v>317614</v>
      </c>
      <c r="DB114" s="9">
        <f t="shared" si="83"/>
        <v>317614</v>
      </c>
      <c r="DC114" s="8">
        <v>0</v>
      </c>
      <c r="DD114" s="8">
        <v>0</v>
      </c>
      <c r="DE114" s="8">
        <v>0</v>
      </c>
      <c r="DF114" s="8">
        <v>0</v>
      </c>
      <c r="DG114" s="8">
        <v>0</v>
      </c>
      <c r="DH114" s="8">
        <v>0</v>
      </c>
      <c r="DI114" s="8">
        <v>0</v>
      </c>
      <c r="DJ114" s="8">
        <v>0</v>
      </c>
      <c r="DK114" s="8">
        <v>0</v>
      </c>
      <c r="DL114" s="8">
        <v>0</v>
      </c>
      <c r="DM114" s="8">
        <v>7174216</v>
      </c>
      <c r="DN114" s="8">
        <v>7174216</v>
      </c>
      <c r="DO114" s="9">
        <f t="shared" si="84"/>
        <v>7174216</v>
      </c>
      <c r="DP114" s="8">
        <v>0</v>
      </c>
      <c r="DQ114" s="8">
        <v>0</v>
      </c>
      <c r="DR114" s="8">
        <v>0</v>
      </c>
      <c r="DS114" s="8">
        <v>0</v>
      </c>
      <c r="DT114" s="8">
        <v>0</v>
      </c>
      <c r="DU114" s="8">
        <v>0</v>
      </c>
      <c r="DV114" s="8">
        <v>0</v>
      </c>
      <c r="DW114" s="8">
        <v>0</v>
      </c>
      <c r="DX114" s="8">
        <v>0</v>
      </c>
      <c r="DY114" s="8">
        <v>0</v>
      </c>
      <c r="DZ114" s="8">
        <v>0</v>
      </c>
      <c r="EA114" s="8">
        <v>0</v>
      </c>
      <c r="EB114" s="9">
        <f t="shared" si="85"/>
        <v>0</v>
      </c>
      <c r="EC114" s="8">
        <v>0</v>
      </c>
      <c r="ED114" s="8">
        <v>0</v>
      </c>
      <c r="EE114" s="8">
        <v>0</v>
      </c>
      <c r="EF114" s="8">
        <v>0</v>
      </c>
      <c r="EG114" s="8">
        <v>11852</v>
      </c>
      <c r="EH114" s="8">
        <v>11852</v>
      </c>
      <c r="EI114" s="8">
        <v>11852</v>
      </c>
      <c r="EJ114" s="8">
        <v>1610341</v>
      </c>
      <c r="EK114" s="8">
        <v>1610341</v>
      </c>
      <c r="EL114" s="8">
        <v>1612723</v>
      </c>
      <c r="EM114" s="8">
        <v>7959032</v>
      </c>
      <c r="EN114" s="8">
        <v>9262299</v>
      </c>
      <c r="EO114" s="9">
        <f t="shared" si="86"/>
        <v>9262299</v>
      </c>
      <c r="EP114" s="8">
        <v>1980</v>
      </c>
      <c r="EQ114" s="8">
        <v>1980</v>
      </c>
      <c r="ER114" s="8">
        <v>1980</v>
      </c>
      <c r="ES114" s="8">
        <v>1980</v>
      </c>
      <c r="ET114" s="8">
        <v>1980</v>
      </c>
      <c r="EU114" s="8">
        <v>1980</v>
      </c>
      <c r="EV114" s="8">
        <v>1980</v>
      </c>
      <c r="EW114" s="8">
        <v>1980</v>
      </c>
      <c r="EX114" s="8">
        <v>1980</v>
      </c>
      <c r="EY114" s="8">
        <v>1980</v>
      </c>
      <c r="EZ114" s="8">
        <v>1980</v>
      </c>
      <c r="FA114" s="8">
        <v>1980</v>
      </c>
      <c r="FB114" s="9">
        <f t="shared" si="87"/>
        <v>1980</v>
      </c>
      <c r="FC114" s="8">
        <v>10</v>
      </c>
      <c r="FD114" s="8">
        <v>10</v>
      </c>
      <c r="FE114" s="8">
        <v>10</v>
      </c>
      <c r="FF114" s="8">
        <v>10</v>
      </c>
      <c r="FG114" s="8">
        <v>10</v>
      </c>
      <c r="FH114" s="8">
        <v>10</v>
      </c>
      <c r="FI114" s="8">
        <v>10</v>
      </c>
      <c r="FJ114" s="8"/>
      <c r="FK114" s="8"/>
      <c r="FL114" s="8"/>
      <c r="FM114" s="8"/>
      <c r="FN114" s="8"/>
      <c r="FO114" s="9">
        <f t="shared" si="88"/>
        <v>10</v>
      </c>
    </row>
    <row r="115" spans="2:171" ht="14.25" customHeight="1" x14ac:dyDescent="0.3">
      <c r="B115" s="7" t="s">
        <v>59</v>
      </c>
      <c r="C115" s="8">
        <v>8561</v>
      </c>
      <c r="D115" s="8">
        <v>8561</v>
      </c>
      <c r="E115" s="8">
        <v>8561</v>
      </c>
      <c r="F115" s="8">
        <v>8561</v>
      </c>
      <c r="G115" s="8">
        <v>8561</v>
      </c>
      <c r="H115" s="8">
        <v>8561</v>
      </c>
      <c r="I115" s="8">
        <v>8561</v>
      </c>
      <c r="J115" s="8">
        <v>8561</v>
      </c>
      <c r="K115" s="8">
        <v>8561</v>
      </c>
      <c r="L115" s="8">
        <v>8561</v>
      </c>
      <c r="M115" s="8">
        <v>8561</v>
      </c>
      <c r="N115" s="8">
        <v>8561</v>
      </c>
      <c r="O115" s="9">
        <f t="shared" si="76"/>
        <v>8561</v>
      </c>
      <c r="P115" s="8">
        <v>15987</v>
      </c>
      <c r="Q115" s="8">
        <v>15987</v>
      </c>
      <c r="R115" s="8">
        <v>15987</v>
      </c>
      <c r="S115" s="8">
        <v>15987</v>
      </c>
      <c r="T115" s="8">
        <v>15987</v>
      </c>
      <c r="U115" s="8">
        <v>15987</v>
      </c>
      <c r="V115" s="8">
        <v>15987</v>
      </c>
      <c r="W115" s="8">
        <v>15987</v>
      </c>
      <c r="X115" s="8">
        <v>15987</v>
      </c>
      <c r="Y115" s="8">
        <v>15987</v>
      </c>
      <c r="Z115" s="8">
        <v>15987</v>
      </c>
      <c r="AA115" s="8">
        <v>15987</v>
      </c>
      <c r="AB115" s="9">
        <f t="shared" si="77"/>
        <v>15987</v>
      </c>
      <c r="AC115" s="8">
        <v>17793</v>
      </c>
      <c r="AD115" s="8">
        <v>17793</v>
      </c>
      <c r="AE115" s="8">
        <v>17793</v>
      </c>
      <c r="AF115" s="8">
        <v>18793</v>
      </c>
      <c r="AG115" s="8">
        <v>18793</v>
      </c>
      <c r="AH115" s="8">
        <v>31593</v>
      </c>
      <c r="AI115" s="8">
        <v>31593</v>
      </c>
      <c r="AJ115" s="8">
        <v>31593</v>
      </c>
      <c r="AK115" s="8">
        <v>31593</v>
      </c>
      <c r="AL115" s="8">
        <v>31593</v>
      </c>
      <c r="AM115" s="8">
        <v>31593</v>
      </c>
      <c r="AN115" s="8">
        <v>31593</v>
      </c>
      <c r="AO115" s="9">
        <f t="shared" si="78"/>
        <v>31593</v>
      </c>
      <c r="AP115" s="8">
        <v>12360</v>
      </c>
      <c r="AQ115" s="8">
        <v>12360</v>
      </c>
      <c r="AR115" s="8">
        <v>12360</v>
      </c>
      <c r="AS115" s="8">
        <v>12360</v>
      </c>
      <c r="AT115" s="8">
        <v>12360</v>
      </c>
      <c r="AU115" s="8">
        <v>12360</v>
      </c>
      <c r="AV115" s="8">
        <v>12360</v>
      </c>
      <c r="AW115" s="8">
        <v>12360</v>
      </c>
      <c r="AX115" s="8">
        <v>12360</v>
      </c>
      <c r="AY115" s="8">
        <v>377360</v>
      </c>
      <c r="AZ115" s="8">
        <v>377360</v>
      </c>
      <c r="BA115" s="8">
        <v>377360</v>
      </c>
      <c r="BB115" s="9">
        <f t="shared" si="79"/>
        <v>377360</v>
      </c>
      <c r="BC115" s="8">
        <v>12681</v>
      </c>
      <c r="BD115" s="8">
        <v>12681</v>
      </c>
      <c r="BE115" s="8">
        <v>12681</v>
      </c>
      <c r="BF115" s="8">
        <v>12681</v>
      </c>
      <c r="BG115" s="8">
        <v>12681</v>
      </c>
      <c r="BH115" s="8">
        <v>12681</v>
      </c>
      <c r="BI115" s="8">
        <v>12681</v>
      </c>
      <c r="BJ115" s="8">
        <v>12681</v>
      </c>
      <c r="BK115" s="8">
        <v>12681</v>
      </c>
      <c r="BL115" s="8">
        <v>12681</v>
      </c>
      <c r="BM115" s="8">
        <v>12681</v>
      </c>
      <c r="BN115" s="8">
        <v>2081022</v>
      </c>
      <c r="BO115" s="9">
        <f t="shared" si="80"/>
        <v>2081022</v>
      </c>
      <c r="BP115" s="8">
        <v>7864</v>
      </c>
      <c r="BQ115" s="8">
        <v>7864</v>
      </c>
      <c r="BR115" s="8">
        <v>7864</v>
      </c>
      <c r="BS115" s="8">
        <v>7864</v>
      </c>
      <c r="BT115" s="8">
        <v>2099602</v>
      </c>
      <c r="BU115" s="8">
        <v>2099602</v>
      </c>
      <c r="BV115" s="8">
        <v>2099602</v>
      </c>
      <c r="BW115" s="8">
        <v>2099602</v>
      </c>
      <c r="BX115" s="8">
        <v>2099602</v>
      </c>
      <c r="BY115" s="8">
        <v>2099602</v>
      </c>
      <c r="BZ115" s="8">
        <v>2099602</v>
      </c>
      <c r="CA115" s="8">
        <v>2075299</v>
      </c>
      <c r="CB115" s="9">
        <f t="shared" si="81"/>
        <v>2075299</v>
      </c>
      <c r="CC115" s="8">
        <v>8068</v>
      </c>
      <c r="CD115" s="8">
        <v>8068</v>
      </c>
      <c r="CE115" s="8">
        <v>8068</v>
      </c>
      <c r="CF115" s="8">
        <v>5647</v>
      </c>
      <c r="CG115" s="8">
        <v>2823</v>
      </c>
      <c r="CH115" s="8">
        <v>2823</v>
      </c>
      <c r="CI115" s="8">
        <v>2823</v>
      </c>
      <c r="CJ115" s="8">
        <v>2823</v>
      </c>
      <c r="CK115" s="8">
        <v>2823</v>
      </c>
      <c r="CL115" s="8">
        <v>2823</v>
      </c>
      <c r="CM115" s="8">
        <v>8068</v>
      </c>
      <c r="CN115" s="8">
        <v>8068</v>
      </c>
      <c r="CO115" s="9">
        <f t="shared" si="82"/>
        <v>8068</v>
      </c>
      <c r="CP115" s="8">
        <v>6340</v>
      </c>
      <c r="CQ115" s="8">
        <v>6340</v>
      </c>
      <c r="CR115" s="8">
        <v>6340</v>
      </c>
      <c r="CS115" s="8">
        <v>6340</v>
      </c>
      <c r="CT115" s="8">
        <v>6340</v>
      </c>
      <c r="CU115" s="8">
        <v>7570</v>
      </c>
      <c r="CV115" s="8">
        <v>7570</v>
      </c>
      <c r="CW115" s="8">
        <v>7570</v>
      </c>
      <c r="CX115" s="8">
        <v>7570</v>
      </c>
      <c r="CY115" s="8">
        <v>7570</v>
      </c>
      <c r="CZ115" s="8">
        <v>7570</v>
      </c>
      <c r="DA115" s="8">
        <v>7570</v>
      </c>
      <c r="DB115" s="9">
        <f t="shared" si="83"/>
        <v>7570</v>
      </c>
      <c r="DC115" s="8">
        <v>0</v>
      </c>
      <c r="DD115" s="8">
        <v>0</v>
      </c>
      <c r="DE115" s="8">
        <v>0</v>
      </c>
      <c r="DF115" s="8">
        <v>0</v>
      </c>
      <c r="DG115" s="8">
        <v>0</v>
      </c>
      <c r="DH115" s="8">
        <v>0</v>
      </c>
      <c r="DI115" s="8">
        <v>0</v>
      </c>
      <c r="DJ115" s="8">
        <v>0</v>
      </c>
      <c r="DK115" s="8">
        <v>0</v>
      </c>
      <c r="DL115" s="8">
        <v>0</v>
      </c>
      <c r="DM115" s="8">
        <v>695827</v>
      </c>
      <c r="DN115" s="8">
        <v>695827</v>
      </c>
      <c r="DO115" s="9">
        <f t="shared" si="84"/>
        <v>695827</v>
      </c>
      <c r="DP115" s="8">
        <v>0</v>
      </c>
      <c r="DQ115" s="8">
        <v>0</v>
      </c>
      <c r="DR115" s="8">
        <v>0</v>
      </c>
      <c r="DS115" s="8">
        <v>0</v>
      </c>
      <c r="DT115" s="8">
        <v>0</v>
      </c>
      <c r="DU115" s="8">
        <v>0</v>
      </c>
      <c r="DV115" s="8">
        <v>0</v>
      </c>
      <c r="DW115" s="8">
        <v>0</v>
      </c>
      <c r="DX115" s="8">
        <v>0</v>
      </c>
      <c r="DY115" s="8">
        <v>0</v>
      </c>
      <c r="DZ115" s="8">
        <v>0</v>
      </c>
      <c r="EA115" s="8">
        <v>0</v>
      </c>
      <c r="EB115" s="9">
        <f t="shared" si="85"/>
        <v>0</v>
      </c>
      <c r="EC115" s="8">
        <v>0</v>
      </c>
      <c r="ED115" s="8">
        <v>0</v>
      </c>
      <c r="EE115" s="8">
        <v>0</v>
      </c>
      <c r="EF115" s="8">
        <v>0</v>
      </c>
      <c r="EG115" s="8">
        <v>5080</v>
      </c>
      <c r="EH115" s="8">
        <v>5080</v>
      </c>
      <c r="EI115" s="8">
        <v>5080</v>
      </c>
      <c r="EJ115" s="8">
        <v>5080</v>
      </c>
      <c r="EK115" s="8">
        <v>5080</v>
      </c>
      <c r="EL115" s="8">
        <v>6270</v>
      </c>
      <c r="EM115" s="8">
        <v>20880</v>
      </c>
      <c r="EN115" s="8">
        <v>6270</v>
      </c>
      <c r="EO115" s="9">
        <f t="shared" si="86"/>
        <v>6270</v>
      </c>
      <c r="EP115" s="8">
        <v>3960</v>
      </c>
      <c r="EQ115" s="8">
        <v>3960</v>
      </c>
      <c r="ER115" s="8">
        <v>3960</v>
      </c>
      <c r="ES115" s="8">
        <v>3960</v>
      </c>
      <c r="ET115" s="8">
        <v>3960</v>
      </c>
      <c r="EU115" s="8">
        <v>3960</v>
      </c>
      <c r="EV115" s="8">
        <v>3960</v>
      </c>
      <c r="EW115" s="8">
        <v>3960</v>
      </c>
      <c r="EX115" s="8">
        <v>3960</v>
      </c>
      <c r="EY115" s="8">
        <v>3960</v>
      </c>
      <c r="EZ115" s="8">
        <v>3960</v>
      </c>
      <c r="FA115" s="8">
        <v>3960</v>
      </c>
      <c r="FB115" s="9">
        <f t="shared" si="87"/>
        <v>3960</v>
      </c>
      <c r="FC115" s="8">
        <v>10</v>
      </c>
      <c r="FD115" s="8">
        <v>10</v>
      </c>
      <c r="FE115" s="8">
        <v>10</v>
      </c>
      <c r="FF115" s="8">
        <v>10</v>
      </c>
      <c r="FG115" s="8">
        <v>10</v>
      </c>
      <c r="FH115" s="8">
        <v>10</v>
      </c>
      <c r="FI115" s="8">
        <v>10</v>
      </c>
      <c r="FJ115" s="8"/>
      <c r="FK115" s="8"/>
      <c r="FL115" s="8"/>
      <c r="FM115" s="8"/>
      <c r="FN115" s="8"/>
      <c r="FO115" s="9">
        <f t="shared" si="88"/>
        <v>10</v>
      </c>
    </row>
    <row r="116" spans="2:171" ht="14.25" customHeight="1" x14ac:dyDescent="0.3">
      <c r="B116" s="7" t="s">
        <v>60</v>
      </c>
      <c r="C116" s="8">
        <v>7804</v>
      </c>
      <c r="D116" s="8">
        <v>7804</v>
      </c>
      <c r="E116" s="8">
        <v>7804</v>
      </c>
      <c r="F116" s="8">
        <v>7804</v>
      </c>
      <c r="G116" s="8">
        <v>7804</v>
      </c>
      <c r="H116" s="8">
        <v>7804</v>
      </c>
      <c r="I116" s="8">
        <v>7804</v>
      </c>
      <c r="J116" s="8">
        <v>7804</v>
      </c>
      <c r="K116" s="8">
        <v>7804</v>
      </c>
      <c r="L116" s="8">
        <v>7804</v>
      </c>
      <c r="M116" s="8">
        <v>7804</v>
      </c>
      <c r="N116" s="8">
        <v>7804</v>
      </c>
      <c r="O116" s="9">
        <f t="shared" si="76"/>
        <v>7804</v>
      </c>
      <c r="P116" s="8">
        <v>14053</v>
      </c>
      <c r="Q116" s="8">
        <v>14053</v>
      </c>
      <c r="R116" s="8">
        <v>14053</v>
      </c>
      <c r="S116" s="8">
        <v>14053</v>
      </c>
      <c r="T116" s="8">
        <v>1586353</v>
      </c>
      <c r="U116" s="8">
        <v>1586353</v>
      </c>
      <c r="V116" s="8">
        <v>1586353</v>
      </c>
      <c r="W116" s="8">
        <v>1586353</v>
      </c>
      <c r="X116" s="8">
        <v>1586353</v>
      </c>
      <c r="Y116" s="8">
        <v>4420491</v>
      </c>
      <c r="Z116" s="8">
        <v>4420491</v>
      </c>
      <c r="AA116" s="8">
        <v>4420491</v>
      </c>
      <c r="AB116" s="9">
        <f t="shared" si="77"/>
        <v>4420491</v>
      </c>
      <c r="AC116" s="8">
        <v>16140</v>
      </c>
      <c r="AD116" s="8">
        <v>16140</v>
      </c>
      <c r="AE116" s="8">
        <v>16140</v>
      </c>
      <c r="AF116" s="8">
        <v>49374</v>
      </c>
      <c r="AG116" s="8">
        <v>49374</v>
      </c>
      <c r="AH116" s="8">
        <v>49374</v>
      </c>
      <c r="AI116" s="8">
        <v>49374</v>
      </c>
      <c r="AJ116" s="8">
        <v>49374</v>
      </c>
      <c r="AK116" s="8">
        <v>49374</v>
      </c>
      <c r="AL116" s="8">
        <v>49374</v>
      </c>
      <c r="AM116" s="8">
        <v>109820</v>
      </c>
      <c r="AN116" s="8">
        <v>109820</v>
      </c>
      <c r="AO116" s="9">
        <f t="shared" si="78"/>
        <v>109820</v>
      </c>
      <c r="AP116" s="8">
        <v>16480</v>
      </c>
      <c r="AQ116" s="8">
        <v>16480</v>
      </c>
      <c r="AR116" s="8">
        <v>16480</v>
      </c>
      <c r="AS116" s="8">
        <v>16480</v>
      </c>
      <c r="AT116" s="8">
        <v>16480</v>
      </c>
      <c r="AU116" s="8">
        <v>16480</v>
      </c>
      <c r="AV116" s="8">
        <v>16480</v>
      </c>
      <c r="AW116" s="8">
        <v>16480</v>
      </c>
      <c r="AX116" s="8">
        <v>16480</v>
      </c>
      <c r="AY116" s="8">
        <v>29769</v>
      </c>
      <c r="AZ116" s="8">
        <v>29769</v>
      </c>
      <c r="BA116" s="8">
        <v>96724</v>
      </c>
      <c r="BB116" s="9">
        <f t="shared" si="79"/>
        <v>96724</v>
      </c>
      <c r="BC116" s="8">
        <v>24722</v>
      </c>
      <c r="BD116" s="8">
        <v>24722</v>
      </c>
      <c r="BE116" s="8">
        <v>24722</v>
      </c>
      <c r="BF116" s="8">
        <v>24722</v>
      </c>
      <c r="BG116" s="8">
        <v>24722</v>
      </c>
      <c r="BH116" s="8">
        <v>24722</v>
      </c>
      <c r="BI116" s="8">
        <v>20961</v>
      </c>
      <c r="BJ116" s="8">
        <v>20961</v>
      </c>
      <c r="BK116" s="8">
        <v>20961</v>
      </c>
      <c r="BL116" s="8">
        <v>20961</v>
      </c>
      <c r="BM116" s="8">
        <v>448785</v>
      </c>
      <c r="BN116" s="8">
        <v>448785</v>
      </c>
      <c r="BO116" s="9">
        <f t="shared" si="80"/>
        <v>448785</v>
      </c>
      <c r="BP116" s="8">
        <v>12364</v>
      </c>
      <c r="BQ116" s="8">
        <v>12364</v>
      </c>
      <c r="BR116" s="8">
        <v>12364</v>
      </c>
      <c r="BS116" s="8">
        <v>12364</v>
      </c>
      <c r="BT116" s="8">
        <v>12364</v>
      </c>
      <c r="BU116" s="8">
        <v>12364</v>
      </c>
      <c r="BV116" s="8">
        <v>12364</v>
      </c>
      <c r="BW116" s="8">
        <v>12364</v>
      </c>
      <c r="BX116" s="8">
        <v>12364</v>
      </c>
      <c r="BY116" s="8">
        <v>12364</v>
      </c>
      <c r="BZ116" s="8">
        <v>12364</v>
      </c>
      <c r="CA116" s="8">
        <v>12364</v>
      </c>
      <c r="CB116" s="9">
        <f t="shared" si="81"/>
        <v>12364</v>
      </c>
      <c r="CC116" s="8">
        <v>12685</v>
      </c>
      <c r="CD116" s="8">
        <v>12685</v>
      </c>
      <c r="CE116" s="8">
        <v>12685</v>
      </c>
      <c r="CF116" s="8">
        <v>8879</v>
      </c>
      <c r="CG116" s="8">
        <v>4439</v>
      </c>
      <c r="CH116" s="8">
        <v>4439</v>
      </c>
      <c r="CI116" s="8">
        <v>4439</v>
      </c>
      <c r="CJ116" s="8">
        <v>4439</v>
      </c>
      <c r="CK116" s="8">
        <v>4439</v>
      </c>
      <c r="CL116" s="8">
        <v>4439</v>
      </c>
      <c r="CM116" s="8">
        <v>12685</v>
      </c>
      <c r="CN116" s="8">
        <v>12685</v>
      </c>
      <c r="CO116" s="9">
        <f t="shared" si="82"/>
        <v>12685</v>
      </c>
      <c r="CP116" s="8">
        <v>8750</v>
      </c>
      <c r="CQ116" s="8">
        <v>8750</v>
      </c>
      <c r="CR116" s="8">
        <v>8750</v>
      </c>
      <c r="CS116" s="8">
        <v>8750</v>
      </c>
      <c r="CT116" s="8">
        <v>8750</v>
      </c>
      <c r="CU116" s="8">
        <v>13550</v>
      </c>
      <c r="CV116" s="8">
        <v>13550</v>
      </c>
      <c r="CW116" s="8">
        <v>13550</v>
      </c>
      <c r="CX116" s="8">
        <v>13550</v>
      </c>
      <c r="CY116" s="8">
        <v>13550</v>
      </c>
      <c r="CZ116" s="8">
        <v>13550</v>
      </c>
      <c r="DA116" s="8">
        <v>13550</v>
      </c>
      <c r="DB116" s="9">
        <f t="shared" si="83"/>
        <v>13550</v>
      </c>
      <c r="DC116" s="8">
        <v>0</v>
      </c>
      <c r="DD116" s="8">
        <v>0</v>
      </c>
      <c r="DE116" s="8">
        <v>0</v>
      </c>
      <c r="DF116" s="8">
        <v>0</v>
      </c>
      <c r="DG116" s="8">
        <v>0</v>
      </c>
      <c r="DH116" s="8">
        <v>0</v>
      </c>
      <c r="DI116" s="8">
        <v>0</v>
      </c>
      <c r="DJ116" s="8">
        <v>0</v>
      </c>
      <c r="DK116" s="8">
        <v>0</v>
      </c>
      <c r="DL116" s="8">
        <v>0</v>
      </c>
      <c r="DM116" s="8">
        <v>0</v>
      </c>
      <c r="DN116" s="8">
        <v>0</v>
      </c>
      <c r="DO116" s="9">
        <f t="shared" si="84"/>
        <v>0</v>
      </c>
      <c r="DP116" s="8">
        <v>0</v>
      </c>
      <c r="DQ116" s="8">
        <v>0</v>
      </c>
      <c r="DR116" s="8">
        <v>0</v>
      </c>
      <c r="DS116" s="8">
        <v>0</v>
      </c>
      <c r="DT116" s="8">
        <v>0</v>
      </c>
      <c r="DU116" s="8">
        <v>0</v>
      </c>
      <c r="DV116" s="8">
        <v>0</v>
      </c>
      <c r="DW116" s="8">
        <v>0</v>
      </c>
      <c r="DX116" s="8">
        <v>0</v>
      </c>
      <c r="DY116" s="8">
        <v>0</v>
      </c>
      <c r="DZ116" s="8">
        <v>0</v>
      </c>
      <c r="EA116" s="8">
        <v>0</v>
      </c>
      <c r="EB116" s="9">
        <f t="shared" si="85"/>
        <v>0</v>
      </c>
      <c r="EC116" s="8">
        <v>0</v>
      </c>
      <c r="ED116" s="8">
        <v>0</v>
      </c>
      <c r="EE116" s="8">
        <v>0</v>
      </c>
      <c r="EF116" s="8">
        <v>0</v>
      </c>
      <c r="EG116" s="8">
        <v>6773</v>
      </c>
      <c r="EH116" s="8">
        <v>6773</v>
      </c>
      <c r="EI116" s="8">
        <v>6773</v>
      </c>
      <c r="EJ116" s="8">
        <v>6773</v>
      </c>
      <c r="EK116" s="8">
        <v>6773</v>
      </c>
      <c r="EL116" s="8">
        <v>8343</v>
      </c>
      <c r="EM116" s="8">
        <v>8343</v>
      </c>
      <c r="EN116" s="8">
        <v>8343</v>
      </c>
      <c r="EO116" s="9">
        <f t="shared" si="86"/>
        <v>8343</v>
      </c>
      <c r="EP116" s="8">
        <v>3960</v>
      </c>
      <c r="EQ116" s="8">
        <v>3960</v>
      </c>
      <c r="ER116" s="8">
        <v>3960</v>
      </c>
      <c r="ES116" s="8">
        <v>3960</v>
      </c>
      <c r="ET116" s="8">
        <v>3960</v>
      </c>
      <c r="EU116" s="8">
        <v>3960</v>
      </c>
      <c r="EV116" s="8">
        <v>3960</v>
      </c>
      <c r="EW116" s="8">
        <v>3960</v>
      </c>
      <c r="EX116" s="8">
        <v>3960</v>
      </c>
      <c r="EY116" s="8">
        <v>11799960</v>
      </c>
      <c r="EZ116" s="8">
        <v>21799960</v>
      </c>
      <c r="FA116" s="8">
        <v>21799960</v>
      </c>
      <c r="FB116" s="9">
        <f t="shared" si="87"/>
        <v>21799960</v>
      </c>
      <c r="FC116" s="8">
        <v>10</v>
      </c>
      <c r="FD116" s="8">
        <v>10</v>
      </c>
      <c r="FE116" s="8">
        <v>10</v>
      </c>
      <c r="FF116" s="8">
        <v>10</v>
      </c>
      <c r="FG116" s="8">
        <v>10</v>
      </c>
      <c r="FH116" s="8">
        <v>10</v>
      </c>
      <c r="FI116" s="8">
        <v>10</v>
      </c>
      <c r="FJ116" s="8"/>
      <c r="FK116" s="8"/>
      <c r="FL116" s="8"/>
      <c r="FM116" s="8"/>
      <c r="FN116" s="8"/>
      <c r="FO116" s="9">
        <f t="shared" si="88"/>
        <v>10</v>
      </c>
    </row>
    <row r="117" spans="2:171" ht="14.25" customHeight="1" x14ac:dyDescent="0.3">
      <c r="B117" s="14" t="s">
        <v>70</v>
      </c>
      <c r="C117" s="16">
        <f t="shared" ref="C117:AH117" si="89">SUM(C99:C116)</f>
        <v>4451662</v>
      </c>
      <c r="D117" s="16">
        <f t="shared" si="89"/>
        <v>4451662</v>
      </c>
      <c r="E117" s="16">
        <f t="shared" si="89"/>
        <v>16220442</v>
      </c>
      <c r="F117" s="16">
        <f t="shared" si="89"/>
        <v>16220442</v>
      </c>
      <c r="G117" s="16">
        <f t="shared" si="89"/>
        <v>16584442</v>
      </c>
      <c r="H117" s="16">
        <f t="shared" si="89"/>
        <v>30504408</v>
      </c>
      <c r="I117" s="16">
        <f t="shared" si="89"/>
        <v>30504408</v>
      </c>
      <c r="J117" s="16">
        <f t="shared" si="89"/>
        <v>30504408</v>
      </c>
      <c r="K117" s="16">
        <f t="shared" si="89"/>
        <v>35006408</v>
      </c>
      <c r="L117" s="16">
        <f t="shared" si="89"/>
        <v>45596118</v>
      </c>
      <c r="M117" s="16">
        <f t="shared" si="89"/>
        <v>47189768</v>
      </c>
      <c r="N117" s="16">
        <f t="shared" si="89"/>
        <v>53978329</v>
      </c>
      <c r="O117" s="16">
        <f t="shared" si="89"/>
        <v>53978329</v>
      </c>
      <c r="P117" s="16">
        <f t="shared" si="89"/>
        <v>11921185</v>
      </c>
      <c r="Q117" s="16">
        <f t="shared" si="89"/>
        <v>15753350</v>
      </c>
      <c r="R117" s="16">
        <f t="shared" si="89"/>
        <v>17070292</v>
      </c>
      <c r="S117" s="16">
        <f t="shared" si="89"/>
        <v>20144987</v>
      </c>
      <c r="T117" s="16">
        <f t="shared" si="89"/>
        <v>21777287</v>
      </c>
      <c r="U117" s="16">
        <f t="shared" si="89"/>
        <v>22017373</v>
      </c>
      <c r="V117" s="16">
        <f t="shared" si="89"/>
        <v>26470373</v>
      </c>
      <c r="W117" s="16">
        <f t="shared" si="89"/>
        <v>26485465</v>
      </c>
      <c r="X117" s="16">
        <f t="shared" si="89"/>
        <v>27026368</v>
      </c>
      <c r="Y117" s="16">
        <f t="shared" si="89"/>
        <v>33053748</v>
      </c>
      <c r="Z117" s="16">
        <f t="shared" si="89"/>
        <v>36042521</v>
      </c>
      <c r="AA117" s="16">
        <f t="shared" si="89"/>
        <v>45069331</v>
      </c>
      <c r="AB117" s="16">
        <f t="shared" si="89"/>
        <v>45069331</v>
      </c>
      <c r="AC117" s="16">
        <f t="shared" si="89"/>
        <v>6440512</v>
      </c>
      <c r="AD117" s="16">
        <f t="shared" si="89"/>
        <v>6460046</v>
      </c>
      <c r="AE117" s="16">
        <f t="shared" si="89"/>
        <v>6530879</v>
      </c>
      <c r="AF117" s="16">
        <f t="shared" si="89"/>
        <v>7101246</v>
      </c>
      <c r="AG117" s="16">
        <f t="shared" si="89"/>
        <v>16008166</v>
      </c>
      <c r="AH117" s="16">
        <f t="shared" si="89"/>
        <v>16008166</v>
      </c>
      <c r="AI117" s="16">
        <f t="shared" ref="AI117:BN117" si="90">SUM(AI99:AI116)</f>
        <v>16078819</v>
      </c>
      <c r="AJ117" s="16">
        <f t="shared" si="90"/>
        <v>19914072</v>
      </c>
      <c r="AK117" s="16">
        <f t="shared" si="90"/>
        <v>21182666</v>
      </c>
      <c r="AL117" s="16">
        <f t="shared" si="90"/>
        <v>22940087</v>
      </c>
      <c r="AM117" s="16">
        <f t="shared" si="90"/>
        <v>24193572</v>
      </c>
      <c r="AN117" s="16">
        <f t="shared" si="90"/>
        <v>27162957</v>
      </c>
      <c r="AO117" s="16">
        <f t="shared" si="90"/>
        <v>27162957</v>
      </c>
      <c r="AP117" s="16">
        <f t="shared" si="90"/>
        <v>5615714</v>
      </c>
      <c r="AQ117" s="16">
        <f t="shared" si="90"/>
        <v>5615714</v>
      </c>
      <c r="AR117" s="16">
        <f t="shared" si="90"/>
        <v>5615714</v>
      </c>
      <c r="AS117" s="16">
        <f t="shared" si="90"/>
        <v>12232871</v>
      </c>
      <c r="AT117" s="16">
        <f t="shared" si="90"/>
        <v>12232871</v>
      </c>
      <c r="AU117" s="16">
        <f t="shared" si="90"/>
        <v>12913891</v>
      </c>
      <c r="AV117" s="16">
        <f t="shared" si="90"/>
        <v>12913891</v>
      </c>
      <c r="AW117" s="16">
        <f t="shared" si="90"/>
        <v>16203165</v>
      </c>
      <c r="AX117" s="16">
        <f t="shared" si="90"/>
        <v>18570772</v>
      </c>
      <c r="AY117" s="16">
        <f t="shared" si="90"/>
        <v>20847432</v>
      </c>
      <c r="AZ117" s="16">
        <f t="shared" si="90"/>
        <v>20847432</v>
      </c>
      <c r="BA117" s="16">
        <f t="shared" si="90"/>
        <v>34612073</v>
      </c>
      <c r="BB117" s="16">
        <f t="shared" si="90"/>
        <v>34612073</v>
      </c>
      <c r="BC117" s="16">
        <f t="shared" si="90"/>
        <v>7963057</v>
      </c>
      <c r="BD117" s="16">
        <f t="shared" si="90"/>
        <v>7963057</v>
      </c>
      <c r="BE117" s="16">
        <f t="shared" si="90"/>
        <v>9044789</v>
      </c>
      <c r="BF117" s="16">
        <f t="shared" si="90"/>
        <v>9044789</v>
      </c>
      <c r="BG117" s="16">
        <f t="shared" si="90"/>
        <v>9447697</v>
      </c>
      <c r="BH117" s="16">
        <f t="shared" si="90"/>
        <v>9447697</v>
      </c>
      <c r="BI117" s="16">
        <f t="shared" si="90"/>
        <v>12070535</v>
      </c>
      <c r="BJ117" s="16">
        <f t="shared" si="90"/>
        <v>12070535</v>
      </c>
      <c r="BK117" s="16">
        <f t="shared" si="90"/>
        <v>10988803</v>
      </c>
      <c r="BL117" s="16">
        <f t="shared" si="90"/>
        <v>10988803</v>
      </c>
      <c r="BM117" s="16">
        <f t="shared" si="90"/>
        <v>11446898</v>
      </c>
      <c r="BN117" s="16">
        <f t="shared" si="90"/>
        <v>14642343</v>
      </c>
      <c r="BO117" s="16">
        <f t="shared" ref="BO117:CT117" si="91">SUM(BO99:BO116)</f>
        <v>14642343</v>
      </c>
      <c r="BP117" s="16">
        <f t="shared" si="91"/>
        <v>6134894</v>
      </c>
      <c r="BQ117" s="16">
        <f t="shared" si="91"/>
        <v>6134894</v>
      </c>
      <c r="BR117" s="16">
        <f t="shared" si="91"/>
        <v>6134894</v>
      </c>
      <c r="BS117" s="16">
        <f t="shared" si="91"/>
        <v>6134894</v>
      </c>
      <c r="BT117" s="16">
        <f t="shared" si="91"/>
        <v>8377087</v>
      </c>
      <c r="BU117" s="16">
        <f t="shared" si="91"/>
        <v>33145601</v>
      </c>
      <c r="BV117" s="16">
        <f t="shared" si="91"/>
        <v>33229831</v>
      </c>
      <c r="BW117" s="16">
        <f t="shared" si="91"/>
        <v>37166261</v>
      </c>
      <c r="BX117" s="16">
        <f t="shared" si="91"/>
        <v>38385043</v>
      </c>
      <c r="BY117" s="16">
        <f t="shared" si="91"/>
        <v>38385043</v>
      </c>
      <c r="BZ117" s="16">
        <f t="shared" si="91"/>
        <v>39118686</v>
      </c>
      <c r="CA117" s="16">
        <f t="shared" si="91"/>
        <v>44469249</v>
      </c>
      <c r="CB117" s="16">
        <f t="shared" si="91"/>
        <v>44469249</v>
      </c>
      <c r="CC117" s="16">
        <f t="shared" si="91"/>
        <v>8896359</v>
      </c>
      <c r="CD117" s="16">
        <f t="shared" si="91"/>
        <v>8896359</v>
      </c>
      <c r="CE117" s="16">
        <f t="shared" si="91"/>
        <v>8896359</v>
      </c>
      <c r="CF117" s="16">
        <f t="shared" si="91"/>
        <v>8121026</v>
      </c>
      <c r="CG117" s="16">
        <f t="shared" si="91"/>
        <v>6922766</v>
      </c>
      <c r="CH117" s="16">
        <f t="shared" si="91"/>
        <v>9159248</v>
      </c>
      <c r="CI117" s="16">
        <f t="shared" si="91"/>
        <v>9730532</v>
      </c>
      <c r="CJ117" s="16">
        <f t="shared" si="91"/>
        <v>9730532</v>
      </c>
      <c r="CK117" s="16">
        <f t="shared" si="91"/>
        <v>19477322</v>
      </c>
      <c r="CL117" s="16">
        <f t="shared" si="91"/>
        <v>22034104</v>
      </c>
      <c r="CM117" s="16">
        <f t="shared" si="91"/>
        <v>27831479</v>
      </c>
      <c r="CN117" s="16">
        <f t="shared" si="91"/>
        <v>29872960</v>
      </c>
      <c r="CO117" s="16">
        <f t="shared" si="91"/>
        <v>29872960</v>
      </c>
      <c r="CP117" s="16">
        <f t="shared" si="91"/>
        <v>4227090</v>
      </c>
      <c r="CQ117" s="16">
        <f t="shared" si="91"/>
        <v>4227090</v>
      </c>
      <c r="CR117" s="16">
        <f t="shared" si="91"/>
        <v>4227090</v>
      </c>
      <c r="CS117" s="16">
        <f t="shared" si="91"/>
        <v>4991320</v>
      </c>
      <c r="CT117" s="16">
        <f t="shared" si="91"/>
        <v>19462393</v>
      </c>
      <c r="CU117" s="16">
        <f t="shared" ref="CU117:DZ117" si="92">SUM(CU99:CU116)</f>
        <v>19462393</v>
      </c>
      <c r="CV117" s="16">
        <f t="shared" si="92"/>
        <v>19479354</v>
      </c>
      <c r="CW117" s="16">
        <f t="shared" si="92"/>
        <v>20926069</v>
      </c>
      <c r="CX117" s="16">
        <f t="shared" si="92"/>
        <v>20990830</v>
      </c>
      <c r="CY117" s="16">
        <f t="shared" si="92"/>
        <v>26248289</v>
      </c>
      <c r="CZ117" s="16">
        <f t="shared" si="92"/>
        <v>32498139</v>
      </c>
      <c r="DA117" s="16">
        <f t="shared" si="92"/>
        <v>36530130</v>
      </c>
      <c r="DB117" s="16">
        <f t="shared" si="92"/>
        <v>36530130</v>
      </c>
      <c r="DC117" s="16">
        <f t="shared" si="92"/>
        <v>3710812</v>
      </c>
      <c r="DD117" s="16">
        <f t="shared" si="92"/>
        <v>3710812</v>
      </c>
      <c r="DE117" s="16">
        <f t="shared" si="92"/>
        <v>5614566</v>
      </c>
      <c r="DF117" s="16">
        <f t="shared" si="92"/>
        <v>8129081</v>
      </c>
      <c r="DG117" s="16">
        <f t="shared" si="92"/>
        <v>17494020</v>
      </c>
      <c r="DH117" s="16">
        <f t="shared" si="92"/>
        <v>17564020</v>
      </c>
      <c r="DI117" s="16">
        <f t="shared" si="92"/>
        <v>17564020</v>
      </c>
      <c r="DJ117" s="16">
        <f t="shared" si="92"/>
        <v>17564020</v>
      </c>
      <c r="DK117" s="16">
        <f t="shared" si="92"/>
        <v>30447785</v>
      </c>
      <c r="DL117" s="16">
        <f t="shared" si="92"/>
        <v>80413380</v>
      </c>
      <c r="DM117" s="16">
        <f t="shared" si="92"/>
        <v>172255447</v>
      </c>
      <c r="DN117" s="16">
        <f t="shared" si="92"/>
        <v>193444526</v>
      </c>
      <c r="DO117" s="16">
        <f t="shared" si="92"/>
        <v>193444526</v>
      </c>
      <c r="DP117" s="16">
        <f t="shared" si="92"/>
        <v>30702526</v>
      </c>
      <c r="DQ117" s="16">
        <f t="shared" si="92"/>
        <v>34680772</v>
      </c>
      <c r="DR117" s="16">
        <f t="shared" si="92"/>
        <v>34680772</v>
      </c>
      <c r="DS117" s="16">
        <f t="shared" si="92"/>
        <v>34680772</v>
      </c>
      <c r="DT117" s="16">
        <f t="shared" si="92"/>
        <v>34680772</v>
      </c>
      <c r="DU117" s="16">
        <f t="shared" si="92"/>
        <v>34680772</v>
      </c>
      <c r="DV117" s="16">
        <f t="shared" si="92"/>
        <v>34680772</v>
      </c>
      <c r="DW117" s="16">
        <f t="shared" si="92"/>
        <v>34680772</v>
      </c>
      <c r="DX117" s="16">
        <f t="shared" si="92"/>
        <v>34680772</v>
      </c>
      <c r="DY117" s="16">
        <f t="shared" si="92"/>
        <v>34680772</v>
      </c>
      <c r="DZ117" s="16">
        <f t="shared" si="92"/>
        <v>34680772</v>
      </c>
      <c r="EA117" s="16">
        <f t="shared" ref="EA117:FF117" si="93">SUM(EA99:EA116)</f>
        <v>34462894</v>
      </c>
      <c r="EB117" s="16">
        <f t="shared" si="93"/>
        <v>34462894</v>
      </c>
      <c r="EC117" s="16">
        <f t="shared" si="93"/>
        <v>30674754</v>
      </c>
      <c r="ED117" s="16">
        <f t="shared" si="93"/>
        <v>30674754</v>
      </c>
      <c r="EE117" s="16">
        <f t="shared" si="93"/>
        <v>30674754</v>
      </c>
      <c r="EF117" s="16">
        <f t="shared" si="93"/>
        <v>30674754</v>
      </c>
      <c r="EG117" s="16">
        <f t="shared" si="93"/>
        <v>30869466</v>
      </c>
      <c r="EH117" s="16">
        <f t="shared" si="93"/>
        <v>33920664</v>
      </c>
      <c r="EI117" s="16">
        <f t="shared" si="93"/>
        <v>33920664</v>
      </c>
      <c r="EJ117" s="16">
        <f t="shared" si="93"/>
        <v>35753300</v>
      </c>
      <c r="EK117" s="16">
        <f t="shared" si="93"/>
        <v>35753300</v>
      </c>
      <c r="EL117" s="16">
        <f t="shared" si="93"/>
        <v>35753300</v>
      </c>
      <c r="EM117" s="16">
        <f t="shared" si="93"/>
        <v>18060164</v>
      </c>
      <c r="EN117" s="16">
        <f t="shared" si="93"/>
        <v>19217626</v>
      </c>
      <c r="EO117" s="16">
        <f t="shared" si="93"/>
        <v>19217626</v>
      </c>
      <c r="EP117" s="16">
        <f t="shared" si="93"/>
        <v>4543724</v>
      </c>
      <c r="EQ117" s="16">
        <f t="shared" si="93"/>
        <v>4543724</v>
      </c>
      <c r="ER117" s="16">
        <f t="shared" si="93"/>
        <v>4543724</v>
      </c>
      <c r="ES117" s="16">
        <f t="shared" si="93"/>
        <v>4543724</v>
      </c>
      <c r="ET117" s="16">
        <f t="shared" si="93"/>
        <v>4543724</v>
      </c>
      <c r="EU117" s="16">
        <f t="shared" si="93"/>
        <v>4543724</v>
      </c>
      <c r="EV117" s="16">
        <f t="shared" si="93"/>
        <v>4543724</v>
      </c>
      <c r="EW117" s="16">
        <f t="shared" si="93"/>
        <v>4543724</v>
      </c>
      <c r="EX117" s="16">
        <f t="shared" si="93"/>
        <v>4543724</v>
      </c>
      <c r="EY117" s="16">
        <f t="shared" si="93"/>
        <v>16339724</v>
      </c>
      <c r="EZ117" s="16">
        <f t="shared" si="93"/>
        <v>26339724</v>
      </c>
      <c r="FA117" s="16">
        <f t="shared" si="93"/>
        <v>37330628</v>
      </c>
      <c r="FB117" s="16">
        <f t="shared" si="93"/>
        <v>37330628</v>
      </c>
      <c r="FC117" s="16">
        <f t="shared" si="93"/>
        <v>4182864</v>
      </c>
      <c r="FD117" s="16">
        <f t="shared" si="93"/>
        <v>4182864</v>
      </c>
      <c r="FE117" s="16">
        <f t="shared" si="93"/>
        <v>4182864</v>
      </c>
      <c r="FF117" s="16">
        <f t="shared" si="93"/>
        <v>4182864</v>
      </c>
      <c r="FG117" s="16">
        <f t="shared" ref="FG117:GL117" si="94">SUM(FG99:FG116)</f>
        <v>4182864</v>
      </c>
      <c r="FH117" s="16">
        <f t="shared" si="94"/>
        <v>4182864</v>
      </c>
      <c r="FI117" s="16">
        <f t="shared" si="94"/>
        <v>4182864</v>
      </c>
      <c r="FJ117" s="16">
        <f t="shared" si="94"/>
        <v>0</v>
      </c>
      <c r="FK117" s="16">
        <f t="shared" si="94"/>
        <v>0</v>
      </c>
      <c r="FL117" s="16">
        <f t="shared" si="94"/>
        <v>0</v>
      </c>
      <c r="FM117" s="16">
        <f t="shared" si="94"/>
        <v>0</v>
      </c>
      <c r="FN117" s="16">
        <f t="shared" si="94"/>
        <v>0</v>
      </c>
      <c r="FO117" s="16">
        <f t="shared" si="94"/>
        <v>4182864</v>
      </c>
    </row>
    <row r="118" spans="2:171" ht="14.25" customHeight="1" x14ac:dyDescent="0.3">
      <c r="B118" s="4" t="s">
        <v>71</v>
      </c>
    </row>
    <row r="119" spans="2:171" ht="14.25" customHeight="1" x14ac:dyDescent="0.3">
      <c r="C119" s="33" t="s">
        <v>4</v>
      </c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3" t="s">
        <v>5</v>
      </c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3" t="s">
        <v>6</v>
      </c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3" t="s">
        <v>7</v>
      </c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3" t="s">
        <v>8</v>
      </c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3" t="s">
        <v>9</v>
      </c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3" t="s">
        <v>10</v>
      </c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3" t="s">
        <v>11</v>
      </c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3" t="s">
        <v>12</v>
      </c>
      <c r="DD119" s="34"/>
      <c r="DE119" s="34"/>
      <c r="DF119" s="34"/>
      <c r="DG119" s="34"/>
      <c r="DH119" s="34"/>
      <c r="DI119" s="34"/>
      <c r="DJ119" s="34"/>
      <c r="DK119" s="34"/>
      <c r="DL119" s="34"/>
      <c r="DM119" s="34"/>
      <c r="DN119" s="34"/>
      <c r="DO119" s="34"/>
      <c r="DP119" s="33" t="s">
        <v>13</v>
      </c>
      <c r="DQ119" s="34"/>
      <c r="DR119" s="34"/>
      <c r="DS119" s="34"/>
      <c r="DT119" s="34"/>
      <c r="DU119" s="34"/>
      <c r="DV119" s="34"/>
      <c r="DW119" s="34"/>
      <c r="DX119" s="34"/>
      <c r="DY119" s="34"/>
      <c r="DZ119" s="34"/>
      <c r="EA119" s="34"/>
      <c r="EB119" s="34"/>
      <c r="EC119" s="33" t="s">
        <v>14</v>
      </c>
      <c r="ED119" s="34"/>
      <c r="EE119" s="34"/>
      <c r="EF119" s="34"/>
      <c r="EG119" s="34"/>
      <c r="EH119" s="34"/>
      <c r="EI119" s="34"/>
      <c r="EJ119" s="34"/>
      <c r="EK119" s="34"/>
      <c r="EL119" s="34"/>
      <c r="EM119" s="34"/>
      <c r="EN119" s="34"/>
      <c r="EO119" s="34"/>
      <c r="EP119" s="33" t="s">
        <v>15</v>
      </c>
      <c r="EQ119" s="34"/>
      <c r="ER119" s="34"/>
      <c r="ES119" s="34"/>
      <c r="ET119" s="34"/>
      <c r="EU119" s="34"/>
      <c r="EV119" s="34"/>
      <c r="EW119" s="34"/>
      <c r="EX119" s="34"/>
      <c r="EY119" s="34"/>
      <c r="EZ119" s="34"/>
      <c r="FA119" s="34"/>
      <c r="FB119" s="34"/>
      <c r="FC119" s="33" t="s">
        <v>16</v>
      </c>
      <c r="FD119" s="34"/>
      <c r="FE119" s="34"/>
      <c r="FF119" s="34"/>
      <c r="FG119" s="34"/>
      <c r="FH119" s="34"/>
      <c r="FI119" s="34"/>
      <c r="FJ119" s="34"/>
      <c r="FK119" s="34"/>
      <c r="FL119" s="34"/>
      <c r="FM119" s="34"/>
      <c r="FN119" s="34"/>
      <c r="FO119" s="34"/>
    </row>
    <row r="120" spans="2:171" ht="14.25" customHeight="1" x14ac:dyDescent="0.3">
      <c r="B120" s="5" t="s">
        <v>17</v>
      </c>
      <c r="C120" s="6" t="s">
        <v>18</v>
      </c>
      <c r="D120" s="6" t="s">
        <v>19</v>
      </c>
      <c r="E120" s="6" t="s">
        <v>20</v>
      </c>
      <c r="F120" s="6" t="s">
        <v>21</v>
      </c>
      <c r="G120" s="6" t="s">
        <v>22</v>
      </c>
      <c r="H120" s="6" t="s">
        <v>23</v>
      </c>
      <c r="I120" s="6" t="s">
        <v>24</v>
      </c>
      <c r="J120" s="6" t="s">
        <v>25</v>
      </c>
      <c r="K120" s="6" t="s">
        <v>26</v>
      </c>
      <c r="L120" s="6" t="s">
        <v>27</v>
      </c>
      <c r="M120" s="6" t="s">
        <v>28</v>
      </c>
      <c r="N120" s="6" t="s">
        <v>29</v>
      </c>
      <c r="O120" s="6" t="s">
        <v>30</v>
      </c>
      <c r="P120" s="6" t="s">
        <v>18</v>
      </c>
      <c r="Q120" s="6" t="s">
        <v>19</v>
      </c>
      <c r="R120" s="6" t="s">
        <v>20</v>
      </c>
      <c r="S120" s="6" t="s">
        <v>21</v>
      </c>
      <c r="T120" s="6" t="s">
        <v>22</v>
      </c>
      <c r="U120" s="6" t="s">
        <v>23</v>
      </c>
      <c r="V120" s="6" t="s">
        <v>24</v>
      </c>
      <c r="W120" s="6" t="s">
        <v>25</v>
      </c>
      <c r="X120" s="6" t="s">
        <v>26</v>
      </c>
      <c r="Y120" s="6" t="s">
        <v>27</v>
      </c>
      <c r="Z120" s="6" t="s">
        <v>28</v>
      </c>
      <c r="AA120" s="6" t="s">
        <v>29</v>
      </c>
      <c r="AB120" s="6" t="s">
        <v>31</v>
      </c>
      <c r="AC120" s="6" t="s">
        <v>18</v>
      </c>
      <c r="AD120" s="6" t="s">
        <v>19</v>
      </c>
      <c r="AE120" s="6" t="s">
        <v>20</v>
      </c>
      <c r="AF120" s="6" t="s">
        <v>21</v>
      </c>
      <c r="AG120" s="6" t="s">
        <v>22</v>
      </c>
      <c r="AH120" s="6" t="s">
        <v>23</v>
      </c>
      <c r="AI120" s="6" t="s">
        <v>24</v>
      </c>
      <c r="AJ120" s="6" t="s">
        <v>25</v>
      </c>
      <c r="AK120" s="6" t="s">
        <v>26</v>
      </c>
      <c r="AL120" s="6" t="s">
        <v>27</v>
      </c>
      <c r="AM120" s="6" t="s">
        <v>28</v>
      </c>
      <c r="AN120" s="6" t="s">
        <v>29</v>
      </c>
      <c r="AO120" s="6" t="s">
        <v>32</v>
      </c>
      <c r="AP120" s="6" t="s">
        <v>18</v>
      </c>
      <c r="AQ120" s="6" t="s">
        <v>19</v>
      </c>
      <c r="AR120" s="6" t="s">
        <v>20</v>
      </c>
      <c r="AS120" s="6" t="s">
        <v>21</v>
      </c>
      <c r="AT120" s="6" t="s">
        <v>22</v>
      </c>
      <c r="AU120" s="6" t="s">
        <v>23</v>
      </c>
      <c r="AV120" s="6" t="s">
        <v>24</v>
      </c>
      <c r="AW120" s="6" t="s">
        <v>25</v>
      </c>
      <c r="AX120" s="6" t="s">
        <v>26</v>
      </c>
      <c r="AY120" s="6" t="s">
        <v>27</v>
      </c>
      <c r="AZ120" s="6" t="s">
        <v>28</v>
      </c>
      <c r="BA120" s="6" t="s">
        <v>29</v>
      </c>
      <c r="BB120" s="6" t="s">
        <v>33</v>
      </c>
      <c r="BC120" s="6" t="s">
        <v>18</v>
      </c>
      <c r="BD120" s="6" t="s">
        <v>19</v>
      </c>
      <c r="BE120" s="6" t="s">
        <v>20</v>
      </c>
      <c r="BF120" s="6" t="s">
        <v>21</v>
      </c>
      <c r="BG120" s="6" t="s">
        <v>22</v>
      </c>
      <c r="BH120" s="6" t="s">
        <v>23</v>
      </c>
      <c r="BI120" s="6" t="s">
        <v>24</v>
      </c>
      <c r="BJ120" s="6" t="s">
        <v>25</v>
      </c>
      <c r="BK120" s="6" t="s">
        <v>26</v>
      </c>
      <c r="BL120" s="6" t="s">
        <v>27</v>
      </c>
      <c r="BM120" s="6" t="s">
        <v>28</v>
      </c>
      <c r="BN120" s="6" t="s">
        <v>29</v>
      </c>
      <c r="BO120" s="6" t="s">
        <v>34</v>
      </c>
      <c r="BP120" s="6" t="s">
        <v>18</v>
      </c>
      <c r="BQ120" s="6" t="s">
        <v>19</v>
      </c>
      <c r="BR120" s="6" t="s">
        <v>20</v>
      </c>
      <c r="BS120" s="6" t="s">
        <v>21</v>
      </c>
      <c r="BT120" s="6" t="s">
        <v>22</v>
      </c>
      <c r="BU120" s="6" t="s">
        <v>23</v>
      </c>
      <c r="BV120" s="6" t="s">
        <v>24</v>
      </c>
      <c r="BW120" s="6" t="s">
        <v>25</v>
      </c>
      <c r="BX120" s="6" t="s">
        <v>26</v>
      </c>
      <c r="BY120" s="6" t="s">
        <v>27</v>
      </c>
      <c r="BZ120" s="6" t="s">
        <v>28</v>
      </c>
      <c r="CA120" s="6" t="s">
        <v>29</v>
      </c>
      <c r="CB120" s="6" t="s">
        <v>35</v>
      </c>
      <c r="CC120" s="6" t="s">
        <v>18</v>
      </c>
      <c r="CD120" s="6" t="s">
        <v>19</v>
      </c>
      <c r="CE120" s="6" t="s">
        <v>20</v>
      </c>
      <c r="CF120" s="6" t="s">
        <v>21</v>
      </c>
      <c r="CG120" s="6" t="s">
        <v>22</v>
      </c>
      <c r="CH120" s="6" t="s">
        <v>23</v>
      </c>
      <c r="CI120" s="6" t="s">
        <v>24</v>
      </c>
      <c r="CJ120" s="6" t="s">
        <v>25</v>
      </c>
      <c r="CK120" s="6" t="s">
        <v>26</v>
      </c>
      <c r="CL120" s="6" t="s">
        <v>27</v>
      </c>
      <c r="CM120" s="6" t="s">
        <v>28</v>
      </c>
      <c r="CN120" s="6" t="s">
        <v>29</v>
      </c>
      <c r="CO120" s="6" t="s">
        <v>36</v>
      </c>
      <c r="CP120" s="6" t="s">
        <v>18</v>
      </c>
      <c r="CQ120" s="6" t="s">
        <v>19</v>
      </c>
      <c r="CR120" s="6" t="s">
        <v>20</v>
      </c>
      <c r="CS120" s="6" t="s">
        <v>21</v>
      </c>
      <c r="CT120" s="6" t="s">
        <v>22</v>
      </c>
      <c r="CU120" s="6" t="s">
        <v>23</v>
      </c>
      <c r="CV120" s="6" t="s">
        <v>24</v>
      </c>
      <c r="CW120" s="6" t="s">
        <v>25</v>
      </c>
      <c r="CX120" s="6" t="s">
        <v>26</v>
      </c>
      <c r="CY120" s="6" t="s">
        <v>27</v>
      </c>
      <c r="CZ120" s="6" t="s">
        <v>28</v>
      </c>
      <c r="DA120" s="6" t="s">
        <v>29</v>
      </c>
      <c r="DB120" s="6" t="s">
        <v>37</v>
      </c>
      <c r="DC120" s="6" t="s">
        <v>18</v>
      </c>
      <c r="DD120" s="6" t="s">
        <v>19</v>
      </c>
      <c r="DE120" s="6" t="s">
        <v>20</v>
      </c>
      <c r="DF120" s="6" t="s">
        <v>21</v>
      </c>
      <c r="DG120" s="6" t="s">
        <v>22</v>
      </c>
      <c r="DH120" s="6" t="s">
        <v>23</v>
      </c>
      <c r="DI120" s="6" t="s">
        <v>24</v>
      </c>
      <c r="DJ120" s="6" t="s">
        <v>25</v>
      </c>
      <c r="DK120" s="6" t="s">
        <v>26</v>
      </c>
      <c r="DL120" s="6" t="s">
        <v>27</v>
      </c>
      <c r="DM120" s="6" t="s">
        <v>28</v>
      </c>
      <c r="DN120" s="6" t="s">
        <v>29</v>
      </c>
      <c r="DO120" s="6" t="s">
        <v>38</v>
      </c>
      <c r="DP120" s="6" t="s">
        <v>18</v>
      </c>
      <c r="DQ120" s="6" t="s">
        <v>19</v>
      </c>
      <c r="DR120" s="6" t="s">
        <v>20</v>
      </c>
      <c r="DS120" s="6" t="s">
        <v>21</v>
      </c>
      <c r="DT120" s="6" t="s">
        <v>22</v>
      </c>
      <c r="DU120" s="6" t="s">
        <v>23</v>
      </c>
      <c r="DV120" s="6" t="s">
        <v>24</v>
      </c>
      <c r="DW120" s="6" t="s">
        <v>25</v>
      </c>
      <c r="DX120" s="6" t="s">
        <v>26</v>
      </c>
      <c r="DY120" s="6" t="s">
        <v>27</v>
      </c>
      <c r="DZ120" s="6" t="s">
        <v>28</v>
      </c>
      <c r="EA120" s="6" t="s">
        <v>29</v>
      </c>
      <c r="EB120" s="6" t="s">
        <v>39</v>
      </c>
      <c r="EC120" s="6" t="s">
        <v>18</v>
      </c>
      <c r="ED120" s="6" t="s">
        <v>19</v>
      </c>
      <c r="EE120" s="6" t="s">
        <v>20</v>
      </c>
      <c r="EF120" s="6" t="s">
        <v>21</v>
      </c>
      <c r="EG120" s="6" t="s">
        <v>22</v>
      </c>
      <c r="EH120" s="6" t="s">
        <v>23</v>
      </c>
      <c r="EI120" s="6" t="s">
        <v>24</v>
      </c>
      <c r="EJ120" s="6" t="s">
        <v>25</v>
      </c>
      <c r="EK120" s="6" t="s">
        <v>26</v>
      </c>
      <c r="EL120" s="6" t="s">
        <v>27</v>
      </c>
      <c r="EM120" s="6" t="s">
        <v>28</v>
      </c>
      <c r="EN120" s="6" t="s">
        <v>29</v>
      </c>
      <c r="EO120" s="6" t="s">
        <v>40</v>
      </c>
      <c r="EP120" s="6" t="s">
        <v>18</v>
      </c>
      <c r="EQ120" s="6" t="s">
        <v>19</v>
      </c>
      <c r="ER120" s="6" t="s">
        <v>20</v>
      </c>
      <c r="ES120" s="6" t="s">
        <v>21</v>
      </c>
      <c r="ET120" s="6" t="s">
        <v>22</v>
      </c>
      <c r="EU120" s="6" t="s">
        <v>23</v>
      </c>
      <c r="EV120" s="6" t="s">
        <v>24</v>
      </c>
      <c r="EW120" s="6" t="s">
        <v>25</v>
      </c>
      <c r="EX120" s="6" t="s">
        <v>26</v>
      </c>
      <c r="EY120" s="6" t="s">
        <v>27</v>
      </c>
      <c r="EZ120" s="6" t="s">
        <v>28</v>
      </c>
      <c r="FA120" s="6" t="s">
        <v>29</v>
      </c>
      <c r="FB120" s="6" t="s">
        <v>41</v>
      </c>
      <c r="FC120" s="6" t="s">
        <v>18</v>
      </c>
      <c r="FD120" s="6" t="s">
        <v>19</v>
      </c>
      <c r="FE120" s="6" t="s">
        <v>20</v>
      </c>
      <c r="FF120" s="6" t="s">
        <v>21</v>
      </c>
      <c r="FG120" s="6" t="s">
        <v>22</v>
      </c>
      <c r="FH120" s="6" t="s">
        <v>23</v>
      </c>
      <c r="FI120" s="6" t="s">
        <v>24</v>
      </c>
      <c r="FJ120" s="6" t="s">
        <v>25</v>
      </c>
      <c r="FK120" s="6" t="s">
        <v>26</v>
      </c>
      <c r="FL120" s="6" t="s">
        <v>27</v>
      </c>
      <c r="FM120" s="6" t="s">
        <v>28</v>
      </c>
      <c r="FN120" s="6" t="s">
        <v>29</v>
      </c>
      <c r="FO120" s="6" t="s">
        <v>42</v>
      </c>
    </row>
    <row r="121" spans="2:171" ht="14.25" customHeight="1" x14ac:dyDescent="0.3">
      <c r="B121" s="7" t="s">
        <v>43</v>
      </c>
      <c r="C121" s="8">
        <v>422169</v>
      </c>
      <c r="D121" s="8">
        <v>444108</v>
      </c>
      <c r="E121" s="8">
        <v>445340</v>
      </c>
      <c r="F121" s="8">
        <v>477775</v>
      </c>
      <c r="G121" s="8">
        <v>633638</v>
      </c>
      <c r="H121" s="8">
        <v>724368</v>
      </c>
      <c r="I121" s="8">
        <v>983424</v>
      </c>
      <c r="J121" s="8">
        <v>1586974</v>
      </c>
      <c r="K121" s="8">
        <v>2667913</v>
      </c>
      <c r="L121" s="8">
        <v>2751384</v>
      </c>
      <c r="M121" s="8">
        <v>2998974</v>
      </c>
      <c r="N121" s="8">
        <v>4738261</v>
      </c>
      <c r="O121" s="9">
        <f t="shared" ref="O121:O138" si="95">N121</f>
        <v>4738261</v>
      </c>
      <c r="P121" s="8">
        <v>10936</v>
      </c>
      <c r="Q121" s="8">
        <v>426215</v>
      </c>
      <c r="R121" s="8">
        <v>550374</v>
      </c>
      <c r="S121" s="8">
        <v>821173</v>
      </c>
      <c r="T121" s="8">
        <v>902935</v>
      </c>
      <c r="U121" s="8">
        <v>1267993</v>
      </c>
      <c r="V121" s="8">
        <v>1375955</v>
      </c>
      <c r="W121" s="8">
        <v>1538815</v>
      </c>
      <c r="X121" s="8">
        <v>1815009</v>
      </c>
      <c r="Y121" s="8">
        <v>2010930</v>
      </c>
      <c r="Z121" s="8">
        <v>2168163</v>
      </c>
      <c r="AA121" s="8">
        <v>4686893</v>
      </c>
      <c r="AB121" s="9">
        <f t="shared" ref="AB121:AB138" si="96">AA121</f>
        <v>4686893</v>
      </c>
      <c r="AC121" s="8">
        <v>5551</v>
      </c>
      <c r="AD121" s="8">
        <v>296365</v>
      </c>
      <c r="AE121" s="8">
        <v>466403</v>
      </c>
      <c r="AF121" s="8">
        <v>613199</v>
      </c>
      <c r="AG121" s="8">
        <v>850801</v>
      </c>
      <c r="AH121" s="8">
        <v>1172253</v>
      </c>
      <c r="AI121" s="8">
        <v>1182017</v>
      </c>
      <c r="AJ121" s="8">
        <v>1326611</v>
      </c>
      <c r="AK121" s="8">
        <v>1381089</v>
      </c>
      <c r="AL121" s="8">
        <v>1490358</v>
      </c>
      <c r="AM121" s="8">
        <v>1663235</v>
      </c>
      <c r="AN121" s="8">
        <v>3778957</v>
      </c>
      <c r="AO121" s="9">
        <f t="shared" ref="AO121:AO138" si="97">AN121</f>
        <v>3778957</v>
      </c>
      <c r="AP121" s="8">
        <v>94</v>
      </c>
      <c r="AQ121" s="8">
        <v>572634</v>
      </c>
      <c r="AR121" s="8">
        <v>658919</v>
      </c>
      <c r="AS121" s="8">
        <v>776809</v>
      </c>
      <c r="AT121" s="8">
        <v>894008</v>
      </c>
      <c r="AU121" s="8">
        <v>1018981</v>
      </c>
      <c r="AV121" s="8">
        <v>1172020</v>
      </c>
      <c r="AW121" s="8">
        <v>1332726</v>
      </c>
      <c r="AX121" s="8">
        <v>1434776</v>
      </c>
      <c r="AY121" s="8">
        <v>2045574</v>
      </c>
      <c r="AZ121" s="8">
        <v>2455835</v>
      </c>
      <c r="BA121" s="8">
        <v>4324940</v>
      </c>
      <c r="BB121" s="9">
        <f t="shared" ref="BB121:BB138" si="98">BA121</f>
        <v>4324940</v>
      </c>
      <c r="BC121" s="8">
        <v>630</v>
      </c>
      <c r="BD121" s="8">
        <v>73428</v>
      </c>
      <c r="BE121" s="8">
        <v>787757</v>
      </c>
      <c r="BF121" s="8">
        <v>828417</v>
      </c>
      <c r="BG121" s="8">
        <v>1069915</v>
      </c>
      <c r="BH121" s="8">
        <v>1248977</v>
      </c>
      <c r="BI121" s="8">
        <v>1437263</v>
      </c>
      <c r="BJ121" s="8">
        <v>1593427</v>
      </c>
      <c r="BK121" s="8">
        <v>1774398</v>
      </c>
      <c r="BL121" s="8">
        <v>1926977</v>
      </c>
      <c r="BM121" s="8">
        <v>2152079</v>
      </c>
      <c r="BN121" s="8">
        <v>3964693</v>
      </c>
      <c r="BO121" s="9">
        <f t="shared" ref="BO121:BO138" si="99">BN121</f>
        <v>3964693</v>
      </c>
      <c r="BP121" s="8">
        <v>48408</v>
      </c>
      <c r="BQ121" s="8">
        <v>108457</v>
      </c>
      <c r="BR121" s="8">
        <v>918488</v>
      </c>
      <c r="BS121" s="8">
        <v>1269969</v>
      </c>
      <c r="BT121" s="8">
        <v>1366541</v>
      </c>
      <c r="BU121" s="8">
        <v>1563165</v>
      </c>
      <c r="BV121" s="8">
        <v>1640616</v>
      </c>
      <c r="BW121" s="8">
        <v>1792592</v>
      </c>
      <c r="BX121" s="8">
        <v>1842670</v>
      </c>
      <c r="BY121" s="8">
        <v>1905518</v>
      </c>
      <c r="BZ121" s="8">
        <v>2465408</v>
      </c>
      <c r="CA121" s="8">
        <v>3455898</v>
      </c>
      <c r="CB121" s="9">
        <f t="shared" ref="CB121:CB138" si="100">CA121</f>
        <v>3455898</v>
      </c>
      <c r="CC121" s="8">
        <v>1964</v>
      </c>
      <c r="CD121" s="8">
        <v>840413</v>
      </c>
      <c r="CE121" s="8">
        <v>845579</v>
      </c>
      <c r="CF121" s="8">
        <v>984284</v>
      </c>
      <c r="CG121" s="8">
        <v>1453495</v>
      </c>
      <c r="CH121" s="8">
        <v>1503250</v>
      </c>
      <c r="CI121" s="8">
        <v>1508547</v>
      </c>
      <c r="CJ121" s="8">
        <v>1522993</v>
      </c>
      <c r="CK121" s="8">
        <v>1628616</v>
      </c>
      <c r="CL121" s="8">
        <v>1686965</v>
      </c>
      <c r="CM121" s="8">
        <v>1761390</v>
      </c>
      <c r="CN121" s="8">
        <v>2841252</v>
      </c>
      <c r="CO121" s="9">
        <f t="shared" ref="CO121:CO138" si="101">CN121</f>
        <v>2841252</v>
      </c>
      <c r="CP121" s="8">
        <v>26183</v>
      </c>
      <c r="CQ121" s="8">
        <v>376776</v>
      </c>
      <c r="CR121" s="8">
        <v>378279</v>
      </c>
      <c r="CS121" s="8">
        <v>446136</v>
      </c>
      <c r="CT121" s="8">
        <v>453034</v>
      </c>
      <c r="CU121" s="8">
        <v>1329874</v>
      </c>
      <c r="CV121" s="8">
        <v>1345317</v>
      </c>
      <c r="CW121" s="8">
        <v>1387391</v>
      </c>
      <c r="CX121" s="8">
        <v>1462746</v>
      </c>
      <c r="CY121" s="8">
        <v>1495877</v>
      </c>
      <c r="CZ121" s="8">
        <v>1511001</v>
      </c>
      <c r="DA121" s="8">
        <v>2707796</v>
      </c>
      <c r="DB121" s="9">
        <f t="shared" ref="DB121:DB138" si="102">DA121</f>
        <v>2707796</v>
      </c>
      <c r="DC121" s="8">
        <v>68886</v>
      </c>
      <c r="DD121" s="8">
        <v>69186</v>
      </c>
      <c r="DE121" s="8">
        <v>207582</v>
      </c>
      <c r="DF121" s="8">
        <v>359767</v>
      </c>
      <c r="DG121" s="8">
        <v>366917</v>
      </c>
      <c r="DH121" s="8">
        <v>388085</v>
      </c>
      <c r="DI121" s="8">
        <v>395549</v>
      </c>
      <c r="DJ121" s="8">
        <v>1813710</v>
      </c>
      <c r="DK121" s="8">
        <v>1901113</v>
      </c>
      <c r="DL121" s="8">
        <v>1998202</v>
      </c>
      <c r="DM121" s="8">
        <v>2514049</v>
      </c>
      <c r="DN121" s="8">
        <v>3505429</v>
      </c>
      <c r="DO121" s="9">
        <f t="shared" ref="DO121:DO138" si="103">DN121</f>
        <v>3505429</v>
      </c>
      <c r="DP121" s="8">
        <v>1250846</v>
      </c>
      <c r="DQ121" s="8">
        <v>1392713</v>
      </c>
      <c r="DR121" s="8">
        <v>1433256</v>
      </c>
      <c r="DS121" s="8">
        <v>1483029</v>
      </c>
      <c r="DT121" s="8">
        <v>1517815</v>
      </c>
      <c r="DU121" s="8">
        <v>1680447</v>
      </c>
      <c r="DV121" s="8">
        <v>1709872</v>
      </c>
      <c r="DW121" s="8">
        <v>1904712</v>
      </c>
      <c r="DX121" s="8">
        <v>1943485</v>
      </c>
      <c r="DY121" s="8">
        <v>2116599</v>
      </c>
      <c r="DZ121" s="8">
        <v>2749373</v>
      </c>
      <c r="EA121" s="8">
        <v>3241192</v>
      </c>
      <c r="EB121" s="9">
        <f t="shared" ref="EB121:EB138" si="104">EA121</f>
        <v>3241192</v>
      </c>
      <c r="EC121" s="8">
        <v>1473303</v>
      </c>
      <c r="ED121" s="8">
        <v>1473303</v>
      </c>
      <c r="EE121" s="8">
        <v>1611277</v>
      </c>
      <c r="EF121" s="8">
        <v>1631762</v>
      </c>
      <c r="EG121" s="8">
        <v>1747004</v>
      </c>
      <c r="EH121" s="8">
        <v>1751284</v>
      </c>
      <c r="EI121" s="8">
        <v>1863427</v>
      </c>
      <c r="EJ121" s="8">
        <v>2013570</v>
      </c>
      <c r="EK121" s="8">
        <v>2045198</v>
      </c>
      <c r="EL121" s="8">
        <v>2070666</v>
      </c>
      <c r="EM121" s="8">
        <v>2651552</v>
      </c>
      <c r="EN121" s="8">
        <v>3071041</v>
      </c>
      <c r="EO121" s="9">
        <f t="shared" ref="EO121:EO138" si="105">EN121</f>
        <v>3071041</v>
      </c>
      <c r="EP121" s="8">
        <v>0</v>
      </c>
      <c r="EQ121" s="8">
        <v>757870</v>
      </c>
      <c r="ER121" s="8">
        <v>826766</v>
      </c>
      <c r="ES121" s="8">
        <v>839136</v>
      </c>
      <c r="ET121" s="8">
        <v>878206</v>
      </c>
      <c r="EU121" s="8">
        <v>887434</v>
      </c>
      <c r="EV121" s="8">
        <v>948168</v>
      </c>
      <c r="EW121" s="8">
        <v>2168256</v>
      </c>
      <c r="EX121" s="8">
        <v>2230134</v>
      </c>
      <c r="EY121" s="8">
        <v>2896737</v>
      </c>
      <c r="EZ121" s="8">
        <v>3126309</v>
      </c>
      <c r="FA121" s="8">
        <v>4077223</v>
      </c>
      <c r="FB121" s="9">
        <f t="shared" ref="FB121:FB138" si="106">FA121</f>
        <v>4077223</v>
      </c>
      <c r="FC121" s="8">
        <v>1719166</v>
      </c>
      <c r="FD121" s="8">
        <v>1719166</v>
      </c>
      <c r="FE121" s="8">
        <v>1866021</v>
      </c>
      <c r="FF121" s="8">
        <v>1873924</v>
      </c>
      <c r="FG121" s="8">
        <v>1910136</v>
      </c>
      <c r="FH121" s="8">
        <v>1978750</v>
      </c>
      <c r="FI121" s="8">
        <v>1989460</v>
      </c>
      <c r="FJ121" s="8"/>
      <c r="FK121" s="8"/>
      <c r="FL121" s="8"/>
      <c r="FM121" s="8"/>
      <c r="FN121" s="8"/>
      <c r="FO121" s="9">
        <f t="shared" ref="FO121:FO138" si="107">FI121</f>
        <v>1989460</v>
      </c>
    </row>
    <row r="122" spans="2:171" ht="14.25" customHeight="1" x14ac:dyDescent="0.3">
      <c r="B122" s="7" t="s">
        <v>44</v>
      </c>
      <c r="C122" s="8">
        <v>0</v>
      </c>
      <c r="D122" s="8">
        <v>0</v>
      </c>
      <c r="E122" s="8">
        <v>0</v>
      </c>
      <c r="F122" s="8">
        <v>571</v>
      </c>
      <c r="G122" s="8">
        <v>4502</v>
      </c>
      <c r="H122" s="8">
        <v>4502</v>
      </c>
      <c r="I122" s="8">
        <v>4502</v>
      </c>
      <c r="J122" s="8">
        <v>4502</v>
      </c>
      <c r="K122" s="8">
        <v>6613</v>
      </c>
      <c r="L122" s="8">
        <v>15132</v>
      </c>
      <c r="M122" s="8">
        <v>18057</v>
      </c>
      <c r="N122" s="8">
        <v>54509</v>
      </c>
      <c r="O122" s="9">
        <f t="shared" si="95"/>
        <v>54509</v>
      </c>
      <c r="P122" s="8">
        <v>1148</v>
      </c>
      <c r="Q122" s="8">
        <v>1663</v>
      </c>
      <c r="R122" s="8">
        <v>1959</v>
      </c>
      <c r="S122" s="8">
        <v>4974</v>
      </c>
      <c r="T122" s="8">
        <v>8107</v>
      </c>
      <c r="U122" s="8">
        <v>11843</v>
      </c>
      <c r="V122" s="8">
        <v>14144</v>
      </c>
      <c r="W122" s="8">
        <v>14605</v>
      </c>
      <c r="X122" s="8">
        <v>16558</v>
      </c>
      <c r="Y122" s="8">
        <v>20587</v>
      </c>
      <c r="Z122" s="8">
        <v>23715</v>
      </c>
      <c r="AA122" s="8">
        <v>116084</v>
      </c>
      <c r="AB122" s="9">
        <f t="shared" si="96"/>
        <v>116084</v>
      </c>
      <c r="AC122" s="8">
        <v>0</v>
      </c>
      <c r="AD122" s="8">
        <v>265</v>
      </c>
      <c r="AE122" s="8">
        <v>822</v>
      </c>
      <c r="AF122" s="8">
        <v>4719</v>
      </c>
      <c r="AG122" s="8">
        <v>15084</v>
      </c>
      <c r="AH122" s="8">
        <v>18752</v>
      </c>
      <c r="AI122" s="8">
        <v>21882</v>
      </c>
      <c r="AJ122" s="8">
        <v>24062</v>
      </c>
      <c r="AK122" s="8">
        <v>25174</v>
      </c>
      <c r="AL122" s="8">
        <v>25979</v>
      </c>
      <c r="AM122" s="8">
        <v>40465</v>
      </c>
      <c r="AN122" s="8">
        <v>58288</v>
      </c>
      <c r="AO122" s="9">
        <f t="shared" si="97"/>
        <v>58288</v>
      </c>
      <c r="AP122" s="8">
        <v>0</v>
      </c>
      <c r="AQ122" s="8">
        <v>0</v>
      </c>
      <c r="AR122" s="8">
        <v>267</v>
      </c>
      <c r="AS122" s="8">
        <v>267</v>
      </c>
      <c r="AT122" s="8">
        <v>1671</v>
      </c>
      <c r="AU122" s="8">
        <v>12278</v>
      </c>
      <c r="AV122" s="8">
        <v>20121</v>
      </c>
      <c r="AW122" s="8">
        <v>34013</v>
      </c>
      <c r="AX122" s="8">
        <v>36915</v>
      </c>
      <c r="AY122" s="8">
        <v>40477</v>
      </c>
      <c r="AZ122" s="8">
        <v>44486</v>
      </c>
      <c r="BA122" s="8">
        <v>78850</v>
      </c>
      <c r="BB122" s="9">
        <f t="shared" si="98"/>
        <v>78850</v>
      </c>
      <c r="BC122" s="8">
        <v>604</v>
      </c>
      <c r="BD122" s="8">
        <v>730</v>
      </c>
      <c r="BE122" s="8">
        <v>809</v>
      </c>
      <c r="BF122" s="8">
        <v>2541</v>
      </c>
      <c r="BG122" s="8">
        <v>23084</v>
      </c>
      <c r="BH122" s="8">
        <v>31438</v>
      </c>
      <c r="BI122" s="8">
        <v>37623</v>
      </c>
      <c r="BJ122" s="8">
        <v>39114</v>
      </c>
      <c r="BK122" s="8">
        <v>39594</v>
      </c>
      <c r="BL122" s="8">
        <v>41149</v>
      </c>
      <c r="BM122" s="8">
        <v>78765</v>
      </c>
      <c r="BN122" s="8">
        <v>89836</v>
      </c>
      <c r="BO122" s="9">
        <f t="shared" si="99"/>
        <v>89836</v>
      </c>
      <c r="BP122" s="8">
        <v>6682</v>
      </c>
      <c r="BQ122" s="8">
        <v>6682</v>
      </c>
      <c r="BR122" s="8">
        <v>6682</v>
      </c>
      <c r="BS122" s="8">
        <v>6682</v>
      </c>
      <c r="BT122" s="8">
        <v>6682</v>
      </c>
      <c r="BU122" s="8">
        <v>10321</v>
      </c>
      <c r="BV122" s="8">
        <v>20806</v>
      </c>
      <c r="BW122" s="8">
        <v>30440</v>
      </c>
      <c r="BX122" s="8">
        <v>35775</v>
      </c>
      <c r="BY122" s="8">
        <v>48263</v>
      </c>
      <c r="BZ122" s="8">
        <v>59498</v>
      </c>
      <c r="CA122" s="8">
        <v>141241</v>
      </c>
      <c r="CB122" s="9">
        <f t="shared" si="100"/>
        <v>141241</v>
      </c>
      <c r="CC122" s="8">
        <v>1583</v>
      </c>
      <c r="CD122" s="8">
        <v>1872</v>
      </c>
      <c r="CE122" s="8">
        <v>2138</v>
      </c>
      <c r="CF122" s="8">
        <v>2421</v>
      </c>
      <c r="CG122" s="8">
        <v>4331</v>
      </c>
      <c r="CH122" s="8">
        <v>11456</v>
      </c>
      <c r="CI122" s="8">
        <v>11938</v>
      </c>
      <c r="CJ122" s="8">
        <v>14278</v>
      </c>
      <c r="CK122" s="8">
        <v>14278</v>
      </c>
      <c r="CL122" s="8">
        <v>26963</v>
      </c>
      <c r="CM122" s="8">
        <v>34062</v>
      </c>
      <c r="CN122" s="8">
        <v>135737</v>
      </c>
      <c r="CO122" s="9">
        <f t="shared" si="101"/>
        <v>135737</v>
      </c>
      <c r="CP122" s="8">
        <v>0</v>
      </c>
      <c r="CQ122" s="8">
        <v>1597</v>
      </c>
      <c r="CR122" s="8">
        <v>4453</v>
      </c>
      <c r="CS122" s="8">
        <v>17905</v>
      </c>
      <c r="CT122" s="8">
        <v>21835</v>
      </c>
      <c r="CU122" s="8">
        <v>29163</v>
      </c>
      <c r="CV122" s="8">
        <v>31462</v>
      </c>
      <c r="CW122" s="8">
        <v>38083</v>
      </c>
      <c r="CX122" s="8">
        <v>43795</v>
      </c>
      <c r="CY122" s="8">
        <v>47640</v>
      </c>
      <c r="CZ122" s="8">
        <v>53369</v>
      </c>
      <c r="DA122" s="8">
        <v>74077</v>
      </c>
      <c r="DB122" s="9">
        <f t="shared" si="102"/>
        <v>74077</v>
      </c>
      <c r="DC122" s="8">
        <v>0</v>
      </c>
      <c r="DD122" s="8">
        <v>0</v>
      </c>
      <c r="DE122" s="8">
        <v>0</v>
      </c>
      <c r="DF122" s="8">
        <v>59</v>
      </c>
      <c r="DG122" s="8">
        <v>1565</v>
      </c>
      <c r="DH122" s="8">
        <v>2140</v>
      </c>
      <c r="DI122" s="8">
        <v>4991</v>
      </c>
      <c r="DJ122" s="8">
        <v>5415</v>
      </c>
      <c r="DK122" s="8">
        <v>7518</v>
      </c>
      <c r="DL122" s="8">
        <v>16518</v>
      </c>
      <c r="DM122" s="8">
        <v>26888</v>
      </c>
      <c r="DN122" s="8">
        <v>33214</v>
      </c>
      <c r="DO122" s="9">
        <f t="shared" si="103"/>
        <v>33214</v>
      </c>
      <c r="DP122" s="8">
        <v>0</v>
      </c>
      <c r="DQ122" s="8">
        <v>0</v>
      </c>
      <c r="DR122" s="8">
        <v>0</v>
      </c>
      <c r="DS122" s="8">
        <v>0</v>
      </c>
      <c r="DT122" s="8">
        <v>0</v>
      </c>
      <c r="DU122" s="8">
        <v>0</v>
      </c>
      <c r="DV122" s="8">
        <v>0</v>
      </c>
      <c r="DW122" s="8">
        <v>0</v>
      </c>
      <c r="DX122" s="8">
        <v>0</v>
      </c>
      <c r="DY122" s="8">
        <v>0</v>
      </c>
      <c r="DZ122" s="8">
        <v>0</v>
      </c>
      <c r="EA122" s="8">
        <v>0</v>
      </c>
      <c r="EB122" s="9">
        <f t="shared" si="104"/>
        <v>0</v>
      </c>
      <c r="EC122" s="8">
        <v>0</v>
      </c>
      <c r="ED122" s="8">
        <v>0</v>
      </c>
      <c r="EE122" s="8">
        <v>0</v>
      </c>
      <c r="EF122" s="8">
        <v>0</v>
      </c>
      <c r="EG122" s="8">
        <v>0</v>
      </c>
      <c r="EH122" s="8">
        <v>0</v>
      </c>
      <c r="EI122" s="8">
        <v>0</v>
      </c>
      <c r="EJ122" s="8">
        <v>0</v>
      </c>
      <c r="EK122" s="8">
        <v>0</v>
      </c>
      <c r="EL122" s="8">
        <v>56899</v>
      </c>
      <c r="EM122" s="8">
        <v>103913</v>
      </c>
      <c r="EN122" s="8">
        <v>240208</v>
      </c>
      <c r="EO122" s="9">
        <f t="shared" si="105"/>
        <v>240208</v>
      </c>
      <c r="EP122" s="8">
        <v>0</v>
      </c>
      <c r="EQ122" s="8">
        <v>0</v>
      </c>
      <c r="ER122" s="8">
        <v>144</v>
      </c>
      <c r="ES122" s="8">
        <v>144</v>
      </c>
      <c r="ET122" s="8">
        <v>144</v>
      </c>
      <c r="EU122" s="8">
        <v>144</v>
      </c>
      <c r="EV122" s="8">
        <v>144</v>
      </c>
      <c r="EW122" s="8">
        <v>144</v>
      </c>
      <c r="EX122" s="8">
        <v>144</v>
      </c>
      <c r="EY122" s="8">
        <v>6463</v>
      </c>
      <c r="EZ122" s="8">
        <v>6723</v>
      </c>
      <c r="FA122" s="8">
        <v>6723</v>
      </c>
      <c r="FB122" s="9">
        <f t="shared" si="106"/>
        <v>6723</v>
      </c>
      <c r="FC122" s="8">
        <v>0</v>
      </c>
      <c r="FD122" s="8">
        <v>0</v>
      </c>
      <c r="FE122" s="8">
        <v>0</v>
      </c>
      <c r="FF122" s="8">
        <v>0</v>
      </c>
      <c r="FG122" s="8">
        <v>0</v>
      </c>
      <c r="FH122" s="8">
        <v>0</v>
      </c>
      <c r="FI122" s="8">
        <v>0</v>
      </c>
      <c r="FJ122" s="8"/>
      <c r="FK122" s="8"/>
      <c r="FL122" s="8"/>
      <c r="FM122" s="8"/>
      <c r="FN122" s="8"/>
      <c r="FO122" s="9">
        <f t="shared" si="107"/>
        <v>0</v>
      </c>
    </row>
    <row r="123" spans="2:171" ht="14.25" customHeight="1" x14ac:dyDescent="0.3">
      <c r="B123" s="7" t="s">
        <v>45</v>
      </c>
      <c r="C123" s="8">
        <v>0</v>
      </c>
      <c r="D123" s="8">
        <v>0</v>
      </c>
      <c r="E123" s="8">
        <v>526</v>
      </c>
      <c r="F123" s="8">
        <v>526</v>
      </c>
      <c r="G123" s="8">
        <v>960</v>
      </c>
      <c r="H123" s="8">
        <v>6065</v>
      </c>
      <c r="I123" s="8">
        <v>6540</v>
      </c>
      <c r="J123" s="8">
        <v>6540</v>
      </c>
      <c r="K123" s="8">
        <v>6540</v>
      </c>
      <c r="L123" s="8">
        <v>10719</v>
      </c>
      <c r="M123" s="8">
        <v>5236378</v>
      </c>
      <c r="N123" s="8">
        <v>5253611</v>
      </c>
      <c r="O123" s="9">
        <f t="shared" si="95"/>
        <v>5253611</v>
      </c>
      <c r="P123" s="8">
        <v>0</v>
      </c>
      <c r="Q123" s="8">
        <v>0</v>
      </c>
      <c r="R123" s="8">
        <v>0</v>
      </c>
      <c r="S123" s="8">
        <v>218</v>
      </c>
      <c r="T123" s="8">
        <v>437</v>
      </c>
      <c r="U123" s="8">
        <v>1439</v>
      </c>
      <c r="V123" s="8">
        <v>1925</v>
      </c>
      <c r="W123" s="8">
        <v>1925</v>
      </c>
      <c r="X123" s="8">
        <v>1925</v>
      </c>
      <c r="Y123" s="8">
        <v>2613</v>
      </c>
      <c r="Z123" s="8">
        <v>2613</v>
      </c>
      <c r="AA123" s="8">
        <v>3795107</v>
      </c>
      <c r="AB123" s="9">
        <f t="shared" si="96"/>
        <v>3795107</v>
      </c>
      <c r="AC123" s="8">
        <v>0</v>
      </c>
      <c r="AD123" s="8">
        <v>0</v>
      </c>
      <c r="AE123" s="8">
        <v>0</v>
      </c>
      <c r="AF123" s="8">
        <v>3987</v>
      </c>
      <c r="AG123" s="8">
        <v>4351</v>
      </c>
      <c r="AH123" s="8">
        <v>5624</v>
      </c>
      <c r="AI123" s="8">
        <v>5624</v>
      </c>
      <c r="AJ123" s="8">
        <v>6100</v>
      </c>
      <c r="AK123" s="8">
        <v>7405</v>
      </c>
      <c r="AL123" s="8">
        <v>7405</v>
      </c>
      <c r="AM123" s="8">
        <v>179014</v>
      </c>
      <c r="AN123" s="8">
        <v>203225</v>
      </c>
      <c r="AO123" s="9">
        <f t="shared" si="97"/>
        <v>203225</v>
      </c>
      <c r="AP123" s="8">
        <v>70</v>
      </c>
      <c r="AQ123" s="8">
        <v>70</v>
      </c>
      <c r="AR123" s="8">
        <v>731</v>
      </c>
      <c r="AS123" s="8">
        <v>1200</v>
      </c>
      <c r="AT123" s="8">
        <v>1652</v>
      </c>
      <c r="AU123" s="8">
        <v>1652</v>
      </c>
      <c r="AV123" s="8">
        <v>1652</v>
      </c>
      <c r="AW123" s="8">
        <v>1652</v>
      </c>
      <c r="AX123" s="8">
        <v>2442</v>
      </c>
      <c r="AY123" s="8">
        <v>5023</v>
      </c>
      <c r="AZ123" s="8">
        <v>253844</v>
      </c>
      <c r="BA123" s="8">
        <v>384950</v>
      </c>
      <c r="BB123" s="9">
        <f t="shared" si="98"/>
        <v>384950</v>
      </c>
      <c r="BC123" s="8">
        <v>0</v>
      </c>
      <c r="BD123" s="8">
        <v>0</v>
      </c>
      <c r="BE123" s="8">
        <v>1928</v>
      </c>
      <c r="BF123" s="8">
        <v>1928</v>
      </c>
      <c r="BG123" s="8">
        <v>3050</v>
      </c>
      <c r="BH123" s="8">
        <v>3226</v>
      </c>
      <c r="BI123" s="8">
        <v>4695</v>
      </c>
      <c r="BJ123" s="8">
        <v>5064</v>
      </c>
      <c r="BK123" s="8">
        <v>5873</v>
      </c>
      <c r="BL123" s="8">
        <v>9516</v>
      </c>
      <c r="BM123" s="8">
        <v>11174</v>
      </c>
      <c r="BN123" s="8">
        <v>14880</v>
      </c>
      <c r="BO123" s="9">
        <f t="shared" si="99"/>
        <v>14880</v>
      </c>
      <c r="BP123" s="8">
        <v>0</v>
      </c>
      <c r="BQ123" s="8">
        <v>2081</v>
      </c>
      <c r="BR123" s="8">
        <v>2081</v>
      </c>
      <c r="BS123" s="8">
        <v>2081</v>
      </c>
      <c r="BT123" s="8">
        <v>4167</v>
      </c>
      <c r="BU123" s="8">
        <v>4167</v>
      </c>
      <c r="BV123" s="8">
        <v>5000</v>
      </c>
      <c r="BW123" s="8">
        <v>5000</v>
      </c>
      <c r="BX123" s="8">
        <v>6000</v>
      </c>
      <c r="BY123" s="8">
        <v>6000</v>
      </c>
      <c r="BZ123" s="8">
        <v>7070</v>
      </c>
      <c r="CA123" s="8">
        <v>160994</v>
      </c>
      <c r="CB123" s="9">
        <f t="shared" si="100"/>
        <v>160994</v>
      </c>
      <c r="CC123" s="8">
        <v>0</v>
      </c>
      <c r="CD123" s="8">
        <v>0</v>
      </c>
      <c r="CE123" s="8">
        <v>0</v>
      </c>
      <c r="CF123" s="8">
        <v>0</v>
      </c>
      <c r="CG123" s="8">
        <v>452</v>
      </c>
      <c r="CH123" s="8">
        <v>452</v>
      </c>
      <c r="CI123" s="8">
        <v>1242</v>
      </c>
      <c r="CJ123" s="8">
        <v>1242</v>
      </c>
      <c r="CK123" s="8">
        <v>2133</v>
      </c>
      <c r="CL123" s="8">
        <v>2464</v>
      </c>
      <c r="CM123" s="8">
        <v>85596</v>
      </c>
      <c r="CN123" s="8">
        <v>94477</v>
      </c>
      <c r="CO123" s="9">
        <f t="shared" si="101"/>
        <v>94477</v>
      </c>
      <c r="CP123" s="8">
        <v>0</v>
      </c>
      <c r="CQ123" s="8">
        <v>0</v>
      </c>
      <c r="CR123" s="8">
        <v>0</v>
      </c>
      <c r="CS123" s="8">
        <v>0</v>
      </c>
      <c r="CT123" s="8">
        <v>0</v>
      </c>
      <c r="CU123" s="8">
        <v>0</v>
      </c>
      <c r="CV123" s="8">
        <v>1263</v>
      </c>
      <c r="CW123" s="8">
        <v>1263</v>
      </c>
      <c r="CX123" s="8">
        <v>1263</v>
      </c>
      <c r="CY123" s="8">
        <v>1263</v>
      </c>
      <c r="CZ123" s="8">
        <v>3499</v>
      </c>
      <c r="DA123" s="8">
        <v>6240429</v>
      </c>
      <c r="DB123" s="9">
        <f t="shared" si="102"/>
        <v>6240429</v>
      </c>
      <c r="DC123" s="8">
        <v>0</v>
      </c>
      <c r="DD123" s="8">
        <v>0</v>
      </c>
      <c r="DE123" s="8">
        <v>0</v>
      </c>
      <c r="DF123" s="8">
        <v>0</v>
      </c>
      <c r="DG123" s="8">
        <v>0</v>
      </c>
      <c r="DH123" s="8">
        <v>0</v>
      </c>
      <c r="DI123" s="8">
        <v>0</v>
      </c>
      <c r="DJ123" s="8">
        <v>0</v>
      </c>
      <c r="DK123" s="8">
        <v>0</v>
      </c>
      <c r="DL123" s="8">
        <v>0</v>
      </c>
      <c r="DM123" s="8">
        <v>0</v>
      </c>
      <c r="DN123" s="8">
        <v>9315642</v>
      </c>
      <c r="DO123" s="9">
        <f t="shared" si="103"/>
        <v>9315642</v>
      </c>
      <c r="DP123" s="8">
        <v>0</v>
      </c>
      <c r="DQ123" s="8">
        <v>0</v>
      </c>
      <c r="DR123" s="8">
        <v>0</v>
      </c>
      <c r="DS123" s="8">
        <v>0</v>
      </c>
      <c r="DT123" s="8">
        <v>0</v>
      </c>
      <c r="DU123" s="8">
        <v>0</v>
      </c>
      <c r="DV123" s="8">
        <v>0</v>
      </c>
      <c r="DW123" s="8">
        <v>0</v>
      </c>
      <c r="DX123" s="8">
        <v>0</v>
      </c>
      <c r="DY123" s="8">
        <v>0</v>
      </c>
      <c r="DZ123" s="8">
        <v>0</v>
      </c>
      <c r="EA123" s="8">
        <v>0</v>
      </c>
      <c r="EB123" s="9">
        <f t="shared" si="104"/>
        <v>0</v>
      </c>
      <c r="EC123" s="8">
        <v>0</v>
      </c>
      <c r="ED123" s="8">
        <v>0</v>
      </c>
      <c r="EE123" s="8">
        <v>0</v>
      </c>
      <c r="EF123" s="8">
        <v>0</v>
      </c>
      <c r="EG123" s="8">
        <v>0</v>
      </c>
      <c r="EH123" s="8">
        <v>0</v>
      </c>
      <c r="EI123" s="8">
        <v>0</v>
      </c>
      <c r="EJ123" s="8">
        <v>0</v>
      </c>
      <c r="EK123" s="8">
        <v>0</v>
      </c>
      <c r="EL123" s="8">
        <v>5390</v>
      </c>
      <c r="EM123" s="8">
        <v>5390</v>
      </c>
      <c r="EN123" s="8">
        <v>7431</v>
      </c>
      <c r="EO123" s="9">
        <f t="shared" si="105"/>
        <v>7431</v>
      </c>
      <c r="EP123" s="8">
        <v>0</v>
      </c>
      <c r="EQ123" s="8">
        <v>0</v>
      </c>
      <c r="ER123" s="8">
        <v>0</v>
      </c>
      <c r="ES123" s="8">
        <v>0</v>
      </c>
      <c r="ET123" s="8">
        <v>0</v>
      </c>
      <c r="EU123" s="8">
        <v>0</v>
      </c>
      <c r="EV123" s="8">
        <v>2970</v>
      </c>
      <c r="EW123" s="8">
        <v>2970</v>
      </c>
      <c r="EX123" s="8">
        <v>2970</v>
      </c>
      <c r="EY123" s="8">
        <v>2970</v>
      </c>
      <c r="EZ123" s="8">
        <v>2970</v>
      </c>
      <c r="FA123" s="8">
        <v>2970</v>
      </c>
      <c r="FB123" s="9">
        <f t="shared" si="106"/>
        <v>2970</v>
      </c>
      <c r="FC123" s="8">
        <v>0</v>
      </c>
      <c r="FD123" s="8">
        <v>0</v>
      </c>
      <c r="FE123" s="8">
        <v>0</v>
      </c>
      <c r="FF123" s="8">
        <v>0</v>
      </c>
      <c r="FG123" s="8">
        <v>0</v>
      </c>
      <c r="FH123" s="8">
        <v>0</v>
      </c>
      <c r="FI123" s="8">
        <v>0</v>
      </c>
      <c r="FJ123" s="8"/>
      <c r="FK123" s="8"/>
      <c r="FL123" s="8"/>
      <c r="FM123" s="8"/>
      <c r="FN123" s="8"/>
      <c r="FO123" s="9">
        <f t="shared" si="107"/>
        <v>0</v>
      </c>
    </row>
    <row r="124" spans="2:171" ht="14.25" customHeight="1" x14ac:dyDescent="0.3">
      <c r="B124" s="7" t="s">
        <v>46</v>
      </c>
      <c r="C124" s="8">
        <v>0</v>
      </c>
      <c r="D124" s="8">
        <v>0</v>
      </c>
      <c r="E124" s="8">
        <v>0</v>
      </c>
      <c r="F124" s="8">
        <v>0</v>
      </c>
      <c r="G124" s="8">
        <v>0</v>
      </c>
      <c r="H124" s="8">
        <v>93</v>
      </c>
      <c r="I124" s="8">
        <v>93</v>
      </c>
      <c r="J124" s="8">
        <v>93</v>
      </c>
      <c r="K124" s="8">
        <v>5526</v>
      </c>
      <c r="L124" s="8">
        <v>5526</v>
      </c>
      <c r="M124" s="8">
        <v>9307</v>
      </c>
      <c r="N124" s="8">
        <v>1673293</v>
      </c>
      <c r="O124" s="9">
        <f t="shared" si="95"/>
        <v>1673293</v>
      </c>
      <c r="P124" s="8">
        <v>0</v>
      </c>
      <c r="Q124" s="8">
        <v>524</v>
      </c>
      <c r="R124" s="8">
        <v>9957</v>
      </c>
      <c r="S124" s="8">
        <v>1537228</v>
      </c>
      <c r="T124" s="8">
        <v>2457537</v>
      </c>
      <c r="U124" s="8">
        <v>2466042</v>
      </c>
      <c r="V124" s="8">
        <v>2693197</v>
      </c>
      <c r="W124" s="8">
        <v>2693531</v>
      </c>
      <c r="X124" s="8">
        <v>4767375</v>
      </c>
      <c r="Y124" s="8">
        <v>4901491</v>
      </c>
      <c r="Z124" s="8">
        <v>9401451</v>
      </c>
      <c r="AA124" s="8">
        <v>11296558</v>
      </c>
      <c r="AB124" s="9">
        <f t="shared" si="96"/>
        <v>11296558</v>
      </c>
      <c r="AC124" s="8">
        <v>0</v>
      </c>
      <c r="AD124" s="8">
        <v>0</v>
      </c>
      <c r="AE124" s="8">
        <v>0</v>
      </c>
      <c r="AF124" s="8">
        <v>16354</v>
      </c>
      <c r="AG124" s="8">
        <v>669658</v>
      </c>
      <c r="AH124" s="8">
        <v>958602</v>
      </c>
      <c r="AI124" s="8">
        <v>1674598</v>
      </c>
      <c r="AJ124" s="8">
        <v>3923128</v>
      </c>
      <c r="AK124" s="8">
        <v>4429619</v>
      </c>
      <c r="AL124" s="8">
        <v>8783332</v>
      </c>
      <c r="AM124" s="8">
        <v>8787832</v>
      </c>
      <c r="AN124" s="8">
        <v>8790874</v>
      </c>
      <c r="AO124" s="9">
        <f t="shared" si="97"/>
        <v>8790874</v>
      </c>
      <c r="AP124" s="8">
        <v>0</v>
      </c>
      <c r="AQ124" s="8">
        <v>157</v>
      </c>
      <c r="AR124" s="8">
        <v>1245</v>
      </c>
      <c r="AS124" s="8">
        <v>1245</v>
      </c>
      <c r="AT124" s="8">
        <v>2750</v>
      </c>
      <c r="AU124" s="8">
        <v>383566</v>
      </c>
      <c r="AV124" s="8">
        <v>488092</v>
      </c>
      <c r="AW124" s="8">
        <v>493837</v>
      </c>
      <c r="AX124" s="8">
        <v>441530</v>
      </c>
      <c r="AY124" s="8">
        <v>456160</v>
      </c>
      <c r="AZ124" s="8">
        <v>456532</v>
      </c>
      <c r="BA124" s="8">
        <v>678235</v>
      </c>
      <c r="BB124" s="9">
        <f t="shared" si="98"/>
        <v>678235</v>
      </c>
      <c r="BC124" s="8">
        <v>970</v>
      </c>
      <c r="BD124" s="8">
        <v>970</v>
      </c>
      <c r="BE124" s="8">
        <v>970</v>
      </c>
      <c r="BF124" s="8">
        <v>1757</v>
      </c>
      <c r="BG124" s="8">
        <v>2694</v>
      </c>
      <c r="BH124" s="8">
        <v>3683</v>
      </c>
      <c r="BI124" s="8">
        <v>3683</v>
      </c>
      <c r="BJ124" s="8">
        <v>4415</v>
      </c>
      <c r="BK124" s="8">
        <v>8487</v>
      </c>
      <c r="BL124" s="8">
        <v>10055</v>
      </c>
      <c r="BM124" s="8">
        <v>12344</v>
      </c>
      <c r="BN124" s="8">
        <v>12498</v>
      </c>
      <c r="BO124" s="9">
        <f t="shared" si="99"/>
        <v>12498</v>
      </c>
      <c r="BP124" s="8">
        <v>0</v>
      </c>
      <c r="BQ124" s="8">
        <v>0</v>
      </c>
      <c r="BR124" s="8">
        <v>4308</v>
      </c>
      <c r="BS124" s="8">
        <v>10837</v>
      </c>
      <c r="BT124" s="8">
        <v>10837</v>
      </c>
      <c r="BU124" s="8">
        <v>13164</v>
      </c>
      <c r="BV124" s="8">
        <v>13164</v>
      </c>
      <c r="BW124" s="8">
        <v>13164</v>
      </c>
      <c r="BX124" s="8">
        <v>13164</v>
      </c>
      <c r="BY124" s="8">
        <v>13164</v>
      </c>
      <c r="BZ124" s="8">
        <v>13164</v>
      </c>
      <c r="CA124" s="8">
        <v>57278</v>
      </c>
      <c r="CB124" s="9">
        <f t="shared" si="100"/>
        <v>57278</v>
      </c>
      <c r="CC124" s="8">
        <v>0</v>
      </c>
      <c r="CD124" s="8">
        <v>0</v>
      </c>
      <c r="CE124" s="8">
        <v>0</v>
      </c>
      <c r="CF124" s="8">
        <v>0</v>
      </c>
      <c r="CG124" s="8">
        <v>1547</v>
      </c>
      <c r="CH124" s="8">
        <v>2869</v>
      </c>
      <c r="CI124" s="8">
        <v>6412</v>
      </c>
      <c r="CJ124" s="8">
        <v>6901</v>
      </c>
      <c r="CK124" s="8">
        <v>7161</v>
      </c>
      <c r="CL124" s="8">
        <v>1973118</v>
      </c>
      <c r="CM124" s="8">
        <v>1973118</v>
      </c>
      <c r="CN124" s="8">
        <v>2119111</v>
      </c>
      <c r="CO124" s="9">
        <f t="shared" si="101"/>
        <v>2119111</v>
      </c>
      <c r="CP124" s="8">
        <v>2885</v>
      </c>
      <c r="CQ124" s="8">
        <v>2885</v>
      </c>
      <c r="CR124" s="8">
        <v>2885</v>
      </c>
      <c r="CS124" s="8">
        <v>4426</v>
      </c>
      <c r="CT124" s="8">
        <v>4426</v>
      </c>
      <c r="CU124" s="8">
        <v>4755</v>
      </c>
      <c r="CV124" s="8">
        <v>10184</v>
      </c>
      <c r="CW124" s="8">
        <v>10184</v>
      </c>
      <c r="CX124" s="8">
        <v>11576</v>
      </c>
      <c r="CY124" s="8">
        <v>11576</v>
      </c>
      <c r="CZ124" s="8">
        <v>37314</v>
      </c>
      <c r="DA124" s="8">
        <v>76373</v>
      </c>
      <c r="DB124" s="9">
        <f t="shared" si="102"/>
        <v>76373</v>
      </c>
      <c r="DC124" s="8">
        <v>0</v>
      </c>
      <c r="DD124" s="8">
        <v>0</v>
      </c>
      <c r="DE124" s="8">
        <v>0</v>
      </c>
      <c r="DF124" s="8">
        <v>0</v>
      </c>
      <c r="DG124" s="8">
        <v>0</v>
      </c>
      <c r="DH124" s="8">
        <v>0</v>
      </c>
      <c r="DI124" s="8">
        <v>0</v>
      </c>
      <c r="DJ124" s="8">
        <v>0</v>
      </c>
      <c r="DK124" s="8">
        <v>0</v>
      </c>
      <c r="DL124" s="8">
        <v>0</v>
      </c>
      <c r="DM124" s="8">
        <v>0</v>
      </c>
      <c r="DN124" s="8">
        <v>0</v>
      </c>
      <c r="DO124" s="9">
        <f t="shared" si="103"/>
        <v>0</v>
      </c>
      <c r="DP124" s="8">
        <v>0</v>
      </c>
      <c r="DQ124" s="8">
        <v>0</v>
      </c>
      <c r="DR124" s="8">
        <v>0</v>
      </c>
      <c r="DS124" s="8">
        <v>0</v>
      </c>
      <c r="DT124" s="8">
        <v>0</v>
      </c>
      <c r="DU124" s="8">
        <v>0</v>
      </c>
      <c r="DV124" s="8">
        <v>0</v>
      </c>
      <c r="DW124" s="8">
        <v>0</v>
      </c>
      <c r="DX124" s="8">
        <v>0</v>
      </c>
      <c r="DY124" s="8">
        <v>0</v>
      </c>
      <c r="DZ124" s="8">
        <v>0</v>
      </c>
      <c r="EA124" s="8">
        <v>3978246</v>
      </c>
      <c r="EB124" s="9">
        <f t="shared" si="104"/>
        <v>3978246</v>
      </c>
      <c r="EC124" s="8">
        <v>0</v>
      </c>
      <c r="ED124" s="8">
        <v>0</v>
      </c>
      <c r="EE124" s="8">
        <v>0</v>
      </c>
      <c r="EF124" s="8">
        <v>0</v>
      </c>
      <c r="EG124" s="8">
        <v>0</v>
      </c>
      <c r="EH124" s="8">
        <v>0</v>
      </c>
      <c r="EI124" s="8">
        <v>655</v>
      </c>
      <c r="EJ124" s="8">
        <v>1663</v>
      </c>
      <c r="EK124" s="8">
        <v>1663</v>
      </c>
      <c r="EL124" s="8">
        <v>1663</v>
      </c>
      <c r="EM124" s="8">
        <v>1663</v>
      </c>
      <c r="EN124" s="8">
        <v>3340</v>
      </c>
      <c r="EO124" s="9">
        <f t="shared" si="105"/>
        <v>3340</v>
      </c>
      <c r="EP124" s="8">
        <v>0</v>
      </c>
      <c r="EQ124" s="8">
        <v>0</v>
      </c>
      <c r="ER124" s="8">
        <v>365</v>
      </c>
      <c r="ES124" s="8">
        <v>365</v>
      </c>
      <c r="ET124" s="8">
        <v>365</v>
      </c>
      <c r="EU124" s="8">
        <v>5357</v>
      </c>
      <c r="EV124" s="8">
        <v>5837</v>
      </c>
      <c r="EW124" s="8">
        <v>5837</v>
      </c>
      <c r="EX124" s="8">
        <v>5837</v>
      </c>
      <c r="EY124" s="8">
        <v>5837</v>
      </c>
      <c r="EZ124" s="8">
        <v>5837</v>
      </c>
      <c r="FA124" s="8">
        <v>5837</v>
      </c>
      <c r="FB124" s="9">
        <f t="shared" si="106"/>
        <v>5837</v>
      </c>
      <c r="FC124" s="8">
        <v>0</v>
      </c>
      <c r="FD124" s="8">
        <v>0</v>
      </c>
      <c r="FE124" s="8">
        <v>0</v>
      </c>
      <c r="FF124" s="8">
        <v>0</v>
      </c>
      <c r="FG124" s="8">
        <v>0</v>
      </c>
      <c r="FH124" s="8">
        <v>0</v>
      </c>
      <c r="FI124" s="8">
        <v>0</v>
      </c>
      <c r="FJ124" s="8"/>
      <c r="FK124" s="8"/>
      <c r="FL124" s="8"/>
      <c r="FM124" s="8"/>
      <c r="FN124" s="8"/>
      <c r="FO124" s="9">
        <f t="shared" si="107"/>
        <v>0</v>
      </c>
    </row>
    <row r="125" spans="2:171" ht="14.25" customHeight="1" x14ac:dyDescent="0.3">
      <c r="B125" s="7" t="s">
        <v>47</v>
      </c>
      <c r="C125" s="8">
        <v>0</v>
      </c>
      <c r="D125" s="8">
        <v>310</v>
      </c>
      <c r="E125" s="8">
        <v>2953</v>
      </c>
      <c r="F125" s="8">
        <v>3321</v>
      </c>
      <c r="G125" s="8">
        <v>3775</v>
      </c>
      <c r="H125" s="8">
        <v>4125</v>
      </c>
      <c r="I125" s="8">
        <v>4344</v>
      </c>
      <c r="J125" s="8">
        <v>4344</v>
      </c>
      <c r="K125" s="8">
        <v>4874</v>
      </c>
      <c r="L125" s="8">
        <v>5700</v>
      </c>
      <c r="M125" s="8">
        <v>6124</v>
      </c>
      <c r="N125" s="8">
        <v>6702</v>
      </c>
      <c r="O125" s="9">
        <f t="shared" si="95"/>
        <v>6702</v>
      </c>
      <c r="P125" s="8">
        <v>0</v>
      </c>
      <c r="Q125" s="8">
        <v>0</v>
      </c>
      <c r="R125" s="8">
        <v>608</v>
      </c>
      <c r="S125" s="8">
        <v>1198</v>
      </c>
      <c r="T125" s="8">
        <v>1308</v>
      </c>
      <c r="U125" s="8">
        <v>1308</v>
      </c>
      <c r="V125" s="8">
        <v>1308</v>
      </c>
      <c r="W125" s="8">
        <v>2762</v>
      </c>
      <c r="X125" s="8">
        <v>2995</v>
      </c>
      <c r="Y125" s="8">
        <v>2995</v>
      </c>
      <c r="Z125" s="8">
        <v>4018</v>
      </c>
      <c r="AA125" s="8">
        <v>15849</v>
      </c>
      <c r="AB125" s="9">
        <f t="shared" si="96"/>
        <v>15849</v>
      </c>
      <c r="AC125" s="8">
        <v>140</v>
      </c>
      <c r="AD125" s="8">
        <v>522</v>
      </c>
      <c r="AE125" s="8">
        <v>2083</v>
      </c>
      <c r="AF125" s="8">
        <v>5289</v>
      </c>
      <c r="AG125" s="8">
        <v>5289</v>
      </c>
      <c r="AH125" s="8">
        <v>5835</v>
      </c>
      <c r="AI125" s="8">
        <v>5967</v>
      </c>
      <c r="AJ125" s="8">
        <v>5967</v>
      </c>
      <c r="AK125" s="8">
        <v>7319</v>
      </c>
      <c r="AL125" s="8">
        <v>7319</v>
      </c>
      <c r="AM125" s="8">
        <v>8085</v>
      </c>
      <c r="AN125" s="8">
        <v>10034</v>
      </c>
      <c r="AO125" s="9">
        <f t="shared" si="97"/>
        <v>10034</v>
      </c>
      <c r="AP125" s="8">
        <v>78</v>
      </c>
      <c r="AQ125" s="8">
        <v>78</v>
      </c>
      <c r="AR125" s="8">
        <v>213</v>
      </c>
      <c r="AS125" s="8">
        <v>2862</v>
      </c>
      <c r="AT125" s="8">
        <v>3360</v>
      </c>
      <c r="AU125" s="8">
        <v>3360</v>
      </c>
      <c r="AV125" s="8">
        <v>7105</v>
      </c>
      <c r="AW125" s="8">
        <v>7778</v>
      </c>
      <c r="AX125" s="8">
        <v>7778</v>
      </c>
      <c r="AY125" s="8">
        <v>10695</v>
      </c>
      <c r="AZ125" s="8">
        <v>10695</v>
      </c>
      <c r="BA125" s="8">
        <v>1140119</v>
      </c>
      <c r="BB125" s="9">
        <f t="shared" si="98"/>
        <v>1140119</v>
      </c>
      <c r="BC125" s="8">
        <v>0</v>
      </c>
      <c r="BD125" s="8">
        <v>29489</v>
      </c>
      <c r="BE125" s="8">
        <v>33662</v>
      </c>
      <c r="BF125" s="8">
        <v>35162</v>
      </c>
      <c r="BG125" s="8">
        <v>35162</v>
      </c>
      <c r="BH125" s="8">
        <v>1083317</v>
      </c>
      <c r="BI125" s="8">
        <v>1083317</v>
      </c>
      <c r="BJ125" s="8">
        <v>1085769</v>
      </c>
      <c r="BK125" s="8">
        <v>1085769</v>
      </c>
      <c r="BL125" s="8">
        <v>1085769</v>
      </c>
      <c r="BM125" s="8">
        <v>1085769</v>
      </c>
      <c r="BN125" s="8">
        <v>1361546</v>
      </c>
      <c r="BO125" s="9">
        <f t="shared" si="99"/>
        <v>1361546</v>
      </c>
      <c r="BP125" s="8">
        <v>0</v>
      </c>
      <c r="BQ125" s="8">
        <v>191</v>
      </c>
      <c r="BR125" s="8">
        <v>191</v>
      </c>
      <c r="BS125" s="8">
        <v>3234</v>
      </c>
      <c r="BT125" s="8">
        <v>3393</v>
      </c>
      <c r="BU125" s="8">
        <v>3393</v>
      </c>
      <c r="BV125" s="8">
        <v>3393</v>
      </c>
      <c r="BW125" s="8">
        <v>3393</v>
      </c>
      <c r="BX125" s="8">
        <v>4203</v>
      </c>
      <c r="BY125" s="8">
        <v>8343</v>
      </c>
      <c r="BZ125" s="8">
        <v>630752</v>
      </c>
      <c r="CA125" s="8">
        <v>3061500</v>
      </c>
      <c r="CB125" s="9">
        <f t="shared" si="100"/>
        <v>3061500</v>
      </c>
      <c r="CC125" s="8">
        <v>0</v>
      </c>
      <c r="CD125" s="8">
        <v>0</v>
      </c>
      <c r="CE125" s="8">
        <v>19</v>
      </c>
      <c r="CF125" s="8">
        <v>38</v>
      </c>
      <c r="CG125" s="8">
        <v>38</v>
      </c>
      <c r="CH125" s="8">
        <v>38</v>
      </c>
      <c r="CI125" s="8">
        <v>38</v>
      </c>
      <c r="CJ125" s="8">
        <v>38</v>
      </c>
      <c r="CK125" s="8">
        <v>564</v>
      </c>
      <c r="CL125" s="8">
        <v>660</v>
      </c>
      <c r="CM125" s="8">
        <v>660</v>
      </c>
      <c r="CN125" s="8">
        <v>92656</v>
      </c>
      <c r="CO125" s="9">
        <f t="shared" si="101"/>
        <v>92656</v>
      </c>
      <c r="CP125" s="8">
        <v>0</v>
      </c>
      <c r="CQ125" s="8">
        <v>0</v>
      </c>
      <c r="CR125" s="8">
        <v>0</v>
      </c>
      <c r="CS125" s="8">
        <v>0</v>
      </c>
      <c r="CT125" s="8">
        <v>0</v>
      </c>
      <c r="CU125" s="8">
        <v>0</v>
      </c>
      <c r="CV125" s="8">
        <v>0</v>
      </c>
      <c r="CW125" s="8">
        <v>0</v>
      </c>
      <c r="CX125" s="8">
        <v>0</v>
      </c>
      <c r="CY125" s="8">
        <v>0</v>
      </c>
      <c r="CZ125" s="8">
        <v>0</v>
      </c>
      <c r="DA125" s="8">
        <v>967</v>
      </c>
      <c r="DB125" s="9">
        <f t="shared" si="102"/>
        <v>967</v>
      </c>
      <c r="DC125" s="8">
        <v>0</v>
      </c>
      <c r="DD125" s="8">
        <v>0</v>
      </c>
      <c r="DE125" s="8">
        <v>0</v>
      </c>
      <c r="DF125" s="8">
        <v>0</v>
      </c>
      <c r="DG125" s="8">
        <v>0</v>
      </c>
      <c r="DH125" s="8">
        <v>0</v>
      </c>
      <c r="DI125" s="8">
        <v>0</v>
      </c>
      <c r="DJ125" s="8">
        <v>0</v>
      </c>
      <c r="DK125" s="8">
        <v>0</v>
      </c>
      <c r="DL125" s="8">
        <v>0</v>
      </c>
      <c r="DM125" s="8">
        <v>0</v>
      </c>
      <c r="DN125" s="8">
        <v>5708036</v>
      </c>
      <c r="DO125" s="9">
        <f t="shared" si="103"/>
        <v>5708036</v>
      </c>
      <c r="DP125" s="8">
        <v>0</v>
      </c>
      <c r="DQ125" s="8">
        <v>0</v>
      </c>
      <c r="DR125" s="8">
        <v>0</v>
      </c>
      <c r="DS125" s="8">
        <v>0</v>
      </c>
      <c r="DT125" s="8">
        <v>0</v>
      </c>
      <c r="DU125" s="8">
        <v>0</v>
      </c>
      <c r="DV125" s="8">
        <v>0</v>
      </c>
      <c r="DW125" s="8">
        <v>0</v>
      </c>
      <c r="DX125" s="8">
        <v>0</v>
      </c>
      <c r="DY125" s="8">
        <v>0</v>
      </c>
      <c r="DZ125" s="8">
        <v>0</v>
      </c>
      <c r="EA125" s="8">
        <v>0</v>
      </c>
      <c r="EB125" s="9">
        <f t="shared" si="104"/>
        <v>0</v>
      </c>
      <c r="EC125" s="8">
        <v>0</v>
      </c>
      <c r="ED125" s="8">
        <v>0</v>
      </c>
      <c r="EE125" s="8">
        <v>0</v>
      </c>
      <c r="EF125" s="8">
        <v>0</v>
      </c>
      <c r="EG125" s="8">
        <v>0</v>
      </c>
      <c r="EH125" s="8">
        <v>0</v>
      </c>
      <c r="EI125" s="8">
        <v>0</v>
      </c>
      <c r="EJ125" s="8">
        <v>0</v>
      </c>
      <c r="EK125" s="8">
        <v>0</v>
      </c>
      <c r="EL125" s="8">
        <v>0</v>
      </c>
      <c r="EM125" s="8">
        <v>0</v>
      </c>
      <c r="EN125" s="8">
        <v>4665</v>
      </c>
      <c r="EO125" s="9">
        <f t="shared" si="105"/>
        <v>4665</v>
      </c>
      <c r="EP125" s="8">
        <v>0</v>
      </c>
      <c r="EQ125" s="8">
        <v>0</v>
      </c>
      <c r="ER125" s="8">
        <v>0</v>
      </c>
      <c r="ES125" s="8">
        <v>0</v>
      </c>
      <c r="ET125" s="8">
        <v>0</v>
      </c>
      <c r="EU125" s="8">
        <v>601</v>
      </c>
      <c r="EV125" s="8">
        <v>601</v>
      </c>
      <c r="EW125" s="8">
        <v>601</v>
      </c>
      <c r="EX125" s="8">
        <v>601</v>
      </c>
      <c r="EY125" s="8">
        <v>601</v>
      </c>
      <c r="EZ125" s="8">
        <v>707</v>
      </c>
      <c r="FA125" s="8">
        <v>707</v>
      </c>
      <c r="FB125" s="9">
        <f t="shared" si="106"/>
        <v>707</v>
      </c>
      <c r="FC125" s="8">
        <v>0</v>
      </c>
      <c r="FD125" s="8">
        <v>0</v>
      </c>
      <c r="FE125" s="8">
        <v>0</v>
      </c>
      <c r="FF125" s="8">
        <v>0</v>
      </c>
      <c r="FG125" s="8">
        <v>0</v>
      </c>
      <c r="FH125" s="8">
        <v>0</v>
      </c>
      <c r="FI125" s="8">
        <v>0</v>
      </c>
      <c r="FJ125" s="8"/>
      <c r="FK125" s="8"/>
      <c r="FL125" s="8"/>
      <c r="FM125" s="8"/>
      <c r="FN125" s="8"/>
      <c r="FO125" s="9">
        <f t="shared" si="107"/>
        <v>0</v>
      </c>
    </row>
    <row r="126" spans="2:171" ht="14.25" customHeight="1" x14ac:dyDescent="0.3">
      <c r="B126" s="7" t="s">
        <v>48</v>
      </c>
      <c r="C126" s="8">
        <v>0</v>
      </c>
      <c r="D126" s="8">
        <v>1964</v>
      </c>
      <c r="E126" s="8">
        <v>2448</v>
      </c>
      <c r="F126" s="8">
        <v>5561</v>
      </c>
      <c r="G126" s="8">
        <v>5561</v>
      </c>
      <c r="H126" s="8">
        <v>5762</v>
      </c>
      <c r="I126" s="8">
        <v>5828</v>
      </c>
      <c r="J126" s="8">
        <v>5828</v>
      </c>
      <c r="K126" s="8">
        <v>5828</v>
      </c>
      <c r="L126" s="8">
        <v>7949</v>
      </c>
      <c r="M126" s="8">
        <v>7949</v>
      </c>
      <c r="N126" s="8">
        <v>8771</v>
      </c>
      <c r="O126" s="9">
        <f t="shared" si="95"/>
        <v>8771</v>
      </c>
      <c r="P126" s="8">
        <v>0</v>
      </c>
      <c r="Q126" s="8">
        <v>767</v>
      </c>
      <c r="R126" s="8">
        <v>767</v>
      </c>
      <c r="S126" s="8">
        <v>908</v>
      </c>
      <c r="T126" s="8">
        <v>1105</v>
      </c>
      <c r="U126" s="8">
        <v>5658</v>
      </c>
      <c r="V126" s="8">
        <v>5658</v>
      </c>
      <c r="W126" s="8">
        <v>7576</v>
      </c>
      <c r="X126" s="8">
        <v>9435</v>
      </c>
      <c r="Y126" s="8">
        <v>9435</v>
      </c>
      <c r="Z126" s="8">
        <v>11776</v>
      </c>
      <c r="AA126" s="8">
        <v>13263</v>
      </c>
      <c r="AB126" s="9">
        <f t="shared" si="96"/>
        <v>13263</v>
      </c>
      <c r="AC126" s="8">
        <v>0</v>
      </c>
      <c r="AD126" s="8">
        <v>189</v>
      </c>
      <c r="AE126" s="8">
        <v>2948</v>
      </c>
      <c r="AF126" s="8">
        <v>3470</v>
      </c>
      <c r="AG126" s="8">
        <v>6368</v>
      </c>
      <c r="AH126" s="8">
        <v>33189</v>
      </c>
      <c r="AI126" s="8">
        <v>73163</v>
      </c>
      <c r="AJ126" s="8">
        <v>119657</v>
      </c>
      <c r="AK126" s="8">
        <v>138376</v>
      </c>
      <c r="AL126" s="8">
        <v>152756</v>
      </c>
      <c r="AM126" s="8">
        <v>182611</v>
      </c>
      <c r="AN126" s="8">
        <v>354177</v>
      </c>
      <c r="AO126" s="9">
        <f t="shared" si="97"/>
        <v>354177</v>
      </c>
      <c r="AP126" s="8">
        <v>0</v>
      </c>
      <c r="AQ126" s="8">
        <v>450</v>
      </c>
      <c r="AR126" s="8">
        <v>450</v>
      </c>
      <c r="AS126" s="8">
        <v>2665</v>
      </c>
      <c r="AT126" s="8">
        <v>4935</v>
      </c>
      <c r="AU126" s="8">
        <v>4935</v>
      </c>
      <c r="AV126" s="8">
        <v>4935</v>
      </c>
      <c r="AW126" s="8">
        <v>5444</v>
      </c>
      <c r="AX126" s="8">
        <v>9203</v>
      </c>
      <c r="AY126" s="8">
        <v>11757</v>
      </c>
      <c r="AZ126" s="8">
        <v>13011</v>
      </c>
      <c r="BA126" s="8">
        <v>1243294</v>
      </c>
      <c r="BB126" s="9">
        <f t="shared" si="98"/>
        <v>1243294</v>
      </c>
      <c r="BC126" s="8">
        <v>0</v>
      </c>
      <c r="BD126" s="8">
        <v>1363</v>
      </c>
      <c r="BE126" s="8">
        <v>3434</v>
      </c>
      <c r="BF126" s="8">
        <v>3489</v>
      </c>
      <c r="BG126" s="8">
        <v>8764</v>
      </c>
      <c r="BH126" s="8">
        <v>9265</v>
      </c>
      <c r="BI126" s="8">
        <v>9795</v>
      </c>
      <c r="BJ126" s="8">
        <v>9795</v>
      </c>
      <c r="BK126" s="8">
        <v>9795</v>
      </c>
      <c r="BL126" s="8">
        <v>14569</v>
      </c>
      <c r="BM126" s="8">
        <v>15355</v>
      </c>
      <c r="BN126" s="8">
        <v>15578</v>
      </c>
      <c r="BO126" s="9">
        <f t="shared" si="99"/>
        <v>15578</v>
      </c>
      <c r="BP126" s="8">
        <v>0</v>
      </c>
      <c r="BQ126" s="8">
        <v>0</v>
      </c>
      <c r="BR126" s="8">
        <v>0</v>
      </c>
      <c r="BS126" s="8">
        <v>0</v>
      </c>
      <c r="BT126" s="8">
        <v>639</v>
      </c>
      <c r="BU126" s="8">
        <v>3210</v>
      </c>
      <c r="BV126" s="8">
        <v>3210</v>
      </c>
      <c r="BW126" s="8">
        <v>7254</v>
      </c>
      <c r="BX126" s="8">
        <v>7965</v>
      </c>
      <c r="BY126" s="8">
        <v>11418</v>
      </c>
      <c r="BZ126" s="8">
        <v>11418</v>
      </c>
      <c r="CA126" s="8">
        <v>1231018</v>
      </c>
      <c r="CB126" s="9">
        <f t="shared" si="100"/>
        <v>1231018</v>
      </c>
      <c r="CC126" s="8">
        <v>0</v>
      </c>
      <c r="CD126" s="8">
        <v>0</v>
      </c>
      <c r="CE126" s="8">
        <v>0</v>
      </c>
      <c r="CF126" s="8">
        <v>0</v>
      </c>
      <c r="CG126" s="8">
        <v>0</v>
      </c>
      <c r="CH126" s="8">
        <v>0</v>
      </c>
      <c r="CI126" s="8">
        <v>0</v>
      </c>
      <c r="CJ126" s="8">
        <v>0</v>
      </c>
      <c r="CK126" s="8">
        <v>0</v>
      </c>
      <c r="CL126" s="8">
        <v>0</v>
      </c>
      <c r="CM126" s="8">
        <v>4359</v>
      </c>
      <c r="CN126" s="8">
        <v>13661</v>
      </c>
      <c r="CO126" s="9">
        <f t="shared" si="101"/>
        <v>13661</v>
      </c>
      <c r="CP126" s="8">
        <v>0</v>
      </c>
      <c r="CQ126" s="8">
        <v>0</v>
      </c>
      <c r="CR126" s="8">
        <v>1109</v>
      </c>
      <c r="CS126" s="8">
        <v>1109</v>
      </c>
      <c r="CT126" s="8">
        <v>1109</v>
      </c>
      <c r="CU126" s="8">
        <v>3164</v>
      </c>
      <c r="CV126" s="8">
        <v>3709</v>
      </c>
      <c r="CW126" s="8">
        <v>4709</v>
      </c>
      <c r="CX126" s="8">
        <v>4709</v>
      </c>
      <c r="CY126" s="8">
        <v>4709</v>
      </c>
      <c r="CZ126" s="8">
        <v>5491</v>
      </c>
      <c r="DA126" s="8">
        <v>7698</v>
      </c>
      <c r="DB126" s="9">
        <f t="shared" si="102"/>
        <v>7698</v>
      </c>
      <c r="DC126" s="8">
        <v>0</v>
      </c>
      <c r="DD126" s="8">
        <v>0</v>
      </c>
      <c r="DE126" s="8">
        <v>0</v>
      </c>
      <c r="DF126" s="8">
        <v>0</v>
      </c>
      <c r="DG126" s="8">
        <v>0</v>
      </c>
      <c r="DH126" s="8">
        <v>0</v>
      </c>
      <c r="DI126" s="8">
        <v>0</v>
      </c>
      <c r="DJ126" s="8">
        <v>0</v>
      </c>
      <c r="DK126" s="8">
        <v>0</v>
      </c>
      <c r="DL126" s="8">
        <v>0</v>
      </c>
      <c r="DM126" s="8">
        <v>0</v>
      </c>
      <c r="DN126" s="8">
        <v>8320478</v>
      </c>
      <c r="DO126" s="9">
        <f t="shared" si="103"/>
        <v>8320478</v>
      </c>
      <c r="DP126" s="8">
        <v>0</v>
      </c>
      <c r="DQ126" s="8">
        <v>0</v>
      </c>
      <c r="DR126" s="8">
        <v>0</v>
      </c>
      <c r="DS126" s="8">
        <v>0</v>
      </c>
      <c r="DT126" s="8">
        <v>0</v>
      </c>
      <c r="DU126" s="8">
        <v>0</v>
      </c>
      <c r="DV126" s="8">
        <v>0</v>
      </c>
      <c r="DW126" s="8">
        <v>0</v>
      </c>
      <c r="DX126" s="8">
        <v>0</v>
      </c>
      <c r="DY126" s="8">
        <v>0</v>
      </c>
      <c r="DZ126" s="8">
        <v>0</v>
      </c>
      <c r="EA126" s="8">
        <v>328520</v>
      </c>
      <c r="EB126" s="9">
        <f t="shared" si="104"/>
        <v>328520</v>
      </c>
      <c r="EC126" s="8">
        <v>0</v>
      </c>
      <c r="ED126" s="8">
        <v>0</v>
      </c>
      <c r="EE126" s="8">
        <v>0</v>
      </c>
      <c r="EF126" s="8">
        <v>0</v>
      </c>
      <c r="EG126" s="8">
        <v>0</v>
      </c>
      <c r="EH126" s="8">
        <v>0</v>
      </c>
      <c r="EI126" s="8">
        <v>5262</v>
      </c>
      <c r="EJ126" s="8">
        <v>5262</v>
      </c>
      <c r="EK126" s="8">
        <v>5917</v>
      </c>
      <c r="EL126" s="8">
        <v>5917</v>
      </c>
      <c r="EM126" s="8">
        <v>6099</v>
      </c>
      <c r="EN126" s="8">
        <v>6646</v>
      </c>
      <c r="EO126" s="9">
        <f t="shared" si="105"/>
        <v>6646</v>
      </c>
      <c r="EP126" s="8">
        <v>0</v>
      </c>
      <c r="EQ126" s="8">
        <v>0</v>
      </c>
      <c r="ER126" s="8">
        <v>0</v>
      </c>
      <c r="ES126" s="8">
        <v>5114</v>
      </c>
      <c r="ET126" s="8">
        <v>5114</v>
      </c>
      <c r="EU126" s="8">
        <v>5114</v>
      </c>
      <c r="EV126" s="8">
        <v>5114</v>
      </c>
      <c r="EW126" s="8">
        <v>6540</v>
      </c>
      <c r="EX126" s="8">
        <v>6540</v>
      </c>
      <c r="EY126" s="8">
        <v>6540</v>
      </c>
      <c r="EZ126" s="8">
        <v>6540</v>
      </c>
      <c r="FA126" s="8">
        <v>6540</v>
      </c>
      <c r="FB126" s="9">
        <f t="shared" si="106"/>
        <v>6540</v>
      </c>
      <c r="FC126" s="8">
        <v>0</v>
      </c>
      <c r="FD126" s="8">
        <v>0</v>
      </c>
      <c r="FE126" s="8">
        <v>0</v>
      </c>
      <c r="FF126" s="8">
        <v>0</v>
      </c>
      <c r="FG126" s="8">
        <v>0</v>
      </c>
      <c r="FH126" s="8">
        <v>0</v>
      </c>
      <c r="FI126" s="8">
        <v>0</v>
      </c>
      <c r="FJ126" s="8"/>
      <c r="FK126" s="8"/>
      <c r="FL126" s="8"/>
      <c r="FM126" s="8"/>
      <c r="FN126" s="8"/>
      <c r="FO126" s="9">
        <f t="shared" si="107"/>
        <v>0</v>
      </c>
    </row>
    <row r="127" spans="2:171" ht="14.25" customHeight="1" x14ac:dyDescent="0.3">
      <c r="B127" s="7" t="s">
        <v>49</v>
      </c>
      <c r="C127" s="8">
        <v>233</v>
      </c>
      <c r="D127" s="8">
        <v>1111</v>
      </c>
      <c r="E127" s="8">
        <v>1552</v>
      </c>
      <c r="F127" s="8">
        <v>3434</v>
      </c>
      <c r="G127" s="8">
        <v>3447</v>
      </c>
      <c r="H127" s="8">
        <v>6992</v>
      </c>
      <c r="I127" s="8">
        <v>9230</v>
      </c>
      <c r="J127" s="8">
        <v>11001</v>
      </c>
      <c r="K127" s="8">
        <v>13009</v>
      </c>
      <c r="L127" s="8">
        <v>14081</v>
      </c>
      <c r="M127" s="8">
        <v>15305</v>
      </c>
      <c r="N127" s="8">
        <v>19034</v>
      </c>
      <c r="O127" s="9">
        <f t="shared" si="95"/>
        <v>19034</v>
      </c>
      <c r="P127" s="8">
        <v>305</v>
      </c>
      <c r="Q127" s="8">
        <v>1672</v>
      </c>
      <c r="R127" s="8">
        <v>2186</v>
      </c>
      <c r="S127" s="8">
        <v>2981</v>
      </c>
      <c r="T127" s="8">
        <v>3493</v>
      </c>
      <c r="U127" s="8">
        <v>8094</v>
      </c>
      <c r="V127" s="8">
        <v>10134</v>
      </c>
      <c r="W127" s="8">
        <v>1328308</v>
      </c>
      <c r="X127" s="8">
        <v>1345405</v>
      </c>
      <c r="Y127" s="8">
        <v>1357604</v>
      </c>
      <c r="Z127" s="8">
        <v>1358573</v>
      </c>
      <c r="AA127" s="8">
        <v>1364872</v>
      </c>
      <c r="AB127" s="9">
        <f t="shared" si="96"/>
        <v>1364872</v>
      </c>
      <c r="AC127" s="8">
        <v>0</v>
      </c>
      <c r="AD127" s="8">
        <v>679</v>
      </c>
      <c r="AE127" s="8">
        <v>67792</v>
      </c>
      <c r="AF127" s="8">
        <v>69109</v>
      </c>
      <c r="AG127" s="8">
        <v>69109</v>
      </c>
      <c r="AH127" s="8">
        <v>74795</v>
      </c>
      <c r="AI127" s="8">
        <v>74903</v>
      </c>
      <c r="AJ127" s="8">
        <v>76070</v>
      </c>
      <c r="AK127" s="8">
        <v>76070</v>
      </c>
      <c r="AL127" s="8">
        <v>76070</v>
      </c>
      <c r="AM127" s="8">
        <v>869332</v>
      </c>
      <c r="AN127" s="8">
        <v>2264790</v>
      </c>
      <c r="AO127" s="9">
        <f t="shared" si="97"/>
        <v>2264790</v>
      </c>
      <c r="AP127" s="8">
        <v>0</v>
      </c>
      <c r="AQ127" s="8">
        <v>4334</v>
      </c>
      <c r="AR127" s="8">
        <v>4334</v>
      </c>
      <c r="AS127" s="8">
        <v>4334</v>
      </c>
      <c r="AT127" s="8">
        <v>835439</v>
      </c>
      <c r="AU127" s="8">
        <v>839647</v>
      </c>
      <c r="AV127" s="8">
        <v>849130</v>
      </c>
      <c r="AW127" s="8">
        <v>1131051</v>
      </c>
      <c r="AX127" s="8">
        <v>1121218</v>
      </c>
      <c r="AY127" s="8">
        <v>1121509</v>
      </c>
      <c r="AZ127" s="8">
        <v>1122336</v>
      </c>
      <c r="BA127" s="8">
        <v>2115946</v>
      </c>
      <c r="BB127" s="9">
        <f t="shared" si="98"/>
        <v>2115946</v>
      </c>
      <c r="BC127" s="8">
        <v>0</v>
      </c>
      <c r="BD127" s="8">
        <v>844</v>
      </c>
      <c r="BE127" s="8">
        <v>844</v>
      </c>
      <c r="BF127" s="8">
        <v>1502</v>
      </c>
      <c r="BG127" s="8">
        <v>1647</v>
      </c>
      <c r="BH127" s="8">
        <v>1647</v>
      </c>
      <c r="BI127" s="8">
        <v>5114</v>
      </c>
      <c r="BJ127" s="8">
        <v>6634</v>
      </c>
      <c r="BK127" s="8">
        <v>7741</v>
      </c>
      <c r="BL127" s="8">
        <v>8216</v>
      </c>
      <c r="BM127" s="8">
        <v>8216</v>
      </c>
      <c r="BN127" s="8">
        <v>82384</v>
      </c>
      <c r="BO127" s="9">
        <f t="shared" si="99"/>
        <v>82384</v>
      </c>
      <c r="BP127" s="8">
        <v>0</v>
      </c>
      <c r="BQ127" s="8">
        <v>0</v>
      </c>
      <c r="BR127" s="8">
        <v>0</v>
      </c>
      <c r="BS127" s="8">
        <v>0</v>
      </c>
      <c r="BT127" s="8">
        <v>0</v>
      </c>
      <c r="BU127" s="8">
        <v>6405</v>
      </c>
      <c r="BV127" s="8">
        <v>6876</v>
      </c>
      <c r="BW127" s="8">
        <v>6876</v>
      </c>
      <c r="BX127" s="8">
        <v>6876</v>
      </c>
      <c r="BY127" s="8">
        <v>6876</v>
      </c>
      <c r="BZ127" s="8">
        <v>6876</v>
      </c>
      <c r="CA127" s="8">
        <v>11767</v>
      </c>
      <c r="CB127" s="9">
        <f t="shared" si="100"/>
        <v>11767</v>
      </c>
      <c r="CC127" s="8">
        <v>0</v>
      </c>
      <c r="CD127" s="8">
        <v>0</v>
      </c>
      <c r="CE127" s="8">
        <v>0</v>
      </c>
      <c r="CF127" s="8">
        <v>0</v>
      </c>
      <c r="CG127" s="8">
        <v>0</v>
      </c>
      <c r="CH127" s="8">
        <v>0</v>
      </c>
      <c r="CI127" s="8">
        <v>0</v>
      </c>
      <c r="CJ127" s="8">
        <v>0</v>
      </c>
      <c r="CK127" s="8">
        <v>0</v>
      </c>
      <c r="CL127" s="8">
        <v>0</v>
      </c>
      <c r="CM127" s="8">
        <v>2911</v>
      </c>
      <c r="CN127" s="8">
        <v>1135388</v>
      </c>
      <c r="CO127" s="9">
        <f t="shared" si="101"/>
        <v>1135388</v>
      </c>
      <c r="CP127" s="8">
        <v>0</v>
      </c>
      <c r="CQ127" s="8">
        <v>0</v>
      </c>
      <c r="CR127" s="8">
        <v>0</v>
      </c>
      <c r="CS127" s="8">
        <v>0</v>
      </c>
      <c r="CT127" s="8">
        <v>0</v>
      </c>
      <c r="CU127" s="8">
        <v>736</v>
      </c>
      <c r="CV127" s="8">
        <v>736</v>
      </c>
      <c r="CW127" s="8">
        <v>1630685</v>
      </c>
      <c r="CX127" s="8">
        <v>1635209</v>
      </c>
      <c r="CY127" s="8">
        <v>1635209</v>
      </c>
      <c r="CZ127" s="8">
        <v>1635209</v>
      </c>
      <c r="DA127" s="8">
        <v>1662728</v>
      </c>
      <c r="DB127" s="9">
        <f t="shared" si="102"/>
        <v>1662728</v>
      </c>
      <c r="DC127" s="8">
        <v>0</v>
      </c>
      <c r="DD127" s="8">
        <v>0</v>
      </c>
      <c r="DE127" s="8">
        <v>0</v>
      </c>
      <c r="DF127" s="8">
        <v>0</v>
      </c>
      <c r="DG127" s="8">
        <v>0</v>
      </c>
      <c r="DH127" s="8">
        <v>0</v>
      </c>
      <c r="DI127" s="8">
        <v>0</v>
      </c>
      <c r="DJ127" s="8">
        <v>0</v>
      </c>
      <c r="DK127" s="8">
        <v>0</v>
      </c>
      <c r="DL127" s="8">
        <v>0</v>
      </c>
      <c r="DM127" s="8">
        <v>0</v>
      </c>
      <c r="DN127" s="8">
        <v>25569663</v>
      </c>
      <c r="DO127" s="9">
        <f t="shared" si="103"/>
        <v>25569663</v>
      </c>
      <c r="DP127" s="8">
        <v>0</v>
      </c>
      <c r="DQ127" s="8">
        <v>0</v>
      </c>
      <c r="DR127" s="8">
        <v>0</v>
      </c>
      <c r="DS127" s="8">
        <v>0</v>
      </c>
      <c r="DT127" s="8">
        <v>0</v>
      </c>
      <c r="DU127" s="8">
        <v>0</v>
      </c>
      <c r="DV127" s="8">
        <v>0</v>
      </c>
      <c r="DW127" s="8">
        <v>0</v>
      </c>
      <c r="DX127" s="8">
        <v>0</v>
      </c>
      <c r="DY127" s="8">
        <v>0</v>
      </c>
      <c r="DZ127" s="8">
        <v>0</v>
      </c>
      <c r="EA127" s="8">
        <v>0</v>
      </c>
      <c r="EB127" s="9">
        <f t="shared" si="104"/>
        <v>0</v>
      </c>
      <c r="EC127" s="8">
        <v>0</v>
      </c>
      <c r="ED127" s="8">
        <v>0</v>
      </c>
      <c r="EE127" s="8">
        <v>0</v>
      </c>
      <c r="EF127" s="8">
        <v>0</v>
      </c>
      <c r="EG127" s="8">
        <v>0</v>
      </c>
      <c r="EH127" s="8">
        <v>0</v>
      </c>
      <c r="EI127" s="8">
        <v>6055707</v>
      </c>
      <c r="EJ127" s="8">
        <v>6055707</v>
      </c>
      <c r="EK127" s="8">
        <v>6062238</v>
      </c>
      <c r="EL127" s="8">
        <v>6062238</v>
      </c>
      <c r="EM127" s="8">
        <v>6065142</v>
      </c>
      <c r="EN127" s="8">
        <v>6065343</v>
      </c>
      <c r="EO127" s="9">
        <f t="shared" si="105"/>
        <v>6065343</v>
      </c>
      <c r="EP127" s="8">
        <v>0</v>
      </c>
      <c r="EQ127" s="8">
        <v>0</v>
      </c>
      <c r="ER127" s="8">
        <v>0</v>
      </c>
      <c r="ES127" s="8">
        <v>0</v>
      </c>
      <c r="ET127" s="8">
        <v>0</v>
      </c>
      <c r="EU127" s="8">
        <v>0</v>
      </c>
      <c r="EV127" s="8">
        <v>0</v>
      </c>
      <c r="EW127" s="8">
        <v>4873</v>
      </c>
      <c r="EX127" s="8">
        <v>4873</v>
      </c>
      <c r="EY127" s="8">
        <v>4873</v>
      </c>
      <c r="EZ127" s="8">
        <v>5880</v>
      </c>
      <c r="FA127" s="8">
        <v>6023</v>
      </c>
      <c r="FB127" s="9">
        <f t="shared" si="106"/>
        <v>6023</v>
      </c>
      <c r="FC127" s="8">
        <v>0</v>
      </c>
      <c r="FD127" s="8">
        <v>0</v>
      </c>
      <c r="FE127" s="8">
        <v>0</v>
      </c>
      <c r="FF127" s="8">
        <v>0</v>
      </c>
      <c r="FG127" s="8">
        <v>0</v>
      </c>
      <c r="FH127" s="8">
        <v>0</v>
      </c>
      <c r="FI127" s="8">
        <v>0</v>
      </c>
      <c r="FJ127" s="8"/>
      <c r="FK127" s="8"/>
      <c r="FL127" s="8"/>
      <c r="FM127" s="8"/>
      <c r="FN127" s="8"/>
      <c r="FO127" s="9">
        <f t="shared" si="107"/>
        <v>0</v>
      </c>
    </row>
    <row r="128" spans="2:171" ht="14.25" customHeight="1" x14ac:dyDescent="0.3">
      <c r="B128" s="7" t="s">
        <v>50</v>
      </c>
      <c r="C128" s="8">
        <v>0</v>
      </c>
      <c r="D128" s="8">
        <v>675</v>
      </c>
      <c r="E128" s="8">
        <v>798</v>
      </c>
      <c r="F128" s="8">
        <v>1539</v>
      </c>
      <c r="G128" s="8">
        <v>7039</v>
      </c>
      <c r="H128" s="8">
        <v>9198</v>
      </c>
      <c r="I128" s="8">
        <v>9218</v>
      </c>
      <c r="J128" s="8">
        <v>11053</v>
      </c>
      <c r="K128" s="8">
        <v>17104</v>
      </c>
      <c r="L128" s="8">
        <v>21385</v>
      </c>
      <c r="M128" s="8">
        <v>756371</v>
      </c>
      <c r="N128" s="8">
        <v>771330</v>
      </c>
      <c r="O128" s="9">
        <f t="shared" si="95"/>
        <v>771330</v>
      </c>
      <c r="P128" s="8">
        <v>0</v>
      </c>
      <c r="Q128" s="8">
        <v>4264</v>
      </c>
      <c r="R128" s="8">
        <v>6034</v>
      </c>
      <c r="S128" s="8">
        <v>12921</v>
      </c>
      <c r="T128" s="8">
        <v>16235</v>
      </c>
      <c r="U128" s="8">
        <v>16331</v>
      </c>
      <c r="V128" s="8">
        <v>18612</v>
      </c>
      <c r="W128" s="8">
        <v>378859</v>
      </c>
      <c r="X128" s="8">
        <v>382193</v>
      </c>
      <c r="Y128" s="8">
        <v>384199</v>
      </c>
      <c r="Z128" s="8">
        <v>391612</v>
      </c>
      <c r="AA128" s="8">
        <v>997624</v>
      </c>
      <c r="AB128" s="9">
        <f t="shared" si="96"/>
        <v>997624</v>
      </c>
      <c r="AC128" s="8">
        <v>0</v>
      </c>
      <c r="AD128" s="8">
        <v>4987</v>
      </c>
      <c r="AE128" s="8">
        <v>5820</v>
      </c>
      <c r="AF128" s="8">
        <v>7537</v>
      </c>
      <c r="AG128" s="8">
        <v>24317</v>
      </c>
      <c r="AH128" s="8">
        <v>29880</v>
      </c>
      <c r="AI128" s="8">
        <v>31661</v>
      </c>
      <c r="AJ128" s="8">
        <v>31661</v>
      </c>
      <c r="AK128" s="8">
        <v>32062</v>
      </c>
      <c r="AL128" s="8">
        <v>32062</v>
      </c>
      <c r="AM128" s="8">
        <v>32062</v>
      </c>
      <c r="AN128" s="8">
        <v>2284441</v>
      </c>
      <c r="AO128" s="9">
        <f t="shared" si="97"/>
        <v>2284441</v>
      </c>
      <c r="AP128" s="8">
        <v>0</v>
      </c>
      <c r="AQ128" s="8">
        <v>2301</v>
      </c>
      <c r="AR128" s="8">
        <v>8503</v>
      </c>
      <c r="AS128" s="8">
        <v>11085</v>
      </c>
      <c r="AT128" s="8">
        <v>13926</v>
      </c>
      <c r="AU128" s="8">
        <v>27890</v>
      </c>
      <c r="AV128" s="8">
        <v>31249</v>
      </c>
      <c r="AW128" s="8">
        <v>33233</v>
      </c>
      <c r="AX128" s="8">
        <v>36737</v>
      </c>
      <c r="AY128" s="8">
        <v>51192</v>
      </c>
      <c r="AZ128" s="8">
        <v>54040</v>
      </c>
      <c r="BA128" s="8">
        <v>55043</v>
      </c>
      <c r="BB128" s="9">
        <f t="shared" si="98"/>
        <v>55043</v>
      </c>
      <c r="BC128" s="8">
        <v>0</v>
      </c>
      <c r="BD128" s="8">
        <v>582</v>
      </c>
      <c r="BE128" s="8">
        <v>12937</v>
      </c>
      <c r="BF128" s="8">
        <v>16535</v>
      </c>
      <c r="BG128" s="8">
        <v>18131</v>
      </c>
      <c r="BH128" s="8">
        <v>20684</v>
      </c>
      <c r="BI128" s="8">
        <v>21865</v>
      </c>
      <c r="BJ128" s="8">
        <v>22619</v>
      </c>
      <c r="BK128" s="8">
        <v>23278</v>
      </c>
      <c r="BL128" s="8">
        <v>23318</v>
      </c>
      <c r="BM128" s="8">
        <v>23505</v>
      </c>
      <c r="BN128" s="8">
        <v>1082924</v>
      </c>
      <c r="BO128" s="9">
        <f t="shared" si="99"/>
        <v>1082924</v>
      </c>
      <c r="BP128" s="8">
        <v>1525</v>
      </c>
      <c r="BQ128" s="8">
        <v>3074</v>
      </c>
      <c r="BR128" s="8">
        <v>7435</v>
      </c>
      <c r="BS128" s="8">
        <v>16005</v>
      </c>
      <c r="BT128" s="8">
        <v>16534</v>
      </c>
      <c r="BU128" s="8">
        <v>17813</v>
      </c>
      <c r="BV128" s="8">
        <v>19219</v>
      </c>
      <c r="BW128" s="8">
        <v>19645</v>
      </c>
      <c r="BX128" s="8">
        <v>19966</v>
      </c>
      <c r="BY128" s="8">
        <v>20181</v>
      </c>
      <c r="BZ128" s="8">
        <v>320661</v>
      </c>
      <c r="CA128" s="8">
        <v>746161</v>
      </c>
      <c r="CB128" s="9">
        <f t="shared" si="100"/>
        <v>746161</v>
      </c>
      <c r="CC128" s="8">
        <v>2166</v>
      </c>
      <c r="CD128" s="8">
        <v>3965</v>
      </c>
      <c r="CE128" s="8">
        <v>6499</v>
      </c>
      <c r="CF128" s="8">
        <v>10415</v>
      </c>
      <c r="CG128" s="8">
        <v>13056</v>
      </c>
      <c r="CH128" s="8">
        <v>13335</v>
      </c>
      <c r="CI128" s="8">
        <v>13056</v>
      </c>
      <c r="CJ128" s="8">
        <v>13486</v>
      </c>
      <c r="CK128" s="8">
        <v>14566</v>
      </c>
      <c r="CL128" s="8">
        <v>14417</v>
      </c>
      <c r="CM128" s="8">
        <v>14417</v>
      </c>
      <c r="CN128" s="8">
        <v>3414957</v>
      </c>
      <c r="CO128" s="9">
        <f t="shared" si="101"/>
        <v>3414957</v>
      </c>
      <c r="CP128" s="8">
        <v>0</v>
      </c>
      <c r="CQ128" s="8">
        <v>0</v>
      </c>
      <c r="CR128" s="8">
        <v>356</v>
      </c>
      <c r="CS128" s="8">
        <v>356</v>
      </c>
      <c r="CT128" s="8">
        <v>356</v>
      </c>
      <c r="CU128" s="8">
        <v>1252</v>
      </c>
      <c r="CV128" s="8">
        <v>2012</v>
      </c>
      <c r="CW128" s="8">
        <v>2012</v>
      </c>
      <c r="CX128" s="8">
        <v>10731</v>
      </c>
      <c r="CY128" s="8">
        <v>10805</v>
      </c>
      <c r="CZ128" s="8">
        <v>11093</v>
      </c>
      <c r="DA128" s="8">
        <v>1985450</v>
      </c>
      <c r="DB128" s="9">
        <f t="shared" si="102"/>
        <v>1985450</v>
      </c>
      <c r="DC128" s="8">
        <v>0</v>
      </c>
      <c r="DD128" s="8">
        <v>0</v>
      </c>
      <c r="DE128" s="8">
        <v>0</v>
      </c>
      <c r="DF128" s="8">
        <v>0</v>
      </c>
      <c r="DG128" s="8">
        <v>0</v>
      </c>
      <c r="DH128" s="8">
        <v>0</v>
      </c>
      <c r="DI128" s="8">
        <v>0</v>
      </c>
      <c r="DJ128" s="8">
        <v>0</v>
      </c>
      <c r="DK128" s="8">
        <v>0</v>
      </c>
      <c r="DL128" s="8">
        <v>0</v>
      </c>
      <c r="DM128" s="8">
        <v>0</v>
      </c>
      <c r="DN128" s="8">
        <v>16845167</v>
      </c>
      <c r="DO128" s="9">
        <f t="shared" si="103"/>
        <v>16845167</v>
      </c>
      <c r="DP128" s="8">
        <v>0</v>
      </c>
      <c r="DQ128" s="8">
        <v>0</v>
      </c>
      <c r="DR128" s="8">
        <v>0</v>
      </c>
      <c r="DS128" s="8">
        <v>0</v>
      </c>
      <c r="DT128" s="8">
        <v>0</v>
      </c>
      <c r="DU128" s="8">
        <v>0</v>
      </c>
      <c r="DV128" s="8">
        <v>0</v>
      </c>
      <c r="DW128" s="8">
        <v>0</v>
      </c>
      <c r="DX128" s="8">
        <v>0</v>
      </c>
      <c r="DY128" s="8">
        <v>0</v>
      </c>
      <c r="DZ128" s="8">
        <v>0</v>
      </c>
      <c r="EA128" s="8">
        <v>3984477</v>
      </c>
      <c r="EB128" s="9">
        <f t="shared" si="104"/>
        <v>3984477</v>
      </c>
      <c r="EC128" s="8">
        <v>0</v>
      </c>
      <c r="ED128" s="8">
        <v>0</v>
      </c>
      <c r="EE128" s="8">
        <v>0</v>
      </c>
      <c r="EF128" s="8">
        <v>0</v>
      </c>
      <c r="EG128" s="8">
        <v>0</v>
      </c>
      <c r="EH128" s="8">
        <v>0</v>
      </c>
      <c r="EI128" s="8">
        <v>0</v>
      </c>
      <c r="EJ128" s="8">
        <v>15805</v>
      </c>
      <c r="EK128" s="8">
        <v>16757</v>
      </c>
      <c r="EL128" s="8">
        <v>18403</v>
      </c>
      <c r="EM128" s="8">
        <v>20037</v>
      </c>
      <c r="EN128" s="8">
        <v>21833</v>
      </c>
      <c r="EO128" s="9">
        <f t="shared" si="105"/>
        <v>21833</v>
      </c>
      <c r="EP128" s="8">
        <v>0</v>
      </c>
      <c r="EQ128" s="8">
        <v>0</v>
      </c>
      <c r="ER128" s="8">
        <v>2894</v>
      </c>
      <c r="ES128" s="8">
        <v>2894</v>
      </c>
      <c r="ET128" s="8">
        <v>2894</v>
      </c>
      <c r="EU128" s="8">
        <v>6167</v>
      </c>
      <c r="EV128" s="8">
        <v>6167</v>
      </c>
      <c r="EW128" s="8">
        <v>6167</v>
      </c>
      <c r="EX128" s="8">
        <v>7132</v>
      </c>
      <c r="EY128" s="8">
        <v>7132</v>
      </c>
      <c r="EZ128" s="8">
        <v>7132</v>
      </c>
      <c r="FA128" s="8">
        <v>10998036</v>
      </c>
      <c r="FB128" s="9">
        <f t="shared" si="106"/>
        <v>10998036</v>
      </c>
      <c r="FC128" s="8">
        <v>0</v>
      </c>
      <c r="FD128" s="8">
        <v>0</v>
      </c>
      <c r="FE128" s="8">
        <v>0</v>
      </c>
      <c r="FF128" s="8">
        <v>0</v>
      </c>
      <c r="FG128" s="8">
        <v>0</v>
      </c>
      <c r="FH128" s="8">
        <v>0</v>
      </c>
      <c r="FI128" s="8">
        <v>0</v>
      </c>
      <c r="FJ128" s="8"/>
      <c r="FK128" s="8"/>
      <c r="FL128" s="8"/>
      <c r="FM128" s="8"/>
      <c r="FN128" s="8"/>
      <c r="FO128" s="9">
        <f t="shared" si="107"/>
        <v>0</v>
      </c>
    </row>
    <row r="129" spans="2:171" ht="14.25" customHeight="1" x14ac:dyDescent="0.3">
      <c r="B129" s="7" t="s">
        <v>51</v>
      </c>
      <c r="C129" s="8">
        <v>0</v>
      </c>
      <c r="D129" s="8">
        <v>178</v>
      </c>
      <c r="E129" s="8">
        <v>866</v>
      </c>
      <c r="F129" s="8">
        <v>6627</v>
      </c>
      <c r="G129" s="8">
        <v>12440</v>
      </c>
      <c r="H129" s="8">
        <v>13908</v>
      </c>
      <c r="I129" s="8">
        <v>19119</v>
      </c>
      <c r="J129" s="8">
        <v>23550</v>
      </c>
      <c r="K129" s="8">
        <v>30001</v>
      </c>
      <c r="L129" s="8">
        <v>656294</v>
      </c>
      <c r="M129" s="8">
        <v>32680306</v>
      </c>
      <c r="N129" s="8">
        <v>36977956</v>
      </c>
      <c r="O129" s="9">
        <f t="shared" si="95"/>
        <v>36977956</v>
      </c>
      <c r="P129" s="8">
        <v>137125</v>
      </c>
      <c r="Q129" s="8">
        <v>137125</v>
      </c>
      <c r="R129" s="8">
        <v>143759</v>
      </c>
      <c r="S129" s="8">
        <v>143965</v>
      </c>
      <c r="T129" s="8">
        <v>155522</v>
      </c>
      <c r="U129" s="8">
        <v>4113214</v>
      </c>
      <c r="V129" s="8">
        <v>4153975</v>
      </c>
      <c r="W129" s="8">
        <v>4162883</v>
      </c>
      <c r="X129" s="8">
        <v>4171915</v>
      </c>
      <c r="Y129" s="8">
        <v>4213441</v>
      </c>
      <c r="Z129" s="8">
        <v>4281192</v>
      </c>
      <c r="AA129" s="8">
        <v>13975237</v>
      </c>
      <c r="AB129" s="9">
        <f t="shared" si="96"/>
        <v>13975237</v>
      </c>
      <c r="AC129" s="8">
        <v>0</v>
      </c>
      <c r="AD129" s="8">
        <v>0</v>
      </c>
      <c r="AE129" s="8">
        <v>514</v>
      </c>
      <c r="AF129" s="8">
        <v>514</v>
      </c>
      <c r="AG129" s="8">
        <v>1522</v>
      </c>
      <c r="AH129" s="8">
        <v>4506</v>
      </c>
      <c r="AI129" s="8">
        <v>48007</v>
      </c>
      <c r="AJ129" s="8">
        <v>61919</v>
      </c>
      <c r="AK129" s="8">
        <v>62724</v>
      </c>
      <c r="AL129" s="8">
        <v>64427</v>
      </c>
      <c r="AM129" s="8">
        <v>91634</v>
      </c>
      <c r="AN129" s="8">
        <v>1859307</v>
      </c>
      <c r="AO129" s="9">
        <f t="shared" si="97"/>
        <v>1859307</v>
      </c>
      <c r="AP129" s="8">
        <v>0</v>
      </c>
      <c r="AQ129" s="8">
        <v>0</v>
      </c>
      <c r="AR129" s="8">
        <v>0</v>
      </c>
      <c r="AS129" s="8">
        <v>409386</v>
      </c>
      <c r="AT129" s="8">
        <v>409386</v>
      </c>
      <c r="AU129" s="8">
        <v>466224</v>
      </c>
      <c r="AV129" s="8">
        <v>485075</v>
      </c>
      <c r="AW129" s="8">
        <v>500115</v>
      </c>
      <c r="AX129" s="8">
        <v>519396</v>
      </c>
      <c r="AY129" s="8">
        <v>522832</v>
      </c>
      <c r="AZ129" s="8">
        <v>546264</v>
      </c>
      <c r="BA129" s="8">
        <v>16909543</v>
      </c>
      <c r="BB129" s="9">
        <f t="shared" si="98"/>
        <v>16909543</v>
      </c>
      <c r="BC129" s="8">
        <v>0</v>
      </c>
      <c r="BD129" s="8">
        <v>0</v>
      </c>
      <c r="BE129" s="8">
        <v>0</v>
      </c>
      <c r="BF129" s="8">
        <v>2258</v>
      </c>
      <c r="BG129" s="8">
        <v>18485</v>
      </c>
      <c r="BH129" s="8">
        <v>2337404</v>
      </c>
      <c r="BI129" s="8">
        <v>2337404</v>
      </c>
      <c r="BJ129" s="8">
        <v>2337404</v>
      </c>
      <c r="BK129" s="8">
        <v>2337794</v>
      </c>
      <c r="BL129" s="8">
        <v>2345535</v>
      </c>
      <c r="BM129" s="8">
        <v>2359919</v>
      </c>
      <c r="BN129" s="8">
        <v>3609490</v>
      </c>
      <c r="BO129" s="9">
        <f t="shared" si="99"/>
        <v>3609490</v>
      </c>
      <c r="BP129" s="8">
        <v>0</v>
      </c>
      <c r="BQ129" s="8">
        <v>0</v>
      </c>
      <c r="BR129" s="8">
        <v>300</v>
      </c>
      <c r="BS129" s="8">
        <v>300</v>
      </c>
      <c r="BT129" s="8">
        <v>7031</v>
      </c>
      <c r="BU129" s="8">
        <v>11266</v>
      </c>
      <c r="BV129" s="8">
        <v>19572</v>
      </c>
      <c r="BW129" s="8">
        <v>22894</v>
      </c>
      <c r="BX129" s="8">
        <v>16586760</v>
      </c>
      <c r="BY129" s="8">
        <v>21273562</v>
      </c>
      <c r="BZ129" s="8">
        <v>24502232</v>
      </c>
      <c r="CA129" s="8">
        <v>24975646</v>
      </c>
      <c r="CB129" s="9">
        <f t="shared" si="100"/>
        <v>24975646</v>
      </c>
      <c r="CC129" s="8">
        <v>0</v>
      </c>
      <c r="CD129" s="8">
        <v>3254</v>
      </c>
      <c r="CE129" s="8">
        <v>5061</v>
      </c>
      <c r="CF129" s="8">
        <v>11385</v>
      </c>
      <c r="CG129" s="8">
        <v>11385</v>
      </c>
      <c r="CH129" s="8">
        <v>11385</v>
      </c>
      <c r="CI129" s="8">
        <v>11385</v>
      </c>
      <c r="CJ129" s="8">
        <v>11385</v>
      </c>
      <c r="CK129" s="8">
        <v>18572</v>
      </c>
      <c r="CL129" s="8">
        <v>18572</v>
      </c>
      <c r="CM129" s="8">
        <v>4347706</v>
      </c>
      <c r="CN129" s="8">
        <v>10992916</v>
      </c>
      <c r="CO129" s="9">
        <f t="shared" si="101"/>
        <v>10992916</v>
      </c>
      <c r="CP129" s="8">
        <v>0</v>
      </c>
      <c r="CQ129" s="8">
        <v>0</v>
      </c>
      <c r="CR129" s="8">
        <v>0</v>
      </c>
      <c r="CS129" s="8">
        <v>0</v>
      </c>
      <c r="CT129" s="8">
        <v>0</v>
      </c>
      <c r="CU129" s="8">
        <v>818965</v>
      </c>
      <c r="CV129" s="8">
        <v>7013781</v>
      </c>
      <c r="CW129" s="8">
        <v>7014593</v>
      </c>
      <c r="CX129" s="8">
        <v>9738500</v>
      </c>
      <c r="CY129" s="8">
        <v>9773466</v>
      </c>
      <c r="CZ129" s="8">
        <v>7054819</v>
      </c>
      <c r="DA129" s="8">
        <v>11508333</v>
      </c>
      <c r="DB129" s="9">
        <f t="shared" si="102"/>
        <v>11508333</v>
      </c>
      <c r="DC129" s="8">
        <v>0</v>
      </c>
      <c r="DD129" s="8">
        <v>0</v>
      </c>
      <c r="DE129" s="8">
        <v>0</v>
      </c>
      <c r="DF129" s="8">
        <v>0</v>
      </c>
      <c r="DG129" s="8">
        <v>0</v>
      </c>
      <c r="DH129" s="8">
        <v>0</v>
      </c>
      <c r="DI129" s="8">
        <v>4807904</v>
      </c>
      <c r="DJ129" s="8">
        <v>4807904</v>
      </c>
      <c r="DK129" s="8">
        <v>6951849</v>
      </c>
      <c r="DL129" s="8">
        <v>6951849</v>
      </c>
      <c r="DM129" s="8">
        <v>6951849</v>
      </c>
      <c r="DN129" s="8">
        <v>77654384</v>
      </c>
      <c r="DO129" s="9">
        <f t="shared" si="103"/>
        <v>77654384</v>
      </c>
      <c r="DP129" s="8">
        <v>0</v>
      </c>
      <c r="DQ129" s="8">
        <v>0</v>
      </c>
      <c r="DR129" s="8">
        <v>0</v>
      </c>
      <c r="DS129" s="8">
        <v>0</v>
      </c>
      <c r="DT129" s="8">
        <v>0</v>
      </c>
      <c r="DU129" s="8">
        <v>0</v>
      </c>
      <c r="DV129" s="8">
        <v>0</v>
      </c>
      <c r="DW129" s="8">
        <v>0</v>
      </c>
      <c r="DX129" s="8">
        <v>0</v>
      </c>
      <c r="DY129" s="8">
        <v>0</v>
      </c>
      <c r="DZ129" s="8">
        <v>0</v>
      </c>
      <c r="EA129" s="8">
        <v>9403060</v>
      </c>
      <c r="EB129" s="9">
        <f t="shared" si="104"/>
        <v>9403060</v>
      </c>
      <c r="EC129" s="8">
        <v>0</v>
      </c>
      <c r="ED129" s="8">
        <v>0</v>
      </c>
      <c r="EE129" s="8">
        <v>0</v>
      </c>
      <c r="EF129" s="8">
        <v>0</v>
      </c>
      <c r="EG129" s="8">
        <v>0</v>
      </c>
      <c r="EH129" s="8">
        <v>0</v>
      </c>
      <c r="EI129" s="8">
        <v>624</v>
      </c>
      <c r="EJ129" s="8">
        <v>2528</v>
      </c>
      <c r="EK129" s="8">
        <v>2528</v>
      </c>
      <c r="EL129" s="8">
        <v>12983</v>
      </c>
      <c r="EM129" s="8">
        <v>33299</v>
      </c>
      <c r="EN129" s="8">
        <v>44534</v>
      </c>
      <c r="EO129" s="9">
        <f t="shared" si="105"/>
        <v>44534</v>
      </c>
      <c r="EP129" s="8">
        <v>0</v>
      </c>
      <c r="EQ129" s="8">
        <v>0</v>
      </c>
      <c r="ER129" s="8">
        <v>0</v>
      </c>
      <c r="ES129" s="8">
        <v>0</v>
      </c>
      <c r="ET129" s="8">
        <v>10567</v>
      </c>
      <c r="EU129" s="8">
        <v>13756</v>
      </c>
      <c r="EV129" s="8">
        <v>16250</v>
      </c>
      <c r="EW129" s="8">
        <v>16250</v>
      </c>
      <c r="EX129" s="8">
        <v>16250</v>
      </c>
      <c r="EY129" s="8">
        <v>16893</v>
      </c>
      <c r="EZ129" s="8">
        <v>17819</v>
      </c>
      <c r="FA129" s="8">
        <v>17819</v>
      </c>
      <c r="FB129" s="9">
        <f t="shared" si="106"/>
        <v>17819</v>
      </c>
      <c r="FC129" s="8">
        <v>0</v>
      </c>
      <c r="FD129" s="8">
        <v>0</v>
      </c>
      <c r="FE129" s="8">
        <v>0</v>
      </c>
      <c r="FF129" s="8">
        <v>0</v>
      </c>
      <c r="FG129" s="8">
        <v>0</v>
      </c>
      <c r="FH129" s="8">
        <v>0</v>
      </c>
      <c r="FI129" s="8">
        <v>0</v>
      </c>
      <c r="FJ129" s="8"/>
      <c r="FK129" s="8"/>
      <c r="FL129" s="8"/>
      <c r="FM129" s="8"/>
      <c r="FN129" s="8"/>
      <c r="FO129" s="9">
        <f t="shared" si="107"/>
        <v>0</v>
      </c>
    </row>
    <row r="130" spans="2:171" ht="14.25" customHeight="1" x14ac:dyDescent="0.3">
      <c r="B130" s="7" t="s">
        <v>52</v>
      </c>
      <c r="C130" s="8">
        <v>0</v>
      </c>
      <c r="D130" s="8">
        <v>0</v>
      </c>
      <c r="E130" s="8">
        <v>0</v>
      </c>
      <c r="F130" s="8">
        <v>112</v>
      </c>
      <c r="G130" s="8">
        <v>906</v>
      </c>
      <c r="H130" s="8">
        <v>4130</v>
      </c>
      <c r="I130" s="8">
        <v>4311</v>
      </c>
      <c r="J130" s="8">
        <v>4764</v>
      </c>
      <c r="K130" s="8">
        <v>5601</v>
      </c>
      <c r="L130" s="8">
        <v>8477</v>
      </c>
      <c r="M130" s="8">
        <v>106637</v>
      </c>
      <c r="N130" s="8">
        <v>4100993</v>
      </c>
      <c r="O130" s="9">
        <f t="shared" si="95"/>
        <v>4100993</v>
      </c>
      <c r="P130" s="8">
        <v>0</v>
      </c>
      <c r="Q130" s="8">
        <v>553</v>
      </c>
      <c r="R130" s="8">
        <v>1369</v>
      </c>
      <c r="S130" s="8">
        <v>253682</v>
      </c>
      <c r="T130" s="8">
        <v>253797</v>
      </c>
      <c r="U130" s="8">
        <v>254500</v>
      </c>
      <c r="V130" s="8">
        <v>256337</v>
      </c>
      <c r="W130" s="8">
        <v>257070</v>
      </c>
      <c r="X130" s="8">
        <v>257476</v>
      </c>
      <c r="Y130" s="8">
        <v>257476</v>
      </c>
      <c r="Z130" s="8">
        <v>260492</v>
      </c>
      <c r="AA130" s="8">
        <v>3275639</v>
      </c>
      <c r="AB130" s="9">
        <f t="shared" si="96"/>
        <v>3275639</v>
      </c>
      <c r="AC130" s="8">
        <v>0</v>
      </c>
      <c r="AD130" s="8">
        <v>416</v>
      </c>
      <c r="AE130" s="8">
        <v>416</v>
      </c>
      <c r="AF130" s="8">
        <v>416</v>
      </c>
      <c r="AG130" s="8">
        <v>416</v>
      </c>
      <c r="AH130" s="8">
        <v>746</v>
      </c>
      <c r="AI130" s="8">
        <v>2204</v>
      </c>
      <c r="AJ130" s="8">
        <v>2736</v>
      </c>
      <c r="AK130" s="8">
        <v>3434166</v>
      </c>
      <c r="AL130" s="8">
        <v>3434702</v>
      </c>
      <c r="AM130" s="8">
        <v>3506096</v>
      </c>
      <c r="AN130" s="8">
        <v>4434070</v>
      </c>
      <c r="AO130" s="9">
        <f t="shared" si="97"/>
        <v>4434070</v>
      </c>
      <c r="AP130" s="8">
        <v>0</v>
      </c>
      <c r="AQ130" s="8">
        <v>314</v>
      </c>
      <c r="AR130" s="8">
        <v>1500</v>
      </c>
      <c r="AS130" s="8">
        <v>1500</v>
      </c>
      <c r="AT130" s="8">
        <v>1604</v>
      </c>
      <c r="AU130" s="8">
        <v>3282</v>
      </c>
      <c r="AV130" s="8">
        <v>7705</v>
      </c>
      <c r="AW130" s="8">
        <v>8386</v>
      </c>
      <c r="AX130" s="8">
        <v>9063</v>
      </c>
      <c r="AY130" s="8">
        <v>9647</v>
      </c>
      <c r="AZ130" s="8">
        <v>10129</v>
      </c>
      <c r="BA130" s="8">
        <v>26602</v>
      </c>
      <c r="BB130" s="9">
        <f t="shared" si="98"/>
        <v>26602</v>
      </c>
      <c r="BC130" s="8">
        <v>0</v>
      </c>
      <c r="BD130" s="8">
        <v>348</v>
      </c>
      <c r="BE130" s="8">
        <v>1122</v>
      </c>
      <c r="BF130" s="8">
        <v>2396</v>
      </c>
      <c r="BG130" s="8">
        <v>2643</v>
      </c>
      <c r="BH130" s="8">
        <v>3337</v>
      </c>
      <c r="BI130" s="8">
        <v>3337</v>
      </c>
      <c r="BJ130" s="8">
        <v>3337</v>
      </c>
      <c r="BK130" s="8">
        <v>3558</v>
      </c>
      <c r="BL130" s="8">
        <v>5505</v>
      </c>
      <c r="BM130" s="8">
        <v>5505</v>
      </c>
      <c r="BN130" s="8">
        <v>14456</v>
      </c>
      <c r="BO130" s="9">
        <f t="shared" si="99"/>
        <v>14456</v>
      </c>
      <c r="BP130" s="8">
        <v>0</v>
      </c>
      <c r="BQ130" s="8">
        <v>0</v>
      </c>
      <c r="BR130" s="8">
        <v>5127</v>
      </c>
      <c r="BS130" s="8">
        <v>6422</v>
      </c>
      <c r="BT130" s="8">
        <v>8793</v>
      </c>
      <c r="BU130" s="8">
        <v>9386</v>
      </c>
      <c r="BV130" s="8">
        <v>10936</v>
      </c>
      <c r="BW130" s="8">
        <v>10936</v>
      </c>
      <c r="BX130" s="8">
        <v>12032</v>
      </c>
      <c r="BY130" s="8">
        <v>12271</v>
      </c>
      <c r="BZ130" s="8">
        <v>12528</v>
      </c>
      <c r="CA130" s="8">
        <v>925596</v>
      </c>
      <c r="CB130" s="9">
        <f t="shared" si="100"/>
        <v>925596</v>
      </c>
      <c r="CC130" s="8">
        <v>0</v>
      </c>
      <c r="CD130" s="8">
        <v>2729</v>
      </c>
      <c r="CE130" s="8">
        <v>2729</v>
      </c>
      <c r="CF130" s="8">
        <v>2729</v>
      </c>
      <c r="CG130" s="8">
        <v>2729</v>
      </c>
      <c r="CH130" s="8">
        <v>2729</v>
      </c>
      <c r="CI130" s="8">
        <v>420223</v>
      </c>
      <c r="CJ130" s="8">
        <v>1157320</v>
      </c>
      <c r="CK130" s="8">
        <v>1157320</v>
      </c>
      <c r="CL130" s="8">
        <v>1157397</v>
      </c>
      <c r="CM130" s="8">
        <v>1158760</v>
      </c>
      <c r="CN130" s="8">
        <v>3202644</v>
      </c>
      <c r="CO130" s="9">
        <f t="shared" si="101"/>
        <v>3202644</v>
      </c>
      <c r="CP130" s="8">
        <v>0</v>
      </c>
      <c r="CQ130" s="8">
        <v>0</v>
      </c>
      <c r="CR130" s="8">
        <v>177</v>
      </c>
      <c r="CS130" s="8">
        <v>177</v>
      </c>
      <c r="CT130" s="8">
        <v>177</v>
      </c>
      <c r="CU130" s="8">
        <v>2577</v>
      </c>
      <c r="CV130" s="8">
        <v>2577</v>
      </c>
      <c r="CW130" s="8">
        <v>2577</v>
      </c>
      <c r="CX130" s="8">
        <v>2577</v>
      </c>
      <c r="CY130" s="8">
        <v>2577</v>
      </c>
      <c r="CZ130" s="8">
        <v>5108062</v>
      </c>
      <c r="DA130" s="8">
        <v>5116478</v>
      </c>
      <c r="DB130" s="9">
        <f t="shared" si="102"/>
        <v>5116478</v>
      </c>
      <c r="DC130" s="8">
        <v>0</v>
      </c>
      <c r="DD130" s="8">
        <v>0</v>
      </c>
      <c r="DE130" s="8">
        <v>0</v>
      </c>
      <c r="DF130" s="8">
        <v>0</v>
      </c>
      <c r="DG130" s="8">
        <v>0</v>
      </c>
      <c r="DH130" s="8">
        <v>0</v>
      </c>
      <c r="DI130" s="8">
        <v>1089715</v>
      </c>
      <c r="DJ130" s="8">
        <v>1089715</v>
      </c>
      <c r="DK130" s="8">
        <v>1089715</v>
      </c>
      <c r="DL130" s="8">
        <v>1089715</v>
      </c>
      <c r="DM130" s="8">
        <v>1089715</v>
      </c>
      <c r="DN130" s="8">
        <v>7794548</v>
      </c>
      <c r="DO130" s="9">
        <f t="shared" si="103"/>
        <v>7794548</v>
      </c>
      <c r="DP130" s="8">
        <v>0</v>
      </c>
      <c r="DQ130" s="8">
        <v>0</v>
      </c>
      <c r="DR130" s="8">
        <v>0</v>
      </c>
      <c r="DS130" s="8">
        <v>0</v>
      </c>
      <c r="DT130" s="8">
        <v>0</v>
      </c>
      <c r="DU130" s="8">
        <v>0</v>
      </c>
      <c r="DV130" s="8">
        <v>0</v>
      </c>
      <c r="DW130" s="8">
        <v>0</v>
      </c>
      <c r="DX130" s="8">
        <v>0</v>
      </c>
      <c r="DY130" s="8">
        <v>0</v>
      </c>
      <c r="DZ130" s="8">
        <v>0</v>
      </c>
      <c r="EA130" s="8">
        <v>0</v>
      </c>
      <c r="EB130" s="9">
        <f t="shared" si="104"/>
        <v>0</v>
      </c>
      <c r="EC130" s="8">
        <v>0</v>
      </c>
      <c r="ED130" s="8">
        <v>0</v>
      </c>
      <c r="EE130" s="8">
        <v>0</v>
      </c>
      <c r="EF130" s="8">
        <v>0</v>
      </c>
      <c r="EG130" s="8">
        <v>0</v>
      </c>
      <c r="EH130" s="8">
        <v>850</v>
      </c>
      <c r="EI130" s="8">
        <v>1385</v>
      </c>
      <c r="EJ130" s="8">
        <v>9219</v>
      </c>
      <c r="EK130" s="8">
        <v>9839</v>
      </c>
      <c r="EL130" s="8">
        <v>9839</v>
      </c>
      <c r="EM130" s="8">
        <v>12205</v>
      </c>
      <c r="EN130" s="8">
        <v>300441</v>
      </c>
      <c r="EO130" s="9">
        <f t="shared" si="105"/>
        <v>300441</v>
      </c>
      <c r="EP130" s="8">
        <v>0</v>
      </c>
      <c r="EQ130" s="8">
        <v>0</v>
      </c>
      <c r="ER130" s="8">
        <v>0</v>
      </c>
      <c r="ES130" s="8">
        <v>0</v>
      </c>
      <c r="ET130" s="8">
        <v>0</v>
      </c>
      <c r="EU130" s="8">
        <v>3136</v>
      </c>
      <c r="EV130" s="8">
        <v>6447</v>
      </c>
      <c r="EW130" s="8">
        <v>7416</v>
      </c>
      <c r="EX130" s="8">
        <v>7416</v>
      </c>
      <c r="EY130" s="8">
        <v>7416</v>
      </c>
      <c r="EZ130" s="8">
        <v>7416</v>
      </c>
      <c r="FA130" s="8">
        <v>7416</v>
      </c>
      <c r="FB130" s="9">
        <f t="shared" si="106"/>
        <v>7416</v>
      </c>
      <c r="FC130" s="8">
        <v>0</v>
      </c>
      <c r="FD130" s="8">
        <v>0</v>
      </c>
      <c r="FE130" s="8">
        <v>0</v>
      </c>
      <c r="FF130" s="8">
        <v>0</v>
      </c>
      <c r="FG130" s="8">
        <v>0</v>
      </c>
      <c r="FH130" s="8">
        <v>0</v>
      </c>
      <c r="FI130" s="8">
        <v>0</v>
      </c>
      <c r="FJ130" s="8"/>
      <c r="FK130" s="8"/>
      <c r="FL130" s="8"/>
      <c r="FM130" s="8"/>
      <c r="FN130" s="8"/>
      <c r="FO130" s="9">
        <f t="shared" si="107"/>
        <v>0</v>
      </c>
    </row>
    <row r="131" spans="2:171" ht="14.25" customHeight="1" x14ac:dyDescent="0.3">
      <c r="B131" s="7" t="s">
        <v>53</v>
      </c>
      <c r="C131" s="8">
        <v>0</v>
      </c>
      <c r="D131" s="8">
        <v>0</v>
      </c>
      <c r="E131" s="8">
        <v>895</v>
      </c>
      <c r="F131" s="8">
        <v>2067</v>
      </c>
      <c r="G131" s="8">
        <v>2208</v>
      </c>
      <c r="H131" s="8">
        <v>2208</v>
      </c>
      <c r="I131" s="8">
        <v>4187</v>
      </c>
      <c r="J131" s="8">
        <v>7442</v>
      </c>
      <c r="K131" s="8">
        <v>7706</v>
      </c>
      <c r="L131" s="8">
        <v>9010</v>
      </c>
      <c r="M131" s="8">
        <v>9010</v>
      </c>
      <c r="N131" s="8">
        <v>21988</v>
      </c>
      <c r="O131" s="9">
        <f t="shared" si="95"/>
        <v>21988</v>
      </c>
      <c r="P131" s="8">
        <v>0</v>
      </c>
      <c r="Q131" s="8">
        <v>0</v>
      </c>
      <c r="R131" s="8">
        <v>0</v>
      </c>
      <c r="S131" s="8">
        <v>1238</v>
      </c>
      <c r="T131" s="8">
        <v>1763</v>
      </c>
      <c r="U131" s="8">
        <v>3863</v>
      </c>
      <c r="V131" s="8">
        <v>6660</v>
      </c>
      <c r="W131" s="8">
        <v>6909</v>
      </c>
      <c r="X131" s="8">
        <v>7990</v>
      </c>
      <c r="Y131" s="8">
        <v>11887</v>
      </c>
      <c r="Z131" s="8">
        <v>17543</v>
      </c>
      <c r="AA131" s="8">
        <v>24420</v>
      </c>
      <c r="AB131" s="9">
        <f t="shared" si="96"/>
        <v>24420</v>
      </c>
      <c r="AC131" s="8">
        <v>0</v>
      </c>
      <c r="AD131" s="8">
        <v>0</v>
      </c>
      <c r="AE131" s="8">
        <v>153</v>
      </c>
      <c r="AF131" s="8">
        <v>4556</v>
      </c>
      <c r="AG131" s="8">
        <v>4589</v>
      </c>
      <c r="AH131" s="8">
        <v>4589</v>
      </c>
      <c r="AI131" s="8">
        <v>7314</v>
      </c>
      <c r="AJ131" s="8">
        <v>12967</v>
      </c>
      <c r="AK131" s="8">
        <v>13300</v>
      </c>
      <c r="AL131" s="8">
        <v>13842</v>
      </c>
      <c r="AM131" s="8">
        <v>18140</v>
      </c>
      <c r="AN131" s="8">
        <v>156604</v>
      </c>
      <c r="AO131" s="9">
        <f t="shared" si="97"/>
        <v>156604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4058</v>
      </c>
      <c r="AV131" s="8">
        <v>4870</v>
      </c>
      <c r="AW131" s="8">
        <v>9275</v>
      </c>
      <c r="AX131" s="8">
        <v>13902</v>
      </c>
      <c r="AY131" s="8">
        <v>21091</v>
      </c>
      <c r="AZ131" s="8">
        <v>21091</v>
      </c>
      <c r="BA131" s="8">
        <v>412510</v>
      </c>
      <c r="BB131" s="9">
        <f t="shared" si="98"/>
        <v>412510</v>
      </c>
      <c r="BC131" s="8">
        <v>0</v>
      </c>
      <c r="BD131" s="8">
        <v>0</v>
      </c>
      <c r="BE131" s="8">
        <v>2970</v>
      </c>
      <c r="BF131" s="8">
        <v>4800</v>
      </c>
      <c r="BG131" s="8">
        <v>4920</v>
      </c>
      <c r="BH131" s="8">
        <v>8957</v>
      </c>
      <c r="BI131" s="8">
        <v>13643</v>
      </c>
      <c r="BJ131" s="8">
        <v>15937</v>
      </c>
      <c r="BK131" s="8">
        <v>24680</v>
      </c>
      <c r="BL131" s="8">
        <v>26654</v>
      </c>
      <c r="BM131" s="8">
        <v>27119</v>
      </c>
      <c r="BN131" s="8">
        <v>1068549</v>
      </c>
      <c r="BO131" s="9">
        <f t="shared" si="99"/>
        <v>1068549</v>
      </c>
      <c r="BP131" s="8">
        <v>146</v>
      </c>
      <c r="BQ131" s="8">
        <v>6474</v>
      </c>
      <c r="BR131" s="8">
        <v>7454</v>
      </c>
      <c r="BS131" s="8">
        <v>12104</v>
      </c>
      <c r="BT131" s="8">
        <v>12619</v>
      </c>
      <c r="BU131" s="8">
        <v>13470</v>
      </c>
      <c r="BV131" s="8">
        <v>19489</v>
      </c>
      <c r="BW131" s="8">
        <v>20119</v>
      </c>
      <c r="BX131" s="8">
        <v>20180</v>
      </c>
      <c r="BY131" s="8">
        <v>20180</v>
      </c>
      <c r="BZ131" s="8">
        <v>20180</v>
      </c>
      <c r="CA131" s="8">
        <v>100054</v>
      </c>
      <c r="CB131" s="9">
        <f t="shared" si="100"/>
        <v>100054</v>
      </c>
      <c r="CC131" s="8">
        <v>0</v>
      </c>
      <c r="CD131" s="8">
        <v>0</v>
      </c>
      <c r="CE131" s="8">
        <v>19</v>
      </c>
      <c r="CF131" s="8">
        <v>19</v>
      </c>
      <c r="CG131" s="8">
        <v>2449</v>
      </c>
      <c r="CH131" s="8">
        <v>2449</v>
      </c>
      <c r="CI131" s="8">
        <v>2449</v>
      </c>
      <c r="CJ131" s="8">
        <v>2449</v>
      </c>
      <c r="CK131" s="8">
        <v>2449</v>
      </c>
      <c r="CL131" s="8">
        <v>2449</v>
      </c>
      <c r="CM131" s="8">
        <v>2873</v>
      </c>
      <c r="CN131" s="8">
        <v>435365</v>
      </c>
      <c r="CO131" s="9">
        <f t="shared" si="101"/>
        <v>435365</v>
      </c>
      <c r="CP131" s="8">
        <v>0</v>
      </c>
      <c r="CQ131" s="8">
        <v>0</v>
      </c>
      <c r="CR131" s="8">
        <v>0</v>
      </c>
      <c r="CS131" s="8">
        <v>0</v>
      </c>
      <c r="CT131" s="8">
        <v>133883</v>
      </c>
      <c r="CU131" s="8">
        <v>133883</v>
      </c>
      <c r="CV131" s="8">
        <v>134715</v>
      </c>
      <c r="CW131" s="8">
        <v>139143</v>
      </c>
      <c r="CX131" s="8">
        <v>141927</v>
      </c>
      <c r="CY131" s="8">
        <v>159413</v>
      </c>
      <c r="CZ131" s="8">
        <v>239550</v>
      </c>
      <c r="DA131" s="8">
        <v>239812</v>
      </c>
      <c r="DB131" s="9">
        <f t="shared" si="102"/>
        <v>239812</v>
      </c>
      <c r="DC131" s="8">
        <v>0</v>
      </c>
      <c r="DD131" s="8">
        <v>0</v>
      </c>
      <c r="DE131" s="8">
        <v>0</v>
      </c>
      <c r="DF131" s="8">
        <v>0</v>
      </c>
      <c r="DG131" s="8">
        <v>0</v>
      </c>
      <c r="DH131" s="8">
        <v>0</v>
      </c>
      <c r="DI131" s="8">
        <v>0</v>
      </c>
      <c r="DJ131" s="8">
        <v>0</v>
      </c>
      <c r="DK131" s="8">
        <v>0</v>
      </c>
      <c r="DL131" s="8">
        <v>0</v>
      </c>
      <c r="DM131" s="8">
        <v>0</v>
      </c>
      <c r="DN131" s="8">
        <v>8349454</v>
      </c>
      <c r="DO131" s="9">
        <f t="shared" si="103"/>
        <v>8349454</v>
      </c>
      <c r="DP131" s="8">
        <v>0</v>
      </c>
      <c r="DQ131" s="8">
        <v>0</v>
      </c>
      <c r="DR131" s="8">
        <v>0</v>
      </c>
      <c r="DS131" s="8">
        <v>0</v>
      </c>
      <c r="DT131" s="8">
        <v>0</v>
      </c>
      <c r="DU131" s="8">
        <v>0</v>
      </c>
      <c r="DV131" s="8">
        <v>0</v>
      </c>
      <c r="DW131" s="8">
        <v>0</v>
      </c>
      <c r="DX131" s="8">
        <v>0</v>
      </c>
      <c r="DY131" s="8">
        <v>0</v>
      </c>
      <c r="DZ131" s="8">
        <v>0</v>
      </c>
      <c r="EA131" s="8">
        <v>0</v>
      </c>
      <c r="EB131" s="9">
        <f t="shared" si="104"/>
        <v>0</v>
      </c>
      <c r="EC131" s="8">
        <v>0</v>
      </c>
      <c r="ED131" s="8">
        <v>0</v>
      </c>
      <c r="EE131" s="8">
        <v>0</v>
      </c>
      <c r="EF131" s="8">
        <v>0</v>
      </c>
      <c r="EG131" s="8">
        <v>0</v>
      </c>
      <c r="EH131" s="8">
        <v>1346</v>
      </c>
      <c r="EI131" s="8">
        <v>3274</v>
      </c>
      <c r="EJ131" s="8">
        <v>3274</v>
      </c>
      <c r="EK131" s="8">
        <v>3274</v>
      </c>
      <c r="EL131" s="8">
        <v>5074</v>
      </c>
      <c r="EM131" s="8">
        <v>6833</v>
      </c>
      <c r="EN131" s="8">
        <v>6833</v>
      </c>
      <c r="EO131" s="9">
        <f t="shared" si="105"/>
        <v>6833</v>
      </c>
      <c r="EP131" s="8">
        <v>0</v>
      </c>
      <c r="EQ131" s="8">
        <v>0</v>
      </c>
      <c r="ER131" s="8">
        <v>214</v>
      </c>
      <c r="ES131" s="8">
        <v>214</v>
      </c>
      <c r="ET131" s="8">
        <v>214</v>
      </c>
      <c r="EU131" s="8">
        <v>2902</v>
      </c>
      <c r="EV131" s="8">
        <v>2902</v>
      </c>
      <c r="EW131" s="8">
        <v>2902</v>
      </c>
      <c r="EX131" s="8">
        <v>2902</v>
      </c>
      <c r="EY131" s="8">
        <v>2902</v>
      </c>
      <c r="EZ131" s="8">
        <v>2902</v>
      </c>
      <c r="FA131" s="8">
        <v>2902</v>
      </c>
      <c r="FB131" s="9">
        <f t="shared" si="106"/>
        <v>2902</v>
      </c>
      <c r="FC131" s="8">
        <v>0</v>
      </c>
      <c r="FD131" s="8">
        <v>0</v>
      </c>
      <c r="FE131" s="8">
        <v>0</v>
      </c>
      <c r="FF131" s="8">
        <v>0</v>
      </c>
      <c r="FG131" s="8">
        <v>0</v>
      </c>
      <c r="FH131" s="8">
        <v>0</v>
      </c>
      <c r="FI131" s="8">
        <v>0</v>
      </c>
      <c r="FJ131" s="8"/>
      <c r="FK131" s="8"/>
      <c r="FL131" s="8"/>
      <c r="FM131" s="8"/>
      <c r="FN131" s="8"/>
      <c r="FO131" s="9">
        <f t="shared" si="107"/>
        <v>0</v>
      </c>
    </row>
    <row r="132" spans="2:171" ht="14.25" customHeight="1" x14ac:dyDescent="0.3">
      <c r="B132" s="7" t="s">
        <v>54</v>
      </c>
      <c r="C132" s="8">
        <v>0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v>0</v>
      </c>
      <c r="J132" s="8">
        <v>0</v>
      </c>
      <c r="K132" s="8">
        <v>0</v>
      </c>
      <c r="L132" s="8">
        <v>0</v>
      </c>
      <c r="M132" s="8">
        <v>0</v>
      </c>
      <c r="N132" s="8">
        <v>0</v>
      </c>
      <c r="O132" s="9">
        <f t="shared" si="95"/>
        <v>0</v>
      </c>
      <c r="P132" s="8">
        <v>0</v>
      </c>
      <c r="Q132" s="8">
        <v>0</v>
      </c>
      <c r="R132" s="8">
        <v>0</v>
      </c>
      <c r="S132" s="8">
        <v>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  <c r="Y132" s="8">
        <v>0</v>
      </c>
      <c r="Z132" s="8">
        <v>0</v>
      </c>
      <c r="AA132" s="8">
        <v>0</v>
      </c>
      <c r="AB132" s="9">
        <f t="shared" si="96"/>
        <v>0</v>
      </c>
      <c r="AC132" s="8">
        <v>0</v>
      </c>
      <c r="AD132" s="8">
        <v>0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9">
        <f t="shared" si="97"/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X132" s="8">
        <v>0</v>
      </c>
      <c r="AY132" s="8">
        <v>0</v>
      </c>
      <c r="AZ132" s="8">
        <v>0</v>
      </c>
      <c r="BA132" s="8">
        <v>0</v>
      </c>
      <c r="BB132" s="9">
        <f t="shared" si="98"/>
        <v>0</v>
      </c>
      <c r="BC132" s="8">
        <v>0</v>
      </c>
      <c r="BD132" s="8">
        <v>0</v>
      </c>
      <c r="BE132" s="8">
        <v>0</v>
      </c>
      <c r="BF132" s="8">
        <v>0</v>
      </c>
      <c r="BG132" s="8">
        <v>0</v>
      </c>
      <c r="BH132" s="8">
        <v>0</v>
      </c>
      <c r="BI132" s="8">
        <v>0</v>
      </c>
      <c r="BJ132" s="8">
        <v>0</v>
      </c>
      <c r="BK132" s="8">
        <v>0</v>
      </c>
      <c r="BL132" s="8">
        <v>0</v>
      </c>
      <c r="BM132" s="8">
        <v>0</v>
      </c>
      <c r="BN132" s="8">
        <v>0</v>
      </c>
      <c r="BO132" s="9">
        <f t="shared" si="99"/>
        <v>0</v>
      </c>
      <c r="BP132" s="8">
        <v>0</v>
      </c>
      <c r="BQ132" s="8">
        <v>0</v>
      </c>
      <c r="BR132" s="8">
        <v>0</v>
      </c>
      <c r="BS132" s="8">
        <v>0</v>
      </c>
      <c r="BT132" s="8">
        <v>0</v>
      </c>
      <c r="BU132" s="8">
        <v>6005</v>
      </c>
      <c r="BV132" s="8">
        <v>19302</v>
      </c>
      <c r="BW132" s="8">
        <v>23136</v>
      </c>
      <c r="BX132" s="8">
        <v>48334</v>
      </c>
      <c r="BY132" s="8">
        <v>53427</v>
      </c>
      <c r="BZ132" s="8">
        <v>53821</v>
      </c>
      <c r="CA132" s="8">
        <v>68405</v>
      </c>
      <c r="CB132" s="9">
        <f t="shared" si="100"/>
        <v>68405</v>
      </c>
      <c r="CC132" s="8">
        <v>0</v>
      </c>
      <c r="CD132" s="8">
        <v>0</v>
      </c>
      <c r="CE132" s="8">
        <v>0</v>
      </c>
      <c r="CF132" s="8">
        <v>0</v>
      </c>
      <c r="CG132" s="8">
        <v>0</v>
      </c>
      <c r="CH132" s="8">
        <v>0</v>
      </c>
      <c r="CI132" s="8">
        <v>0</v>
      </c>
      <c r="CJ132" s="8">
        <v>894</v>
      </c>
      <c r="CK132" s="8">
        <v>894</v>
      </c>
      <c r="CL132" s="8">
        <v>986</v>
      </c>
      <c r="CM132" s="8">
        <v>8590</v>
      </c>
      <c r="CN132" s="8">
        <v>16467</v>
      </c>
      <c r="CO132" s="9">
        <f t="shared" si="101"/>
        <v>16467</v>
      </c>
      <c r="CP132" s="8">
        <v>0</v>
      </c>
      <c r="CQ132" s="8">
        <v>0</v>
      </c>
      <c r="CR132" s="8">
        <v>0</v>
      </c>
      <c r="CS132" s="8">
        <v>0</v>
      </c>
      <c r="CT132" s="8">
        <v>0</v>
      </c>
      <c r="CU132" s="8">
        <v>0</v>
      </c>
      <c r="CV132" s="8">
        <v>0</v>
      </c>
      <c r="CW132" s="8">
        <v>560</v>
      </c>
      <c r="CX132" s="8">
        <v>1711</v>
      </c>
      <c r="CY132" s="8">
        <v>1711</v>
      </c>
      <c r="CZ132" s="8">
        <v>1903</v>
      </c>
      <c r="DA132" s="8">
        <v>2042332</v>
      </c>
      <c r="DB132" s="9">
        <f t="shared" si="102"/>
        <v>2042332</v>
      </c>
      <c r="DC132" s="8">
        <v>0</v>
      </c>
      <c r="DD132" s="8">
        <v>0</v>
      </c>
      <c r="DE132" s="8">
        <v>0</v>
      </c>
      <c r="DF132" s="8">
        <v>0</v>
      </c>
      <c r="DG132" s="8">
        <v>0</v>
      </c>
      <c r="DH132" s="8">
        <v>0</v>
      </c>
      <c r="DI132" s="8">
        <v>0</v>
      </c>
      <c r="DJ132" s="8">
        <v>0</v>
      </c>
      <c r="DK132" s="8">
        <v>0</v>
      </c>
      <c r="DL132" s="8">
        <v>0</v>
      </c>
      <c r="DM132" s="8">
        <v>0</v>
      </c>
      <c r="DN132" s="8">
        <v>1567369</v>
      </c>
      <c r="DO132" s="9">
        <f t="shared" si="103"/>
        <v>1567369</v>
      </c>
      <c r="DP132" s="8">
        <v>0</v>
      </c>
      <c r="DQ132" s="8">
        <v>0</v>
      </c>
      <c r="DR132" s="8">
        <v>0</v>
      </c>
      <c r="DS132" s="8">
        <v>0</v>
      </c>
      <c r="DT132" s="8">
        <v>3981686</v>
      </c>
      <c r="DU132" s="8">
        <v>3981686</v>
      </c>
      <c r="DV132" s="8">
        <v>3981686</v>
      </c>
      <c r="DW132" s="8">
        <v>3981686</v>
      </c>
      <c r="DX132" s="8">
        <v>3985290</v>
      </c>
      <c r="DY132" s="8">
        <v>3985290</v>
      </c>
      <c r="DZ132" s="8">
        <v>3985290</v>
      </c>
      <c r="EA132" s="8">
        <v>4032137</v>
      </c>
      <c r="EB132" s="9">
        <f t="shared" si="104"/>
        <v>4032137</v>
      </c>
      <c r="EC132" s="8">
        <v>0</v>
      </c>
      <c r="ED132" s="8">
        <v>0</v>
      </c>
      <c r="EE132" s="8">
        <v>0</v>
      </c>
      <c r="EF132" s="8">
        <v>0</v>
      </c>
      <c r="EG132" s="8">
        <v>0</v>
      </c>
      <c r="EH132" s="8">
        <v>0</v>
      </c>
      <c r="EI132" s="8">
        <v>0</v>
      </c>
      <c r="EJ132" s="8">
        <v>0</v>
      </c>
      <c r="EK132" s="8">
        <v>0</v>
      </c>
      <c r="EL132" s="8">
        <v>3998</v>
      </c>
      <c r="EM132" s="8">
        <v>6042</v>
      </c>
      <c r="EN132" s="8">
        <v>6042</v>
      </c>
      <c r="EO132" s="9">
        <f t="shared" si="105"/>
        <v>6042</v>
      </c>
      <c r="EP132" s="8">
        <v>0</v>
      </c>
      <c r="EQ132" s="8">
        <v>0</v>
      </c>
      <c r="ER132" s="8">
        <v>0</v>
      </c>
      <c r="ES132" s="8">
        <v>0</v>
      </c>
      <c r="ET132" s="8">
        <v>0</v>
      </c>
      <c r="EU132" s="8">
        <v>8294</v>
      </c>
      <c r="EV132" s="8">
        <v>8294</v>
      </c>
      <c r="EW132" s="8">
        <v>8815</v>
      </c>
      <c r="EX132" s="8">
        <v>8815</v>
      </c>
      <c r="EY132" s="8">
        <v>8815</v>
      </c>
      <c r="EZ132" s="8">
        <v>8815</v>
      </c>
      <c r="FA132" s="8">
        <v>8815</v>
      </c>
      <c r="FB132" s="9">
        <f t="shared" si="106"/>
        <v>8815</v>
      </c>
      <c r="FC132" s="8">
        <v>0</v>
      </c>
      <c r="FD132" s="8">
        <v>0</v>
      </c>
      <c r="FE132" s="8">
        <v>0</v>
      </c>
      <c r="FF132" s="8">
        <v>0</v>
      </c>
      <c r="FG132" s="8">
        <v>0</v>
      </c>
      <c r="FH132" s="8">
        <v>0</v>
      </c>
      <c r="FI132" s="8">
        <v>0</v>
      </c>
      <c r="FJ132" s="8"/>
      <c r="FK132" s="8"/>
      <c r="FL132" s="8"/>
      <c r="FM132" s="8"/>
      <c r="FN132" s="8"/>
      <c r="FO132" s="9">
        <f t="shared" si="107"/>
        <v>0</v>
      </c>
    </row>
    <row r="133" spans="2:171" ht="14.25" customHeight="1" x14ac:dyDescent="0.3">
      <c r="B133" s="7" t="s">
        <v>55</v>
      </c>
      <c r="C133" s="8">
        <v>0</v>
      </c>
      <c r="D133" s="8">
        <v>0</v>
      </c>
      <c r="E133" s="8">
        <v>0</v>
      </c>
      <c r="F133" s="8">
        <v>2736</v>
      </c>
      <c r="G133" s="8">
        <v>10638</v>
      </c>
      <c r="H133" s="8">
        <v>11029</v>
      </c>
      <c r="I133" s="8">
        <v>11029</v>
      </c>
      <c r="J133" s="8">
        <v>11741</v>
      </c>
      <c r="K133" s="8">
        <v>43457</v>
      </c>
      <c r="L133" s="8">
        <v>45633</v>
      </c>
      <c r="M133" s="8">
        <v>46022</v>
      </c>
      <c r="N133" s="8">
        <v>134261</v>
      </c>
      <c r="O133" s="9">
        <f t="shared" si="95"/>
        <v>134261</v>
      </c>
      <c r="P133" s="8">
        <v>0</v>
      </c>
      <c r="Q133" s="8">
        <v>143</v>
      </c>
      <c r="R133" s="8">
        <v>143</v>
      </c>
      <c r="S133" s="8">
        <v>4549</v>
      </c>
      <c r="T133" s="8">
        <v>9980</v>
      </c>
      <c r="U133" s="8">
        <v>18423</v>
      </c>
      <c r="V133" s="8">
        <v>21351</v>
      </c>
      <c r="W133" s="8">
        <v>28030</v>
      </c>
      <c r="X133" s="8">
        <v>29408</v>
      </c>
      <c r="Y133" s="8">
        <v>462750</v>
      </c>
      <c r="Z133" s="8">
        <v>466342</v>
      </c>
      <c r="AA133" s="8">
        <v>746174</v>
      </c>
      <c r="AB133" s="9">
        <f t="shared" si="96"/>
        <v>746174</v>
      </c>
      <c r="AC133" s="8">
        <v>0</v>
      </c>
      <c r="AD133" s="8">
        <v>671</v>
      </c>
      <c r="AE133" s="8">
        <v>5496</v>
      </c>
      <c r="AF133" s="8">
        <v>12134</v>
      </c>
      <c r="AG133" s="8">
        <v>13694</v>
      </c>
      <c r="AH133" s="8">
        <v>14877</v>
      </c>
      <c r="AI133" s="8">
        <v>15565</v>
      </c>
      <c r="AJ133" s="8">
        <v>24266</v>
      </c>
      <c r="AK133" s="8">
        <v>26417</v>
      </c>
      <c r="AL133" s="8">
        <v>26612</v>
      </c>
      <c r="AM133" s="8">
        <v>74255</v>
      </c>
      <c r="AN133" s="8">
        <v>651913</v>
      </c>
      <c r="AO133" s="9">
        <f t="shared" si="97"/>
        <v>651913</v>
      </c>
      <c r="AP133" s="8">
        <v>0</v>
      </c>
      <c r="AQ133" s="8">
        <v>0</v>
      </c>
      <c r="AR133" s="8">
        <v>1620</v>
      </c>
      <c r="AS133" s="8">
        <v>4408</v>
      </c>
      <c r="AT133" s="8">
        <v>7934</v>
      </c>
      <c r="AU133" s="8">
        <v>9198</v>
      </c>
      <c r="AV133" s="8">
        <v>10271</v>
      </c>
      <c r="AW133" s="8">
        <v>10377</v>
      </c>
      <c r="AX133" s="8">
        <v>117418</v>
      </c>
      <c r="AY133" s="8">
        <v>188923</v>
      </c>
      <c r="AZ133" s="8">
        <v>238553</v>
      </c>
      <c r="BA133" s="8">
        <v>344456</v>
      </c>
      <c r="BB133" s="9">
        <f t="shared" si="98"/>
        <v>344456</v>
      </c>
      <c r="BC133" s="8">
        <v>0</v>
      </c>
      <c r="BD133" s="8">
        <v>0</v>
      </c>
      <c r="BE133" s="8">
        <v>0</v>
      </c>
      <c r="BF133" s="8">
        <v>525</v>
      </c>
      <c r="BG133" s="8">
        <v>661</v>
      </c>
      <c r="BH133" s="8">
        <v>661</v>
      </c>
      <c r="BI133" s="8">
        <v>3780</v>
      </c>
      <c r="BJ133" s="8">
        <v>15528</v>
      </c>
      <c r="BK133" s="8">
        <v>89443</v>
      </c>
      <c r="BL133" s="8">
        <v>134787</v>
      </c>
      <c r="BM133" s="8">
        <v>227786</v>
      </c>
      <c r="BN133" s="8">
        <v>252403</v>
      </c>
      <c r="BO133" s="9">
        <f t="shared" si="99"/>
        <v>252403</v>
      </c>
      <c r="BP133" s="8">
        <v>113</v>
      </c>
      <c r="BQ133" s="8">
        <v>338</v>
      </c>
      <c r="BR133" s="8">
        <v>818</v>
      </c>
      <c r="BS133" s="8">
        <v>1199</v>
      </c>
      <c r="BT133" s="8">
        <v>3670</v>
      </c>
      <c r="BU133" s="8">
        <v>4145</v>
      </c>
      <c r="BV133" s="8">
        <v>737899</v>
      </c>
      <c r="BW133" s="8">
        <v>738003</v>
      </c>
      <c r="BX133" s="8">
        <v>739366</v>
      </c>
      <c r="BY133" s="8">
        <v>739366</v>
      </c>
      <c r="BZ133" s="8">
        <v>739366</v>
      </c>
      <c r="CA133" s="8">
        <v>741926</v>
      </c>
      <c r="CB133" s="9">
        <f t="shared" si="100"/>
        <v>741926</v>
      </c>
      <c r="CC133" s="8">
        <v>117</v>
      </c>
      <c r="CD133" s="8">
        <v>1826</v>
      </c>
      <c r="CE133" s="8">
        <v>3404</v>
      </c>
      <c r="CF133" s="8">
        <v>3764</v>
      </c>
      <c r="CG133" s="8">
        <v>3764</v>
      </c>
      <c r="CH133" s="8">
        <v>3764</v>
      </c>
      <c r="CI133" s="8">
        <v>3764</v>
      </c>
      <c r="CJ133" s="8">
        <v>3934</v>
      </c>
      <c r="CK133" s="8">
        <v>3934</v>
      </c>
      <c r="CL133" s="8">
        <v>3934</v>
      </c>
      <c r="CM133" s="8">
        <v>3934</v>
      </c>
      <c r="CN133" s="8">
        <v>21112</v>
      </c>
      <c r="CO133" s="9">
        <f t="shared" si="101"/>
        <v>21112</v>
      </c>
      <c r="CP133" s="8">
        <v>0</v>
      </c>
      <c r="CQ133" s="8">
        <v>870</v>
      </c>
      <c r="CR133" s="8">
        <v>1458</v>
      </c>
      <c r="CS133" s="8">
        <v>3386</v>
      </c>
      <c r="CT133" s="8">
        <v>3487</v>
      </c>
      <c r="CU133" s="8">
        <v>6325</v>
      </c>
      <c r="CV133" s="8">
        <v>7128</v>
      </c>
      <c r="CW133" s="8">
        <v>7309</v>
      </c>
      <c r="CX133" s="8">
        <v>9657</v>
      </c>
      <c r="CY133" s="8">
        <v>716143</v>
      </c>
      <c r="CZ133" s="8">
        <v>735465</v>
      </c>
      <c r="DA133" s="8">
        <v>810675</v>
      </c>
      <c r="DB133" s="9">
        <f t="shared" si="102"/>
        <v>810675</v>
      </c>
      <c r="DC133" s="8">
        <v>0</v>
      </c>
      <c r="DD133" s="8">
        <v>0</v>
      </c>
      <c r="DE133" s="8">
        <v>0</v>
      </c>
      <c r="DF133" s="8">
        <v>0</v>
      </c>
      <c r="DG133" s="8">
        <v>0</v>
      </c>
      <c r="DH133" s="8">
        <v>0</v>
      </c>
      <c r="DI133" s="8">
        <v>0</v>
      </c>
      <c r="DJ133" s="8">
        <v>0</v>
      </c>
      <c r="DK133" s="8">
        <v>0</v>
      </c>
      <c r="DL133" s="8">
        <v>0</v>
      </c>
      <c r="DM133" s="8">
        <v>0</v>
      </c>
      <c r="DN133" s="8">
        <v>3664311</v>
      </c>
      <c r="DO133" s="9">
        <f t="shared" si="103"/>
        <v>3664311</v>
      </c>
      <c r="DP133" s="8">
        <v>0</v>
      </c>
      <c r="DQ133" s="8">
        <v>0</v>
      </c>
      <c r="DR133" s="8">
        <v>0</v>
      </c>
      <c r="DS133" s="8">
        <v>0</v>
      </c>
      <c r="DT133" s="8">
        <v>0</v>
      </c>
      <c r="DU133" s="8">
        <v>0</v>
      </c>
      <c r="DV133" s="8">
        <v>0</v>
      </c>
      <c r="DW133" s="8">
        <v>0</v>
      </c>
      <c r="DX133" s="8">
        <v>0</v>
      </c>
      <c r="DY133" s="8">
        <v>0</v>
      </c>
      <c r="DZ133" s="8">
        <v>0</v>
      </c>
      <c r="EA133" s="8">
        <v>8425439</v>
      </c>
      <c r="EB133" s="9">
        <f t="shared" si="104"/>
        <v>8425439</v>
      </c>
      <c r="EC133" s="8">
        <v>0</v>
      </c>
      <c r="ED133" s="8">
        <v>0</v>
      </c>
      <c r="EE133" s="8">
        <v>0</v>
      </c>
      <c r="EF133" s="8">
        <v>0</v>
      </c>
      <c r="EG133" s="8">
        <v>0</v>
      </c>
      <c r="EH133" s="8">
        <v>999</v>
      </c>
      <c r="EI133" s="8">
        <v>2597</v>
      </c>
      <c r="EJ133" s="8">
        <v>5244</v>
      </c>
      <c r="EK133" s="8">
        <v>7293</v>
      </c>
      <c r="EL133" s="8">
        <v>7293</v>
      </c>
      <c r="EM133" s="8">
        <v>10404</v>
      </c>
      <c r="EN133" s="8">
        <v>12190</v>
      </c>
      <c r="EO133" s="9">
        <f t="shared" si="105"/>
        <v>12190</v>
      </c>
      <c r="EP133" s="8">
        <v>0</v>
      </c>
      <c r="EQ133" s="8">
        <v>0</v>
      </c>
      <c r="ER133" s="8">
        <v>140</v>
      </c>
      <c r="ES133" s="8">
        <v>1004</v>
      </c>
      <c r="ET133" s="8">
        <v>9070</v>
      </c>
      <c r="EU133" s="8">
        <v>9776</v>
      </c>
      <c r="EV133" s="8">
        <v>9776</v>
      </c>
      <c r="EW133" s="8">
        <v>9996</v>
      </c>
      <c r="EX133" s="8">
        <v>9996</v>
      </c>
      <c r="EY133" s="8">
        <v>11792</v>
      </c>
      <c r="EZ133" s="8">
        <v>11792</v>
      </c>
      <c r="FA133" s="8">
        <v>11792</v>
      </c>
      <c r="FB133" s="9">
        <f t="shared" si="106"/>
        <v>11792</v>
      </c>
      <c r="FC133" s="8">
        <v>0</v>
      </c>
      <c r="FD133" s="8">
        <v>0</v>
      </c>
      <c r="FE133" s="8">
        <v>0</v>
      </c>
      <c r="FF133" s="8">
        <v>0</v>
      </c>
      <c r="FG133" s="8">
        <v>0</v>
      </c>
      <c r="FH133" s="8">
        <v>0</v>
      </c>
      <c r="FI133" s="8">
        <v>0</v>
      </c>
      <c r="FJ133" s="8"/>
      <c r="FK133" s="8"/>
      <c r="FL133" s="8"/>
      <c r="FM133" s="8"/>
      <c r="FN133" s="8"/>
      <c r="FO133" s="9">
        <f t="shared" si="107"/>
        <v>0</v>
      </c>
    </row>
    <row r="134" spans="2:171" ht="14.25" customHeight="1" x14ac:dyDescent="0.3">
      <c r="B134" s="7" t="s">
        <v>56</v>
      </c>
      <c r="C134" s="8">
        <v>0</v>
      </c>
      <c r="D134" s="8">
        <v>0</v>
      </c>
      <c r="E134" s="8">
        <v>0</v>
      </c>
      <c r="F134" s="8">
        <v>600</v>
      </c>
      <c r="G134" s="8">
        <v>600</v>
      </c>
      <c r="H134" s="8">
        <v>7907</v>
      </c>
      <c r="I134" s="8">
        <v>9540</v>
      </c>
      <c r="J134" s="8">
        <v>18395</v>
      </c>
      <c r="K134" s="8">
        <v>18395</v>
      </c>
      <c r="L134" s="8">
        <v>18467</v>
      </c>
      <c r="M134" s="8">
        <v>18467</v>
      </c>
      <c r="N134" s="8">
        <v>18467</v>
      </c>
      <c r="O134" s="9">
        <f t="shared" si="95"/>
        <v>18467</v>
      </c>
      <c r="P134" s="8">
        <v>0</v>
      </c>
      <c r="Q134" s="8">
        <v>2360</v>
      </c>
      <c r="R134" s="8">
        <v>2360</v>
      </c>
      <c r="S134" s="8">
        <v>2360</v>
      </c>
      <c r="T134" s="8">
        <v>10224</v>
      </c>
      <c r="U134" s="8">
        <v>12127</v>
      </c>
      <c r="V134" s="8">
        <v>12127</v>
      </c>
      <c r="W134" s="8">
        <v>17200</v>
      </c>
      <c r="X134" s="8">
        <v>19157</v>
      </c>
      <c r="Y134" s="8">
        <v>19459</v>
      </c>
      <c r="Z134" s="8">
        <v>20432</v>
      </c>
      <c r="AA134" s="8">
        <v>100869</v>
      </c>
      <c r="AB134" s="9">
        <f t="shared" si="96"/>
        <v>100869</v>
      </c>
      <c r="AC134" s="8">
        <v>976</v>
      </c>
      <c r="AD134" s="8">
        <v>976</v>
      </c>
      <c r="AE134" s="8">
        <v>3706</v>
      </c>
      <c r="AF134" s="8">
        <v>21134</v>
      </c>
      <c r="AG134" s="8">
        <v>21329</v>
      </c>
      <c r="AH134" s="8">
        <v>21670</v>
      </c>
      <c r="AI134" s="8">
        <v>23429</v>
      </c>
      <c r="AJ134" s="8">
        <v>23520</v>
      </c>
      <c r="AK134" s="8">
        <v>149640</v>
      </c>
      <c r="AL134" s="8">
        <v>189606</v>
      </c>
      <c r="AM134" s="8">
        <v>195392</v>
      </c>
      <c r="AN134" s="8">
        <v>241996</v>
      </c>
      <c r="AO134" s="9">
        <f t="shared" si="97"/>
        <v>241996</v>
      </c>
      <c r="AP134" s="8">
        <v>0</v>
      </c>
      <c r="AQ134" s="8">
        <v>0</v>
      </c>
      <c r="AR134" s="8">
        <v>2247</v>
      </c>
      <c r="AS134" s="8">
        <v>5201</v>
      </c>
      <c r="AT134" s="8">
        <v>17096</v>
      </c>
      <c r="AU134" s="8">
        <v>17222</v>
      </c>
      <c r="AV134" s="8">
        <v>17222</v>
      </c>
      <c r="AW134" s="8">
        <v>18336</v>
      </c>
      <c r="AX134" s="8">
        <v>20282</v>
      </c>
      <c r="AY134" s="8">
        <v>20118</v>
      </c>
      <c r="AZ134" s="8">
        <v>24650</v>
      </c>
      <c r="BA134" s="8">
        <v>220486</v>
      </c>
      <c r="BB134" s="9">
        <f t="shared" si="98"/>
        <v>220486</v>
      </c>
      <c r="BC134" s="8">
        <v>0</v>
      </c>
      <c r="BD134" s="8">
        <v>0</v>
      </c>
      <c r="BE134" s="8">
        <v>0</v>
      </c>
      <c r="BF134" s="8">
        <v>10188</v>
      </c>
      <c r="BG134" s="8">
        <v>10939</v>
      </c>
      <c r="BH134" s="8">
        <v>11067</v>
      </c>
      <c r="BI134" s="8">
        <v>11717</v>
      </c>
      <c r="BJ134" s="8">
        <v>12409</v>
      </c>
      <c r="BK134" s="8">
        <v>12409</v>
      </c>
      <c r="BL134" s="8">
        <v>14329</v>
      </c>
      <c r="BM134" s="8">
        <v>19076</v>
      </c>
      <c r="BN134" s="8">
        <v>24630</v>
      </c>
      <c r="BO134" s="9">
        <f t="shared" si="99"/>
        <v>24630</v>
      </c>
      <c r="BP134" s="8">
        <v>0</v>
      </c>
      <c r="BQ134" s="8">
        <v>2942</v>
      </c>
      <c r="BR134" s="8">
        <v>3622</v>
      </c>
      <c r="BS134" s="8">
        <v>6065</v>
      </c>
      <c r="BT134" s="8">
        <v>7235</v>
      </c>
      <c r="BU134" s="8">
        <v>7985</v>
      </c>
      <c r="BV134" s="8">
        <v>9106</v>
      </c>
      <c r="BW134" s="8">
        <v>9106</v>
      </c>
      <c r="BX134" s="8">
        <v>9442</v>
      </c>
      <c r="BY134" s="8">
        <v>11426</v>
      </c>
      <c r="BZ134" s="8">
        <v>12244</v>
      </c>
      <c r="CA134" s="8">
        <v>3013455</v>
      </c>
      <c r="CB134" s="9">
        <f t="shared" si="100"/>
        <v>3013455</v>
      </c>
      <c r="CC134" s="8">
        <v>374</v>
      </c>
      <c r="CD134" s="8">
        <v>5451</v>
      </c>
      <c r="CE134" s="8">
        <v>6295</v>
      </c>
      <c r="CF134" s="8">
        <v>6624</v>
      </c>
      <c r="CG134" s="8">
        <v>6876</v>
      </c>
      <c r="CH134" s="8">
        <v>6876</v>
      </c>
      <c r="CI134" s="8">
        <v>9442</v>
      </c>
      <c r="CJ134" s="8">
        <v>10334</v>
      </c>
      <c r="CK134" s="8">
        <v>34971</v>
      </c>
      <c r="CL134" s="8">
        <v>145553</v>
      </c>
      <c r="CM134" s="8">
        <v>1584102</v>
      </c>
      <c r="CN134" s="8">
        <v>1595083</v>
      </c>
      <c r="CO134" s="9">
        <f t="shared" si="101"/>
        <v>1595083</v>
      </c>
      <c r="CP134" s="8">
        <v>0</v>
      </c>
      <c r="CQ134" s="8">
        <v>0</v>
      </c>
      <c r="CR134" s="8">
        <v>0</v>
      </c>
      <c r="CS134" s="8">
        <v>0</v>
      </c>
      <c r="CT134" s="8">
        <v>333</v>
      </c>
      <c r="CU134" s="8">
        <v>901</v>
      </c>
      <c r="CV134" s="8">
        <v>1406</v>
      </c>
      <c r="CW134" s="8">
        <v>5244</v>
      </c>
      <c r="CX134" s="8">
        <v>10081</v>
      </c>
      <c r="CY134" s="8">
        <v>12296</v>
      </c>
      <c r="CZ134" s="8">
        <v>13676</v>
      </c>
      <c r="DA134" s="8">
        <v>169559</v>
      </c>
      <c r="DB134" s="9">
        <f t="shared" si="102"/>
        <v>169559</v>
      </c>
      <c r="DC134" s="8">
        <v>0</v>
      </c>
      <c r="DD134" s="8">
        <v>0</v>
      </c>
      <c r="DE134" s="8">
        <v>0</v>
      </c>
      <c r="DF134" s="8">
        <v>0</v>
      </c>
      <c r="DG134" s="8">
        <v>0</v>
      </c>
      <c r="DH134" s="8">
        <v>0</v>
      </c>
      <c r="DI134" s="8">
        <v>0</v>
      </c>
      <c r="DJ134" s="8">
        <v>0</v>
      </c>
      <c r="DK134" s="8">
        <v>0</v>
      </c>
      <c r="DL134" s="8">
        <v>0</v>
      </c>
      <c r="DM134" s="8">
        <v>0</v>
      </c>
      <c r="DN134" s="8">
        <v>11444544</v>
      </c>
      <c r="DO134" s="9">
        <f t="shared" si="103"/>
        <v>11444544</v>
      </c>
      <c r="DP134" s="8">
        <v>0</v>
      </c>
      <c r="DQ134" s="8">
        <v>0</v>
      </c>
      <c r="DR134" s="8">
        <v>0</v>
      </c>
      <c r="DS134" s="8">
        <v>0</v>
      </c>
      <c r="DT134" s="8">
        <v>0</v>
      </c>
      <c r="DU134" s="8">
        <v>0</v>
      </c>
      <c r="DV134" s="8">
        <v>0</v>
      </c>
      <c r="DW134" s="8">
        <v>0</v>
      </c>
      <c r="DX134" s="8">
        <v>0</v>
      </c>
      <c r="DY134" s="8">
        <v>0</v>
      </c>
      <c r="DZ134" s="8">
        <v>0</v>
      </c>
      <c r="EA134" s="8">
        <v>0</v>
      </c>
      <c r="EB134" s="9">
        <f t="shared" si="104"/>
        <v>0</v>
      </c>
      <c r="EC134" s="8">
        <v>0</v>
      </c>
      <c r="ED134" s="8">
        <v>0</v>
      </c>
      <c r="EE134" s="8">
        <v>0</v>
      </c>
      <c r="EF134" s="8">
        <v>0</v>
      </c>
      <c r="EG134" s="8">
        <v>6292</v>
      </c>
      <c r="EH134" s="8">
        <v>6292</v>
      </c>
      <c r="EI134" s="8">
        <v>6292</v>
      </c>
      <c r="EJ134" s="8">
        <v>7426</v>
      </c>
      <c r="EK134" s="8">
        <v>8970</v>
      </c>
      <c r="EL134" s="8">
        <v>8970</v>
      </c>
      <c r="EM134" s="8">
        <v>10089</v>
      </c>
      <c r="EN134" s="8">
        <v>12134</v>
      </c>
      <c r="EO134" s="9">
        <f t="shared" si="105"/>
        <v>12134</v>
      </c>
      <c r="EP134" s="8">
        <v>0</v>
      </c>
      <c r="EQ134" s="8">
        <v>0</v>
      </c>
      <c r="ER134" s="8">
        <v>0</v>
      </c>
      <c r="ES134" s="8">
        <v>5800</v>
      </c>
      <c r="ET134" s="8">
        <v>5800</v>
      </c>
      <c r="EU134" s="8">
        <v>5800</v>
      </c>
      <c r="EV134" s="8">
        <v>6800</v>
      </c>
      <c r="EW134" s="8">
        <v>6901</v>
      </c>
      <c r="EX134" s="8">
        <v>6901</v>
      </c>
      <c r="EY134" s="8">
        <v>6901</v>
      </c>
      <c r="EZ134" s="8">
        <v>6901</v>
      </c>
      <c r="FA134" s="8">
        <v>6901</v>
      </c>
      <c r="FB134" s="9">
        <f t="shared" si="106"/>
        <v>6901</v>
      </c>
      <c r="FC134" s="8">
        <v>0</v>
      </c>
      <c r="FD134" s="8">
        <v>0</v>
      </c>
      <c r="FE134" s="8">
        <v>0</v>
      </c>
      <c r="FF134" s="8">
        <v>0</v>
      </c>
      <c r="FG134" s="8">
        <v>0</v>
      </c>
      <c r="FH134" s="8">
        <v>0</v>
      </c>
      <c r="FI134" s="8">
        <v>0</v>
      </c>
      <c r="FJ134" s="8"/>
      <c r="FK134" s="8"/>
      <c r="FL134" s="8"/>
      <c r="FM134" s="8"/>
      <c r="FN134" s="8"/>
      <c r="FO134" s="9">
        <f t="shared" si="107"/>
        <v>0</v>
      </c>
    </row>
    <row r="135" spans="2:171" ht="14.25" customHeight="1" x14ac:dyDescent="0.3">
      <c r="B135" s="7" t="s">
        <v>57</v>
      </c>
      <c r="C135" s="8">
        <v>0</v>
      </c>
      <c r="D135" s="8">
        <v>141</v>
      </c>
      <c r="E135" s="8">
        <v>883</v>
      </c>
      <c r="F135" s="8">
        <v>946</v>
      </c>
      <c r="G135" s="8">
        <v>1359</v>
      </c>
      <c r="H135" s="8">
        <v>1495</v>
      </c>
      <c r="I135" s="8">
        <v>1725</v>
      </c>
      <c r="J135" s="8">
        <v>1875</v>
      </c>
      <c r="K135" s="8">
        <v>3012</v>
      </c>
      <c r="L135" s="8">
        <v>4260</v>
      </c>
      <c r="M135" s="8">
        <v>11981</v>
      </c>
      <c r="N135" s="8">
        <v>16601</v>
      </c>
      <c r="O135" s="9">
        <f t="shared" si="95"/>
        <v>16601</v>
      </c>
      <c r="P135" s="8">
        <v>85</v>
      </c>
      <c r="Q135" s="8">
        <v>85</v>
      </c>
      <c r="R135" s="8">
        <v>636</v>
      </c>
      <c r="S135" s="8">
        <v>1645</v>
      </c>
      <c r="T135" s="8">
        <v>2681</v>
      </c>
      <c r="U135" s="8">
        <v>3057</v>
      </c>
      <c r="V135" s="8">
        <v>4219</v>
      </c>
      <c r="W135" s="8">
        <v>4934</v>
      </c>
      <c r="X135" s="8">
        <v>6784</v>
      </c>
      <c r="Y135" s="8">
        <v>11437</v>
      </c>
      <c r="Z135" s="8">
        <v>11519</v>
      </c>
      <c r="AA135" s="8">
        <v>11519</v>
      </c>
      <c r="AB135" s="9">
        <f t="shared" si="96"/>
        <v>11519</v>
      </c>
      <c r="AC135" s="8">
        <v>0</v>
      </c>
      <c r="AD135" s="8">
        <v>193</v>
      </c>
      <c r="AE135" s="8">
        <v>5925</v>
      </c>
      <c r="AF135" s="8">
        <v>6756</v>
      </c>
      <c r="AG135" s="8">
        <v>7191</v>
      </c>
      <c r="AH135" s="8">
        <v>7678</v>
      </c>
      <c r="AI135" s="8">
        <v>9288</v>
      </c>
      <c r="AJ135" s="8">
        <v>9571</v>
      </c>
      <c r="AK135" s="8">
        <v>10777</v>
      </c>
      <c r="AL135" s="8">
        <v>11334</v>
      </c>
      <c r="AM135" s="8">
        <v>634134</v>
      </c>
      <c r="AN135" s="8">
        <v>636910</v>
      </c>
      <c r="AO135" s="9">
        <f t="shared" si="97"/>
        <v>636910</v>
      </c>
      <c r="AP135" s="8">
        <v>0</v>
      </c>
      <c r="AQ135" s="8">
        <v>0</v>
      </c>
      <c r="AR135" s="8">
        <v>780</v>
      </c>
      <c r="AS135" s="8">
        <v>780</v>
      </c>
      <c r="AT135" s="8">
        <v>3582</v>
      </c>
      <c r="AU135" s="8">
        <v>3739</v>
      </c>
      <c r="AV135" s="8">
        <v>4426</v>
      </c>
      <c r="AW135" s="8">
        <v>5055</v>
      </c>
      <c r="AX135" s="8">
        <v>5220</v>
      </c>
      <c r="AY135" s="8">
        <v>85703</v>
      </c>
      <c r="AZ135" s="8">
        <v>88437</v>
      </c>
      <c r="BA135" s="8">
        <v>2671175</v>
      </c>
      <c r="BB135" s="9">
        <f t="shared" si="98"/>
        <v>2671175</v>
      </c>
      <c r="BC135" s="8">
        <v>0</v>
      </c>
      <c r="BD135" s="8">
        <v>0</v>
      </c>
      <c r="BE135" s="8">
        <v>958</v>
      </c>
      <c r="BF135" s="8">
        <v>4662</v>
      </c>
      <c r="BG135" s="8">
        <v>5257</v>
      </c>
      <c r="BH135" s="8">
        <v>5465</v>
      </c>
      <c r="BI135" s="8">
        <v>8018</v>
      </c>
      <c r="BJ135" s="8">
        <v>8985</v>
      </c>
      <c r="BK135" s="8">
        <v>10148</v>
      </c>
      <c r="BL135" s="8">
        <v>11710</v>
      </c>
      <c r="BM135" s="8">
        <v>11937</v>
      </c>
      <c r="BN135" s="8">
        <v>13860</v>
      </c>
      <c r="BO135" s="9">
        <f t="shared" si="99"/>
        <v>13860</v>
      </c>
      <c r="BP135" s="8">
        <v>92</v>
      </c>
      <c r="BQ135" s="8">
        <v>2285</v>
      </c>
      <c r="BR135" s="8">
        <v>3594</v>
      </c>
      <c r="BS135" s="8">
        <v>3594</v>
      </c>
      <c r="BT135" s="8">
        <v>4006</v>
      </c>
      <c r="BU135" s="8">
        <v>8001</v>
      </c>
      <c r="BV135" s="8">
        <v>10018</v>
      </c>
      <c r="BW135" s="8">
        <v>12528</v>
      </c>
      <c r="BX135" s="8">
        <v>12528</v>
      </c>
      <c r="BY135" s="8">
        <v>12528</v>
      </c>
      <c r="BZ135" s="8">
        <v>12898</v>
      </c>
      <c r="CA135" s="8">
        <v>2691731</v>
      </c>
      <c r="CB135" s="9">
        <f t="shared" si="100"/>
        <v>2691731</v>
      </c>
      <c r="CC135" s="8">
        <v>0</v>
      </c>
      <c r="CD135" s="8">
        <v>3739</v>
      </c>
      <c r="CE135" s="8">
        <v>5581</v>
      </c>
      <c r="CF135" s="8">
        <v>5581</v>
      </c>
      <c r="CG135" s="8">
        <v>5581</v>
      </c>
      <c r="CH135" s="8">
        <v>5581</v>
      </c>
      <c r="CI135" s="8">
        <v>5581</v>
      </c>
      <c r="CJ135" s="8">
        <v>10187</v>
      </c>
      <c r="CK135" s="8">
        <v>10187</v>
      </c>
      <c r="CL135" s="8">
        <v>10187</v>
      </c>
      <c r="CM135" s="8">
        <v>10187</v>
      </c>
      <c r="CN135" s="8">
        <v>901832</v>
      </c>
      <c r="CO135" s="9">
        <f t="shared" si="101"/>
        <v>901832</v>
      </c>
      <c r="CP135" s="8">
        <v>0</v>
      </c>
      <c r="CQ135" s="8">
        <v>5638</v>
      </c>
      <c r="CR135" s="8">
        <v>5638</v>
      </c>
      <c r="CS135" s="8">
        <v>5638</v>
      </c>
      <c r="CT135" s="8">
        <v>5638</v>
      </c>
      <c r="CU135" s="8">
        <v>11543</v>
      </c>
      <c r="CV135" s="8">
        <v>1872732</v>
      </c>
      <c r="CW135" s="8">
        <v>1875898</v>
      </c>
      <c r="CX135" s="8">
        <v>1882761</v>
      </c>
      <c r="CY135" s="8">
        <v>1883064</v>
      </c>
      <c r="CZ135" s="8">
        <v>1896905</v>
      </c>
      <c r="DA135" s="8">
        <v>2752655</v>
      </c>
      <c r="DB135" s="9">
        <f t="shared" si="102"/>
        <v>2752655</v>
      </c>
      <c r="DC135" s="8">
        <v>0</v>
      </c>
      <c r="DD135" s="8">
        <v>0</v>
      </c>
      <c r="DE135" s="8">
        <v>0</v>
      </c>
      <c r="DF135" s="8">
        <v>0</v>
      </c>
      <c r="DG135" s="8">
        <v>0</v>
      </c>
      <c r="DH135" s="8">
        <v>0</v>
      </c>
      <c r="DI135" s="8">
        <v>0</v>
      </c>
      <c r="DJ135" s="8">
        <v>0</v>
      </c>
      <c r="DK135" s="8">
        <v>0</v>
      </c>
      <c r="DL135" s="8">
        <v>0</v>
      </c>
      <c r="DM135" s="8">
        <v>11821</v>
      </c>
      <c r="DN135" s="8">
        <v>2917495</v>
      </c>
      <c r="DO135" s="9">
        <f t="shared" si="103"/>
        <v>2917495</v>
      </c>
      <c r="DP135" s="8">
        <v>0</v>
      </c>
      <c r="DQ135" s="8">
        <v>0</v>
      </c>
      <c r="DR135" s="8">
        <v>0</v>
      </c>
      <c r="DS135" s="8">
        <v>0</v>
      </c>
      <c r="DT135" s="8">
        <v>0</v>
      </c>
      <c r="DU135" s="8">
        <v>0</v>
      </c>
      <c r="DV135" s="8">
        <v>0</v>
      </c>
      <c r="DW135" s="8">
        <v>0</v>
      </c>
      <c r="DX135" s="8">
        <v>0</v>
      </c>
      <c r="DY135" s="8">
        <v>0</v>
      </c>
      <c r="DZ135" s="8">
        <v>0</v>
      </c>
      <c r="EA135" s="8">
        <v>0</v>
      </c>
      <c r="EB135" s="9">
        <f t="shared" si="104"/>
        <v>0</v>
      </c>
      <c r="EC135" s="8">
        <v>0</v>
      </c>
      <c r="ED135" s="8">
        <v>0</v>
      </c>
      <c r="EE135" s="8">
        <v>0</v>
      </c>
      <c r="EF135" s="8">
        <v>0</v>
      </c>
      <c r="EG135" s="8">
        <v>0</v>
      </c>
      <c r="EH135" s="8">
        <v>0</v>
      </c>
      <c r="EI135" s="8">
        <v>0</v>
      </c>
      <c r="EJ135" s="8">
        <v>0</v>
      </c>
      <c r="EK135" s="8">
        <v>180</v>
      </c>
      <c r="EL135" s="8">
        <v>7111</v>
      </c>
      <c r="EM135" s="8">
        <v>9149</v>
      </c>
      <c r="EN135" s="8">
        <v>9209</v>
      </c>
      <c r="EO135" s="9">
        <f t="shared" si="105"/>
        <v>9209</v>
      </c>
      <c r="EP135" s="8">
        <v>0</v>
      </c>
      <c r="EQ135" s="8">
        <v>0</v>
      </c>
      <c r="ER135" s="8">
        <v>5639</v>
      </c>
      <c r="ES135" s="8">
        <v>5639</v>
      </c>
      <c r="ET135" s="8">
        <v>5639</v>
      </c>
      <c r="EU135" s="8">
        <v>5639</v>
      </c>
      <c r="EV135" s="8">
        <v>5639</v>
      </c>
      <c r="EW135" s="8">
        <v>5639</v>
      </c>
      <c r="EX135" s="8">
        <v>5890</v>
      </c>
      <c r="EY135" s="8">
        <v>5890</v>
      </c>
      <c r="EZ135" s="8">
        <v>5890</v>
      </c>
      <c r="FA135" s="8">
        <v>5890</v>
      </c>
      <c r="FB135" s="9">
        <f t="shared" si="106"/>
        <v>5890</v>
      </c>
      <c r="FC135" s="8">
        <v>0</v>
      </c>
      <c r="FD135" s="8">
        <v>0</v>
      </c>
      <c r="FE135" s="8">
        <v>0</v>
      </c>
      <c r="FF135" s="8">
        <v>0</v>
      </c>
      <c r="FG135" s="8">
        <v>0</v>
      </c>
      <c r="FH135" s="8">
        <v>0</v>
      </c>
      <c r="FI135" s="8">
        <v>0</v>
      </c>
      <c r="FJ135" s="8"/>
      <c r="FK135" s="8"/>
      <c r="FL135" s="8"/>
      <c r="FM135" s="8"/>
      <c r="FN135" s="8"/>
      <c r="FO135" s="9">
        <f t="shared" si="107"/>
        <v>0</v>
      </c>
    </row>
    <row r="136" spans="2:171" ht="14.25" customHeight="1" x14ac:dyDescent="0.3">
      <c r="B136" s="7" t="s">
        <v>58</v>
      </c>
      <c r="C136" s="8">
        <v>0</v>
      </c>
      <c r="D136" s="8">
        <v>230</v>
      </c>
      <c r="E136" s="8">
        <v>900</v>
      </c>
      <c r="F136" s="8">
        <v>1445</v>
      </c>
      <c r="G136" s="8">
        <v>2122</v>
      </c>
      <c r="H136" s="8">
        <v>2239</v>
      </c>
      <c r="I136" s="8">
        <v>2856</v>
      </c>
      <c r="J136" s="8">
        <v>3503</v>
      </c>
      <c r="K136" s="8">
        <v>4252</v>
      </c>
      <c r="L136" s="8">
        <v>9977</v>
      </c>
      <c r="M136" s="8">
        <v>6341</v>
      </c>
      <c r="N136" s="8">
        <v>10651</v>
      </c>
      <c r="O136" s="9">
        <f t="shared" si="95"/>
        <v>10651</v>
      </c>
      <c r="P136" s="8">
        <v>0</v>
      </c>
      <c r="Q136" s="8">
        <v>728</v>
      </c>
      <c r="R136" s="8">
        <v>1344</v>
      </c>
      <c r="S136" s="8">
        <v>1344</v>
      </c>
      <c r="T136" s="8">
        <v>1565</v>
      </c>
      <c r="U136" s="8">
        <v>1755</v>
      </c>
      <c r="V136" s="8">
        <v>2598</v>
      </c>
      <c r="W136" s="8">
        <v>2737</v>
      </c>
      <c r="X136" s="8">
        <v>3689</v>
      </c>
      <c r="Y136" s="8">
        <v>4853</v>
      </c>
      <c r="Z136" s="8">
        <v>7402</v>
      </c>
      <c r="AA136" s="8">
        <v>12027</v>
      </c>
      <c r="AB136" s="9">
        <f t="shared" si="96"/>
        <v>12027</v>
      </c>
      <c r="AC136" s="8">
        <v>0</v>
      </c>
      <c r="AD136" s="8">
        <v>0</v>
      </c>
      <c r="AE136" s="8">
        <v>5304</v>
      </c>
      <c r="AF136" s="8">
        <v>5388</v>
      </c>
      <c r="AG136" s="8">
        <v>130889</v>
      </c>
      <c r="AH136" s="8">
        <v>264499</v>
      </c>
      <c r="AI136" s="8">
        <v>295503</v>
      </c>
      <c r="AJ136" s="8">
        <v>295598</v>
      </c>
      <c r="AK136" s="8">
        <v>300414</v>
      </c>
      <c r="AL136" s="8">
        <v>304355</v>
      </c>
      <c r="AM136" s="8">
        <v>305987</v>
      </c>
      <c r="AN136" s="8">
        <v>816477</v>
      </c>
      <c r="AO136" s="9">
        <f t="shared" si="97"/>
        <v>816477</v>
      </c>
      <c r="AP136" s="8">
        <v>0</v>
      </c>
      <c r="AQ136" s="8">
        <v>0</v>
      </c>
      <c r="AR136" s="8">
        <v>348</v>
      </c>
      <c r="AS136" s="8">
        <v>348</v>
      </c>
      <c r="AT136" s="8">
        <v>6182</v>
      </c>
      <c r="AU136" s="8">
        <v>6694</v>
      </c>
      <c r="AV136" s="8">
        <v>7376</v>
      </c>
      <c r="AW136" s="8">
        <v>8056</v>
      </c>
      <c r="AX136" s="8">
        <v>9198</v>
      </c>
      <c r="AY136" s="8">
        <v>9198</v>
      </c>
      <c r="AZ136" s="8">
        <v>11933</v>
      </c>
      <c r="BA136" s="8">
        <v>3343628</v>
      </c>
      <c r="BB136" s="9">
        <f t="shared" si="98"/>
        <v>3343628</v>
      </c>
      <c r="BC136" s="8">
        <v>195</v>
      </c>
      <c r="BD136" s="8">
        <v>195</v>
      </c>
      <c r="BE136" s="8">
        <v>503</v>
      </c>
      <c r="BF136" s="8">
        <v>3551</v>
      </c>
      <c r="BG136" s="8">
        <v>6516</v>
      </c>
      <c r="BH136" s="8">
        <v>6741</v>
      </c>
      <c r="BI136" s="8">
        <v>7958</v>
      </c>
      <c r="BJ136" s="8">
        <v>8335</v>
      </c>
      <c r="BK136" s="8">
        <v>8638</v>
      </c>
      <c r="BL136" s="8">
        <v>8638</v>
      </c>
      <c r="BM136" s="8">
        <v>8737</v>
      </c>
      <c r="BN136" s="8">
        <v>11494</v>
      </c>
      <c r="BO136" s="9">
        <f t="shared" si="99"/>
        <v>11494</v>
      </c>
      <c r="BP136" s="8">
        <v>0</v>
      </c>
      <c r="BQ136" s="8">
        <v>0</v>
      </c>
      <c r="BR136" s="8">
        <v>322</v>
      </c>
      <c r="BS136" s="8">
        <v>472</v>
      </c>
      <c r="BT136" s="8">
        <v>2016</v>
      </c>
      <c r="BU136" s="8">
        <v>2453</v>
      </c>
      <c r="BV136" s="8">
        <v>2663</v>
      </c>
      <c r="BW136" s="8">
        <v>2937</v>
      </c>
      <c r="BX136" s="8">
        <v>2937</v>
      </c>
      <c r="BY136" s="8">
        <v>2937</v>
      </c>
      <c r="BZ136" s="8">
        <v>6068</v>
      </c>
      <c r="CA136" s="8">
        <v>6581</v>
      </c>
      <c r="CB136" s="9">
        <f t="shared" si="100"/>
        <v>6581</v>
      </c>
      <c r="CC136" s="8">
        <v>0</v>
      </c>
      <c r="CD136" s="8">
        <v>96</v>
      </c>
      <c r="CE136" s="8">
        <v>2026</v>
      </c>
      <c r="CF136" s="8">
        <v>2026</v>
      </c>
      <c r="CG136" s="8">
        <v>2026</v>
      </c>
      <c r="CH136" s="8">
        <v>2026</v>
      </c>
      <c r="CI136" s="8">
        <v>2135</v>
      </c>
      <c r="CJ136" s="8">
        <v>7235</v>
      </c>
      <c r="CK136" s="8">
        <v>7235</v>
      </c>
      <c r="CL136" s="8">
        <v>7235</v>
      </c>
      <c r="CM136" s="8">
        <v>2063310</v>
      </c>
      <c r="CN136" s="8">
        <v>2096257</v>
      </c>
      <c r="CO136" s="9">
        <f t="shared" si="101"/>
        <v>2096257</v>
      </c>
      <c r="CP136" s="8">
        <v>0</v>
      </c>
      <c r="CQ136" s="8">
        <v>0</v>
      </c>
      <c r="CR136" s="8">
        <v>0</v>
      </c>
      <c r="CS136" s="8">
        <v>0</v>
      </c>
      <c r="CT136" s="8">
        <v>356</v>
      </c>
      <c r="CU136" s="8">
        <v>665</v>
      </c>
      <c r="CV136" s="8">
        <v>665</v>
      </c>
      <c r="CW136" s="8">
        <v>877</v>
      </c>
      <c r="CX136" s="8">
        <v>1676</v>
      </c>
      <c r="CY136" s="8">
        <v>1676</v>
      </c>
      <c r="CZ136" s="8">
        <v>4844</v>
      </c>
      <c r="DA136" s="8">
        <v>292752</v>
      </c>
      <c r="DB136" s="9">
        <f t="shared" si="102"/>
        <v>292752</v>
      </c>
      <c r="DC136" s="8">
        <v>0</v>
      </c>
      <c r="DD136" s="8">
        <v>0</v>
      </c>
      <c r="DE136" s="8">
        <v>0</v>
      </c>
      <c r="DF136" s="8">
        <v>0</v>
      </c>
      <c r="DG136" s="8">
        <v>0</v>
      </c>
      <c r="DH136" s="8">
        <v>0</v>
      </c>
      <c r="DI136" s="8">
        <v>0</v>
      </c>
      <c r="DJ136" s="8">
        <v>0</v>
      </c>
      <c r="DK136" s="8">
        <v>0</v>
      </c>
      <c r="DL136" s="8">
        <v>0</v>
      </c>
      <c r="DM136" s="8">
        <v>0</v>
      </c>
      <c r="DN136" s="8">
        <v>7078210</v>
      </c>
      <c r="DO136" s="9">
        <f t="shared" si="103"/>
        <v>7078210</v>
      </c>
      <c r="DP136" s="8">
        <v>0</v>
      </c>
      <c r="DQ136" s="8">
        <v>0</v>
      </c>
      <c r="DR136" s="8">
        <v>0</v>
      </c>
      <c r="DS136" s="8">
        <v>0</v>
      </c>
      <c r="DT136" s="8">
        <v>0</v>
      </c>
      <c r="DU136" s="8">
        <v>0</v>
      </c>
      <c r="DV136" s="8">
        <v>0</v>
      </c>
      <c r="DW136" s="8">
        <v>0</v>
      </c>
      <c r="DX136" s="8">
        <v>0</v>
      </c>
      <c r="DY136" s="8">
        <v>0</v>
      </c>
      <c r="DZ136" s="8">
        <v>0</v>
      </c>
      <c r="EA136" s="8">
        <v>0</v>
      </c>
      <c r="EB136" s="9">
        <f t="shared" si="104"/>
        <v>0</v>
      </c>
      <c r="EC136" s="8">
        <v>0</v>
      </c>
      <c r="ED136" s="8">
        <v>0</v>
      </c>
      <c r="EE136" s="8">
        <v>0</v>
      </c>
      <c r="EF136" s="8">
        <v>0</v>
      </c>
      <c r="EG136" s="8">
        <v>0</v>
      </c>
      <c r="EH136" s="8">
        <v>0</v>
      </c>
      <c r="EI136" s="8">
        <v>9440</v>
      </c>
      <c r="EJ136" s="8">
        <v>9909</v>
      </c>
      <c r="EK136" s="8">
        <v>11601</v>
      </c>
      <c r="EL136" s="8">
        <v>11601</v>
      </c>
      <c r="EM136" s="8">
        <v>1603943</v>
      </c>
      <c r="EN136" s="8">
        <v>9235856</v>
      </c>
      <c r="EO136" s="9">
        <f t="shared" si="105"/>
        <v>9235856</v>
      </c>
      <c r="EP136" s="8">
        <v>0</v>
      </c>
      <c r="EQ136" s="8">
        <v>0</v>
      </c>
      <c r="ER136" s="8">
        <v>0</v>
      </c>
      <c r="ES136" s="8">
        <v>0</v>
      </c>
      <c r="ET136" s="8">
        <v>1037</v>
      </c>
      <c r="EU136" s="8">
        <v>1347</v>
      </c>
      <c r="EV136" s="8">
        <v>1511</v>
      </c>
      <c r="EW136" s="8">
        <v>1821</v>
      </c>
      <c r="EX136" s="8">
        <v>1821</v>
      </c>
      <c r="EY136" s="8">
        <v>1821</v>
      </c>
      <c r="EZ136" s="8">
        <v>1931</v>
      </c>
      <c r="FA136" s="8">
        <v>1931</v>
      </c>
      <c r="FB136" s="9">
        <f t="shared" si="106"/>
        <v>1931</v>
      </c>
      <c r="FC136" s="8">
        <v>0</v>
      </c>
      <c r="FD136" s="8">
        <v>0</v>
      </c>
      <c r="FE136" s="8">
        <v>0</v>
      </c>
      <c r="FF136" s="8">
        <v>0</v>
      </c>
      <c r="FG136" s="8">
        <v>0</v>
      </c>
      <c r="FH136" s="8">
        <v>0</v>
      </c>
      <c r="FI136" s="8">
        <v>0</v>
      </c>
      <c r="FJ136" s="8"/>
      <c r="FK136" s="8"/>
      <c r="FL136" s="8"/>
      <c r="FM136" s="8"/>
      <c r="FN136" s="8"/>
      <c r="FO136" s="9">
        <f t="shared" si="107"/>
        <v>0</v>
      </c>
    </row>
    <row r="137" spans="2:171" ht="14.25" customHeight="1" x14ac:dyDescent="0.3">
      <c r="B137" s="7" t="s">
        <v>59</v>
      </c>
      <c r="C137" s="8">
        <v>0</v>
      </c>
      <c r="D137" s="8">
        <v>0</v>
      </c>
      <c r="E137" s="8">
        <v>0</v>
      </c>
      <c r="F137" s="8">
        <v>1451</v>
      </c>
      <c r="G137" s="8">
        <v>3315</v>
      </c>
      <c r="H137" s="8">
        <v>3315</v>
      </c>
      <c r="I137" s="8">
        <v>3773</v>
      </c>
      <c r="J137" s="8">
        <v>4030</v>
      </c>
      <c r="K137" s="8">
        <v>4030</v>
      </c>
      <c r="L137" s="8">
        <v>6206</v>
      </c>
      <c r="M137" s="8">
        <v>6719</v>
      </c>
      <c r="N137" s="8">
        <v>8493</v>
      </c>
      <c r="O137" s="9">
        <f t="shared" si="95"/>
        <v>8493</v>
      </c>
      <c r="P137" s="8">
        <v>0</v>
      </c>
      <c r="Q137" s="8">
        <v>552</v>
      </c>
      <c r="R137" s="8">
        <v>552</v>
      </c>
      <c r="S137" s="8">
        <v>1367</v>
      </c>
      <c r="T137" s="8">
        <v>1367</v>
      </c>
      <c r="U137" s="8">
        <v>2721</v>
      </c>
      <c r="V137" s="8">
        <v>2721</v>
      </c>
      <c r="W137" s="8">
        <v>4079</v>
      </c>
      <c r="X137" s="8">
        <v>5276</v>
      </c>
      <c r="Y137" s="8">
        <v>5276</v>
      </c>
      <c r="Z137" s="8">
        <v>8928</v>
      </c>
      <c r="AA137" s="8">
        <v>15980</v>
      </c>
      <c r="AB137" s="9">
        <f t="shared" si="96"/>
        <v>15980</v>
      </c>
      <c r="AC137" s="8">
        <v>0</v>
      </c>
      <c r="AD137" s="8">
        <v>0</v>
      </c>
      <c r="AE137" s="8">
        <v>4858</v>
      </c>
      <c r="AF137" s="8">
        <v>4858</v>
      </c>
      <c r="AG137" s="8">
        <v>5235</v>
      </c>
      <c r="AH137" s="8">
        <v>5235</v>
      </c>
      <c r="AI137" s="8">
        <v>12840</v>
      </c>
      <c r="AJ137" s="8">
        <v>14672</v>
      </c>
      <c r="AK137" s="8">
        <v>16966</v>
      </c>
      <c r="AL137" s="8">
        <v>16966</v>
      </c>
      <c r="AM137" s="8">
        <v>31011</v>
      </c>
      <c r="AN137" s="8">
        <v>31593</v>
      </c>
      <c r="AO137" s="9">
        <f t="shared" si="97"/>
        <v>31593</v>
      </c>
      <c r="AP137" s="8">
        <v>0</v>
      </c>
      <c r="AQ137" s="8">
        <v>0</v>
      </c>
      <c r="AR137" s="8">
        <v>0</v>
      </c>
      <c r="AS137" s="8">
        <v>0</v>
      </c>
      <c r="AT137" s="8">
        <v>1184</v>
      </c>
      <c r="AU137" s="8">
        <v>1389</v>
      </c>
      <c r="AV137" s="8">
        <v>1389</v>
      </c>
      <c r="AW137" s="8">
        <v>1905</v>
      </c>
      <c r="AX137" s="8">
        <v>1905</v>
      </c>
      <c r="AY137" s="8">
        <v>4589</v>
      </c>
      <c r="AZ137" s="8">
        <v>8689</v>
      </c>
      <c r="BA137" s="8">
        <v>377360</v>
      </c>
      <c r="BB137" s="9">
        <f t="shared" si="98"/>
        <v>377360</v>
      </c>
      <c r="BC137" s="8">
        <v>160</v>
      </c>
      <c r="BD137" s="8">
        <v>160</v>
      </c>
      <c r="BE137" s="8">
        <v>1035</v>
      </c>
      <c r="BF137" s="8">
        <v>8613</v>
      </c>
      <c r="BG137" s="8">
        <v>10883</v>
      </c>
      <c r="BH137" s="8">
        <v>11022</v>
      </c>
      <c r="BI137" s="8">
        <v>12619</v>
      </c>
      <c r="BJ137" s="8">
        <v>12619</v>
      </c>
      <c r="BK137" s="8">
        <v>12619</v>
      </c>
      <c r="BL137" s="8">
        <v>12619</v>
      </c>
      <c r="BM137" s="8">
        <v>12619</v>
      </c>
      <c r="BN137" s="8">
        <v>2080114</v>
      </c>
      <c r="BO137" s="9">
        <f t="shared" si="99"/>
        <v>2080114</v>
      </c>
      <c r="BP137" s="8">
        <v>0</v>
      </c>
      <c r="BQ137" s="8">
        <v>0</v>
      </c>
      <c r="BR137" s="8">
        <v>0</v>
      </c>
      <c r="BS137" s="8">
        <v>1795</v>
      </c>
      <c r="BT137" s="8">
        <v>2070035</v>
      </c>
      <c r="BU137" s="8">
        <v>2073157</v>
      </c>
      <c r="BV137" s="8">
        <v>2073157</v>
      </c>
      <c r="BW137" s="8">
        <v>2073157</v>
      </c>
      <c r="BX137" s="8">
        <v>2074875</v>
      </c>
      <c r="BY137" s="8">
        <v>2075184</v>
      </c>
      <c r="BZ137" s="8">
        <v>2075184</v>
      </c>
      <c r="CA137" s="8">
        <v>2075290</v>
      </c>
      <c r="CB137" s="9">
        <f t="shared" si="100"/>
        <v>2075290</v>
      </c>
      <c r="CC137" s="8">
        <v>0</v>
      </c>
      <c r="CD137" s="8">
        <v>0</v>
      </c>
      <c r="CE137" s="8">
        <v>0</v>
      </c>
      <c r="CF137" s="8">
        <v>0</v>
      </c>
      <c r="CG137" s="8">
        <v>0</v>
      </c>
      <c r="CH137" s="8">
        <v>0</v>
      </c>
      <c r="CI137" s="8">
        <v>1159</v>
      </c>
      <c r="CJ137" s="8">
        <v>2823</v>
      </c>
      <c r="CK137" s="8">
        <v>2823</v>
      </c>
      <c r="CL137" s="8">
        <v>2823</v>
      </c>
      <c r="CM137" s="8">
        <v>2823</v>
      </c>
      <c r="CN137" s="8">
        <v>7972</v>
      </c>
      <c r="CO137" s="9">
        <f t="shared" si="101"/>
        <v>7972</v>
      </c>
      <c r="CP137" s="8">
        <v>0</v>
      </c>
      <c r="CQ137" s="8">
        <v>897</v>
      </c>
      <c r="CR137" s="8">
        <v>1063</v>
      </c>
      <c r="CS137" s="8">
        <v>1512</v>
      </c>
      <c r="CT137" s="8">
        <v>5122</v>
      </c>
      <c r="CU137" s="8">
        <v>6115</v>
      </c>
      <c r="CV137" s="8">
        <v>6275</v>
      </c>
      <c r="CW137" s="8">
        <v>6327</v>
      </c>
      <c r="CX137" s="8">
        <v>7555</v>
      </c>
      <c r="CY137" s="8">
        <v>7555</v>
      </c>
      <c r="CZ137" s="8">
        <v>7569</v>
      </c>
      <c r="DA137" s="8">
        <v>7569</v>
      </c>
      <c r="DB137" s="9">
        <f t="shared" si="102"/>
        <v>7569</v>
      </c>
      <c r="DC137" s="8">
        <v>0</v>
      </c>
      <c r="DD137" s="8">
        <v>0</v>
      </c>
      <c r="DE137" s="8">
        <v>0</v>
      </c>
      <c r="DF137" s="8">
        <v>0</v>
      </c>
      <c r="DG137" s="8">
        <v>0</v>
      </c>
      <c r="DH137" s="8">
        <v>0</v>
      </c>
      <c r="DI137" s="8">
        <v>0</v>
      </c>
      <c r="DJ137" s="8">
        <v>0</v>
      </c>
      <c r="DK137" s="8">
        <v>0</v>
      </c>
      <c r="DL137" s="8">
        <v>0</v>
      </c>
      <c r="DM137" s="8">
        <v>0</v>
      </c>
      <c r="DN137" s="8">
        <v>694190</v>
      </c>
      <c r="DO137" s="9">
        <f t="shared" si="103"/>
        <v>694190</v>
      </c>
      <c r="DP137" s="8">
        <v>0</v>
      </c>
      <c r="DQ137" s="8">
        <v>0</v>
      </c>
      <c r="DR137" s="8">
        <v>0</v>
      </c>
      <c r="DS137" s="8">
        <v>0</v>
      </c>
      <c r="DT137" s="8">
        <v>0</v>
      </c>
      <c r="DU137" s="8">
        <v>0</v>
      </c>
      <c r="DV137" s="8">
        <v>0</v>
      </c>
      <c r="DW137" s="8">
        <v>0</v>
      </c>
      <c r="DX137" s="8">
        <v>0</v>
      </c>
      <c r="DY137" s="8">
        <v>0</v>
      </c>
      <c r="DZ137" s="8">
        <v>0</v>
      </c>
      <c r="EA137" s="8">
        <v>0</v>
      </c>
      <c r="EB137" s="9">
        <f t="shared" si="104"/>
        <v>0</v>
      </c>
      <c r="EC137" s="8">
        <v>0</v>
      </c>
      <c r="ED137" s="8">
        <v>0</v>
      </c>
      <c r="EE137" s="8">
        <v>0</v>
      </c>
      <c r="EF137" s="8">
        <v>0</v>
      </c>
      <c r="EG137" s="8">
        <v>0</v>
      </c>
      <c r="EH137" s="8">
        <v>0</v>
      </c>
      <c r="EI137" s="8">
        <v>170</v>
      </c>
      <c r="EJ137" s="8">
        <v>4724</v>
      </c>
      <c r="EK137" s="8">
        <v>5044</v>
      </c>
      <c r="EL137" s="8">
        <v>6224</v>
      </c>
      <c r="EM137" s="8">
        <v>6224</v>
      </c>
      <c r="EN137" s="8">
        <v>6224</v>
      </c>
      <c r="EO137" s="9">
        <f t="shared" si="105"/>
        <v>6224</v>
      </c>
      <c r="EP137" s="8">
        <v>0</v>
      </c>
      <c r="EQ137" s="8">
        <v>0</v>
      </c>
      <c r="ER137" s="8">
        <v>3953</v>
      </c>
      <c r="ES137" s="8">
        <v>3953</v>
      </c>
      <c r="ET137" s="8">
        <v>3953</v>
      </c>
      <c r="EU137" s="8">
        <v>3953</v>
      </c>
      <c r="EV137" s="8">
        <v>3953</v>
      </c>
      <c r="EW137" s="8">
        <v>3953</v>
      </c>
      <c r="EX137" s="8">
        <v>3953</v>
      </c>
      <c r="EY137" s="8">
        <v>3953</v>
      </c>
      <c r="EZ137" s="8">
        <v>3953</v>
      </c>
      <c r="FA137" s="8">
        <v>3953</v>
      </c>
      <c r="FB137" s="9">
        <f t="shared" si="106"/>
        <v>3953</v>
      </c>
      <c r="FC137" s="8">
        <v>0</v>
      </c>
      <c r="FD137" s="8">
        <v>0</v>
      </c>
      <c r="FE137" s="8">
        <v>0</v>
      </c>
      <c r="FF137" s="8">
        <v>0</v>
      </c>
      <c r="FG137" s="8">
        <v>0</v>
      </c>
      <c r="FH137" s="8">
        <v>0</v>
      </c>
      <c r="FI137" s="8">
        <v>0</v>
      </c>
      <c r="FJ137" s="8"/>
      <c r="FK137" s="8"/>
      <c r="FL137" s="8"/>
      <c r="FM137" s="8"/>
      <c r="FN137" s="8"/>
      <c r="FO137" s="9">
        <f t="shared" si="107"/>
        <v>0</v>
      </c>
    </row>
    <row r="138" spans="2:171" ht="14.25" customHeight="1" x14ac:dyDescent="0.3">
      <c r="B138" s="7" t="s">
        <v>60</v>
      </c>
      <c r="C138" s="8">
        <v>0</v>
      </c>
      <c r="D138" s="8">
        <v>0</v>
      </c>
      <c r="E138" s="8">
        <v>0</v>
      </c>
      <c r="F138" s="8">
        <v>232</v>
      </c>
      <c r="G138" s="8">
        <v>232</v>
      </c>
      <c r="H138" s="8">
        <v>232</v>
      </c>
      <c r="I138" s="8">
        <v>882</v>
      </c>
      <c r="J138" s="8">
        <v>2960</v>
      </c>
      <c r="K138" s="8">
        <v>2960</v>
      </c>
      <c r="L138" s="8">
        <v>3187</v>
      </c>
      <c r="M138" s="8">
        <v>3187</v>
      </c>
      <c r="N138" s="8">
        <v>7762</v>
      </c>
      <c r="O138" s="9">
        <f t="shared" si="95"/>
        <v>7762</v>
      </c>
      <c r="P138" s="8">
        <v>0</v>
      </c>
      <c r="Q138" s="8">
        <v>0</v>
      </c>
      <c r="R138" s="8">
        <v>0</v>
      </c>
      <c r="S138" s="8">
        <v>1045</v>
      </c>
      <c r="T138" s="8">
        <v>1045</v>
      </c>
      <c r="U138" s="8">
        <v>1045</v>
      </c>
      <c r="V138" s="8">
        <v>1475</v>
      </c>
      <c r="W138" s="8">
        <v>2340</v>
      </c>
      <c r="X138" s="8">
        <v>1350143</v>
      </c>
      <c r="Y138" s="8">
        <v>1351155</v>
      </c>
      <c r="Z138" s="8">
        <v>2807964</v>
      </c>
      <c r="AA138" s="8">
        <v>4420373</v>
      </c>
      <c r="AB138" s="9">
        <f t="shared" si="96"/>
        <v>4420373</v>
      </c>
      <c r="AC138" s="8">
        <v>0</v>
      </c>
      <c r="AD138" s="8">
        <v>0</v>
      </c>
      <c r="AE138" s="8">
        <v>0</v>
      </c>
      <c r="AF138" s="8">
        <v>1234</v>
      </c>
      <c r="AG138" s="8">
        <v>2234</v>
      </c>
      <c r="AH138" s="8">
        <v>22507</v>
      </c>
      <c r="AI138" s="8">
        <v>23411</v>
      </c>
      <c r="AJ138" s="8">
        <v>23411</v>
      </c>
      <c r="AK138" s="8">
        <v>23705</v>
      </c>
      <c r="AL138" s="8">
        <v>23705</v>
      </c>
      <c r="AM138" s="8">
        <v>25091</v>
      </c>
      <c r="AN138" s="8">
        <v>36644</v>
      </c>
      <c r="AO138" s="9">
        <f t="shared" si="97"/>
        <v>36644</v>
      </c>
      <c r="AP138" s="8">
        <v>0</v>
      </c>
      <c r="AQ138" s="8">
        <v>0</v>
      </c>
      <c r="AR138" s="8">
        <v>0</v>
      </c>
      <c r="AS138" s="8">
        <v>551</v>
      </c>
      <c r="AT138" s="8">
        <v>551</v>
      </c>
      <c r="AU138" s="8">
        <v>3499</v>
      </c>
      <c r="AV138" s="8">
        <v>3780</v>
      </c>
      <c r="AW138" s="8">
        <v>7038</v>
      </c>
      <c r="AX138" s="8">
        <v>8454</v>
      </c>
      <c r="AY138" s="8">
        <v>9612</v>
      </c>
      <c r="AZ138" s="8">
        <v>9612</v>
      </c>
      <c r="BA138" s="8">
        <v>96700</v>
      </c>
      <c r="BB138" s="9">
        <f t="shared" si="98"/>
        <v>96700</v>
      </c>
      <c r="BC138" s="8">
        <v>0</v>
      </c>
      <c r="BD138" s="8">
        <v>0</v>
      </c>
      <c r="BE138" s="8">
        <v>0</v>
      </c>
      <c r="BF138" s="8">
        <v>1867</v>
      </c>
      <c r="BG138" s="8">
        <v>2007</v>
      </c>
      <c r="BH138" s="8">
        <v>2007</v>
      </c>
      <c r="BI138" s="8">
        <v>7242</v>
      </c>
      <c r="BJ138" s="8">
        <v>7242</v>
      </c>
      <c r="BK138" s="8">
        <v>7667</v>
      </c>
      <c r="BL138" s="8">
        <v>12514</v>
      </c>
      <c r="BM138" s="8">
        <v>13352</v>
      </c>
      <c r="BN138" s="8">
        <v>443440</v>
      </c>
      <c r="BO138" s="9">
        <f t="shared" si="99"/>
        <v>443440</v>
      </c>
      <c r="BP138" s="8">
        <v>0</v>
      </c>
      <c r="BQ138" s="8">
        <v>0</v>
      </c>
      <c r="BR138" s="8">
        <v>225</v>
      </c>
      <c r="BS138" s="8">
        <v>225</v>
      </c>
      <c r="BT138" s="8">
        <v>1135</v>
      </c>
      <c r="BU138" s="8">
        <v>1135</v>
      </c>
      <c r="BV138" s="8">
        <v>1299</v>
      </c>
      <c r="BW138" s="8">
        <v>1299</v>
      </c>
      <c r="BX138" s="8">
        <v>3959</v>
      </c>
      <c r="BY138" s="8">
        <v>3959</v>
      </c>
      <c r="BZ138" s="8">
        <v>5157</v>
      </c>
      <c r="CA138" s="8">
        <v>12361</v>
      </c>
      <c r="CB138" s="9">
        <f t="shared" si="100"/>
        <v>12361</v>
      </c>
      <c r="CC138" s="8">
        <v>0</v>
      </c>
      <c r="CD138" s="8">
        <v>0</v>
      </c>
      <c r="CE138" s="8">
        <v>0</v>
      </c>
      <c r="CF138" s="8">
        <v>0</v>
      </c>
      <c r="CG138" s="8">
        <v>562</v>
      </c>
      <c r="CH138" s="8">
        <v>562</v>
      </c>
      <c r="CI138" s="8">
        <v>707</v>
      </c>
      <c r="CJ138" s="8">
        <v>707</v>
      </c>
      <c r="CK138" s="8">
        <v>707</v>
      </c>
      <c r="CL138" s="8">
        <v>764</v>
      </c>
      <c r="CM138" s="8">
        <v>764</v>
      </c>
      <c r="CN138" s="8">
        <v>12685</v>
      </c>
      <c r="CO138" s="9">
        <f t="shared" si="101"/>
        <v>12685</v>
      </c>
      <c r="CP138" s="8">
        <v>0</v>
      </c>
      <c r="CQ138" s="8">
        <v>0</v>
      </c>
      <c r="CR138" s="8">
        <v>833</v>
      </c>
      <c r="CS138" s="8">
        <v>0</v>
      </c>
      <c r="CT138" s="8">
        <v>0</v>
      </c>
      <c r="CU138" s="8">
        <v>1956</v>
      </c>
      <c r="CV138" s="8">
        <v>1956</v>
      </c>
      <c r="CW138" s="8">
        <v>1956</v>
      </c>
      <c r="CX138" s="8">
        <v>7321</v>
      </c>
      <c r="CY138" s="8">
        <v>7321</v>
      </c>
      <c r="CZ138" s="8">
        <v>13453</v>
      </c>
      <c r="DA138" s="8">
        <v>13549</v>
      </c>
      <c r="DB138" s="9">
        <f t="shared" si="102"/>
        <v>13549</v>
      </c>
      <c r="DC138" s="8">
        <v>0</v>
      </c>
      <c r="DD138" s="8">
        <v>0</v>
      </c>
      <c r="DE138" s="8">
        <v>0</v>
      </c>
      <c r="DF138" s="8">
        <v>0</v>
      </c>
      <c r="DG138" s="8">
        <v>0</v>
      </c>
      <c r="DH138" s="8">
        <v>0</v>
      </c>
      <c r="DI138" s="8">
        <v>0</v>
      </c>
      <c r="DJ138" s="8">
        <v>0</v>
      </c>
      <c r="DK138" s="8">
        <v>0</v>
      </c>
      <c r="DL138" s="8">
        <v>0</v>
      </c>
      <c r="DM138" s="8">
        <v>0</v>
      </c>
      <c r="DN138" s="8">
        <v>0</v>
      </c>
      <c r="DO138" s="9">
        <f t="shared" si="103"/>
        <v>0</v>
      </c>
      <c r="DP138" s="8">
        <v>0</v>
      </c>
      <c r="DQ138" s="8">
        <v>0</v>
      </c>
      <c r="DR138" s="8">
        <v>0</v>
      </c>
      <c r="DS138" s="8">
        <v>0</v>
      </c>
      <c r="DT138" s="8">
        <v>0</v>
      </c>
      <c r="DU138" s="8">
        <v>0</v>
      </c>
      <c r="DV138" s="8">
        <v>0</v>
      </c>
      <c r="DW138" s="8">
        <v>0</v>
      </c>
      <c r="DX138" s="8">
        <v>0</v>
      </c>
      <c r="DY138" s="8">
        <v>0</v>
      </c>
      <c r="DZ138" s="8">
        <v>0</v>
      </c>
      <c r="EA138" s="8">
        <v>0</v>
      </c>
      <c r="EB138" s="9">
        <f t="shared" si="104"/>
        <v>0</v>
      </c>
      <c r="EC138" s="8">
        <v>0</v>
      </c>
      <c r="ED138" s="8">
        <v>0</v>
      </c>
      <c r="EE138" s="8">
        <v>0</v>
      </c>
      <c r="EF138" s="8">
        <v>0</v>
      </c>
      <c r="EG138" s="8">
        <v>0</v>
      </c>
      <c r="EH138" s="8">
        <v>0</v>
      </c>
      <c r="EI138" s="8">
        <v>0</v>
      </c>
      <c r="EJ138" s="8">
        <v>6723</v>
      </c>
      <c r="EK138" s="8">
        <v>6723</v>
      </c>
      <c r="EL138" s="8">
        <v>6723</v>
      </c>
      <c r="EM138" s="8">
        <v>8178</v>
      </c>
      <c r="EN138" s="8">
        <v>8289</v>
      </c>
      <c r="EO138" s="9">
        <f t="shared" si="105"/>
        <v>8289</v>
      </c>
      <c r="EP138" s="8">
        <v>0</v>
      </c>
      <c r="EQ138" s="8">
        <v>0</v>
      </c>
      <c r="ER138" s="8">
        <v>0</v>
      </c>
      <c r="ES138" s="8">
        <v>3960</v>
      </c>
      <c r="ET138" s="8">
        <v>3960</v>
      </c>
      <c r="EU138" s="8">
        <v>3960</v>
      </c>
      <c r="EV138" s="8">
        <v>3960</v>
      </c>
      <c r="EW138" s="8">
        <v>3960</v>
      </c>
      <c r="EX138" s="8">
        <v>3960</v>
      </c>
      <c r="EY138" s="8">
        <v>3960</v>
      </c>
      <c r="EZ138" s="8">
        <v>3960</v>
      </c>
      <c r="FA138" s="8">
        <v>21799960</v>
      </c>
      <c r="FB138" s="9">
        <f t="shared" si="106"/>
        <v>21799960</v>
      </c>
      <c r="FC138" s="8">
        <v>0</v>
      </c>
      <c r="FD138" s="8">
        <v>0</v>
      </c>
      <c r="FE138" s="8">
        <v>0</v>
      </c>
      <c r="FF138" s="8">
        <v>0</v>
      </c>
      <c r="FG138" s="8">
        <v>0</v>
      </c>
      <c r="FH138" s="8">
        <v>0</v>
      </c>
      <c r="FI138" s="8">
        <v>0</v>
      </c>
      <c r="FJ138" s="8"/>
      <c r="FK138" s="8"/>
      <c r="FL138" s="8"/>
      <c r="FM138" s="8"/>
      <c r="FN138" s="8"/>
      <c r="FO138" s="9">
        <f t="shared" si="107"/>
        <v>0</v>
      </c>
    </row>
    <row r="139" spans="2:171" ht="14.25" customHeight="1" x14ac:dyDescent="0.3">
      <c r="B139" s="14" t="s">
        <v>72</v>
      </c>
      <c r="C139" s="16">
        <f t="shared" ref="C139:AH139" si="108">SUM(C121:C138)</f>
        <v>422402</v>
      </c>
      <c r="D139" s="16">
        <f t="shared" si="108"/>
        <v>448717</v>
      </c>
      <c r="E139" s="16">
        <f t="shared" si="108"/>
        <v>457161</v>
      </c>
      <c r="F139" s="16">
        <f t="shared" si="108"/>
        <v>508943</v>
      </c>
      <c r="G139" s="16">
        <f t="shared" si="108"/>
        <v>692742</v>
      </c>
      <c r="H139" s="16">
        <f t="shared" si="108"/>
        <v>807568</v>
      </c>
      <c r="I139" s="16">
        <f t="shared" si="108"/>
        <v>1080601</v>
      </c>
      <c r="J139" s="16">
        <f t="shared" si="108"/>
        <v>1708595</v>
      </c>
      <c r="K139" s="16">
        <f t="shared" si="108"/>
        <v>2846821</v>
      </c>
      <c r="L139" s="16">
        <f t="shared" si="108"/>
        <v>3593387</v>
      </c>
      <c r="M139" s="16">
        <f t="shared" si="108"/>
        <v>41937135</v>
      </c>
      <c r="N139" s="16">
        <f t="shared" si="108"/>
        <v>53822683</v>
      </c>
      <c r="O139" s="16">
        <f t="shared" si="108"/>
        <v>53822683</v>
      </c>
      <c r="P139" s="16">
        <f t="shared" si="108"/>
        <v>149599</v>
      </c>
      <c r="Q139" s="16">
        <f t="shared" si="108"/>
        <v>576651</v>
      </c>
      <c r="R139" s="16">
        <f t="shared" si="108"/>
        <v>722048</v>
      </c>
      <c r="S139" s="16">
        <f t="shared" si="108"/>
        <v>2792796</v>
      </c>
      <c r="T139" s="16">
        <f t="shared" si="108"/>
        <v>3829101</v>
      </c>
      <c r="U139" s="16">
        <f t="shared" si="108"/>
        <v>8189413</v>
      </c>
      <c r="V139" s="16">
        <f t="shared" si="108"/>
        <v>8582396</v>
      </c>
      <c r="W139" s="16">
        <f t="shared" si="108"/>
        <v>10452563</v>
      </c>
      <c r="X139" s="16">
        <f t="shared" si="108"/>
        <v>14192733</v>
      </c>
      <c r="Y139" s="16">
        <f t="shared" si="108"/>
        <v>15027588</v>
      </c>
      <c r="Z139" s="16">
        <f t="shared" si="108"/>
        <v>21243735</v>
      </c>
      <c r="AA139" s="16">
        <f t="shared" si="108"/>
        <v>44868488</v>
      </c>
      <c r="AB139" s="16">
        <f t="shared" si="108"/>
        <v>44868488</v>
      </c>
      <c r="AC139" s="16">
        <f t="shared" si="108"/>
        <v>6667</v>
      </c>
      <c r="AD139" s="16">
        <f t="shared" si="108"/>
        <v>305263</v>
      </c>
      <c r="AE139" s="16">
        <f t="shared" si="108"/>
        <v>572240</v>
      </c>
      <c r="AF139" s="16">
        <f t="shared" si="108"/>
        <v>780654</v>
      </c>
      <c r="AG139" s="16">
        <f t="shared" si="108"/>
        <v>1832076</v>
      </c>
      <c r="AH139" s="16">
        <f t="shared" si="108"/>
        <v>2645237</v>
      </c>
      <c r="AI139" s="16">
        <f t="shared" ref="AI139:BN139" si="109">SUM(AI121:AI138)</f>
        <v>3507376</v>
      </c>
      <c r="AJ139" s="16">
        <f t="shared" si="109"/>
        <v>5981916</v>
      </c>
      <c r="AK139" s="16">
        <f t="shared" si="109"/>
        <v>10135223</v>
      </c>
      <c r="AL139" s="16">
        <f t="shared" si="109"/>
        <v>14660830</v>
      </c>
      <c r="AM139" s="16">
        <f t="shared" si="109"/>
        <v>16644376</v>
      </c>
      <c r="AN139" s="16">
        <f t="shared" si="109"/>
        <v>26610300</v>
      </c>
      <c r="AO139" s="16">
        <f t="shared" si="109"/>
        <v>26610300</v>
      </c>
      <c r="AP139" s="16">
        <f t="shared" si="109"/>
        <v>242</v>
      </c>
      <c r="AQ139" s="16">
        <f t="shared" si="109"/>
        <v>580338</v>
      </c>
      <c r="AR139" s="16">
        <f t="shared" si="109"/>
        <v>681157</v>
      </c>
      <c r="AS139" s="16">
        <f t="shared" si="109"/>
        <v>1222641</v>
      </c>
      <c r="AT139" s="16">
        <f t="shared" si="109"/>
        <v>2205260</v>
      </c>
      <c r="AU139" s="16">
        <f t="shared" si="109"/>
        <v>2807614</v>
      </c>
      <c r="AV139" s="16">
        <f t="shared" si="109"/>
        <v>3116418</v>
      </c>
      <c r="AW139" s="16">
        <f t="shared" si="109"/>
        <v>3608277</v>
      </c>
      <c r="AX139" s="16">
        <f t="shared" si="109"/>
        <v>3795437</v>
      </c>
      <c r="AY139" s="16">
        <f t="shared" si="109"/>
        <v>4614100</v>
      </c>
      <c r="AZ139" s="16">
        <f t="shared" si="109"/>
        <v>5370137</v>
      </c>
      <c r="BA139" s="16">
        <f t="shared" si="109"/>
        <v>34423837</v>
      </c>
      <c r="BB139" s="16">
        <f t="shared" si="109"/>
        <v>34423837</v>
      </c>
      <c r="BC139" s="16">
        <f t="shared" si="109"/>
        <v>2559</v>
      </c>
      <c r="BD139" s="16">
        <f t="shared" si="109"/>
        <v>108109</v>
      </c>
      <c r="BE139" s="16">
        <f t="shared" si="109"/>
        <v>848929</v>
      </c>
      <c r="BF139" s="16">
        <f t="shared" si="109"/>
        <v>930191</v>
      </c>
      <c r="BG139" s="16">
        <f t="shared" si="109"/>
        <v>1224758</v>
      </c>
      <c r="BH139" s="16">
        <f t="shared" si="109"/>
        <v>4788898</v>
      </c>
      <c r="BI139" s="16">
        <f t="shared" si="109"/>
        <v>5009073</v>
      </c>
      <c r="BJ139" s="16">
        <f t="shared" si="109"/>
        <v>5188633</v>
      </c>
      <c r="BK139" s="16">
        <f t="shared" si="109"/>
        <v>5461891</v>
      </c>
      <c r="BL139" s="16">
        <f t="shared" si="109"/>
        <v>5691860</v>
      </c>
      <c r="BM139" s="16">
        <f t="shared" si="109"/>
        <v>6073257</v>
      </c>
      <c r="BN139" s="16">
        <f t="shared" si="109"/>
        <v>14142775</v>
      </c>
      <c r="BO139" s="16">
        <f t="shared" ref="BO139:CT139" si="110">SUM(BO121:BO138)</f>
        <v>14142775</v>
      </c>
      <c r="BP139" s="16">
        <f t="shared" si="110"/>
        <v>56966</v>
      </c>
      <c r="BQ139" s="16">
        <f t="shared" si="110"/>
        <v>132524</v>
      </c>
      <c r="BR139" s="16">
        <f t="shared" si="110"/>
        <v>960647</v>
      </c>
      <c r="BS139" s="16">
        <f t="shared" si="110"/>
        <v>1340984</v>
      </c>
      <c r="BT139" s="16">
        <f t="shared" si="110"/>
        <v>3525333</v>
      </c>
      <c r="BU139" s="16">
        <f t="shared" si="110"/>
        <v>3758641</v>
      </c>
      <c r="BV139" s="16">
        <f t="shared" si="110"/>
        <v>4615725</v>
      </c>
      <c r="BW139" s="16">
        <f t="shared" si="110"/>
        <v>4792479</v>
      </c>
      <c r="BX139" s="16">
        <f t="shared" si="110"/>
        <v>21447032</v>
      </c>
      <c r="BY139" s="16">
        <f t="shared" si="110"/>
        <v>26224603</v>
      </c>
      <c r="BZ139" s="16">
        <f t="shared" si="110"/>
        <v>30954525</v>
      </c>
      <c r="CA139" s="16">
        <f t="shared" si="110"/>
        <v>43476902</v>
      </c>
      <c r="CB139" s="16">
        <f t="shared" si="110"/>
        <v>43476902</v>
      </c>
      <c r="CC139" s="16">
        <f t="shared" si="110"/>
        <v>6204</v>
      </c>
      <c r="CD139" s="16">
        <f t="shared" si="110"/>
        <v>863345</v>
      </c>
      <c r="CE139" s="16">
        <f t="shared" si="110"/>
        <v>879350</v>
      </c>
      <c r="CF139" s="16">
        <f t="shared" si="110"/>
        <v>1029286</v>
      </c>
      <c r="CG139" s="16">
        <f t="shared" si="110"/>
        <v>1508291</v>
      </c>
      <c r="CH139" s="16">
        <f t="shared" si="110"/>
        <v>1566772</v>
      </c>
      <c r="CI139" s="16">
        <f t="shared" si="110"/>
        <v>1998078</v>
      </c>
      <c r="CJ139" s="16">
        <f t="shared" si="110"/>
        <v>2766206</v>
      </c>
      <c r="CK139" s="16">
        <f t="shared" si="110"/>
        <v>2906410</v>
      </c>
      <c r="CL139" s="16">
        <f t="shared" si="110"/>
        <v>5054487</v>
      </c>
      <c r="CM139" s="16">
        <f t="shared" si="110"/>
        <v>13059562</v>
      </c>
      <c r="CN139" s="16">
        <f t="shared" si="110"/>
        <v>29129572</v>
      </c>
      <c r="CO139" s="16">
        <f t="shared" si="110"/>
        <v>29129572</v>
      </c>
      <c r="CP139" s="16">
        <f t="shared" si="110"/>
        <v>29068</v>
      </c>
      <c r="CQ139" s="16">
        <f t="shared" si="110"/>
        <v>388663</v>
      </c>
      <c r="CR139" s="16">
        <f t="shared" si="110"/>
        <v>396251</v>
      </c>
      <c r="CS139" s="16">
        <f t="shared" si="110"/>
        <v>480645</v>
      </c>
      <c r="CT139" s="16">
        <f t="shared" si="110"/>
        <v>629756</v>
      </c>
      <c r="CU139" s="16">
        <f t="shared" ref="CU139:DZ139" si="111">SUM(CU121:CU138)</f>
        <v>2351874</v>
      </c>
      <c r="CV139" s="16">
        <f t="shared" si="111"/>
        <v>10435918</v>
      </c>
      <c r="CW139" s="16">
        <f t="shared" si="111"/>
        <v>12128811</v>
      </c>
      <c r="CX139" s="16">
        <f t="shared" si="111"/>
        <v>14973795</v>
      </c>
      <c r="CY139" s="16">
        <f t="shared" si="111"/>
        <v>15772301</v>
      </c>
      <c r="CZ139" s="16">
        <f t="shared" si="111"/>
        <v>18333222</v>
      </c>
      <c r="DA139" s="16">
        <f t="shared" si="111"/>
        <v>35709232</v>
      </c>
      <c r="DB139" s="16">
        <f t="shared" si="111"/>
        <v>35709232</v>
      </c>
      <c r="DC139" s="16">
        <f t="shared" si="111"/>
        <v>68886</v>
      </c>
      <c r="DD139" s="16">
        <f t="shared" si="111"/>
        <v>69186</v>
      </c>
      <c r="DE139" s="16">
        <f t="shared" si="111"/>
        <v>207582</v>
      </c>
      <c r="DF139" s="16">
        <f t="shared" si="111"/>
        <v>359826</v>
      </c>
      <c r="DG139" s="16">
        <f t="shared" si="111"/>
        <v>368482</v>
      </c>
      <c r="DH139" s="16">
        <f t="shared" si="111"/>
        <v>390225</v>
      </c>
      <c r="DI139" s="16">
        <f t="shared" si="111"/>
        <v>6298159</v>
      </c>
      <c r="DJ139" s="16">
        <f t="shared" si="111"/>
        <v>7716744</v>
      </c>
      <c r="DK139" s="16">
        <f t="shared" si="111"/>
        <v>9950195</v>
      </c>
      <c r="DL139" s="16">
        <f t="shared" si="111"/>
        <v>10056284</v>
      </c>
      <c r="DM139" s="16">
        <f t="shared" si="111"/>
        <v>10594322</v>
      </c>
      <c r="DN139" s="16">
        <f t="shared" si="111"/>
        <v>190462134</v>
      </c>
      <c r="DO139" s="16">
        <f t="shared" si="111"/>
        <v>190462134</v>
      </c>
      <c r="DP139" s="16">
        <f t="shared" si="111"/>
        <v>1250846</v>
      </c>
      <c r="DQ139" s="16">
        <f t="shared" si="111"/>
        <v>1392713</v>
      </c>
      <c r="DR139" s="16">
        <f t="shared" si="111"/>
        <v>1433256</v>
      </c>
      <c r="DS139" s="16">
        <f t="shared" si="111"/>
        <v>1483029</v>
      </c>
      <c r="DT139" s="16">
        <f t="shared" si="111"/>
        <v>5499501</v>
      </c>
      <c r="DU139" s="16">
        <f t="shared" si="111"/>
        <v>5662133</v>
      </c>
      <c r="DV139" s="16">
        <f t="shared" si="111"/>
        <v>5691558</v>
      </c>
      <c r="DW139" s="16">
        <f t="shared" si="111"/>
        <v>5886398</v>
      </c>
      <c r="DX139" s="16">
        <f t="shared" si="111"/>
        <v>5928775</v>
      </c>
      <c r="DY139" s="16">
        <f t="shared" si="111"/>
        <v>6101889</v>
      </c>
      <c r="DZ139" s="16">
        <f t="shared" si="111"/>
        <v>6734663</v>
      </c>
      <c r="EA139" s="16">
        <f t="shared" ref="EA139:FF139" si="112">SUM(EA121:EA138)</f>
        <v>33393071</v>
      </c>
      <c r="EB139" s="16">
        <f t="shared" si="112"/>
        <v>33393071</v>
      </c>
      <c r="EC139" s="16">
        <f t="shared" si="112"/>
        <v>1473303</v>
      </c>
      <c r="ED139" s="16">
        <f t="shared" si="112"/>
        <v>1473303</v>
      </c>
      <c r="EE139" s="16">
        <f t="shared" si="112"/>
        <v>1611277</v>
      </c>
      <c r="EF139" s="16">
        <f t="shared" si="112"/>
        <v>1631762</v>
      </c>
      <c r="EG139" s="16">
        <f t="shared" si="112"/>
        <v>1753296</v>
      </c>
      <c r="EH139" s="16">
        <f t="shared" si="112"/>
        <v>1760771</v>
      </c>
      <c r="EI139" s="16">
        <f t="shared" si="112"/>
        <v>7948833</v>
      </c>
      <c r="EJ139" s="16">
        <f t="shared" si="112"/>
        <v>8141054</v>
      </c>
      <c r="EK139" s="16">
        <f t="shared" si="112"/>
        <v>8187225</v>
      </c>
      <c r="EL139" s="16">
        <f t="shared" si="112"/>
        <v>8300992</v>
      </c>
      <c r="EM139" s="16">
        <f t="shared" si="112"/>
        <v>10560162</v>
      </c>
      <c r="EN139" s="16">
        <f t="shared" si="112"/>
        <v>19062259</v>
      </c>
      <c r="EO139" s="16">
        <f t="shared" si="112"/>
        <v>19062259</v>
      </c>
      <c r="EP139" s="16">
        <f t="shared" si="112"/>
        <v>0</v>
      </c>
      <c r="EQ139" s="16">
        <f t="shared" si="112"/>
        <v>757870</v>
      </c>
      <c r="ER139" s="16">
        <f t="shared" si="112"/>
        <v>840115</v>
      </c>
      <c r="ES139" s="16">
        <f t="shared" si="112"/>
        <v>868223</v>
      </c>
      <c r="ET139" s="16">
        <f t="shared" si="112"/>
        <v>926963</v>
      </c>
      <c r="EU139" s="16">
        <f t="shared" si="112"/>
        <v>963380</v>
      </c>
      <c r="EV139" s="16">
        <f t="shared" si="112"/>
        <v>1034533</v>
      </c>
      <c r="EW139" s="16">
        <f t="shared" si="112"/>
        <v>2263041</v>
      </c>
      <c r="EX139" s="16">
        <f t="shared" si="112"/>
        <v>2326135</v>
      </c>
      <c r="EY139" s="16">
        <f t="shared" si="112"/>
        <v>3001496</v>
      </c>
      <c r="EZ139" s="16">
        <f t="shared" si="112"/>
        <v>3233477</v>
      </c>
      <c r="FA139" s="16">
        <f t="shared" si="112"/>
        <v>36971438</v>
      </c>
      <c r="FB139" s="16">
        <f t="shared" si="112"/>
        <v>36971438</v>
      </c>
      <c r="FC139" s="16">
        <f t="shared" si="112"/>
        <v>1719166</v>
      </c>
      <c r="FD139" s="16">
        <f t="shared" si="112"/>
        <v>1719166</v>
      </c>
      <c r="FE139" s="16">
        <f t="shared" si="112"/>
        <v>1866021</v>
      </c>
      <c r="FF139" s="16">
        <f t="shared" si="112"/>
        <v>1873924</v>
      </c>
      <c r="FG139" s="16">
        <f t="shared" ref="FG139:GL139" si="113">SUM(FG121:FG138)</f>
        <v>1910136</v>
      </c>
      <c r="FH139" s="16">
        <f t="shared" si="113"/>
        <v>1978750</v>
      </c>
      <c r="FI139" s="16">
        <f t="shared" si="113"/>
        <v>1989460</v>
      </c>
      <c r="FJ139" s="16">
        <f t="shared" si="113"/>
        <v>0</v>
      </c>
      <c r="FK139" s="16">
        <f t="shared" si="113"/>
        <v>0</v>
      </c>
      <c r="FL139" s="16">
        <f t="shared" si="113"/>
        <v>0</v>
      </c>
      <c r="FM139" s="16">
        <f t="shared" si="113"/>
        <v>0</v>
      </c>
      <c r="FN139" s="16">
        <f t="shared" si="113"/>
        <v>0</v>
      </c>
      <c r="FO139" s="16">
        <f t="shared" si="113"/>
        <v>1989460</v>
      </c>
    </row>
    <row r="140" spans="2:171" ht="14.25" customHeight="1" x14ac:dyDescent="0.3"/>
    <row r="141" spans="2:171" ht="14.25" customHeight="1" x14ac:dyDescent="0.3"/>
    <row r="142" spans="2:171" ht="14.25" customHeight="1" x14ac:dyDescent="0.35">
      <c r="B142" s="3" t="s">
        <v>73</v>
      </c>
    </row>
    <row r="143" spans="2:171" ht="14.25" customHeight="1" x14ac:dyDescent="0.3">
      <c r="B143" s="4" t="s">
        <v>74</v>
      </c>
    </row>
    <row r="144" spans="2:171" ht="14.25" customHeight="1" x14ac:dyDescent="0.3">
      <c r="C144" s="33" t="s">
        <v>4</v>
      </c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3" t="s">
        <v>5</v>
      </c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3" t="s">
        <v>6</v>
      </c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3" t="s">
        <v>7</v>
      </c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3" t="s">
        <v>8</v>
      </c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3" t="s">
        <v>9</v>
      </c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3" t="s">
        <v>10</v>
      </c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3" t="s">
        <v>11</v>
      </c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3" t="s">
        <v>12</v>
      </c>
      <c r="DD144" s="34"/>
      <c r="DE144" s="34"/>
      <c r="DF144" s="34"/>
      <c r="DG144" s="34"/>
      <c r="DH144" s="34"/>
      <c r="DI144" s="34"/>
      <c r="DJ144" s="34"/>
      <c r="DK144" s="34"/>
      <c r="DL144" s="34"/>
      <c r="DM144" s="34"/>
      <c r="DN144" s="34"/>
      <c r="DO144" s="34"/>
      <c r="DP144" s="33" t="s">
        <v>13</v>
      </c>
      <c r="DQ144" s="34"/>
      <c r="DR144" s="34"/>
      <c r="DS144" s="34"/>
      <c r="DT144" s="34"/>
      <c r="DU144" s="34"/>
      <c r="DV144" s="34"/>
      <c r="DW144" s="34"/>
      <c r="DX144" s="34"/>
      <c r="DY144" s="34"/>
      <c r="DZ144" s="34"/>
      <c r="EA144" s="34"/>
      <c r="EB144" s="34"/>
      <c r="EC144" s="33" t="s">
        <v>14</v>
      </c>
      <c r="ED144" s="34"/>
      <c r="EE144" s="34"/>
      <c r="EF144" s="34"/>
      <c r="EG144" s="34"/>
      <c r="EH144" s="34"/>
      <c r="EI144" s="34"/>
      <c r="EJ144" s="34"/>
      <c r="EK144" s="34"/>
      <c r="EL144" s="34"/>
      <c r="EM144" s="34"/>
      <c r="EN144" s="34"/>
      <c r="EO144" s="34"/>
      <c r="EP144" s="33" t="s">
        <v>15</v>
      </c>
      <c r="EQ144" s="34"/>
      <c r="ER144" s="34"/>
      <c r="ES144" s="34"/>
      <c r="ET144" s="34"/>
      <c r="EU144" s="34"/>
      <c r="EV144" s="34"/>
      <c r="EW144" s="34"/>
      <c r="EX144" s="34"/>
      <c r="EY144" s="34"/>
      <c r="EZ144" s="34"/>
      <c r="FA144" s="34"/>
      <c r="FB144" s="34"/>
      <c r="FC144" s="33" t="s">
        <v>16</v>
      </c>
      <c r="FD144" s="34"/>
      <c r="FE144" s="34"/>
      <c r="FF144" s="34"/>
      <c r="FG144" s="34"/>
      <c r="FH144" s="34"/>
      <c r="FI144" s="34"/>
      <c r="FJ144" s="34"/>
      <c r="FK144" s="34"/>
      <c r="FL144" s="34"/>
      <c r="FM144" s="34"/>
      <c r="FN144" s="34"/>
      <c r="FO144" s="34"/>
    </row>
    <row r="145" spans="2:171" ht="14.25" customHeight="1" x14ac:dyDescent="0.3">
      <c r="B145" s="5" t="s">
        <v>17</v>
      </c>
      <c r="C145" s="6" t="s">
        <v>18</v>
      </c>
      <c r="D145" s="6" t="s">
        <v>19</v>
      </c>
      <c r="E145" s="6" t="s">
        <v>20</v>
      </c>
      <c r="F145" s="6" t="s">
        <v>21</v>
      </c>
      <c r="G145" s="6" t="s">
        <v>22</v>
      </c>
      <c r="H145" s="6" t="s">
        <v>23</v>
      </c>
      <c r="I145" s="6" t="s">
        <v>24</v>
      </c>
      <c r="J145" s="6" t="s">
        <v>25</v>
      </c>
      <c r="K145" s="6" t="s">
        <v>26</v>
      </c>
      <c r="L145" s="6" t="s">
        <v>27</v>
      </c>
      <c r="M145" s="6" t="s">
        <v>28</v>
      </c>
      <c r="N145" s="6" t="s">
        <v>29</v>
      </c>
      <c r="O145" s="6" t="s">
        <v>30</v>
      </c>
      <c r="P145" s="6" t="s">
        <v>18</v>
      </c>
      <c r="Q145" s="6" t="s">
        <v>19</v>
      </c>
      <c r="R145" s="6" t="s">
        <v>20</v>
      </c>
      <c r="S145" s="6" t="s">
        <v>21</v>
      </c>
      <c r="T145" s="6" t="s">
        <v>22</v>
      </c>
      <c r="U145" s="6" t="s">
        <v>23</v>
      </c>
      <c r="V145" s="6" t="s">
        <v>24</v>
      </c>
      <c r="W145" s="6" t="s">
        <v>25</v>
      </c>
      <c r="X145" s="6" t="s">
        <v>26</v>
      </c>
      <c r="Y145" s="6" t="s">
        <v>27</v>
      </c>
      <c r="Z145" s="6" t="s">
        <v>28</v>
      </c>
      <c r="AA145" s="6" t="s">
        <v>29</v>
      </c>
      <c r="AB145" s="6" t="s">
        <v>31</v>
      </c>
      <c r="AC145" s="6" t="s">
        <v>18</v>
      </c>
      <c r="AD145" s="6" t="s">
        <v>19</v>
      </c>
      <c r="AE145" s="6" t="s">
        <v>20</v>
      </c>
      <c r="AF145" s="6" t="s">
        <v>21</v>
      </c>
      <c r="AG145" s="6" t="s">
        <v>22</v>
      </c>
      <c r="AH145" s="6" t="s">
        <v>23</v>
      </c>
      <c r="AI145" s="6" t="s">
        <v>24</v>
      </c>
      <c r="AJ145" s="6" t="s">
        <v>25</v>
      </c>
      <c r="AK145" s="6" t="s">
        <v>26</v>
      </c>
      <c r="AL145" s="6" t="s">
        <v>27</v>
      </c>
      <c r="AM145" s="6" t="s">
        <v>28</v>
      </c>
      <c r="AN145" s="6" t="s">
        <v>29</v>
      </c>
      <c r="AO145" s="6" t="s">
        <v>32</v>
      </c>
      <c r="AP145" s="6" t="s">
        <v>18</v>
      </c>
      <c r="AQ145" s="6" t="s">
        <v>19</v>
      </c>
      <c r="AR145" s="6" t="s">
        <v>20</v>
      </c>
      <c r="AS145" s="6" t="s">
        <v>21</v>
      </c>
      <c r="AT145" s="6" t="s">
        <v>22</v>
      </c>
      <c r="AU145" s="6" t="s">
        <v>23</v>
      </c>
      <c r="AV145" s="6" t="s">
        <v>24</v>
      </c>
      <c r="AW145" s="6" t="s">
        <v>25</v>
      </c>
      <c r="AX145" s="6" t="s">
        <v>26</v>
      </c>
      <c r="AY145" s="6" t="s">
        <v>27</v>
      </c>
      <c r="AZ145" s="6" t="s">
        <v>28</v>
      </c>
      <c r="BA145" s="6" t="s">
        <v>29</v>
      </c>
      <c r="BB145" s="6" t="s">
        <v>33</v>
      </c>
      <c r="BC145" s="6" t="s">
        <v>18</v>
      </c>
      <c r="BD145" s="6" t="s">
        <v>19</v>
      </c>
      <c r="BE145" s="6" t="s">
        <v>20</v>
      </c>
      <c r="BF145" s="6" t="s">
        <v>21</v>
      </c>
      <c r="BG145" s="6" t="s">
        <v>22</v>
      </c>
      <c r="BH145" s="6" t="s">
        <v>23</v>
      </c>
      <c r="BI145" s="6" t="s">
        <v>24</v>
      </c>
      <c r="BJ145" s="6" t="s">
        <v>25</v>
      </c>
      <c r="BK145" s="6" t="s">
        <v>26</v>
      </c>
      <c r="BL145" s="6" t="s">
        <v>27</v>
      </c>
      <c r="BM145" s="6" t="s">
        <v>28</v>
      </c>
      <c r="BN145" s="6" t="s">
        <v>29</v>
      </c>
      <c r="BO145" s="6" t="s">
        <v>34</v>
      </c>
      <c r="BP145" s="6" t="s">
        <v>18</v>
      </c>
      <c r="BQ145" s="6" t="s">
        <v>19</v>
      </c>
      <c r="BR145" s="6" t="s">
        <v>20</v>
      </c>
      <c r="BS145" s="6" t="s">
        <v>21</v>
      </c>
      <c r="BT145" s="6" t="s">
        <v>22</v>
      </c>
      <c r="BU145" s="6" t="s">
        <v>23</v>
      </c>
      <c r="BV145" s="6" t="s">
        <v>24</v>
      </c>
      <c r="BW145" s="6" t="s">
        <v>25</v>
      </c>
      <c r="BX145" s="6" t="s">
        <v>26</v>
      </c>
      <c r="BY145" s="6" t="s">
        <v>27</v>
      </c>
      <c r="BZ145" s="6" t="s">
        <v>28</v>
      </c>
      <c r="CA145" s="6" t="s">
        <v>29</v>
      </c>
      <c r="CB145" s="6" t="s">
        <v>35</v>
      </c>
      <c r="CC145" s="6" t="s">
        <v>18</v>
      </c>
      <c r="CD145" s="6" t="s">
        <v>19</v>
      </c>
      <c r="CE145" s="6" t="s">
        <v>20</v>
      </c>
      <c r="CF145" s="6" t="s">
        <v>21</v>
      </c>
      <c r="CG145" s="6" t="s">
        <v>22</v>
      </c>
      <c r="CH145" s="6" t="s">
        <v>23</v>
      </c>
      <c r="CI145" s="6" t="s">
        <v>24</v>
      </c>
      <c r="CJ145" s="6" t="s">
        <v>25</v>
      </c>
      <c r="CK145" s="6" t="s">
        <v>26</v>
      </c>
      <c r="CL145" s="6" t="s">
        <v>27</v>
      </c>
      <c r="CM145" s="6" t="s">
        <v>28</v>
      </c>
      <c r="CN145" s="6" t="s">
        <v>29</v>
      </c>
      <c r="CO145" s="6" t="s">
        <v>36</v>
      </c>
      <c r="CP145" s="6" t="s">
        <v>18</v>
      </c>
      <c r="CQ145" s="6" t="s">
        <v>19</v>
      </c>
      <c r="CR145" s="6" t="s">
        <v>20</v>
      </c>
      <c r="CS145" s="6" t="s">
        <v>21</v>
      </c>
      <c r="CT145" s="6" t="s">
        <v>22</v>
      </c>
      <c r="CU145" s="6" t="s">
        <v>23</v>
      </c>
      <c r="CV145" s="6" t="s">
        <v>24</v>
      </c>
      <c r="CW145" s="6" t="s">
        <v>25</v>
      </c>
      <c r="CX145" s="6" t="s">
        <v>26</v>
      </c>
      <c r="CY145" s="6" t="s">
        <v>27</v>
      </c>
      <c r="CZ145" s="6" t="s">
        <v>28</v>
      </c>
      <c r="DA145" s="6" t="s">
        <v>29</v>
      </c>
      <c r="DB145" s="6" t="s">
        <v>37</v>
      </c>
      <c r="DC145" s="6" t="s">
        <v>18</v>
      </c>
      <c r="DD145" s="6" t="s">
        <v>19</v>
      </c>
      <c r="DE145" s="6" t="s">
        <v>20</v>
      </c>
      <c r="DF145" s="6" t="s">
        <v>21</v>
      </c>
      <c r="DG145" s="6" t="s">
        <v>22</v>
      </c>
      <c r="DH145" s="6" t="s">
        <v>23</v>
      </c>
      <c r="DI145" s="6" t="s">
        <v>24</v>
      </c>
      <c r="DJ145" s="6" t="s">
        <v>25</v>
      </c>
      <c r="DK145" s="6" t="s">
        <v>26</v>
      </c>
      <c r="DL145" s="6" t="s">
        <v>27</v>
      </c>
      <c r="DM145" s="6" t="s">
        <v>28</v>
      </c>
      <c r="DN145" s="6" t="s">
        <v>29</v>
      </c>
      <c r="DO145" s="6" t="s">
        <v>38</v>
      </c>
      <c r="DP145" s="6" t="s">
        <v>18</v>
      </c>
      <c r="DQ145" s="6" t="s">
        <v>19</v>
      </c>
      <c r="DR145" s="6" t="s">
        <v>20</v>
      </c>
      <c r="DS145" s="6" t="s">
        <v>21</v>
      </c>
      <c r="DT145" s="6" t="s">
        <v>22</v>
      </c>
      <c r="DU145" s="6" t="s">
        <v>23</v>
      </c>
      <c r="DV145" s="6" t="s">
        <v>24</v>
      </c>
      <c r="DW145" s="6" t="s">
        <v>25</v>
      </c>
      <c r="DX145" s="6" t="s">
        <v>26</v>
      </c>
      <c r="DY145" s="6" t="s">
        <v>27</v>
      </c>
      <c r="DZ145" s="6" t="s">
        <v>28</v>
      </c>
      <c r="EA145" s="6" t="s">
        <v>29</v>
      </c>
      <c r="EB145" s="6" t="s">
        <v>39</v>
      </c>
      <c r="EC145" s="6" t="s">
        <v>18</v>
      </c>
      <c r="ED145" s="6" t="s">
        <v>19</v>
      </c>
      <c r="EE145" s="6" t="s">
        <v>20</v>
      </c>
      <c r="EF145" s="6" t="s">
        <v>21</v>
      </c>
      <c r="EG145" s="6" t="s">
        <v>22</v>
      </c>
      <c r="EH145" s="6" t="s">
        <v>23</v>
      </c>
      <c r="EI145" s="6" t="s">
        <v>24</v>
      </c>
      <c r="EJ145" s="6" t="s">
        <v>25</v>
      </c>
      <c r="EK145" s="6" t="s">
        <v>26</v>
      </c>
      <c r="EL145" s="6" t="s">
        <v>27</v>
      </c>
      <c r="EM145" s="6" t="s">
        <v>28</v>
      </c>
      <c r="EN145" s="6" t="s">
        <v>29</v>
      </c>
      <c r="EO145" s="6" t="s">
        <v>40</v>
      </c>
      <c r="EP145" s="6" t="s">
        <v>18</v>
      </c>
      <c r="EQ145" s="6" t="s">
        <v>19</v>
      </c>
      <c r="ER145" s="6" t="s">
        <v>20</v>
      </c>
      <c r="ES145" s="6" t="s">
        <v>21</v>
      </c>
      <c r="ET145" s="6" t="s">
        <v>22</v>
      </c>
      <c r="EU145" s="6" t="s">
        <v>23</v>
      </c>
      <c r="EV145" s="6" t="s">
        <v>24</v>
      </c>
      <c r="EW145" s="6" t="s">
        <v>25</v>
      </c>
      <c r="EX145" s="6" t="s">
        <v>26</v>
      </c>
      <c r="EY145" s="6" t="s">
        <v>27</v>
      </c>
      <c r="EZ145" s="6" t="s">
        <v>28</v>
      </c>
      <c r="FA145" s="6" t="s">
        <v>29</v>
      </c>
      <c r="FB145" s="6" t="s">
        <v>41</v>
      </c>
      <c r="FC145" s="6" t="s">
        <v>18</v>
      </c>
      <c r="FD145" s="6" t="s">
        <v>19</v>
      </c>
      <c r="FE145" s="6" t="s">
        <v>20</v>
      </c>
      <c r="FF145" s="6" t="s">
        <v>21</v>
      </c>
      <c r="FG145" s="6" t="s">
        <v>22</v>
      </c>
      <c r="FH145" s="6" t="s">
        <v>23</v>
      </c>
      <c r="FI145" s="6" t="s">
        <v>24</v>
      </c>
      <c r="FJ145" s="6" t="s">
        <v>25</v>
      </c>
      <c r="FK145" s="6" t="s">
        <v>26</v>
      </c>
      <c r="FL145" s="6" t="s">
        <v>27</v>
      </c>
      <c r="FM145" s="6" t="s">
        <v>28</v>
      </c>
      <c r="FN145" s="6" t="s">
        <v>29</v>
      </c>
      <c r="FO145" s="6" t="s">
        <v>42</v>
      </c>
    </row>
    <row r="146" spans="2:171" ht="14.25" customHeight="1" x14ac:dyDescent="0.3">
      <c r="B146" s="7" t="s">
        <v>43</v>
      </c>
      <c r="C146" s="8">
        <v>71955439</v>
      </c>
      <c r="D146" s="8">
        <v>71955439</v>
      </c>
      <c r="E146" s="8">
        <v>103493879</v>
      </c>
      <c r="F146" s="8">
        <v>103493879</v>
      </c>
      <c r="G146" s="8">
        <v>103493879</v>
      </c>
      <c r="H146" s="8">
        <v>103493879</v>
      </c>
      <c r="I146" s="8">
        <v>103493879</v>
      </c>
      <c r="J146" s="8">
        <v>103493879</v>
      </c>
      <c r="K146" s="8">
        <v>103493879</v>
      </c>
      <c r="L146" s="8">
        <v>103493879</v>
      </c>
      <c r="M146" s="8">
        <v>103493879</v>
      </c>
      <c r="N146" s="8">
        <v>103493879</v>
      </c>
      <c r="O146" s="9">
        <f t="shared" ref="O146:O163" si="114">N146</f>
        <v>103493879</v>
      </c>
      <c r="P146" s="8">
        <v>104593106</v>
      </c>
      <c r="Q146" s="8">
        <v>104593106</v>
      </c>
      <c r="R146" s="8">
        <v>104593106</v>
      </c>
      <c r="S146" s="8">
        <v>104593106</v>
      </c>
      <c r="T146" s="8">
        <v>104593106</v>
      </c>
      <c r="U146" s="8">
        <v>104593106</v>
      </c>
      <c r="V146" s="8">
        <v>104593106</v>
      </c>
      <c r="W146" s="8">
        <v>104593106</v>
      </c>
      <c r="X146" s="8">
        <v>104593106</v>
      </c>
      <c r="Y146" s="8">
        <v>104593106</v>
      </c>
      <c r="Z146" s="8">
        <v>104593106</v>
      </c>
      <c r="AA146" s="8">
        <v>104593106</v>
      </c>
      <c r="AB146" s="9">
        <f t="shared" ref="AB146:AB163" si="115">AA146</f>
        <v>104593106</v>
      </c>
      <c r="AC146" s="8">
        <v>116262764</v>
      </c>
      <c r="AD146" s="8">
        <v>116262764</v>
      </c>
      <c r="AE146" s="8">
        <v>116262764</v>
      </c>
      <c r="AF146" s="8">
        <v>116262764</v>
      </c>
      <c r="AG146" s="8">
        <v>116262764</v>
      </c>
      <c r="AH146" s="8">
        <v>116262764</v>
      </c>
      <c r="AI146" s="8">
        <v>116262764</v>
      </c>
      <c r="AJ146" s="8">
        <v>116262764</v>
      </c>
      <c r="AK146" s="8">
        <v>116262764</v>
      </c>
      <c r="AL146" s="8">
        <v>116262764</v>
      </c>
      <c r="AM146" s="8">
        <v>116262764</v>
      </c>
      <c r="AN146" s="8">
        <v>116262764</v>
      </c>
      <c r="AO146" s="9">
        <f t="shared" ref="AO146:AO163" si="116">AN146</f>
        <v>116262764</v>
      </c>
      <c r="AP146" s="8">
        <v>121955702</v>
      </c>
      <c r="AQ146" s="8">
        <v>121955702</v>
      </c>
      <c r="AR146" s="8">
        <v>121955702</v>
      </c>
      <c r="AS146" s="8">
        <v>121955702</v>
      </c>
      <c r="AT146" s="8">
        <v>121955702</v>
      </c>
      <c r="AU146" s="8">
        <v>121955702</v>
      </c>
      <c r="AV146" s="8">
        <v>121955702</v>
      </c>
      <c r="AW146" s="8">
        <v>121955702</v>
      </c>
      <c r="AX146" s="8">
        <v>121955702</v>
      </c>
      <c r="AY146" s="8">
        <v>121955702</v>
      </c>
      <c r="AZ146" s="8">
        <v>121955702</v>
      </c>
      <c r="BA146" s="8">
        <v>121955702</v>
      </c>
      <c r="BB146" s="9">
        <f t="shared" ref="BB146:BB163" si="117">BA146</f>
        <v>121955702</v>
      </c>
      <c r="BC146" s="8">
        <v>118063289</v>
      </c>
      <c r="BD146" s="8">
        <v>118063289</v>
      </c>
      <c r="BE146" s="8">
        <v>118063289</v>
      </c>
      <c r="BF146" s="8">
        <v>118063289</v>
      </c>
      <c r="BG146" s="8">
        <v>118063289</v>
      </c>
      <c r="BH146" s="8">
        <v>118063289</v>
      </c>
      <c r="BI146" s="8">
        <v>118063289</v>
      </c>
      <c r="BJ146" s="8">
        <v>118063289</v>
      </c>
      <c r="BK146" s="8">
        <v>118063289</v>
      </c>
      <c r="BL146" s="8">
        <v>118063289</v>
      </c>
      <c r="BM146" s="8">
        <v>118063289</v>
      </c>
      <c r="BN146" s="8">
        <v>118063289</v>
      </c>
      <c r="BO146" s="9">
        <f t="shared" ref="BO146:BO163" si="118">BN146</f>
        <v>118063289</v>
      </c>
      <c r="BP146" s="8">
        <v>119389210</v>
      </c>
      <c r="BQ146" s="8">
        <v>119389210</v>
      </c>
      <c r="BR146" s="8">
        <v>119389210</v>
      </c>
      <c r="BS146" s="8">
        <v>119389210</v>
      </c>
      <c r="BT146" s="8">
        <v>119389210</v>
      </c>
      <c r="BU146" s="8">
        <v>119389210</v>
      </c>
      <c r="BV146" s="8">
        <v>119389210</v>
      </c>
      <c r="BW146" s="8">
        <v>119389210</v>
      </c>
      <c r="BX146" s="8">
        <v>119389210</v>
      </c>
      <c r="BY146" s="8">
        <v>119389210</v>
      </c>
      <c r="BZ146" s="8">
        <v>119389210</v>
      </c>
      <c r="CA146" s="8">
        <v>119389210</v>
      </c>
      <c r="CB146" s="9">
        <f t="shared" ref="CB146:CB163" si="119">CA146</f>
        <v>119389210</v>
      </c>
      <c r="CC146" s="8">
        <v>140864809</v>
      </c>
      <c r="CD146" s="8">
        <v>140864809</v>
      </c>
      <c r="CE146" s="8">
        <v>140864809</v>
      </c>
      <c r="CF146" s="8">
        <v>140864809</v>
      </c>
      <c r="CG146" s="8">
        <v>140864809</v>
      </c>
      <c r="CH146" s="8">
        <v>140864809</v>
      </c>
      <c r="CI146" s="8">
        <v>140864809</v>
      </c>
      <c r="CJ146" s="8">
        <v>140864809</v>
      </c>
      <c r="CK146" s="8">
        <v>140864809</v>
      </c>
      <c r="CL146" s="8">
        <v>140864809</v>
      </c>
      <c r="CM146" s="8">
        <v>140864809</v>
      </c>
      <c r="CN146" s="8">
        <v>140864809</v>
      </c>
      <c r="CO146" s="9">
        <f t="shared" ref="CO146:CO163" si="120">CN146</f>
        <v>140864809</v>
      </c>
      <c r="CP146" s="8">
        <v>176108496</v>
      </c>
      <c r="CQ146" s="8">
        <v>176108496</v>
      </c>
      <c r="CR146" s="8">
        <v>176108496</v>
      </c>
      <c r="CS146" s="8">
        <v>176108496</v>
      </c>
      <c r="CT146" s="8">
        <v>176108496</v>
      </c>
      <c r="CU146" s="8">
        <v>176108496</v>
      </c>
      <c r="CV146" s="8">
        <v>176108496</v>
      </c>
      <c r="CW146" s="8">
        <v>176108496</v>
      </c>
      <c r="CX146" s="8">
        <v>176108496</v>
      </c>
      <c r="CY146" s="8">
        <v>176108496</v>
      </c>
      <c r="CZ146" s="8">
        <v>176108496</v>
      </c>
      <c r="DA146" s="8">
        <v>176108496</v>
      </c>
      <c r="DB146" s="9">
        <f t="shared" ref="DB146:DB163" si="121">DA146</f>
        <v>176108496</v>
      </c>
      <c r="DC146" s="8">
        <v>225560049</v>
      </c>
      <c r="DD146" s="8">
        <v>225560049</v>
      </c>
      <c r="DE146" s="8">
        <v>225560049</v>
      </c>
      <c r="DF146" s="8">
        <v>225560049</v>
      </c>
      <c r="DG146" s="8">
        <v>225560049</v>
      </c>
      <c r="DH146" s="8">
        <v>225560049</v>
      </c>
      <c r="DI146" s="8">
        <v>225560049</v>
      </c>
      <c r="DJ146" s="8">
        <v>225560049</v>
      </c>
      <c r="DK146" s="8">
        <v>225560049</v>
      </c>
      <c r="DL146" s="8">
        <v>225560049</v>
      </c>
      <c r="DM146" s="8">
        <v>225560049</v>
      </c>
      <c r="DN146" s="8">
        <v>225560049</v>
      </c>
      <c r="DO146" s="9">
        <f t="shared" ref="DO146:DO163" si="122">DN146</f>
        <v>225560049</v>
      </c>
      <c r="DP146" s="8">
        <v>261708490</v>
      </c>
      <c r="DQ146" s="8">
        <v>261708490</v>
      </c>
      <c r="DR146" s="8">
        <v>261708490</v>
      </c>
      <c r="DS146" s="8">
        <v>261708490</v>
      </c>
      <c r="DT146" s="8">
        <v>261708490</v>
      </c>
      <c r="DU146" s="8">
        <v>261708490</v>
      </c>
      <c r="DV146" s="8">
        <v>261708490</v>
      </c>
      <c r="DW146" s="8">
        <v>261708490</v>
      </c>
      <c r="DX146" s="8">
        <v>261708490</v>
      </c>
      <c r="DY146" s="8">
        <v>261708490</v>
      </c>
      <c r="DZ146" s="8">
        <v>261708490</v>
      </c>
      <c r="EA146" s="8">
        <v>261708490</v>
      </c>
      <c r="EB146" s="9">
        <f t="shared" ref="EB146:EB163" si="123">EA146</f>
        <v>261708490</v>
      </c>
      <c r="EC146" s="8">
        <v>259798881</v>
      </c>
      <c r="ED146" s="8">
        <v>259798881</v>
      </c>
      <c r="EE146" s="8">
        <v>259798881</v>
      </c>
      <c r="EF146" s="8">
        <v>259798881</v>
      </c>
      <c r="EG146" s="8">
        <v>259798881</v>
      </c>
      <c r="EH146" s="8">
        <v>259798881</v>
      </c>
      <c r="EI146" s="8">
        <v>259798881</v>
      </c>
      <c r="EJ146" s="8">
        <v>259798881</v>
      </c>
      <c r="EK146" s="8">
        <v>259798881</v>
      </c>
      <c r="EL146" s="8">
        <v>259798881</v>
      </c>
      <c r="EM146" s="8">
        <v>259798881</v>
      </c>
      <c r="EN146" s="8">
        <v>259798881</v>
      </c>
      <c r="EO146" s="9">
        <f t="shared" ref="EO146:EO163" si="124">EN146</f>
        <v>259798881</v>
      </c>
      <c r="EP146" s="8">
        <v>288622626</v>
      </c>
      <c r="EQ146" s="8">
        <v>288622626</v>
      </c>
      <c r="ER146" s="8">
        <v>288622626</v>
      </c>
      <c r="ES146" s="8">
        <v>288622626</v>
      </c>
      <c r="ET146" s="8">
        <v>288622626</v>
      </c>
      <c r="EU146" s="8">
        <v>288622626</v>
      </c>
      <c r="EV146" s="8">
        <v>288622626</v>
      </c>
      <c r="EW146" s="8">
        <v>288622626</v>
      </c>
      <c r="EX146" s="8">
        <v>288622626</v>
      </c>
      <c r="EY146" s="8">
        <v>288622626</v>
      </c>
      <c r="EZ146" s="8">
        <v>288622626</v>
      </c>
      <c r="FA146" s="8">
        <v>288622626</v>
      </c>
      <c r="FB146" s="9">
        <f t="shared" ref="FB146:FB163" si="125">FA146</f>
        <v>288622626</v>
      </c>
      <c r="FC146" s="8">
        <v>359934455</v>
      </c>
      <c r="FD146" s="8">
        <v>359934455</v>
      </c>
      <c r="FE146" s="8">
        <v>359934455</v>
      </c>
      <c r="FF146" s="8">
        <v>359934455</v>
      </c>
      <c r="FG146" s="8">
        <v>359934455</v>
      </c>
      <c r="FH146" s="8">
        <v>359934455</v>
      </c>
      <c r="FI146" s="8">
        <v>359934455</v>
      </c>
      <c r="FJ146" s="8"/>
      <c r="FK146" s="8"/>
      <c r="FL146" s="8"/>
      <c r="FM146" s="8"/>
      <c r="FN146" s="8"/>
      <c r="FO146" s="9">
        <f t="shared" ref="FO146:FO163" si="126">FI146</f>
        <v>359934455</v>
      </c>
    </row>
    <row r="147" spans="2:171" ht="14.25" customHeight="1" x14ac:dyDescent="0.3">
      <c r="B147" s="7" t="s">
        <v>44</v>
      </c>
      <c r="C147" s="8">
        <v>0</v>
      </c>
      <c r="D147" s="8">
        <v>0</v>
      </c>
      <c r="E147" s="8">
        <v>0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9">
        <f t="shared" si="114"/>
        <v>0</v>
      </c>
      <c r="P147" s="8">
        <v>0</v>
      </c>
      <c r="Q147" s="8">
        <v>0</v>
      </c>
      <c r="R147" s="8">
        <v>0</v>
      </c>
      <c r="S147" s="8">
        <v>0</v>
      </c>
      <c r="T147" s="8">
        <v>0</v>
      </c>
      <c r="U147" s="8">
        <v>0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9">
        <f t="shared" si="115"/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9">
        <f t="shared" si="116"/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>
        <v>0</v>
      </c>
      <c r="AY147" s="8">
        <v>0</v>
      </c>
      <c r="AZ147" s="8">
        <v>0</v>
      </c>
      <c r="BA147" s="8">
        <v>0</v>
      </c>
      <c r="BB147" s="9">
        <f t="shared" si="117"/>
        <v>0</v>
      </c>
      <c r="BC147" s="8">
        <v>0</v>
      </c>
      <c r="BD147" s="8">
        <v>0</v>
      </c>
      <c r="BE147" s="8">
        <v>0</v>
      </c>
      <c r="BF147" s="8">
        <v>0</v>
      </c>
      <c r="BG147" s="8">
        <v>0</v>
      </c>
      <c r="BH147" s="8">
        <v>0</v>
      </c>
      <c r="BI147" s="8">
        <v>0</v>
      </c>
      <c r="BJ147" s="8">
        <v>0</v>
      </c>
      <c r="BK147" s="8">
        <v>0</v>
      </c>
      <c r="BL147" s="8">
        <v>0</v>
      </c>
      <c r="BM147" s="8">
        <v>0</v>
      </c>
      <c r="BN147" s="8">
        <v>0</v>
      </c>
      <c r="BO147" s="9">
        <f t="shared" si="118"/>
        <v>0</v>
      </c>
      <c r="BP147" s="8">
        <v>0</v>
      </c>
      <c r="BQ147" s="8">
        <v>0</v>
      </c>
      <c r="BR147" s="8">
        <v>0</v>
      </c>
      <c r="BS147" s="8">
        <v>0</v>
      </c>
      <c r="BT147" s="8">
        <v>0</v>
      </c>
      <c r="BU147" s="8">
        <v>0</v>
      </c>
      <c r="BV147" s="8">
        <v>0</v>
      </c>
      <c r="BW147" s="8">
        <v>0</v>
      </c>
      <c r="BX147" s="8">
        <v>0</v>
      </c>
      <c r="BY147" s="8">
        <v>0</v>
      </c>
      <c r="BZ147" s="8">
        <v>0</v>
      </c>
      <c r="CA147" s="8">
        <v>0</v>
      </c>
      <c r="CB147" s="9">
        <f t="shared" si="119"/>
        <v>0</v>
      </c>
      <c r="CC147" s="8">
        <v>0</v>
      </c>
      <c r="CD147" s="8">
        <v>0</v>
      </c>
      <c r="CE147" s="8">
        <v>0</v>
      </c>
      <c r="CF147" s="8">
        <v>0</v>
      </c>
      <c r="CG147" s="8">
        <v>0</v>
      </c>
      <c r="CH147" s="8">
        <v>0</v>
      </c>
      <c r="CI147" s="8">
        <v>0</v>
      </c>
      <c r="CJ147" s="8">
        <v>0</v>
      </c>
      <c r="CK147" s="8">
        <v>0</v>
      </c>
      <c r="CL147" s="8">
        <v>0</v>
      </c>
      <c r="CM147" s="8">
        <v>0</v>
      </c>
      <c r="CN147" s="8">
        <v>0</v>
      </c>
      <c r="CO147" s="9">
        <f t="shared" si="120"/>
        <v>0</v>
      </c>
      <c r="CP147" s="8">
        <v>0</v>
      </c>
      <c r="CQ147" s="8">
        <v>0</v>
      </c>
      <c r="CR147" s="8">
        <v>0</v>
      </c>
      <c r="CS147" s="8">
        <v>0</v>
      </c>
      <c r="CT147" s="8">
        <v>0</v>
      </c>
      <c r="CU147" s="8">
        <v>0</v>
      </c>
      <c r="CV147" s="8">
        <v>0</v>
      </c>
      <c r="CW147" s="8">
        <v>0</v>
      </c>
      <c r="CX147" s="8">
        <v>0</v>
      </c>
      <c r="CY147" s="8">
        <v>0</v>
      </c>
      <c r="CZ147" s="8">
        <v>0</v>
      </c>
      <c r="DA147" s="8">
        <v>0</v>
      </c>
      <c r="DB147" s="9">
        <f t="shared" si="121"/>
        <v>0</v>
      </c>
      <c r="DC147" s="8">
        <v>0</v>
      </c>
      <c r="DD147" s="8">
        <v>0</v>
      </c>
      <c r="DE147" s="8">
        <v>0</v>
      </c>
      <c r="DF147" s="8">
        <v>0</v>
      </c>
      <c r="DG147" s="8">
        <v>0</v>
      </c>
      <c r="DH147" s="8">
        <v>0</v>
      </c>
      <c r="DI147" s="8">
        <v>0</v>
      </c>
      <c r="DJ147" s="8">
        <v>0</v>
      </c>
      <c r="DK147" s="8">
        <v>0</v>
      </c>
      <c r="DL147" s="8">
        <v>0</v>
      </c>
      <c r="DM147" s="8">
        <v>0</v>
      </c>
      <c r="DN147" s="8">
        <v>0</v>
      </c>
      <c r="DO147" s="9">
        <f t="shared" si="122"/>
        <v>0</v>
      </c>
      <c r="DP147" s="8">
        <v>0</v>
      </c>
      <c r="DQ147" s="8">
        <v>0</v>
      </c>
      <c r="DR147" s="8">
        <v>0</v>
      </c>
      <c r="DS147" s="8">
        <v>0</v>
      </c>
      <c r="DT147" s="8">
        <v>0</v>
      </c>
      <c r="DU147" s="8">
        <v>0</v>
      </c>
      <c r="DV147" s="8">
        <v>0</v>
      </c>
      <c r="DW147" s="8">
        <v>0</v>
      </c>
      <c r="DX147" s="8">
        <v>0</v>
      </c>
      <c r="DY147" s="8">
        <v>0</v>
      </c>
      <c r="DZ147" s="8">
        <v>0</v>
      </c>
      <c r="EA147" s="8">
        <v>0</v>
      </c>
      <c r="EB147" s="9">
        <f t="shared" si="123"/>
        <v>0</v>
      </c>
      <c r="EC147" s="8">
        <v>0</v>
      </c>
      <c r="ED147" s="8">
        <v>0</v>
      </c>
      <c r="EE147" s="8">
        <v>0</v>
      </c>
      <c r="EF147" s="8">
        <v>0</v>
      </c>
      <c r="EG147" s="8">
        <v>0</v>
      </c>
      <c r="EH147" s="8">
        <v>0</v>
      </c>
      <c r="EI147" s="8">
        <v>0</v>
      </c>
      <c r="EJ147" s="8">
        <v>0</v>
      </c>
      <c r="EK147" s="8">
        <v>0</v>
      </c>
      <c r="EL147" s="8">
        <v>0</v>
      </c>
      <c r="EM147" s="8">
        <v>0</v>
      </c>
      <c r="EN147" s="8">
        <v>0</v>
      </c>
      <c r="EO147" s="9">
        <f t="shared" si="124"/>
        <v>0</v>
      </c>
      <c r="EP147" s="8">
        <v>0</v>
      </c>
      <c r="EQ147" s="8">
        <v>0</v>
      </c>
      <c r="ER147" s="8">
        <v>0</v>
      </c>
      <c r="ES147" s="8">
        <v>0</v>
      </c>
      <c r="ET147" s="8">
        <v>0</v>
      </c>
      <c r="EU147" s="8">
        <v>0</v>
      </c>
      <c r="EV147" s="8">
        <v>0</v>
      </c>
      <c r="EW147" s="8">
        <v>0</v>
      </c>
      <c r="EX147" s="8">
        <v>0</v>
      </c>
      <c r="EY147" s="8">
        <v>0</v>
      </c>
      <c r="EZ147" s="8">
        <v>0</v>
      </c>
      <c r="FA147" s="8">
        <v>0</v>
      </c>
      <c r="FB147" s="9">
        <f t="shared" si="125"/>
        <v>0</v>
      </c>
      <c r="FC147" s="8">
        <v>0</v>
      </c>
      <c r="FD147" s="8">
        <v>0</v>
      </c>
      <c r="FE147" s="8">
        <v>0</v>
      </c>
      <c r="FF147" s="8">
        <v>0</v>
      </c>
      <c r="FG147" s="8">
        <v>0</v>
      </c>
      <c r="FH147" s="8">
        <v>0</v>
      </c>
      <c r="FI147" s="8">
        <v>0</v>
      </c>
      <c r="FJ147" s="8"/>
      <c r="FK147" s="8"/>
      <c r="FL147" s="8"/>
      <c r="FM147" s="8"/>
      <c r="FN147" s="8"/>
      <c r="FO147" s="9">
        <f t="shared" si="126"/>
        <v>0</v>
      </c>
    </row>
    <row r="148" spans="2:171" ht="14.25" customHeight="1" x14ac:dyDescent="0.3">
      <c r="B148" s="7" t="s">
        <v>45</v>
      </c>
      <c r="C148" s="8">
        <v>8297885</v>
      </c>
      <c r="D148" s="8">
        <v>8297885</v>
      </c>
      <c r="E148" s="8">
        <v>8297885</v>
      </c>
      <c r="F148" s="8">
        <v>8297885</v>
      </c>
      <c r="G148" s="8">
        <v>8297885</v>
      </c>
      <c r="H148" s="8">
        <v>8297885</v>
      </c>
      <c r="I148" s="8">
        <v>8297885</v>
      </c>
      <c r="J148" s="8">
        <v>8297885</v>
      </c>
      <c r="K148" s="8">
        <v>8297885</v>
      </c>
      <c r="L148" s="8">
        <v>8297885</v>
      </c>
      <c r="M148" s="8">
        <v>8297885</v>
      </c>
      <c r="N148" s="8">
        <v>8297885</v>
      </c>
      <c r="O148" s="9">
        <f t="shared" si="114"/>
        <v>8297885</v>
      </c>
      <c r="P148" s="8">
        <v>28356652</v>
      </c>
      <c r="Q148" s="8">
        <v>28356652</v>
      </c>
      <c r="R148" s="8">
        <v>28356652</v>
      </c>
      <c r="S148" s="8">
        <v>28356652</v>
      </c>
      <c r="T148" s="8">
        <v>28356652</v>
      </c>
      <c r="U148" s="8">
        <v>28356652</v>
      </c>
      <c r="V148" s="8">
        <v>28356652</v>
      </c>
      <c r="W148" s="8">
        <v>28356652</v>
      </c>
      <c r="X148" s="8">
        <v>28356652</v>
      </c>
      <c r="Y148" s="8">
        <v>28356652</v>
      </c>
      <c r="Z148" s="8">
        <v>28356652</v>
      </c>
      <c r="AA148" s="8">
        <v>28356652</v>
      </c>
      <c r="AB148" s="9">
        <f t="shared" si="115"/>
        <v>28356652</v>
      </c>
      <c r="AC148" s="8">
        <v>35733043</v>
      </c>
      <c r="AD148" s="8">
        <v>35733043</v>
      </c>
      <c r="AE148" s="8">
        <v>35733043</v>
      </c>
      <c r="AF148" s="8">
        <v>35733043</v>
      </c>
      <c r="AG148" s="8">
        <v>35733043</v>
      </c>
      <c r="AH148" s="8">
        <v>35733043</v>
      </c>
      <c r="AI148" s="8">
        <v>35733043</v>
      </c>
      <c r="AJ148" s="8">
        <v>35733043</v>
      </c>
      <c r="AK148" s="8">
        <v>35733043</v>
      </c>
      <c r="AL148" s="8">
        <v>35733043</v>
      </c>
      <c r="AM148" s="8">
        <v>35733043</v>
      </c>
      <c r="AN148" s="8">
        <v>35733043</v>
      </c>
      <c r="AO148" s="9">
        <f t="shared" si="116"/>
        <v>35733043</v>
      </c>
      <c r="AP148" s="8">
        <v>12944625</v>
      </c>
      <c r="AQ148" s="8">
        <v>12944625</v>
      </c>
      <c r="AR148" s="8">
        <v>12944625</v>
      </c>
      <c r="AS148" s="8">
        <v>12944625</v>
      </c>
      <c r="AT148" s="8">
        <v>12944625</v>
      </c>
      <c r="AU148" s="8">
        <v>12944625</v>
      </c>
      <c r="AV148" s="8">
        <v>12944625</v>
      </c>
      <c r="AW148" s="8">
        <v>12944625</v>
      </c>
      <c r="AX148" s="8">
        <v>12944625</v>
      </c>
      <c r="AY148" s="8">
        <v>12944625</v>
      </c>
      <c r="AZ148" s="8">
        <v>12944625</v>
      </c>
      <c r="BA148" s="8">
        <v>12944625</v>
      </c>
      <c r="BB148" s="9">
        <f t="shared" si="117"/>
        <v>12944625</v>
      </c>
      <c r="BC148" s="8">
        <v>12563770</v>
      </c>
      <c r="BD148" s="8">
        <v>12563770</v>
      </c>
      <c r="BE148" s="8">
        <v>12563770</v>
      </c>
      <c r="BF148" s="8">
        <v>12563770</v>
      </c>
      <c r="BG148" s="8">
        <v>12563770</v>
      </c>
      <c r="BH148" s="8">
        <v>12563770</v>
      </c>
      <c r="BI148" s="8">
        <v>12563770</v>
      </c>
      <c r="BJ148" s="8">
        <v>12563770</v>
      </c>
      <c r="BK148" s="8">
        <v>12563770</v>
      </c>
      <c r="BL148" s="8">
        <v>12563770</v>
      </c>
      <c r="BM148" s="8">
        <v>12563770</v>
      </c>
      <c r="BN148" s="8">
        <v>12563770</v>
      </c>
      <c r="BO148" s="9">
        <f t="shared" si="118"/>
        <v>12563770</v>
      </c>
      <c r="BP148" s="8">
        <v>20737295</v>
      </c>
      <c r="BQ148" s="8">
        <v>20737295</v>
      </c>
      <c r="BR148" s="8">
        <v>20737295</v>
      </c>
      <c r="BS148" s="8">
        <v>20737295</v>
      </c>
      <c r="BT148" s="8">
        <v>20737295</v>
      </c>
      <c r="BU148" s="8">
        <v>20737295</v>
      </c>
      <c r="BV148" s="8">
        <v>20737295</v>
      </c>
      <c r="BW148" s="8">
        <v>20737295</v>
      </c>
      <c r="BX148" s="8">
        <v>20737295</v>
      </c>
      <c r="BY148" s="8">
        <v>20737295</v>
      </c>
      <c r="BZ148" s="8">
        <v>20737295</v>
      </c>
      <c r="CA148" s="8">
        <v>20737295</v>
      </c>
      <c r="CB148" s="9">
        <f t="shared" si="119"/>
        <v>20737295</v>
      </c>
      <c r="CC148" s="8">
        <v>21329416</v>
      </c>
      <c r="CD148" s="8">
        <v>21329416</v>
      </c>
      <c r="CE148" s="8">
        <v>21329416</v>
      </c>
      <c r="CF148" s="8">
        <v>21329416</v>
      </c>
      <c r="CG148" s="8">
        <v>21329416</v>
      </c>
      <c r="CH148" s="8">
        <v>21329416</v>
      </c>
      <c r="CI148" s="8">
        <v>21329416</v>
      </c>
      <c r="CJ148" s="8">
        <v>21329416</v>
      </c>
      <c r="CK148" s="8">
        <v>21329416</v>
      </c>
      <c r="CL148" s="8">
        <v>21329416</v>
      </c>
      <c r="CM148" s="8">
        <v>21329416</v>
      </c>
      <c r="CN148" s="8">
        <v>21329416</v>
      </c>
      <c r="CO148" s="9">
        <f t="shared" si="120"/>
        <v>21329416</v>
      </c>
      <c r="CP148" s="8">
        <v>24772134</v>
      </c>
      <c r="CQ148" s="8">
        <v>24772134</v>
      </c>
      <c r="CR148" s="8">
        <v>24772134</v>
      </c>
      <c r="CS148" s="8">
        <v>24772134</v>
      </c>
      <c r="CT148" s="8">
        <v>24772134</v>
      </c>
      <c r="CU148" s="8">
        <v>24772134</v>
      </c>
      <c r="CV148" s="8">
        <v>24772134</v>
      </c>
      <c r="CW148" s="8">
        <v>24772134</v>
      </c>
      <c r="CX148" s="8">
        <v>24772134</v>
      </c>
      <c r="CY148" s="8">
        <v>24772134</v>
      </c>
      <c r="CZ148" s="8">
        <v>24772134</v>
      </c>
      <c r="DA148" s="8">
        <v>24772134</v>
      </c>
      <c r="DB148" s="9">
        <f t="shared" si="121"/>
        <v>24772134</v>
      </c>
      <c r="DC148" s="8">
        <v>39356191</v>
      </c>
      <c r="DD148" s="8">
        <v>39356191</v>
      </c>
      <c r="DE148" s="8">
        <v>39356191</v>
      </c>
      <c r="DF148" s="8">
        <v>39356191</v>
      </c>
      <c r="DG148" s="8">
        <v>39356191</v>
      </c>
      <c r="DH148" s="8">
        <v>39356191</v>
      </c>
      <c r="DI148" s="8">
        <v>39356191</v>
      </c>
      <c r="DJ148" s="8">
        <v>39356191</v>
      </c>
      <c r="DK148" s="8">
        <v>39356191</v>
      </c>
      <c r="DL148" s="8">
        <v>39356191</v>
      </c>
      <c r="DM148" s="8">
        <v>39356191</v>
      </c>
      <c r="DN148" s="8">
        <v>39356191</v>
      </c>
      <c r="DO148" s="9">
        <f t="shared" si="122"/>
        <v>39356191</v>
      </c>
      <c r="DP148" s="8">
        <v>78240619</v>
      </c>
      <c r="DQ148" s="8">
        <v>78240619</v>
      </c>
      <c r="DR148" s="8">
        <v>78240619</v>
      </c>
      <c r="DS148" s="8">
        <v>78240619</v>
      </c>
      <c r="DT148" s="8">
        <v>78240619</v>
      </c>
      <c r="DU148" s="8">
        <v>78240619</v>
      </c>
      <c r="DV148" s="8">
        <v>78240619</v>
      </c>
      <c r="DW148" s="8">
        <v>78240619</v>
      </c>
      <c r="DX148" s="8">
        <v>78240619</v>
      </c>
      <c r="DY148" s="8">
        <v>78240619</v>
      </c>
      <c r="DZ148" s="8">
        <v>78240619</v>
      </c>
      <c r="EA148" s="8">
        <v>78240619</v>
      </c>
      <c r="EB148" s="9">
        <f t="shared" si="123"/>
        <v>78240619</v>
      </c>
      <c r="EC148" s="8">
        <v>70228343</v>
      </c>
      <c r="ED148" s="8">
        <v>70228343</v>
      </c>
      <c r="EE148" s="8">
        <v>70228343</v>
      </c>
      <c r="EF148" s="8">
        <v>70228343</v>
      </c>
      <c r="EG148" s="8">
        <v>70228343</v>
      </c>
      <c r="EH148" s="8">
        <v>70228343</v>
      </c>
      <c r="EI148" s="8">
        <v>70228343</v>
      </c>
      <c r="EJ148" s="8">
        <v>70228343</v>
      </c>
      <c r="EK148" s="8">
        <v>70228343</v>
      </c>
      <c r="EL148" s="8">
        <v>70228343</v>
      </c>
      <c r="EM148" s="8">
        <v>70228343</v>
      </c>
      <c r="EN148" s="8">
        <v>70228343</v>
      </c>
      <c r="EO148" s="9">
        <f t="shared" si="124"/>
        <v>70228343</v>
      </c>
      <c r="EP148" s="8">
        <v>102230033</v>
      </c>
      <c r="EQ148" s="8">
        <v>102230033</v>
      </c>
      <c r="ER148" s="8">
        <v>102230033</v>
      </c>
      <c r="ES148" s="8">
        <v>102230033</v>
      </c>
      <c r="ET148" s="8">
        <v>102230033</v>
      </c>
      <c r="EU148" s="8">
        <v>102230033</v>
      </c>
      <c r="EV148" s="8">
        <v>102230033</v>
      </c>
      <c r="EW148" s="8">
        <v>102230033</v>
      </c>
      <c r="EX148" s="8">
        <v>102230033</v>
      </c>
      <c r="EY148" s="8">
        <v>102230033</v>
      </c>
      <c r="EZ148" s="8">
        <v>102230033</v>
      </c>
      <c r="FA148" s="8">
        <v>102230033</v>
      </c>
      <c r="FB148" s="9">
        <f t="shared" si="125"/>
        <v>102230033</v>
      </c>
      <c r="FC148" s="8">
        <v>109150858</v>
      </c>
      <c r="FD148" s="8">
        <v>109150858</v>
      </c>
      <c r="FE148" s="8">
        <v>109150858</v>
      </c>
      <c r="FF148" s="8">
        <v>109150858</v>
      </c>
      <c r="FG148" s="8">
        <v>109150858</v>
      </c>
      <c r="FH148" s="8">
        <v>109150858</v>
      </c>
      <c r="FI148" s="8">
        <v>109150858</v>
      </c>
      <c r="FJ148" s="8"/>
      <c r="FK148" s="8"/>
      <c r="FL148" s="8"/>
      <c r="FM148" s="8"/>
      <c r="FN148" s="8"/>
      <c r="FO148" s="9">
        <f t="shared" si="126"/>
        <v>109150858</v>
      </c>
    </row>
    <row r="149" spans="2:171" ht="14.25" customHeight="1" x14ac:dyDescent="0.3">
      <c r="B149" s="7" t="s">
        <v>46</v>
      </c>
      <c r="C149" s="8">
        <v>17352369</v>
      </c>
      <c r="D149" s="8">
        <v>17352369</v>
      </c>
      <c r="E149" s="8">
        <v>17352369</v>
      </c>
      <c r="F149" s="8">
        <v>17352369</v>
      </c>
      <c r="G149" s="8">
        <v>17352369</v>
      </c>
      <c r="H149" s="8">
        <v>17352369</v>
      </c>
      <c r="I149" s="8">
        <v>17352369</v>
      </c>
      <c r="J149" s="8">
        <v>17352369</v>
      </c>
      <c r="K149" s="8">
        <v>17352369</v>
      </c>
      <c r="L149" s="8">
        <v>17352369</v>
      </c>
      <c r="M149" s="8">
        <v>17352369</v>
      </c>
      <c r="N149" s="8">
        <v>17352369</v>
      </c>
      <c r="O149" s="9">
        <f t="shared" si="114"/>
        <v>17352369</v>
      </c>
      <c r="P149" s="8">
        <v>27145515</v>
      </c>
      <c r="Q149" s="8">
        <v>27145515</v>
      </c>
      <c r="R149" s="8">
        <v>27145515</v>
      </c>
      <c r="S149" s="8">
        <v>27145515</v>
      </c>
      <c r="T149" s="8">
        <v>27145515</v>
      </c>
      <c r="U149" s="8">
        <v>27145515</v>
      </c>
      <c r="V149" s="8">
        <v>27145515</v>
      </c>
      <c r="W149" s="8">
        <v>27145515</v>
      </c>
      <c r="X149" s="8">
        <v>27145515</v>
      </c>
      <c r="Y149" s="8">
        <v>27145515</v>
      </c>
      <c r="Z149" s="8">
        <v>27145515</v>
      </c>
      <c r="AA149" s="8">
        <v>27145515</v>
      </c>
      <c r="AB149" s="9">
        <f t="shared" si="115"/>
        <v>27145515</v>
      </c>
      <c r="AC149" s="8">
        <v>72904850</v>
      </c>
      <c r="AD149" s="8">
        <v>72904850</v>
      </c>
      <c r="AE149" s="8">
        <v>72904850</v>
      </c>
      <c r="AF149" s="8">
        <v>72904850</v>
      </c>
      <c r="AG149" s="8">
        <v>72904850</v>
      </c>
      <c r="AH149" s="8">
        <v>72904850</v>
      </c>
      <c r="AI149" s="8">
        <v>72904850</v>
      </c>
      <c r="AJ149" s="8">
        <v>72904850</v>
      </c>
      <c r="AK149" s="8">
        <v>72904850</v>
      </c>
      <c r="AL149" s="8">
        <v>72904850</v>
      </c>
      <c r="AM149" s="8">
        <v>72904850</v>
      </c>
      <c r="AN149" s="8">
        <v>72904850</v>
      </c>
      <c r="AO149" s="9">
        <f t="shared" si="116"/>
        <v>72904850</v>
      </c>
      <c r="AP149" s="8">
        <v>50960967</v>
      </c>
      <c r="AQ149" s="8">
        <v>50960967</v>
      </c>
      <c r="AR149" s="8">
        <v>50960967</v>
      </c>
      <c r="AS149" s="8">
        <v>50960967</v>
      </c>
      <c r="AT149" s="8">
        <v>50960967</v>
      </c>
      <c r="AU149" s="8">
        <v>50960967</v>
      </c>
      <c r="AV149" s="8">
        <v>50960967</v>
      </c>
      <c r="AW149" s="8">
        <v>50960967</v>
      </c>
      <c r="AX149" s="8">
        <v>50960967</v>
      </c>
      <c r="AY149" s="8">
        <v>50960967</v>
      </c>
      <c r="AZ149" s="8">
        <v>50960967</v>
      </c>
      <c r="BA149" s="8">
        <v>50960967</v>
      </c>
      <c r="BB149" s="9">
        <f t="shared" si="117"/>
        <v>50960967</v>
      </c>
      <c r="BC149" s="8">
        <v>51316746</v>
      </c>
      <c r="BD149" s="8">
        <v>51316746</v>
      </c>
      <c r="BE149" s="8">
        <v>51316746</v>
      </c>
      <c r="BF149" s="8">
        <v>51316746</v>
      </c>
      <c r="BG149" s="8">
        <v>51316746</v>
      </c>
      <c r="BH149" s="8">
        <v>51316746</v>
      </c>
      <c r="BI149" s="8">
        <v>51316746</v>
      </c>
      <c r="BJ149" s="8">
        <v>51316746</v>
      </c>
      <c r="BK149" s="8">
        <v>51316746</v>
      </c>
      <c r="BL149" s="8">
        <v>51316746</v>
      </c>
      <c r="BM149" s="8">
        <v>51316746</v>
      </c>
      <c r="BN149" s="8">
        <v>51316746</v>
      </c>
      <c r="BO149" s="9">
        <f t="shared" si="118"/>
        <v>51316746</v>
      </c>
      <c r="BP149" s="8">
        <v>39657232</v>
      </c>
      <c r="BQ149" s="8">
        <v>39657232</v>
      </c>
      <c r="BR149" s="8">
        <v>39657232</v>
      </c>
      <c r="BS149" s="8">
        <v>39657232</v>
      </c>
      <c r="BT149" s="8">
        <v>39657232</v>
      </c>
      <c r="BU149" s="8">
        <v>39657232</v>
      </c>
      <c r="BV149" s="8">
        <v>39657232</v>
      </c>
      <c r="BW149" s="8">
        <v>39657232</v>
      </c>
      <c r="BX149" s="8">
        <v>39657232</v>
      </c>
      <c r="BY149" s="8">
        <v>39657232</v>
      </c>
      <c r="BZ149" s="8">
        <v>39657232</v>
      </c>
      <c r="CA149" s="8">
        <v>39657232</v>
      </c>
      <c r="CB149" s="9">
        <f t="shared" si="119"/>
        <v>39657232</v>
      </c>
      <c r="CC149" s="8">
        <v>40726333</v>
      </c>
      <c r="CD149" s="8">
        <v>40726333</v>
      </c>
      <c r="CE149" s="8">
        <v>40726333</v>
      </c>
      <c r="CF149" s="8">
        <v>40726333</v>
      </c>
      <c r="CG149" s="8">
        <v>40726333</v>
      </c>
      <c r="CH149" s="8">
        <v>40726333</v>
      </c>
      <c r="CI149" s="8">
        <v>40726333</v>
      </c>
      <c r="CJ149" s="8">
        <v>40726333</v>
      </c>
      <c r="CK149" s="8">
        <v>40726333</v>
      </c>
      <c r="CL149" s="8">
        <v>40726333</v>
      </c>
      <c r="CM149" s="8">
        <v>40726333</v>
      </c>
      <c r="CN149" s="8">
        <v>40726333</v>
      </c>
      <c r="CO149" s="9">
        <f t="shared" si="120"/>
        <v>40726333</v>
      </c>
      <c r="CP149" s="8">
        <v>44639683</v>
      </c>
      <c r="CQ149" s="8">
        <v>44639683</v>
      </c>
      <c r="CR149" s="8">
        <v>44639683</v>
      </c>
      <c r="CS149" s="8">
        <v>44639683</v>
      </c>
      <c r="CT149" s="8">
        <v>44639683</v>
      </c>
      <c r="CU149" s="8">
        <v>44639683</v>
      </c>
      <c r="CV149" s="8">
        <v>44639683</v>
      </c>
      <c r="CW149" s="8">
        <v>44639683</v>
      </c>
      <c r="CX149" s="8">
        <v>44639683</v>
      </c>
      <c r="CY149" s="8">
        <v>44639683</v>
      </c>
      <c r="CZ149" s="8">
        <v>44639683</v>
      </c>
      <c r="DA149" s="8">
        <v>44639683</v>
      </c>
      <c r="DB149" s="9">
        <f t="shared" si="121"/>
        <v>44639683</v>
      </c>
      <c r="DC149" s="8">
        <v>65497216</v>
      </c>
      <c r="DD149" s="8">
        <v>65497216</v>
      </c>
      <c r="DE149" s="8">
        <v>65497216</v>
      </c>
      <c r="DF149" s="8">
        <v>65497216</v>
      </c>
      <c r="DG149" s="8">
        <v>65497216</v>
      </c>
      <c r="DH149" s="8">
        <v>65497216</v>
      </c>
      <c r="DI149" s="8">
        <v>65497216</v>
      </c>
      <c r="DJ149" s="8">
        <v>65497216</v>
      </c>
      <c r="DK149" s="8">
        <v>65497216</v>
      </c>
      <c r="DL149" s="8">
        <v>65497216</v>
      </c>
      <c r="DM149" s="8">
        <v>65497216</v>
      </c>
      <c r="DN149" s="8">
        <v>65497216</v>
      </c>
      <c r="DO149" s="9">
        <f t="shared" si="122"/>
        <v>65497216</v>
      </c>
      <c r="DP149" s="8">
        <v>88307532</v>
      </c>
      <c r="DQ149" s="8">
        <v>88307532</v>
      </c>
      <c r="DR149" s="8">
        <v>88307532</v>
      </c>
      <c r="DS149" s="8">
        <v>88307532</v>
      </c>
      <c r="DT149" s="8">
        <v>88307532</v>
      </c>
      <c r="DU149" s="8">
        <v>88307532</v>
      </c>
      <c r="DV149" s="8">
        <v>88307532</v>
      </c>
      <c r="DW149" s="8">
        <v>88307532</v>
      </c>
      <c r="DX149" s="8">
        <v>88307532</v>
      </c>
      <c r="DY149" s="8">
        <v>88307532</v>
      </c>
      <c r="DZ149" s="8">
        <v>88307532</v>
      </c>
      <c r="EA149" s="8">
        <v>88307532</v>
      </c>
      <c r="EB149" s="9">
        <f t="shared" si="123"/>
        <v>88307532</v>
      </c>
      <c r="EC149" s="8">
        <v>97459423</v>
      </c>
      <c r="ED149" s="8">
        <v>97459423</v>
      </c>
      <c r="EE149" s="8">
        <v>97459423</v>
      </c>
      <c r="EF149" s="8">
        <v>97459423</v>
      </c>
      <c r="EG149" s="8">
        <v>97459423</v>
      </c>
      <c r="EH149" s="8">
        <v>97459423</v>
      </c>
      <c r="EI149" s="8">
        <v>97459423</v>
      </c>
      <c r="EJ149" s="8">
        <v>97459423</v>
      </c>
      <c r="EK149" s="8">
        <v>97459423</v>
      </c>
      <c r="EL149" s="8">
        <v>97459423</v>
      </c>
      <c r="EM149" s="8">
        <v>97459423</v>
      </c>
      <c r="EN149" s="8">
        <v>97459423</v>
      </c>
      <c r="EO149" s="9">
        <f t="shared" si="124"/>
        <v>97459423</v>
      </c>
      <c r="EP149" s="8">
        <v>125360133</v>
      </c>
      <c r="EQ149" s="8">
        <v>125360133</v>
      </c>
      <c r="ER149" s="8">
        <v>125360133</v>
      </c>
      <c r="ES149" s="8">
        <v>125360133</v>
      </c>
      <c r="ET149" s="8">
        <v>125360133</v>
      </c>
      <c r="EU149" s="8">
        <v>125360133</v>
      </c>
      <c r="EV149" s="8">
        <v>125360133</v>
      </c>
      <c r="EW149" s="8">
        <v>125360133</v>
      </c>
      <c r="EX149" s="8">
        <v>125360133</v>
      </c>
      <c r="EY149" s="8">
        <v>125360133</v>
      </c>
      <c r="EZ149" s="8">
        <v>125360133</v>
      </c>
      <c r="FA149" s="8">
        <v>125360133</v>
      </c>
      <c r="FB149" s="9">
        <f t="shared" si="125"/>
        <v>125360133</v>
      </c>
      <c r="FC149" s="8">
        <v>124147527</v>
      </c>
      <c r="FD149" s="8">
        <v>124147527</v>
      </c>
      <c r="FE149" s="8">
        <v>124147527</v>
      </c>
      <c r="FF149" s="8">
        <v>124147527</v>
      </c>
      <c r="FG149" s="8">
        <v>124147527</v>
      </c>
      <c r="FH149" s="8">
        <v>124147527</v>
      </c>
      <c r="FI149" s="8">
        <v>124147527</v>
      </c>
      <c r="FJ149" s="8"/>
      <c r="FK149" s="8"/>
      <c r="FL149" s="8"/>
      <c r="FM149" s="8"/>
      <c r="FN149" s="8"/>
      <c r="FO149" s="9">
        <f t="shared" si="126"/>
        <v>124147527</v>
      </c>
    </row>
    <row r="150" spans="2:171" ht="14.25" customHeight="1" x14ac:dyDescent="0.3">
      <c r="B150" s="7" t="s">
        <v>47</v>
      </c>
      <c r="C150" s="8">
        <v>16777800</v>
      </c>
      <c r="D150" s="8">
        <v>16777800</v>
      </c>
      <c r="E150" s="8">
        <v>16777800</v>
      </c>
      <c r="F150" s="8">
        <v>16777800</v>
      </c>
      <c r="G150" s="8">
        <v>16777800</v>
      </c>
      <c r="H150" s="8">
        <v>16777800</v>
      </c>
      <c r="I150" s="8">
        <v>16777800</v>
      </c>
      <c r="J150" s="8">
        <v>16777800</v>
      </c>
      <c r="K150" s="8">
        <v>16777800</v>
      </c>
      <c r="L150" s="8">
        <v>16777800</v>
      </c>
      <c r="M150" s="8">
        <v>16777800</v>
      </c>
      <c r="N150" s="8">
        <v>16777800</v>
      </c>
      <c r="O150" s="9">
        <f t="shared" si="114"/>
        <v>16777800</v>
      </c>
      <c r="P150" s="8">
        <v>20783966</v>
      </c>
      <c r="Q150" s="8">
        <v>20783966</v>
      </c>
      <c r="R150" s="8">
        <v>20783966</v>
      </c>
      <c r="S150" s="8">
        <v>20783966</v>
      </c>
      <c r="T150" s="8">
        <v>20783966</v>
      </c>
      <c r="U150" s="8">
        <v>20783966</v>
      </c>
      <c r="V150" s="8">
        <v>20783966</v>
      </c>
      <c r="W150" s="8">
        <v>20783966</v>
      </c>
      <c r="X150" s="8">
        <v>20783966</v>
      </c>
      <c r="Y150" s="8">
        <v>20783966</v>
      </c>
      <c r="Z150" s="8">
        <v>20783966</v>
      </c>
      <c r="AA150" s="8">
        <v>20783966</v>
      </c>
      <c r="AB150" s="9">
        <f t="shared" si="115"/>
        <v>20783966</v>
      </c>
      <c r="AC150" s="8">
        <v>24062875</v>
      </c>
      <c r="AD150" s="8">
        <v>24062875</v>
      </c>
      <c r="AE150" s="8">
        <v>24062875</v>
      </c>
      <c r="AF150" s="8">
        <v>24062875</v>
      </c>
      <c r="AG150" s="8">
        <v>24062875</v>
      </c>
      <c r="AH150" s="8">
        <v>24062875</v>
      </c>
      <c r="AI150" s="8">
        <v>24062875</v>
      </c>
      <c r="AJ150" s="8">
        <v>24062875</v>
      </c>
      <c r="AK150" s="8">
        <v>24062875</v>
      </c>
      <c r="AL150" s="8">
        <v>24062875</v>
      </c>
      <c r="AM150" s="8">
        <v>24062875</v>
      </c>
      <c r="AN150" s="8">
        <v>24062875</v>
      </c>
      <c r="AO150" s="9">
        <f t="shared" si="116"/>
        <v>24062875</v>
      </c>
      <c r="AP150" s="8">
        <v>19872709</v>
      </c>
      <c r="AQ150" s="8">
        <v>19872709</v>
      </c>
      <c r="AR150" s="8">
        <v>19872709</v>
      </c>
      <c r="AS150" s="8">
        <v>19872709</v>
      </c>
      <c r="AT150" s="8">
        <v>19872709</v>
      </c>
      <c r="AU150" s="8">
        <v>19872709</v>
      </c>
      <c r="AV150" s="8">
        <v>19872709</v>
      </c>
      <c r="AW150" s="8">
        <v>19872709</v>
      </c>
      <c r="AX150" s="8">
        <v>19872709</v>
      </c>
      <c r="AY150" s="8">
        <v>19872709</v>
      </c>
      <c r="AZ150" s="8">
        <v>19872709</v>
      </c>
      <c r="BA150" s="8">
        <v>19872709</v>
      </c>
      <c r="BB150" s="9">
        <f t="shared" si="117"/>
        <v>19872709</v>
      </c>
      <c r="BC150" s="8">
        <v>16850923</v>
      </c>
      <c r="BD150" s="8">
        <v>16850923</v>
      </c>
      <c r="BE150" s="8">
        <v>16850923</v>
      </c>
      <c r="BF150" s="8">
        <v>16850923</v>
      </c>
      <c r="BG150" s="8">
        <v>16850923</v>
      </c>
      <c r="BH150" s="8">
        <v>16850923</v>
      </c>
      <c r="BI150" s="8">
        <v>16850923</v>
      </c>
      <c r="BJ150" s="8">
        <v>16850923</v>
      </c>
      <c r="BK150" s="8">
        <v>16850923</v>
      </c>
      <c r="BL150" s="8">
        <v>16850923</v>
      </c>
      <c r="BM150" s="8">
        <v>16850923</v>
      </c>
      <c r="BN150" s="8">
        <v>16850923</v>
      </c>
      <c r="BO150" s="9">
        <f t="shared" si="118"/>
        <v>16850923</v>
      </c>
      <c r="BP150" s="8">
        <v>29301813</v>
      </c>
      <c r="BQ150" s="8">
        <v>29301813</v>
      </c>
      <c r="BR150" s="8">
        <v>29301813</v>
      </c>
      <c r="BS150" s="8">
        <v>29301813</v>
      </c>
      <c r="BT150" s="8">
        <v>29301813</v>
      </c>
      <c r="BU150" s="8">
        <v>29301813</v>
      </c>
      <c r="BV150" s="8">
        <v>29301813</v>
      </c>
      <c r="BW150" s="8">
        <v>29301813</v>
      </c>
      <c r="BX150" s="8">
        <v>29301813</v>
      </c>
      <c r="BY150" s="8">
        <v>29301813</v>
      </c>
      <c r="BZ150" s="8">
        <v>29301813</v>
      </c>
      <c r="CA150" s="8">
        <v>29301813</v>
      </c>
      <c r="CB150" s="9">
        <f t="shared" si="119"/>
        <v>29301813</v>
      </c>
      <c r="CC150" s="8">
        <v>30116117</v>
      </c>
      <c r="CD150" s="8">
        <v>30116117</v>
      </c>
      <c r="CE150" s="8">
        <v>30116117</v>
      </c>
      <c r="CF150" s="8">
        <v>30116117</v>
      </c>
      <c r="CG150" s="8">
        <v>30116117</v>
      </c>
      <c r="CH150" s="8">
        <v>30116117</v>
      </c>
      <c r="CI150" s="8">
        <v>30116117</v>
      </c>
      <c r="CJ150" s="8">
        <v>30116117</v>
      </c>
      <c r="CK150" s="8">
        <v>30116117</v>
      </c>
      <c r="CL150" s="8">
        <v>30116117</v>
      </c>
      <c r="CM150" s="8">
        <v>30116117</v>
      </c>
      <c r="CN150" s="8">
        <v>30116117</v>
      </c>
      <c r="CO150" s="9">
        <f t="shared" si="120"/>
        <v>30116117</v>
      </c>
      <c r="CP150" s="8">
        <v>31468883</v>
      </c>
      <c r="CQ150" s="8">
        <v>31468883</v>
      </c>
      <c r="CR150" s="8">
        <v>31468883</v>
      </c>
      <c r="CS150" s="8">
        <v>31468883</v>
      </c>
      <c r="CT150" s="8">
        <v>31468883</v>
      </c>
      <c r="CU150" s="8">
        <v>31468883</v>
      </c>
      <c r="CV150" s="8">
        <v>31468883</v>
      </c>
      <c r="CW150" s="8">
        <v>31468883</v>
      </c>
      <c r="CX150" s="8">
        <v>31468883</v>
      </c>
      <c r="CY150" s="8">
        <v>31468883</v>
      </c>
      <c r="CZ150" s="8">
        <v>31468883</v>
      </c>
      <c r="DA150" s="8">
        <v>31468883</v>
      </c>
      <c r="DB150" s="9">
        <f t="shared" si="121"/>
        <v>31468883</v>
      </c>
      <c r="DC150" s="8">
        <v>44146114</v>
      </c>
      <c r="DD150" s="8">
        <v>44146114</v>
      </c>
      <c r="DE150" s="8">
        <v>44146114</v>
      </c>
      <c r="DF150" s="8">
        <v>44146114</v>
      </c>
      <c r="DG150" s="8">
        <v>44146114</v>
      </c>
      <c r="DH150" s="8">
        <v>44146114</v>
      </c>
      <c r="DI150" s="8">
        <v>44146114</v>
      </c>
      <c r="DJ150" s="8">
        <v>44146114</v>
      </c>
      <c r="DK150" s="8">
        <v>44146114</v>
      </c>
      <c r="DL150" s="8">
        <v>44146114</v>
      </c>
      <c r="DM150" s="8">
        <v>44146114</v>
      </c>
      <c r="DN150" s="8">
        <v>44146114</v>
      </c>
      <c r="DO150" s="9">
        <f t="shared" si="122"/>
        <v>44146114</v>
      </c>
      <c r="DP150" s="8">
        <v>66736778</v>
      </c>
      <c r="DQ150" s="8">
        <v>66736778</v>
      </c>
      <c r="DR150" s="8">
        <v>66736778</v>
      </c>
      <c r="DS150" s="8">
        <v>66736778</v>
      </c>
      <c r="DT150" s="8">
        <v>66736778</v>
      </c>
      <c r="DU150" s="8">
        <v>66736778</v>
      </c>
      <c r="DV150" s="8">
        <v>66736778</v>
      </c>
      <c r="DW150" s="8">
        <v>66736778</v>
      </c>
      <c r="DX150" s="8">
        <v>66736778</v>
      </c>
      <c r="DY150" s="8">
        <v>66736778</v>
      </c>
      <c r="DZ150" s="8">
        <v>66736778</v>
      </c>
      <c r="EA150" s="8">
        <v>66736778</v>
      </c>
      <c r="EB150" s="9">
        <f t="shared" si="123"/>
        <v>66736778</v>
      </c>
      <c r="EC150" s="8">
        <v>57746379</v>
      </c>
      <c r="ED150" s="8">
        <v>57746379</v>
      </c>
      <c r="EE150" s="8">
        <v>57746379</v>
      </c>
      <c r="EF150" s="8">
        <v>57746379</v>
      </c>
      <c r="EG150" s="8">
        <v>57746379</v>
      </c>
      <c r="EH150" s="8">
        <v>57746379</v>
      </c>
      <c r="EI150" s="8">
        <v>57746379</v>
      </c>
      <c r="EJ150" s="8">
        <v>57746379</v>
      </c>
      <c r="EK150" s="8">
        <v>57746379</v>
      </c>
      <c r="EL150" s="8">
        <v>57746379</v>
      </c>
      <c r="EM150" s="8">
        <v>57746379</v>
      </c>
      <c r="EN150" s="8">
        <v>57746379</v>
      </c>
      <c r="EO150" s="9">
        <f t="shared" si="124"/>
        <v>57746379</v>
      </c>
      <c r="EP150" s="8">
        <v>72789613</v>
      </c>
      <c r="EQ150" s="8">
        <v>72789613</v>
      </c>
      <c r="ER150" s="8">
        <v>72789613</v>
      </c>
      <c r="ES150" s="8">
        <v>72789613</v>
      </c>
      <c r="ET150" s="8">
        <v>72789613</v>
      </c>
      <c r="EU150" s="8">
        <v>72789613</v>
      </c>
      <c r="EV150" s="8">
        <v>72789613</v>
      </c>
      <c r="EW150" s="8">
        <v>72789613</v>
      </c>
      <c r="EX150" s="8">
        <v>72789613</v>
      </c>
      <c r="EY150" s="8">
        <v>72789613</v>
      </c>
      <c r="EZ150" s="8">
        <v>72789613</v>
      </c>
      <c r="FA150" s="8">
        <v>72789613</v>
      </c>
      <c r="FB150" s="9">
        <f t="shared" si="125"/>
        <v>72789613</v>
      </c>
      <c r="FC150" s="8">
        <v>132477179</v>
      </c>
      <c r="FD150" s="8">
        <v>132477179</v>
      </c>
      <c r="FE150" s="8">
        <v>132477179</v>
      </c>
      <c r="FF150" s="8">
        <v>132477179</v>
      </c>
      <c r="FG150" s="8">
        <v>132477179</v>
      </c>
      <c r="FH150" s="8">
        <v>132477179</v>
      </c>
      <c r="FI150" s="8">
        <v>132477179</v>
      </c>
      <c r="FJ150" s="8"/>
      <c r="FK150" s="8"/>
      <c r="FL150" s="8"/>
      <c r="FM150" s="8"/>
      <c r="FN150" s="8"/>
      <c r="FO150" s="9">
        <f t="shared" si="126"/>
        <v>132477179</v>
      </c>
    </row>
    <row r="151" spans="2:171" ht="14.25" customHeight="1" x14ac:dyDescent="0.3">
      <c r="B151" s="7" t="s">
        <v>48</v>
      </c>
      <c r="C151" s="8">
        <v>9037920</v>
      </c>
      <c r="D151" s="8">
        <v>9037920</v>
      </c>
      <c r="E151" s="8">
        <v>9037920</v>
      </c>
      <c r="F151" s="8">
        <v>9037920</v>
      </c>
      <c r="G151" s="8">
        <v>9037920</v>
      </c>
      <c r="H151" s="8">
        <v>9037920</v>
      </c>
      <c r="I151" s="8">
        <v>9037920</v>
      </c>
      <c r="J151" s="8">
        <v>9037920</v>
      </c>
      <c r="K151" s="8">
        <v>9037920</v>
      </c>
      <c r="L151" s="8">
        <v>9037920</v>
      </c>
      <c r="M151" s="8">
        <v>9037920</v>
      </c>
      <c r="N151" s="8">
        <v>9037920</v>
      </c>
      <c r="O151" s="9">
        <f t="shared" si="114"/>
        <v>9037920</v>
      </c>
      <c r="P151" s="8">
        <v>10713591</v>
      </c>
      <c r="Q151" s="8">
        <v>10713591</v>
      </c>
      <c r="R151" s="8">
        <v>10713591</v>
      </c>
      <c r="S151" s="8">
        <v>10713591</v>
      </c>
      <c r="T151" s="8">
        <v>10713591</v>
      </c>
      <c r="U151" s="8">
        <v>10713591</v>
      </c>
      <c r="V151" s="8">
        <v>10713591</v>
      </c>
      <c r="W151" s="8">
        <v>10713591</v>
      </c>
      <c r="X151" s="8">
        <v>10713591</v>
      </c>
      <c r="Y151" s="8">
        <v>10713591</v>
      </c>
      <c r="Z151" s="8">
        <v>10713591</v>
      </c>
      <c r="AA151" s="8">
        <v>10713591</v>
      </c>
      <c r="AB151" s="9">
        <f t="shared" si="115"/>
        <v>10713591</v>
      </c>
      <c r="AC151" s="8">
        <v>37951186</v>
      </c>
      <c r="AD151" s="8">
        <v>37951186</v>
      </c>
      <c r="AE151" s="8">
        <v>37951186</v>
      </c>
      <c r="AF151" s="8">
        <v>37951186</v>
      </c>
      <c r="AG151" s="8">
        <v>37951186</v>
      </c>
      <c r="AH151" s="8">
        <v>37951186</v>
      </c>
      <c r="AI151" s="8">
        <v>37951186</v>
      </c>
      <c r="AJ151" s="8">
        <v>37951186</v>
      </c>
      <c r="AK151" s="8">
        <v>37951186</v>
      </c>
      <c r="AL151" s="8">
        <v>37951186</v>
      </c>
      <c r="AM151" s="8">
        <v>37951186</v>
      </c>
      <c r="AN151" s="8">
        <v>37951186</v>
      </c>
      <c r="AO151" s="9">
        <f t="shared" si="116"/>
        <v>37951186</v>
      </c>
      <c r="AP151" s="8">
        <v>28983034</v>
      </c>
      <c r="AQ151" s="8">
        <v>28983034</v>
      </c>
      <c r="AR151" s="8">
        <v>28983034</v>
      </c>
      <c r="AS151" s="8">
        <v>28983034</v>
      </c>
      <c r="AT151" s="8">
        <v>28983034</v>
      </c>
      <c r="AU151" s="8">
        <v>28983034</v>
      </c>
      <c r="AV151" s="8">
        <v>28983034</v>
      </c>
      <c r="AW151" s="8">
        <v>28983034</v>
      </c>
      <c r="AX151" s="8">
        <v>28983034</v>
      </c>
      <c r="AY151" s="8">
        <v>28983034</v>
      </c>
      <c r="AZ151" s="8">
        <v>28983034</v>
      </c>
      <c r="BA151" s="8">
        <v>28983034</v>
      </c>
      <c r="BB151" s="9">
        <f t="shared" si="117"/>
        <v>28983034</v>
      </c>
      <c r="BC151" s="8">
        <v>19451231</v>
      </c>
      <c r="BD151" s="8">
        <v>19451231</v>
      </c>
      <c r="BE151" s="8">
        <v>19451231</v>
      </c>
      <c r="BF151" s="8">
        <v>19451231</v>
      </c>
      <c r="BG151" s="8">
        <v>19451231</v>
      </c>
      <c r="BH151" s="8">
        <v>19451231</v>
      </c>
      <c r="BI151" s="8">
        <v>19451231</v>
      </c>
      <c r="BJ151" s="8">
        <v>19451231</v>
      </c>
      <c r="BK151" s="8">
        <v>19451231</v>
      </c>
      <c r="BL151" s="8">
        <v>19451231</v>
      </c>
      <c r="BM151" s="8">
        <v>19451231</v>
      </c>
      <c r="BN151" s="8">
        <v>19451231</v>
      </c>
      <c r="BO151" s="9">
        <f t="shared" si="118"/>
        <v>19451231</v>
      </c>
      <c r="BP151" s="8">
        <v>17969652</v>
      </c>
      <c r="BQ151" s="8">
        <v>17969652</v>
      </c>
      <c r="BR151" s="8">
        <v>17969652</v>
      </c>
      <c r="BS151" s="8">
        <v>17969652</v>
      </c>
      <c r="BT151" s="8">
        <v>17969652</v>
      </c>
      <c r="BU151" s="8">
        <v>17969652</v>
      </c>
      <c r="BV151" s="8">
        <v>17969652</v>
      </c>
      <c r="BW151" s="8">
        <v>17969652</v>
      </c>
      <c r="BX151" s="8">
        <v>17969652</v>
      </c>
      <c r="BY151" s="8">
        <v>17969652</v>
      </c>
      <c r="BZ151" s="8">
        <v>17969652</v>
      </c>
      <c r="CA151" s="8">
        <v>17969652</v>
      </c>
      <c r="CB151" s="9">
        <f t="shared" si="119"/>
        <v>17969652</v>
      </c>
      <c r="CC151" s="8">
        <v>18496244</v>
      </c>
      <c r="CD151" s="8">
        <v>18496244</v>
      </c>
      <c r="CE151" s="8">
        <v>18496244</v>
      </c>
      <c r="CF151" s="8">
        <v>18496244</v>
      </c>
      <c r="CG151" s="8">
        <v>18496244</v>
      </c>
      <c r="CH151" s="8">
        <v>18496244</v>
      </c>
      <c r="CI151" s="8">
        <v>18496244</v>
      </c>
      <c r="CJ151" s="8">
        <v>18496244</v>
      </c>
      <c r="CK151" s="8">
        <v>18496244</v>
      </c>
      <c r="CL151" s="8">
        <v>18496244</v>
      </c>
      <c r="CM151" s="8">
        <v>18496244</v>
      </c>
      <c r="CN151" s="8">
        <v>18496244</v>
      </c>
      <c r="CO151" s="9">
        <f t="shared" si="120"/>
        <v>18496244</v>
      </c>
      <c r="CP151" s="8">
        <v>20342961</v>
      </c>
      <c r="CQ151" s="8">
        <v>20342961</v>
      </c>
      <c r="CR151" s="8">
        <v>20342961</v>
      </c>
      <c r="CS151" s="8">
        <v>20342961</v>
      </c>
      <c r="CT151" s="8">
        <v>20342961</v>
      </c>
      <c r="CU151" s="8">
        <v>20342961</v>
      </c>
      <c r="CV151" s="8">
        <v>20342961</v>
      </c>
      <c r="CW151" s="8">
        <v>20342961</v>
      </c>
      <c r="CX151" s="8">
        <v>20342961</v>
      </c>
      <c r="CY151" s="8">
        <v>20342961</v>
      </c>
      <c r="CZ151" s="8">
        <v>20342961</v>
      </c>
      <c r="DA151" s="8">
        <v>20342961</v>
      </c>
      <c r="DB151" s="9">
        <f t="shared" si="121"/>
        <v>20342961</v>
      </c>
      <c r="DC151" s="8">
        <v>33226672</v>
      </c>
      <c r="DD151" s="8">
        <v>33226672</v>
      </c>
      <c r="DE151" s="8">
        <v>33226672</v>
      </c>
      <c r="DF151" s="8">
        <v>33226672</v>
      </c>
      <c r="DG151" s="8">
        <v>33226672</v>
      </c>
      <c r="DH151" s="8">
        <v>33226672</v>
      </c>
      <c r="DI151" s="8">
        <v>33226672</v>
      </c>
      <c r="DJ151" s="8">
        <v>33226672</v>
      </c>
      <c r="DK151" s="8">
        <v>33226672</v>
      </c>
      <c r="DL151" s="8">
        <v>33226672</v>
      </c>
      <c r="DM151" s="8">
        <v>33226672</v>
      </c>
      <c r="DN151" s="8">
        <v>33226672</v>
      </c>
      <c r="DO151" s="9">
        <f t="shared" si="122"/>
        <v>33226672</v>
      </c>
      <c r="DP151" s="8">
        <v>47626282</v>
      </c>
      <c r="DQ151" s="8">
        <v>47626282</v>
      </c>
      <c r="DR151" s="8">
        <v>47626282</v>
      </c>
      <c r="DS151" s="8">
        <v>47626282</v>
      </c>
      <c r="DT151" s="8">
        <v>47626282</v>
      </c>
      <c r="DU151" s="8">
        <v>47626282</v>
      </c>
      <c r="DV151" s="8">
        <v>47626282</v>
      </c>
      <c r="DW151" s="8">
        <v>47626282</v>
      </c>
      <c r="DX151" s="8">
        <v>47626282</v>
      </c>
      <c r="DY151" s="8">
        <v>47626282</v>
      </c>
      <c r="DZ151" s="8">
        <v>47626282</v>
      </c>
      <c r="EA151" s="8">
        <v>47626282</v>
      </c>
      <c r="EB151" s="9">
        <f t="shared" si="123"/>
        <v>47626282</v>
      </c>
      <c r="EC151" s="8">
        <v>53240790</v>
      </c>
      <c r="ED151" s="8">
        <v>53240790</v>
      </c>
      <c r="EE151" s="8">
        <v>53240790</v>
      </c>
      <c r="EF151" s="8">
        <v>53240790</v>
      </c>
      <c r="EG151" s="8">
        <v>53240790</v>
      </c>
      <c r="EH151" s="8">
        <v>53240790</v>
      </c>
      <c r="EI151" s="8">
        <v>53240790</v>
      </c>
      <c r="EJ151" s="8">
        <v>53240790</v>
      </c>
      <c r="EK151" s="8">
        <v>53240790</v>
      </c>
      <c r="EL151" s="8">
        <v>53240790</v>
      </c>
      <c r="EM151" s="8">
        <v>53240790</v>
      </c>
      <c r="EN151" s="8">
        <v>53240790</v>
      </c>
      <c r="EO151" s="9">
        <f t="shared" si="124"/>
        <v>53240790</v>
      </c>
      <c r="EP151" s="8">
        <v>92931481</v>
      </c>
      <c r="EQ151" s="8">
        <v>92931481</v>
      </c>
      <c r="ER151" s="8">
        <v>92931481</v>
      </c>
      <c r="ES151" s="8">
        <v>92931481</v>
      </c>
      <c r="ET151" s="8">
        <v>92931481</v>
      </c>
      <c r="EU151" s="8">
        <v>92931481</v>
      </c>
      <c r="EV151" s="8">
        <v>92931481</v>
      </c>
      <c r="EW151" s="8">
        <v>92931481</v>
      </c>
      <c r="EX151" s="8">
        <v>92931481</v>
      </c>
      <c r="EY151" s="8">
        <v>92931481</v>
      </c>
      <c r="EZ151" s="8">
        <v>92931481</v>
      </c>
      <c r="FA151" s="8">
        <v>92931481</v>
      </c>
      <c r="FB151" s="9">
        <f t="shared" si="125"/>
        <v>92931481</v>
      </c>
      <c r="FC151" s="8">
        <v>89750044</v>
      </c>
      <c r="FD151" s="8">
        <v>89750044</v>
      </c>
      <c r="FE151" s="8">
        <v>89750044</v>
      </c>
      <c r="FF151" s="8">
        <v>89750044</v>
      </c>
      <c r="FG151" s="8">
        <v>89750044</v>
      </c>
      <c r="FH151" s="8">
        <v>89750044</v>
      </c>
      <c r="FI151" s="8">
        <v>89750044</v>
      </c>
      <c r="FJ151" s="8"/>
      <c r="FK151" s="8"/>
      <c r="FL151" s="8"/>
      <c r="FM151" s="8"/>
      <c r="FN151" s="8"/>
      <c r="FO151" s="9">
        <f t="shared" si="126"/>
        <v>89750044</v>
      </c>
    </row>
    <row r="152" spans="2:171" ht="14.25" customHeight="1" x14ac:dyDescent="0.3">
      <c r="B152" s="7" t="s">
        <v>49</v>
      </c>
      <c r="C152" s="8">
        <v>24875265</v>
      </c>
      <c r="D152" s="8">
        <v>24875265</v>
      </c>
      <c r="E152" s="8">
        <v>24875265</v>
      </c>
      <c r="F152" s="8">
        <v>24875265</v>
      </c>
      <c r="G152" s="8">
        <v>24875265</v>
      </c>
      <c r="H152" s="8">
        <v>24875265</v>
      </c>
      <c r="I152" s="8">
        <v>24875265</v>
      </c>
      <c r="J152" s="8">
        <v>24875265</v>
      </c>
      <c r="K152" s="8">
        <v>24875265</v>
      </c>
      <c r="L152" s="8">
        <v>24875265</v>
      </c>
      <c r="M152" s="8">
        <v>24875265</v>
      </c>
      <c r="N152" s="8">
        <v>24875265</v>
      </c>
      <c r="O152" s="9">
        <f t="shared" si="114"/>
        <v>24875265</v>
      </c>
      <c r="P152" s="8">
        <v>37865699</v>
      </c>
      <c r="Q152" s="8">
        <v>37865699</v>
      </c>
      <c r="R152" s="8">
        <v>37865699</v>
      </c>
      <c r="S152" s="8">
        <v>37865699</v>
      </c>
      <c r="T152" s="8">
        <v>37865699</v>
      </c>
      <c r="U152" s="8">
        <v>37865699</v>
      </c>
      <c r="V152" s="8">
        <v>37865699</v>
      </c>
      <c r="W152" s="8">
        <v>37865699</v>
      </c>
      <c r="X152" s="8">
        <v>37865699</v>
      </c>
      <c r="Y152" s="8">
        <v>37865699</v>
      </c>
      <c r="Z152" s="8">
        <v>37865699</v>
      </c>
      <c r="AA152" s="8">
        <v>37865699</v>
      </c>
      <c r="AB152" s="9">
        <f t="shared" si="115"/>
        <v>37865699</v>
      </c>
      <c r="AC152" s="8">
        <v>59663790</v>
      </c>
      <c r="AD152" s="8">
        <v>59663790</v>
      </c>
      <c r="AE152" s="8">
        <v>59663790</v>
      </c>
      <c r="AF152" s="8">
        <v>59663790</v>
      </c>
      <c r="AG152" s="8">
        <v>59663790</v>
      </c>
      <c r="AH152" s="8">
        <v>59663790</v>
      </c>
      <c r="AI152" s="8">
        <v>59663790</v>
      </c>
      <c r="AJ152" s="8">
        <v>59663790</v>
      </c>
      <c r="AK152" s="8">
        <v>59663790</v>
      </c>
      <c r="AL152" s="8">
        <v>59663790</v>
      </c>
      <c r="AM152" s="8">
        <v>59663790</v>
      </c>
      <c r="AN152" s="8">
        <v>59663790</v>
      </c>
      <c r="AO152" s="9">
        <f t="shared" si="116"/>
        <v>59663790</v>
      </c>
      <c r="AP152" s="8">
        <v>69195011</v>
      </c>
      <c r="AQ152" s="8">
        <v>69195011</v>
      </c>
      <c r="AR152" s="8">
        <v>69195011</v>
      </c>
      <c r="AS152" s="8">
        <v>69195011</v>
      </c>
      <c r="AT152" s="8">
        <v>69195011</v>
      </c>
      <c r="AU152" s="8">
        <v>69195011</v>
      </c>
      <c r="AV152" s="8">
        <v>69195011</v>
      </c>
      <c r="AW152" s="8">
        <v>69195011</v>
      </c>
      <c r="AX152" s="8">
        <v>69195011</v>
      </c>
      <c r="AY152" s="8">
        <v>69195011</v>
      </c>
      <c r="AZ152" s="8">
        <v>69195011</v>
      </c>
      <c r="BA152" s="8">
        <v>69195011</v>
      </c>
      <c r="BB152" s="9">
        <f t="shared" si="117"/>
        <v>69195011</v>
      </c>
      <c r="BC152" s="8">
        <v>76892719</v>
      </c>
      <c r="BD152" s="8">
        <v>76892719</v>
      </c>
      <c r="BE152" s="8">
        <v>76892719</v>
      </c>
      <c r="BF152" s="8">
        <v>76892719</v>
      </c>
      <c r="BG152" s="8">
        <v>76892719</v>
      </c>
      <c r="BH152" s="8">
        <v>76892719</v>
      </c>
      <c r="BI152" s="8">
        <v>76892719</v>
      </c>
      <c r="BJ152" s="8">
        <v>76892719</v>
      </c>
      <c r="BK152" s="8">
        <v>76892719</v>
      </c>
      <c r="BL152" s="8">
        <v>76892719</v>
      </c>
      <c r="BM152" s="8">
        <v>76892719</v>
      </c>
      <c r="BN152" s="8">
        <v>76892719</v>
      </c>
      <c r="BO152" s="9">
        <f t="shared" si="118"/>
        <v>76892719</v>
      </c>
      <c r="BP152" s="8">
        <v>75782905</v>
      </c>
      <c r="BQ152" s="8">
        <v>75782905</v>
      </c>
      <c r="BR152" s="8">
        <v>75782905</v>
      </c>
      <c r="BS152" s="8">
        <v>75782905</v>
      </c>
      <c r="BT152" s="8">
        <v>75782905</v>
      </c>
      <c r="BU152" s="8">
        <v>75782905</v>
      </c>
      <c r="BV152" s="8">
        <v>75782905</v>
      </c>
      <c r="BW152" s="8">
        <v>75782905</v>
      </c>
      <c r="BX152" s="8">
        <v>75782905</v>
      </c>
      <c r="BY152" s="8">
        <v>75782905</v>
      </c>
      <c r="BZ152" s="8">
        <v>75782905</v>
      </c>
      <c r="CA152" s="8">
        <v>75782905</v>
      </c>
      <c r="CB152" s="9">
        <f t="shared" si="119"/>
        <v>75782905</v>
      </c>
      <c r="CC152" s="8">
        <v>78065990</v>
      </c>
      <c r="CD152" s="8">
        <v>78065990</v>
      </c>
      <c r="CE152" s="8">
        <v>78065990</v>
      </c>
      <c r="CF152" s="8">
        <v>78065990</v>
      </c>
      <c r="CG152" s="8">
        <v>78065990</v>
      </c>
      <c r="CH152" s="8">
        <v>78065990</v>
      </c>
      <c r="CI152" s="8">
        <v>78065990</v>
      </c>
      <c r="CJ152" s="8">
        <v>78065990</v>
      </c>
      <c r="CK152" s="8">
        <v>78065990</v>
      </c>
      <c r="CL152" s="8">
        <v>78065990</v>
      </c>
      <c r="CM152" s="8">
        <v>78065990</v>
      </c>
      <c r="CN152" s="8">
        <v>78065990</v>
      </c>
      <c r="CO152" s="9">
        <f t="shared" si="120"/>
        <v>78065990</v>
      </c>
      <c r="CP152" s="8">
        <v>82736497</v>
      </c>
      <c r="CQ152" s="8">
        <v>82736497</v>
      </c>
      <c r="CR152" s="8">
        <v>82736497</v>
      </c>
      <c r="CS152" s="8">
        <v>82736497</v>
      </c>
      <c r="CT152" s="8">
        <v>82736497</v>
      </c>
      <c r="CU152" s="8">
        <v>82736497</v>
      </c>
      <c r="CV152" s="8">
        <v>82736497</v>
      </c>
      <c r="CW152" s="8">
        <v>82736497</v>
      </c>
      <c r="CX152" s="8">
        <v>82736497</v>
      </c>
      <c r="CY152" s="8">
        <v>82736497</v>
      </c>
      <c r="CZ152" s="8">
        <v>82736497</v>
      </c>
      <c r="DA152" s="8">
        <v>82736497</v>
      </c>
      <c r="DB152" s="9">
        <f t="shared" si="121"/>
        <v>82736497</v>
      </c>
      <c r="DC152" s="8">
        <v>68909036</v>
      </c>
      <c r="DD152" s="8">
        <v>68909036</v>
      </c>
      <c r="DE152" s="8">
        <v>68909036</v>
      </c>
      <c r="DF152" s="8">
        <v>68909036</v>
      </c>
      <c r="DG152" s="8">
        <v>68909036</v>
      </c>
      <c r="DH152" s="8">
        <v>68909036</v>
      </c>
      <c r="DI152" s="8">
        <v>68909036</v>
      </c>
      <c r="DJ152" s="8">
        <v>68909036</v>
      </c>
      <c r="DK152" s="8">
        <v>68909036</v>
      </c>
      <c r="DL152" s="8">
        <v>68909036</v>
      </c>
      <c r="DM152" s="8">
        <v>68909036</v>
      </c>
      <c r="DN152" s="8">
        <v>68909036</v>
      </c>
      <c r="DO152" s="9">
        <f t="shared" si="122"/>
        <v>68909036</v>
      </c>
      <c r="DP152" s="8">
        <v>107813988</v>
      </c>
      <c r="DQ152" s="8">
        <v>107813988</v>
      </c>
      <c r="DR152" s="8">
        <v>107813988</v>
      </c>
      <c r="DS152" s="8">
        <v>107813988</v>
      </c>
      <c r="DT152" s="8">
        <v>107813988</v>
      </c>
      <c r="DU152" s="8">
        <v>107813988</v>
      </c>
      <c r="DV152" s="8">
        <v>107813988</v>
      </c>
      <c r="DW152" s="8">
        <v>107813988</v>
      </c>
      <c r="DX152" s="8">
        <v>107813988</v>
      </c>
      <c r="DY152" s="8">
        <v>107813988</v>
      </c>
      <c r="DZ152" s="8">
        <v>107813988</v>
      </c>
      <c r="EA152" s="8">
        <v>107813988</v>
      </c>
      <c r="EB152" s="9">
        <f t="shared" si="123"/>
        <v>107813988</v>
      </c>
      <c r="EC152" s="8">
        <v>123704390</v>
      </c>
      <c r="ED152" s="8">
        <v>123704390</v>
      </c>
      <c r="EE152" s="8">
        <v>123704390</v>
      </c>
      <c r="EF152" s="8">
        <v>123704390</v>
      </c>
      <c r="EG152" s="8">
        <v>123704390</v>
      </c>
      <c r="EH152" s="8">
        <v>123704390</v>
      </c>
      <c r="EI152" s="8">
        <v>123704390</v>
      </c>
      <c r="EJ152" s="8">
        <v>123704390</v>
      </c>
      <c r="EK152" s="8">
        <v>123704390</v>
      </c>
      <c r="EL152" s="8">
        <v>123704390</v>
      </c>
      <c r="EM152" s="8">
        <v>123704390</v>
      </c>
      <c r="EN152" s="8">
        <v>123704390</v>
      </c>
      <c r="EO152" s="9">
        <f t="shared" si="124"/>
        <v>123704390</v>
      </c>
      <c r="EP152" s="8">
        <v>145360457</v>
      </c>
      <c r="EQ152" s="8">
        <v>145360457</v>
      </c>
      <c r="ER152" s="8">
        <v>145360457</v>
      </c>
      <c r="ES152" s="8">
        <v>145360457</v>
      </c>
      <c r="ET152" s="8">
        <v>145360457</v>
      </c>
      <c r="EU152" s="8">
        <v>145360457</v>
      </c>
      <c r="EV152" s="8">
        <v>145360457</v>
      </c>
      <c r="EW152" s="8">
        <v>145360457</v>
      </c>
      <c r="EX152" s="8">
        <v>145360457</v>
      </c>
      <c r="EY152" s="8">
        <v>145360457</v>
      </c>
      <c r="EZ152" s="8">
        <v>145360457</v>
      </c>
      <c r="FA152" s="8">
        <v>145360457</v>
      </c>
      <c r="FB152" s="9">
        <f t="shared" si="125"/>
        <v>145360457</v>
      </c>
      <c r="FC152" s="8">
        <v>135508027</v>
      </c>
      <c r="FD152" s="8">
        <v>135508027</v>
      </c>
      <c r="FE152" s="8">
        <v>135508027</v>
      </c>
      <c r="FF152" s="8">
        <v>135508027</v>
      </c>
      <c r="FG152" s="8">
        <v>135508027</v>
      </c>
      <c r="FH152" s="8">
        <v>135508027</v>
      </c>
      <c r="FI152" s="8">
        <v>135508027</v>
      </c>
      <c r="FJ152" s="8"/>
      <c r="FK152" s="8"/>
      <c r="FL152" s="8"/>
      <c r="FM152" s="8"/>
      <c r="FN152" s="8"/>
      <c r="FO152" s="9">
        <f t="shared" si="126"/>
        <v>135508027</v>
      </c>
    </row>
    <row r="153" spans="2:171" ht="14.25" customHeight="1" x14ac:dyDescent="0.3">
      <c r="B153" s="7" t="s">
        <v>50</v>
      </c>
      <c r="C153" s="8">
        <v>83941248</v>
      </c>
      <c r="D153" s="8">
        <v>83941248</v>
      </c>
      <c r="E153" s="8">
        <v>83941248</v>
      </c>
      <c r="F153" s="8">
        <v>83941248</v>
      </c>
      <c r="G153" s="8">
        <v>83941248</v>
      </c>
      <c r="H153" s="8">
        <v>83941248</v>
      </c>
      <c r="I153" s="8">
        <v>83941248</v>
      </c>
      <c r="J153" s="8">
        <v>83941248</v>
      </c>
      <c r="K153" s="8">
        <v>83941248</v>
      </c>
      <c r="L153" s="8">
        <v>83941248</v>
      </c>
      <c r="M153" s="8">
        <v>83941248</v>
      </c>
      <c r="N153" s="8">
        <v>83941248</v>
      </c>
      <c r="O153" s="9">
        <f t="shared" si="114"/>
        <v>83941248</v>
      </c>
      <c r="P153" s="8">
        <v>128371216</v>
      </c>
      <c r="Q153" s="8">
        <v>128371216</v>
      </c>
      <c r="R153" s="8">
        <v>128371216</v>
      </c>
      <c r="S153" s="8">
        <v>128371216</v>
      </c>
      <c r="T153" s="8">
        <v>128371216</v>
      </c>
      <c r="U153" s="8">
        <v>128371216</v>
      </c>
      <c r="V153" s="8">
        <v>128371216</v>
      </c>
      <c r="W153" s="8">
        <v>128371216</v>
      </c>
      <c r="X153" s="8">
        <v>128371216</v>
      </c>
      <c r="Y153" s="8">
        <v>128371216</v>
      </c>
      <c r="Z153" s="8">
        <v>128371216</v>
      </c>
      <c r="AA153" s="8">
        <v>128371216</v>
      </c>
      <c r="AB153" s="9">
        <f t="shared" si="115"/>
        <v>128371216</v>
      </c>
      <c r="AC153" s="8">
        <v>110507630</v>
      </c>
      <c r="AD153" s="8">
        <v>110507630</v>
      </c>
      <c r="AE153" s="8">
        <v>110507630</v>
      </c>
      <c r="AF153" s="8">
        <v>110507630</v>
      </c>
      <c r="AG153" s="8">
        <v>110507630</v>
      </c>
      <c r="AH153" s="8">
        <v>110507630</v>
      </c>
      <c r="AI153" s="8">
        <v>110507630</v>
      </c>
      <c r="AJ153" s="8">
        <v>110507630</v>
      </c>
      <c r="AK153" s="8">
        <v>110507630</v>
      </c>
      <c r="AL153" s="8">
        <v>110507630</v>
      </c>
      <c r="AM153" s="8">
        <v>110507630</v>
      </c>
      <c r="AN153" s="8">
        <v>110507630</v>
      </c>
      <c r="AO153" s="9">
        <f t="shared" si="116"/>
        <v>110507630</v>
      </c>
      <c r="AP153" s="8">
        <v>94638016</v>
      </c>
      <c r="AQ153" s="8">
        <v>94638016</v>
      </c>
      <c r="AR153" s="8">
        <v>94638016</v>
      </c>
      <c r="AS153" s="8">
        <v>94638016</v>
      </c>
      <c r="AT153" s="8">
        <v>94638016</v>
      </c>
      <c r="AU153" s="8">
        <v>94638016</v>
      </c>
      <c r="AV153" s="8">
        <v>94638016</v>
      </c>
      <c r="AW153" s="8">
        <v>94638016</v>
      </c>
      <c r="AX153" s="8">
        <v>94638016</v>
      </c>
      <c r="AY153" s="8">
        <v>94638016</v>
      </c>
      <c r="AZ153" s="8">
        <v>94638016</v>
      </c>
      <c r="BA153" s="8">
        <v>94638016</v>
      </c>
      <c r="BB153" s="9">
        <f t="shared" si="117"/>
        <v>94638016</v>
      </c>
      <c r="BC153" s="8">
        <v>123230266</v>
      </c>
      <c r="BD153" s="8">
        <v>123230266</v>
      </c>
      <c r="BE153" s="8">
        <v>123230266</v>
      </c>
      <c r="BF153" s="8">
        <v>123230266</v>
      </c>
      <c r="BG153" s="8">
        <v>123230266</v>
      </c>
      <c r="BH153" s="8">
        <v>123230266</v>
      </c>
      <c r="BI153" s="8">
        <v>123230266</v>
      </c>
      <c r="BJ153" s="8">
        <v>123230266</v>
      </c>
      <c r="BK153" s="8">
        <v>123230266</v>
      </c>
      <c r="BL153" s="8">
        <v>123230266</v>
      </c>
      <c r="BM153" s="8">
        <v>123230266</v>
      </c>
      <c r="BN153" s="8">
        <v>123230266</v>
      </c>
      <c r="BO153" s="9">
        <f t="shared" si="118"/>
        <v>123230266</v>
      </c>
      <c r="BP153" s="8">
        <v>113787823</v>
      </c>
      <c r="BQ153" s="8">
        <v>113787823</v>
      </c>
      <c r="BR153" s="8">
        <v>113787823</v>
      </c>
      <c r="BS153" s="8">
        <v>113787823</v>
      </c>
      <c r="BT153" s="8">
        <v>113787823</v>
      </c>
      <c r="BU153" s="8">
        <v>113787823</v>
      </c>
      <c r="BV153" s="8">
        <v>113787823</v>
      </c>
      <c r="BW153" s="8">
        <v>113787823</v>
      </c>
      <c r="BX153" s="8">
        <v>113787823</v>
      </c>
      <c r="BY153" s="8">
        <v>113787823</v>
      </c>
      <c r="BZ153" s="8">
        <v>113787823</v>
      </c>
      <c r="CA153" s="8">
        <v>113787823</v>
      </c>
      <c r="CB153" s="9">
        <f t="shared" si="119"/>
        <v>113787823</v>
      </c>
      <c r="CC153" s="8">
        <v>116864448</v>
      </c>
      <c r="CD153" s="8">
        <v>116864448</v>
      </c>
      <c r="CE153" s="8">
        <v>116864448</v>
      </c>
      <c r="CF153" s="8">
        <v>116864448</v>
      </c>
      <c r="CG153" s="8">
        <v>116864448</v>
      </c>
      <c r="CH153" s="8">
        <v>116864448</v>
      </c>
      <c r="CI153" s="8">
        <v>116864448</v>
      </c>
      <c r="CJ153" s="8">
        <v>116864448</v>
      </c>
      <c r="CK153" s="8">
        <v>116864448</v>
      </c>
      <c r="CL153" s="8">
        <v>116864448</v>
      </c>
      <c r="CM153" s="8">
        <v>116864448</v>
      </c>
      <c r="CN153" s="8">
        <v>116864448</v>
      </c>
      <c r="CO153" s="9">
        <f t="shared" si="120"/>
        <v>116864448</v>
      </c>
      <c r="CP153" s="8">
        <v>122491915</v>
      </c>
      <c r="CQ153" s="8">
        <v>122491915</v>
      </c>
      <c r="CR153" s="8">
        <v>122491915</v>
      </c>
      <c r="CS153" s="8">
        <v>122491915</v>
      </c>
      <c r="CT153" s="8">
        <v>122491915</v>
      </c>
      <c r="CU153" s="8">
        <v>122491915</v>
      </c>
      <c r="CV153" s="8">
        <v>122491915</v>
      </c>
      <c r="CW153" s="8">
        <v>122491915</v>
      </c>
      <c r="CX153" s="8">
        <v>122491915</v>
      </c>
      <c r="CY153" s="8">
        <v>122491915</v>
      </c>
      <c r="CZ153" s="8">
        <v>122491915</v>
      </c>
      <c r="DA153" s="8">
        <v>122491915</v>
      </c>
      <c r="DB153" s="9">
        <f t="shared" si="121"/>
        <v>122491915</v>
      </c>
      <c r="DC153" s="8">
        <v>166182827</v>
      </c>
      <c r="DD153" s="8">
        <v>166182827</v>
      </c>
      <c r="DE153" s="8">
        <v>166182827</v>
      </c>
      <c r="DF153" s="8">
        <v>166182827</v>
      </c>
      <c r="DG153" s="8">
        <v>166182827</v>
      </c>
      <c r="DH153" s="8">
        <v>166182827</v>
      </c>
      <c r="DI153" s="8">
        <v>166182827</v>
      </c>
      <c r="DJ153" s="8">
        <v>166182827</v>
      </c>
      <c r="DK153" s="8">
        <v>166182827</v>
      </c>
      <c r="DL153" s="8">
        <v>166182827</v>
      </c>
      <c r="DM153" s="8">
        <v>166182827</v>
      </c>
      <c r="DN153" s="8">
        <v>166182827</v>
      </c>
      <c r="DO153" s="9">
        <f t="shared" si="122"/>
        <v>166182827</v>
      </c>
      <c r="DP153" s="8">
        <v>199830432</v>
      </c>
      <c r="DQ153" s="8">
        <v>199830432</v>
      </c>
      <c r="DR153" s="8">
        <v>199830432</v>
      </c>
      <c r="DS153" s="8">
        <v>199830432</v>
      </c>
      <c r="DT153" s="8">
        <v>199830432</v>
      </c>
      <c r="DU153" s="8">
        <v>199830432</v>
      </c>
      <c r="DV153" s="8">
        <v>199830432</v>
      </c>
      <c r="DW153" s="8">
        <v>199830432</v>
      </c>
      <c r="DX153" s="8">
        <v>199830432</v>
      </c>
      <c r="DY153" s="8">
        <v>199830432</v>
      </c>
      <c r="DZ153" s="8">
        <v>199830432</v>
      </c>
      <c r="EA153" s="8">
        <v>199830432</v>
      </c>
      <c r="EB153" s="9">
        <f t="shared" si="123"/>
        <v>199830432</v>
      </c>
      <c r="EC153" s="8">
        <v>225771051</v>
      </c>
      <c r="ED153" s="8">
        <v>225771051</v>
      </c>
      <c r="EE153" s="8">
        <v>225771051</v>
      </c>
      <c r="EF153" s="8">
        <v>225771051</v>
      </c>
      <c r="EG153" s="8">
        <v>225771051</v>
      </c>
      <c r="EH153" s="8">
        <v>225771051</v>
      </c>
      <c r="EI153" s="8">
        <v>225771051</v>
      </c>
      <c r="EJ153" s="8">
        <v>225771051</v>
      </c>
      <c r="EK153" s="8">
        <v>225771051</v>
      </c>
      <c r="EL153" s="8">
        <v>225771051</v>
      </c>
      <c r="EM153" s="8">
        <v>225771051</v>
      </c>
      <c r="EN153" s="8">
        <v>225771051</v>
      </c>
      <c r="EO153" s="9">
        <f t="shared" si="124"/>
        <v>225771051</v>
      </c>
      <c r="EP153" s="8">
        <v>286562984</v>
      </c>
      <c r="EQ153" s="8">
        <v>286562984</v>
      </c>
      <c r="ER153" s="8">
        <v>286562984</v>
      </c>
      <c r="ES153" s="8">
        <v>286562984</v>
      </c>
      <c r="ET153" s="8">
        <v>286562984</v>
      </c>
      <c r="EU153" s="8">
        <v>286562984</v>
      </c>
      <c r="EV153" s="8">
        <v>286562984</v>
      </c>
      <c r="EW153" s="8">
        <v>286562984</v>
      </c>
      <c r="EX153" s="8">
        <v>286562984</v>
      </c>
      <c r="EY153" s="8">
        <v>286562984</v>
      </c>
      <c r="EZ153" s="8">
        <v>286562984</v>
      </c>
      <c r="FA153" s="8">
        <v>286562984</v>
      </c>
      <c r="FB153" s="9">
        <f t="shared" si="125"/>
        <v>286562984</v>
      </c>
      <c r="FC153" s="8">
        <v>241505107</v>
      </c>
      <c r="FD153" s="8">
        <v>241505107</v>
      </c>
      <c r="FE153" s="8">
        <v>241505107</v>
      </c>
      <c r="FF153" s="8">
        <v>241505107</v>
      </c>
      <c r="FG153" s="8">
        <v>241505107</v>
      </c>
      <c r="FH153" s="8">
        <v>241505107</v>
      </c>
      <c r="FI153" s="8">
        <v>241505107</v>
      </c>
      <c r="FJ153" s="8"/>
      <c r="FK153" s="8"/>
      <c r="FL153" s="8"/>
      <c r="FM153" s="8"/>
      <c r="FN153" s="8"/>
      <c r="FO153" s="9">
        <f t="shared" si="126"/>
        <v>241505107</v>
      </c>
    </row>
    <row r="154" spans="2:171" ht="14.25" customHeight="1" x14ac:dyDescent="0.3">
      <c r="B154" s="7" t="s">
        <v>51</v>
      </c>
      <c r="C154" s="8">
        <v>240699010</v>
      </c>
      <c r="D154" s="8">
        <v>240699010</v>
      </c>
      <c r="E154" s="8">
        <v>240699010</v>
      </c>
      <c r="F154" s="8">
        <v>240699010</v>
      </c>
      <c r="G154" s="8">
        <v>240699010</v>
      </c>
      <c r="H154" s="8">
        <v>240699010</v>
      </c>
      <c r="I154" s="8">
        <v>240699010</v>
      </c>
      <c r="J154" s="8">
        <v>240699010</v>
      </c>
      <c r="K154" s="8">
        <v>240699010</v>
      </c>
      <c r="L154" s="8">
        <v>240699010</v>
      </c>
      <c r="M154" s="8">
        <v>240699010</v>
      </c>
      <c r="N154" s="8">
        <v>240699010</v>
      </c>
      <c r="O154" s="9">
        <f t="shared" si="114"/>
        <v>240699010</v>
      </c>
      <c r="P154" s="8">
        <v>257903024</v>
      </c>
      <c r="Q154" s="8">
        <v>257903024</v>
      </c>
      <c r="R154" s="8">
        <v>257903024</v>
      </c>
      <c r="S154" s="8">
        <v>257903024</v>
      </c>
      <c r="T154" s="8">
        <v>257903024</v>
      </c>
      <c r="U154" s="8">
        <v>257903024</v>
      </c>
      <c r="V154" s="8">
        <v>257903024</v>
      </c>
      <c r="W154" s="8">
        <v>257903024</v>
      </c>
      <c r="X154" s="8">
        <v>257903024</v>
      </c>
      <c r="Y154" s="8">
        <v>257903024</v>
      </c>
      <c r="Z154" s="8">
        <v>257903024</v>
      </c>
      <c r="AA154" s="8">
        <v>257903024</v>
      </c>
      <c r="AB154" s="9">
        <f t="shared" si="115"/>
        <v>257903024</v>
      </c>
      <c r="AC154" s="8">
        <v>290438181</v>
      </c>
      <c r="AD154" s="8">
        <v>290438181</v>
      </c>
      <c r="AE154" s="8">
        <v>290438181</v>
      </c>
      <c r="AF154" s="8">
        <v>290438181</v>
      </c>
      <c r="AG154" s="8">
        <v>290438181</v>
      </c>
      <c r="AH154" s="8">
        <v>290438181</v>
      </c>
      <c r="AI154" s="8">
        <v>290438181</v>
      </c>
      <c r="AJ154" s="8">
        <v>290438181</v>
      </c>
      <c r="AK154" s="8">
        <v>290438181</v>
      </c>
      <c r="AL154" s="8">
        <v>290438181</v>
      </c>
      <c r="AM154" s="8">
        <v>290438181</v>
      </c>
      <c r="AN154" s="8">
        <v>290438181</v>
      </c>
      <c r="AO154" s="9">
        <f t="shared" si="116"/>
        <v>290438181</v>
      </c>
      <c r="AP154" s="8">
        <v>270594022</v>
      </c>
      <c r="AQ154" s="8">
        <v>270594022</v>
      </c>
      <c r="AR154" s="8">
        <v>270594022</v>
      </c>
      <c r="AS154" s="8">
        <v>270594022</v>
      </c>
      <c r="AT154" s="8">
        <v>270594022</v>
      </c>
      <c r="AU154" s="8">
        <v>270594022</v>
      </c>
      <c r="AV154" s="8">
        <v>270594022</v>
      </c>
      <c r="AW154" s="8">
        <v>270594022</v>
      </c>
      <c r="AX154" s="8">
        <v>270594022</v>
      </c>
      <c r="AY154" s="8">
        <v>270594022</v>
      </c>
      <c r="AZ154" s="8">
        <v>270594022</v>
      </c>
      <c r="BA154" s="8">
        <v>270594022</v>
      </c>
      <c r="BB154" s="9">
        <f t="shared" si="117"/>
        <v>270594022</v>
      </c>
      <c r="BC154" s="8">
        <v>271308769</v>
      </c>
      <c r="BD154" s="8">
        <v>271308769</v>
      </c>
      <c r="BE154" s="8">
        <v>271308769</v>
      </c>
      <c r="BF154" s="8">
        <v>271308769</v>
      </c>
      <c r="BG154" s="8">
        <v>271308769</v>
      </c>
      <c r="BH154" s="8">
        <v>271308769</v>
      </c>
      <c r="BI154" s="8">
        <v>271308769</v>
      </c>
      <c r="BJ154" s="8">
        <v>271308769</v>
      </c>
      <c r="BK154" s="8">
        <v>271308769</v>
      </c>
      <c r="BL154" s="8">
        <v>271308769</v>
      </c>
      <c r="BM154" s="8">
        <v>271308769</v>
      </c>
      <c r="BN154" s="8">
        <v>271308769</v>
      </c>
      <c r="BO154" s="9">
        <f t="shared" si="118"/>
        <v>271308769</v>
      </c>
      <c r="BP154" s="8">
        <v>315455128</v>
      </c>
      <c r="BQ154" s="8">
        <v>315455128</v>
      </c>
      <c r="BR154" s="8">
        <v>315455128</v>
      </c>
      <c r="BS154" s="8">
        <v>315455128</v>
      </c>
      <c r="BT154" s="8">
        <v>315455128</v>
      </c>
      <c r="BU154" s="8">
        <v>315455128</v>
      </c>
      <c r="BV154" s="8">
        <v>315455128</v>
      </c>
      <c r="BW154" s="8">
        <v>315455128</v>
      </c>
      <c r="BX154" s="8">
        <v>315455128</v>
      </c>
      <c r="BY154" s="8">
        <v>315455128</v>
      </c>
      <c r="BZ154" s="8">
        <v>315455128</v>
      </c>
      <c r="CA154" s="8">
        <v>315455128</v>
      </c>
      <c r="CB154" s="9">
        <f t="shared" si="119"/>
        <v>315455128</v>
      </c>
      <c r="CC154" s="8">
        <v>323949338</v>
      </c>
      <c r="CD154" s="8">
        <v>323949338</v>
      </c>
      <c r="CE154" s="8">
        <v>323949338</v>
      </c>
      <c r="CF154" s="8">
        <v>323949338</v>
      </c>
      <c r="CG154" s="8">
        <v>323949338</v>
      </c>
      <c r="CH154" s="8">
        <v>323949338</v>
      </c>
      <c r="CI154" s="8">
        <v>323949338</v>
      </c>
      <c r="CJ154" s="8">
        <v>323949338</v>
      </c>
      <c r="CK154" s="8">
        <v>323949338</v>
      </c>
      <c r="CL154" s="8">
        <v>323949338</v>
      </c>
      <c r="CM154" s="8">
        <v>323949338</v>
      </c>
      <c r="CN154" s="8">
        <v>323949338</v>
      </c>
      <c r="CO154" s="9">
        <f t="shared" si="120"/>
        <v>323949338</v>
      </c>
      <c r="CP154" s="8">
        <v>321514969</v>
      </c>
      <c r="CQ154" s="8">
        <v>321514969</v>
      </c>
      <c r="CR154" s="8">
        <v>321514969</v>
      </c>
      <c r="CS154" s="8">
        <v>321514969</v>
      </c>
      <c r="CT154" s="8">
        <v>321514969</v>
      </c>
      <c r="CU154" s="8">
        <v>321514969</v>
      </c>
      <c r="CV154" s="8">
        <v>321514969</v>
      </c>
      <c r="CW154" s="8">
        <v>321514969</v>
      </c>
      <c r="CX154" s="8">
        <v>321514969</v>
      </c>
      <c r="CY154" s="8">
        <v>321514969</v>
      </c>
      <c r="CZ154" s="8">
        <v>321514969</v>
      </c>
      <c r="DA154" s="8">
        <v>321514969</v>
      </c>
      <c r="DB154" s="9">
        <f t="shared" si="121"/>
        <v>321514969</v>
      </c>
      <c r="DC154" s="8">
        <v>406538500</v>
      </c>
      <c r="DD154" s="8">
        <v>406538500</v>
      </c>
      <c r="DE154" s="8">
        <v>406538500</v>
      </c>
      <c r="DF154" s="8">
        <v>406538500</v>
      </c>
      <c r="DG154" s="8">
        <v>406538500</v>
      </c>
      <c r="DH154" s="8">
        <v>406538500</v>
      </c>
      <c r="DI154" s="8">
        <v>406538500</v>
      </c>
      <c r="DJ154" s="8">
        <v>406538500</v>
      </c>
      <c r="DK154" s="8">
        <v>406538500</v>
      </c>
      <c r="DL154" s="8">
        <v>406538500</v>
      </c>
      <c r="DM154" s="8">
        <v>406538500</v>
      </c>
      <c r="DN154" s="8">
        <v>406538500</v>
      </c>
      <c r="DO154" s="9">
        <f t="shared" si="122"/>
        <v>406538500</v>
      </c>
      <c r="DP154" s="8">
        <v>387419275</v>
      </c>
      <c r="DQ154" s="8">
        <v>387419275</v>
      </c>
      <c r="DR154" s="8">
        <v>387419275</v>
      </c>
      <c r="DS154" s="8">
        <v>387419275</v>
      </c>
      <c r="DT154" s="8">
        <v>387419275</v>
      </c>
      <c r="DU154" s="8">
        <v>387419275</v>
      </c>
      <c r="DV154" s="8">
        <v>387419275</v>
      </c>
      <c r="DW154" s="8">
        <v>387419275</v>
      </c>
      <c r="DX154" s="8">
        <v>387419275</v>
      </c>
      <c r="DY154" s="8">
        <v>387419275</v>
      </c>
      <c r="DZ154" s="8">
        <v>387419275</v>
      </c>
      <c r="EA154" s="8">
        <v>387419275</v>
      </c>
      <c r="EB154" s="9">
        <f t="shared" si="123"/>
        <v>387419275</v>
      </c>
      <c r="EC154" s="8">
        <v>467857630</v>
      </c>
      <c r="ED154" s="8">
        <v>467857630</v>
      </c>
      <c r="EE154" s="8">
        <v>467857630</v>
      </c>
      <c r="EF154" s="8">
        <v>467857630</v>
      </c>
      <c r="EG154" s="8">
        <v>467857630</v>
      </c>
      <c r="EH154" s="8">
        <v>467857630</v>
      </c>
      <c r="EI154" s="8">
        <v>467857630</v>
      </c>
      <c r="EJ154" s="8">
        <v>467857630</v>
      </c>
      <c r="EK154" s="8">
        <v>467857630</v>
      </c>
      <c r="EL154" s="8">
        <v>467857630</v>
      </c>
      <c r="EM154" s="8">
        <v>467857630</v>
      </c>
      <c r="EN154" s="8">
        <v>467857630</v>
      </c>
      <c r="EO154" s="9">
        <f t="shared" si="124"/>
        <v>467857630</v>
      </c>
      <c r="EP154" s="8">
        <v>371219703</v>
      </c>
      <c r="EQ154" s="8">
        <v>371219703</v>
      </c>
      <c r="ER154" s="8">
        <v>371219703</v>
      </c>
      <c r="ES154" s="8">
        <v>371219703</v>
      </c>
      <c r="ET154" s="8">
        <v>371219703</v>
      </c>
      <c r="EU154" s="8">
        <v>371219703</v>
      </c>
      <c r="EV154" s="8">
        <v>371219703</v>
      </c>
      <c r="EW154" s="8">
        <v>371219703</v>
      </c>
      <c r="EX154" s="8">
        <v>371219703</v>
      </c>
      <c r="EY154" s="8">
        <v>371219703</v>
      </c>
      <c r="EZ154" s="8">
        <v>371219703</v>
      </c>
      <c r="FA154" s="8">
        <v>371219703</v>
      </c>
      <c r="FB154" s="9">
        <f t="shared" si="125"/>
        <v>371219703</v>
      </c>
      <c r="FC154" s="8">
        <v>776352146</v>
      </c>
      <c r="FD154" s="8">
        <v>776352146</v>
      </c>
      <c r="FE154" s="8">
        <v>776352146</v>
      </c>
      <c r="FF154" s="8">
        <v>776352146</v>
      </c>
      <c r="FG154" s="8">
        <v>776352146</v>
      </c>
      <c r="FH154" s="8">
        <v>776352146</v>
      </c>
      <c r="FI154" s="8">
        <v>776352146</v>
      </c>
      <c r="FJ154" s="8"/>
      <c r="FK154" s="8"/>
      <c r="FL154" s="8"/>
      <c r="FM154" s="8"/>
      <c r="FN154" s="8"/>
      <c r="FO154" s="9">
        <f t="shared" si="126"/>
        <v>776352146</v>
      </c>
    </row>
    <row r="155" spans="2:171" ht="14.25" customHeight="1" x14ac:dyDescent="0.3">
      <c r="B155" s="7" t="s">
        <v>52</v>
      </c>
      <c r="C155" s="8">
        <v>72739352</v>
      </c>
      <c r="D155" s="8">
        <v>72739352</v>
      </c>
      <c r="E155" s="8">
        <v>72739352</v>
      </c>
      <c r="F155" s="8">
        <v>72739352</v>
      </c>
      <c r="G155" s="8">
        <v>72739352</v>
      </c>
      <c r="H155" s="8">
        <v>72739352</v>
      </c>
      <c r="I155" s="8">
        <v>72739352</v>
      </c>
      <c r="J155" s="8">
        <v>72739352</v>
      </c>
      <c r="K155" s="8">
        <v>72739352</v>
      </c>
      <c r="L155" s="8">
        <v>72739352</v>
      </c>
      <c r="M155" s="8">
        <v>72739352</v>
      </c>
      <c r="N155" s="8">
        <v>72739352</v>
      </c>
      <c r="O155" s="9">
        <f t="shared" si="114"/>
        <v>72739352</v>
      </c>
      <c r="P155" s="8">
        <v>66281634</v>
      </c>
      <c r="Q155" s="8">
        <v>66281634</v>
      </c>
      <c r="R155" s="8">
        <v>66281634</v>
      </c>
      <c r="S155" s="8">
        <v>66281634</v>
      </c>
      <c r="T155" s="8">
        <v>66281634</v>
      </c>
      <c r="U155" s="8">
        <v>66281634</v>
      </c>
      <c r="V155" s="8">
        <v>66281634</v>
      </c>
      <c r="W155" s="8">
        <v>66281634</v>
      </c>
      <c r="X155" s="8">
        <v>66281634</v>
      </c>
      <c r="Y155" s="8">
        <v>66281634</v>
      </c>
      <c r="Z155" s="8">
        <v>66281634</v>
      </c>
      <c r="AA155" s="8">
        <v>66281634</v>
      </c>
      <c r="AB155" s="9">
        <f t="shared" si="115"/>
        <v>66281634</v>
      </c>
      <c r="AC155" s="8">
        <v>71432638</v>
      </c>
      <c r="AD155" s="8">
        <v>71432638</v>
      </c>
      <c r="AE155" s="8">
        <v>71432638</v>
      </c>
      <c r="AF155" s="8">
        <v>71432638</v>
      </c>
      <c r="AG155" s="8">
        <v>71432638</v>
      </c>
      <c r="AH155" s="8">
        <v>71432638</v>
      </c>
      <c r="AI155" s="8">
        <v>71432638</v>
      </c>
      <c r="AJ155" s="8">
        <v>71432638</v>
      </c>
      <c r="AK155" s="8">
        <v>71432638</v>
      </c>
      <c r="AL155" s="8">
        <v>71432638</v>
      </c>
      <c r="AM155" s="8">
        <v>71432638</v>
      </c>
      <c r="AN155" s="8">
        <v>71432638</v>
      </c>
      <c r="AO155" s="9">
        <f t="shared" si="116"/>
        <v>71432638</v>
      </c>
      <c r="AP155" s="8">
        <v>61503845</v>
      </c>
      <c r="AQ155" s="8">
        <v>61503845</v>
      </c>
      <c r="AR155" s="8">
        <v>61503845</v>
      </c>
      <c r="AS155" s="8">
        <v>61503845</v>
      </c>
      <c r="AT155" s="8">
        <v>61503845</v>
      </c>
      <c r="AU155" s="8">
        <v>61503845</v>
      </c>
      <c r="AV155" s="8">
        <v>61503845</v>
      </c>
      <c r="AW155" s="8">
        <v>61503845</v>
      </c>
      <c r="AX155" s="8">
        <v>61503845</v>
      </c>
      <c r="AY155" s="8">
        <v>61503845</v>
      </c>
      <c r="AZ155" s="8">
        <v>61503845</v>
      </c>
      <c r="BA155" s="8">
        <v>61503845</v>
      </c>
      <c r="BB155" s="9">
        <f t="shared" si="117"/>
        <v>61503845</v>
      </c>
      <c r="BC155" s="8">
        <v>67089204</v>
      </c>
      <c r="BD155" s="8">
        <v>67089204</v>
      </c>
      <c r="BE155" s="8">
        <v>67089204</v>
      </c>
      <c r="BF155" s="8">
        <v>67089204</v>
      </c>
      <c r="BG155" s="8">
        <v>67089204</v>
      </c>
      <c r="BH155" s="8">
        <v>67089204</v>
      </c>
      <c r="BI155" s="8">
        <v>67089204</v>
      </c>
      <c r="BJ155" s="8">
        <v>67089204</v>
      </c>
      <c r="BK155" s="8">
        <v>67089204</v>
      </c>
      <c r="BL155" s="8">
        <v>67089204</v>
      </c>
      <c r="BM155" s="8">
        <v>67089204</v>
      </c>
      <c r="BN155" s="8">
        <v>67089204</v>
      </c>
      <c r="BO155" s="9">
        <f t="shared" si="118"/>
        <v>67089204</v>
      </c>
      <c r="BP155" s="8">
        <v>58270832</v>
      </c>
      <c r="BQ155" s="8">
        <v>58270832</v>
      </c>
      <c r="BR155" s="8">
        <v>58270832</v>
      </c>
      <c r="BS155" s="8">
        <v>58270832</v>
      </c>
      <c r="BT155" s="8">
        <v>58270832</v>
      </c>
      <c r="BU155" s="8">
        <v>58270832</v>
      </c>
      <c r="BV155" s="8">
        <v>58270832</v>
      </c>
      <c r="BW155" s="8">
        <v>58270832</v>
      </c>
      <c r="BX155" s="8">
        <v>58270832</v>
      </c>
      <c r="BY155" s="8">
        <v>58270832</v>
      </c>
      <c r="BZ155" s="8">
        <v>58270832</v>
      </c>
      <c r="CA155" s="8">
        <v>58270832</v>
      </c>
      <c r="CB155" s="9">
        <f t="shared" si="119"/>
        <v>58270832</v>
      </c>
      <c r="CC155" s="8">
        <v>59866885</v>
      </c>
      <c r="CD155" s="8">
        <v>59866885</v>
      </c>
      <c r="CE155" s="8">
        <v>59866885</v>
      </c>
      <c r="CF155" s="8">
        <v>59866885</v>
      </c>
      <c r="CG155" s="8">
        <v>59866885</v>
      </c>
      <c r="CH155" s="8">
        <v>59866885</v>
      </c>
      <c r="CI155" s="8">
        <v>59866885</v>
      </c>
      <c r="CJ155" s="8">
        <v>59866885</v>
      </c>
      <c r="CK155" s="8">
        <v>59866885</v>
      </c>
      <c r="CL155" s="8">
        <v>59866885</v>
      </c>
      <c r="CM155" s="8">
        <v>59866885</v>
      </c>
      <c r="CN155" s="8">
        <v>59866885</v>
      </c>
      <c r="CO155" s="9">
        <f t="shared" si="120"/>
        <v>59866885</v>
      </c>
      <c r="CP155" s="8">
        <v>64770681</v>
      </c>
      <c r="CQ155" s="8">
        <v>64770681</v>
      </c>
      <c r="CR155" s="8">
        <v>64770681</v>
      </c>
      <c r="CS155" s="8">
        <v>64770681</v>
      </c>
      <c r="CT155" s="8">
        <v>64770681</v>
      </c>
      <c r="CU155" s="8">
        <v>64770681</v>
      </c>
      <c r="CV155" s="8">
        <v>64770681</v>
      </c>
      <c r="CW155" s="8">
        <v>64770681</v>
      </c>
      <c r="CX155" s="8">
        <v>64770681</v>
      </c>
      <c r="CY155" s="8">
        <v>64770681</v>
      </c>
      <c r="CZ155" s="8">
        <v>64770681</v>
      </c>
      <c r="DA155" s="8">
        <v>64770681</v>
      </c>
      <c r="DB155" s="9">
        <f t="shared" si="121"/>
        <v>64770681</v>
      </c>
      <c r="DC155" s="8">
        <v>77138039</v>
      </c>
      <c r="DD155" s="8">
        <v>77138039</v>
      </c>
      <c r="DE155" s="8">
        <v>77138039</v>
      </c>
      <c r="DF155" s="8">
        <v>77138039</v>
      </c>
      <c r="DG155" s="8">
        <v>77138039</v>
      </c>
      <c r="DH155" s="8">
        <v>77138039</v>
      </c>
      <c r="DI155" s="8">
        <v>77138039</v>
      </c>
      <c r="DJ155" s="8">
        <v>77138039</v>
      </c>
      <c r="DK155" s="8">
        <v>77138039</v>
      </c>
      <c r="DL155" s="8">
        <v>77138039</v>
      </c>
      <c r="DM155" s="8">
        <v>77138039</v>
      </c>
      <c r="DN155" s="8">
        <v>77138039</v>
      </c>
      <c r="DO155" s="9">
        <f t="shared" si="122"/>
        <v>77138039</v>
      </c>
      <c r="DP155" s="8">
        <v>130494761</v>
      </c>
      <c r="DQ155" s="8">
        <v>130494761</v>
      </c>
      <c r="DR155" s="8">
        <v>130494761</v>
      </c>
      <c r="DS155" s="8">
        <v>130494761</v>
      </c>
      <c r="DT155" s="8">
        <v>130494761</v>
      </c>
      <c r="DU155" s="8">
        <v>130494761</v>
      </c>
      <c r="DV155" s="8">
        <v>130494761</v>
      </c>
      <c r="DW155" s="8">
        <v>130494761</v>
      </c>
      <c r="DX155" s="8">
        <v>130494761</v>
      </c>
      <c r="DY155" s="8">
        <v>130494761</v>
      </c>
      <c r="DZ155" s="8">
        <v>130494761</v>
      </c>
      <c r="EA155" s="8">
        <v>130494761</v>
      </c>
      <c r="EB155" s="9">
        <f t="shared" si="123"/>
        <v>130494761</v>
      </c>
      <c r="EC155" s="8">
        <v>164160945</v>
      </c>
      <c r="ED155" s="8">
        <v>164160945</v>
      </c>
      <c r="EE155" s="8">
        <v>164160945</v>
      </c>
      <c r="EF155" s="8">
        <v>164160945</v>
      </c>
      <c r="EG155" s="8">
        <v>164160945</v>
      </c>
      <c r="EH155" s="8">
        <v>164160945</v>
      </c>
      <c r="EI155" s="8">
        <v>164160945</v>
      </c>
      <c r="EJ155" s="8">
        <v>164160945</v>
      </c>
      <c r="EK155" s="8">
        <v>164160945</v>
      </c>
      <c r="EL155" s="8">
        <v>164160945</v>
      </c>
      <c r="EM155" s="8">
        <v>164160945</v>
      </c>
      <c r="EN155" s="8">
        <v>164160945</v>
      </c>
      <c r="EO155" s="9">
        <f t="shared" si="124"/>
        <v>164160945</v>
      </c>
      <c r="EP155" s="8">
        <v>192275210</v>
      </c>
      <c r="EQ155" s="8">
        <v>192275210</v>
      </c>
      <c r="ER155" s="8">
        <v>192275210</v>
      </c>
      <c r="ES155" s="8">
        <v>192275210</v>
      </c>
      <c r="ET155" s="8">
        <v>192275210</v>
      </c>
      <c r="EU155" s="8">
        <v>192275210</v>
      </c>
      <c r="EV155" s="8">
        <v>192275210</v>
      </c>
      <c r="EW155" s="8">
        <v>192275210</v>
      </c>
      <c r="EX155" s="8">
        <v>192275210</v>
      </c>
      <c r="EY155" s="8">
        <v>192275210</v>
      </c>
      <c r="EZ155" s="8">
        <v>192275210</v>
      </c>
      <c r="FA155" s="8">
        <v>192275210</v>
      </c>
      <c r="FB155" s="9">
        <f t="shared" si="125"/>
        <v>192275210</v>
      </c>
      <c r="FC155" s="8">
        <v>196116811</v>
      </c>
      <c r="FD155" s="8">
        <v>196116811</v>
      </c>
      <c r="FE155" s="8">
        <v>196116811</v>
      </c>
      <c r="FF155" s="8">
        <v>196116811</v>
      </c>
      <c r="FG155" s="8">
        <v>196116811</v>
      </c>
      <c r="FH155" s="8">
        <v>196116811</v>
      </c>
      <c r="FI155" s="8">
        <v>196116811</v>
      </c>
      <c r="FJ155" s="8"/>
      <c r="FK155" s="8"/>
      <c r="FL155" s="8"/>
      <c r="FM155" s="8"/>
      <c r="FN155" s="8"/>
      <c r="FO155" s="9">
        <f t="shared" si="126"/>
        <v>196116811</v>
      </c>
    </row>
    <row r="156" spans="2:171" ht="14.25" customHeight="1" x14ac:dyDescent="0.3">
      <c r="B156" s="7" t="s">
        <v>53</v>
      </c>
      <c r="C156" s="8">
        <v>78925459</v>
      </c>
      <c r="D156" s="8">
        <v>78925459</v>
      </c>
      <c r="E156" s="8">
        <v>78925459</v>
      </c>
      <c r="F156" s="8">
        <v>78925459</v>
      </c>
      <c r="G156" s="8">
        <v>78925459</v>
      </c>
      <c r="H156" s="8">
        <v>78925459</v>
      </c>
      <c r="I156" s="8">
        <v>78925459</v>
      </c>
      <c r="J156" s="8">
        <v>78925459</v>
      </c>
      <c r="K156" s="8">
        <v>78925459</v>
      </c>
      <c r="L156" s="8">
        <v>78925459</v>
      </c>
      <c r="M156" s="8">
        <v>78925459</v>
      </c>
      <c r="N156" s="8">
        <v>78925459</v>
      </c>
      <c r="O156" s="9">
        <f t="shared" si="114"/>
        <v>78925459</v>
      </c>
      <c r="P156" s="8">
        <v>84901921</v>
      </c>
      <c r="Q156" s="8">
        <v>84901921</v>
      </c>
      <c r="R156" s="8">
        <v>84901921</v>
      </c>
      <c r="S156" s="8">
        <v>84901921</v>
      </c>
      <c r="T156" s="8">
        <v>84901921</v>
      </c>
      <c r="U156" s="8">
        <v>84901921</v>
      </c>
      <c r="V156" s="8">
        <v>84901921</v>
      </c>
      <c r="W156" s="8">
        <v>84901921</v>
      </c>
      <c r="X156" s="8">
        <v>84901921</v>
      </c>
      <c r="Y156" s="8">
        <v>84901921</v>
      </c>
      <c r="Z156" s="8">
        <v>84901921</v>
      </c>
      <c r="AA156" s="8">
        <v>84901921</v>
      </c>
      <c r="AB156" s="9">
        <f t="shared" si="115"/>
        <v>84901921</v>
      </c>
      <c r="AC156" s="8">
        <v>108577051</v>
      </c>
      <c r="AD156" s="8">
        <v>108577051</v>
      </c>
      <c r="AE156" s="8">
        <v>108577051</v>
      </c>
      <c r="AF156" s="8">
        <v>108577051</v>
      </c>
      <c r="AG156" s="8">
        <v>108577051</v>
      </c>
      <c r="AH156" s="8">
        <v>108577051</v>
      </c>
      <c r="AI156" s="8">
        <v>108577051</v>
      </c>
      <c r="AJ156" s="8">
        <v>108577051</v>
      </c>
      <c r="AK156" s="8">
        <v>108577051</v>
      </c>
      <c r="AL156" s="8">
        <v>108577051</v>
      </c>
      <c r="AM156" s="8">
        <v>108577051</v>
      </c>
      <c r="AN156" s="8">
        <v>108577051</v>
      </c>
      <c r="AO156" s="9">
        <f t="shared" si="116"/>
        <v>108577051</v>
      </c>
      <c r="AP156" s="8">
        <v>111168013</v>
      </c>
      <c r="AQ156" s="8">
        <v>111168013</v>
      </c>
      <c r="AR156" s="8">
        <v>111168013</v>
      </c>
      <c r="AS156" s="8">
        <v>111168013</v>
      </c>
      <c r="AT156" s="8">
        <v>111168013</v>
      </c>
      <c r="AU156" s="8">
        <v>111168013</v>
      </c>
      <c r="AV156" s="8">
        <v>111168013</v>
      </c>
      <c r="AW156" s="8">
        <v>111168013</v>
      </c>
      <c r="AX156" s="8">
        <v>111168013</v>
      </c>
      <c r="AY156" s="8">
        <v>111168013</v>
      </c>
      <c r="AZ156" s="8">
        <v>111168013</v>
      </c>
      <c r="BA156" s="8">
        <v>111168013</v>
      </c>
      <c r="BB156" s="9">
        <f t="shared" si="117"/>
        <v>111168013</v>
      </c>
      <c r="BC156" s="8">
        <v>99845880</v>
      </c>
      <c r="BD156" s="8">
        <v>99845880</v>
      </c>
      <c r="BE156" s="8">
        <v>99845880</v>
      </c>
      <c r="BF156" s="8">
        <v>99845880</v>
      </c>
      <c r="BG156" s="8">
        <v>99845880</v>
      </c>
      <c r="BH156" s="8">
        <v>99845880</v>
      </c>
      <c r="BI156" s="8">
        <v>99845880</v>
      </c>
      <c r="BJ156" s="8">
        <v>99845880</v>
      </c>
      <c r="BK156" s="8">
        <v>99845880</v>
      </c>
      <c r="BL156" s="8">
        <v>99845880</v>
      </c>
      <c r="BM156" s="8">
        <v>99845880</v>
      </c>
      <c r="BN156" s="8">
        <v>99845880</v>
      </c>
      <c r="BO156" s="9">
        <f t="shared" si="118"/>
        <v>99845880</v>
      </c>
      <c r="BP156" s="8">
        <v>117632095</v>
      </c>
      <c r="BQ156" s="8">
        <v>117632095</v>
      </c>
      <c r="BR156" s="8">
        <v>117632095</v>
      </c>
      <c r="BS156" s="8">
        <v>117632095</v>
      </c>
      <c r="BT156" s="8">
        <v>117632095</v>
      </c>
      <c r="BU156" s="8">
        <v>117632095</v>
      </c>
      <c r="BV156" s="8">
        <v>117632095</v>
      </c>
      <c r="BW156" s="8">
        <v>117632095</v>
      </c>
      <c r="BX156" s="8">
        <v>117632095</v>
      </c>
      <c r="BY156" s="8">
        <v>117632095</v>
      </c>
      <c r="BZ156" s="8">
        <v>117632095</v>
      </c>
      <c r="CA156" s="8">
        <v>117632095</v>
      </c>
      <c r="CB156" s="9">
        <f t="shared" si="119"/>
        <v>117632095</v>
      </c>
      <c r="CC156" s="8">
        <v>120828269</v>
      </c>
      <c r="CD156" s="8">
        <v>120828269</v>
      </c>
      <c r="CE156" s="8">
        <v>120828269</v>
      </c>
      <c r="CF156" s="8">
        <v>120828269</v>
      </c>
      <c r="CG156" s="8">
        <v>120828269</v>
      </c>
      <c r="CH156" s="8">
        <v>120828269</v>
      </c>
      <c r="CI156" s="8">
        <v>120828269</v>
      </c>
      <c r="CJ156" s="8">
        <v>120828269</v>
      </c>
      <c r="CK156" s="8">
        <v>120828269</v>
      </c>
      <c r="CL156" s="8">
        <v>120828269</v>
      </c>
      <c r="CM156" s="8">
        <v>120828269</v>
      </c>
      <c r="CN156" s="8">
        <v>120828269</v>
      </c>
      <c r="CO156" s="9">
        <f t="shared" si="120"/>
        <v>120828269</v>
      </c>
      <c r="CP156" s="8">
        <v>129534134</v>
      </c>
      <c r="CQ156" s="8">
        <v>129534134</v>
      </c>
      <c r="CR156" s="8">
        <v>129534134</v>
      </c>
      <c r="CS156" s="8">
        <v>129534134</v>
      </c>
      <c r="CT156" s="8">
        <v>129534134</v>
      </c>
      <c r="CU156" s="8">
        <v>129534134</v>
      </c>
      <c r="CV156" s="8">
        <v>129534134</v>
      </c>
      <c r="CW156" s="8">
        <v>129534134</v>
      </c>
      <c r="CX156" s="8">
        <v>129534134</v>
      </c>
      <c r="CY156" s="8">
        <v>129534134</v>
      </c>
      <c r="CZ156" s="8">
        <v>129534134</v>
      </c>
      <c r="DA156" s="8">
        <v>129534134</v>
      </c>
      <c r="DB156" s="9">
        <f t="shared" si="121"/>
        <v>129534134</v>
      </c>
      <c r="DC156" s="8">
        <v>145731691</v>
      </c>
      <c r="DD156" s="8">
        <v>145731691</v>
      </c>
      <c r="DE156" s="8">
        <v>145731691</v>
      </c>
      <c r="DF156" s="8">
        <v>145731691</v>
      </c>
      <c r="DG156" s="8">
        <v>145731691</v>
      </c>
      <c r="DH156" s="8">
        <v>145731691</v>
      </c>
      <c r="DI156" s="8">
        <v>145731691</v>
      </c>
      <c r="DJ156" s="8">
        <v>145731691</v>
      </c>
      <c r="DK156" s="8">
        <v>145731691</v>
      </c>
      <c r="DL156" s="8">
        <v>145731691</v>
      </c>
      <c r="DM156" s="8">
        <v>145731691</v>
      </c>
      <c r="DN156" s="8">
        <v>145731691</v>
      </c>
      <c r="DO156" s="9">
        <f t="shared" si="122"/>
        <v>145731691</v>
      </c>
      <c r="DP156" s="8">
        <v>175636178</v>
      </c>
      <c r="DQ156" s="8">
        <v>175636178</v>
      </c>
      <c r="DR156" s="8">
        <v>175636178</v>
      </c>
      <c r="DS156" s="8">
        <v>175636178</v>
      </c>
      <c r="DT156" s="8">
        <v>175636178</v>
      </c>
      <c r="DU156" s="8">
        <v>175636178</v>
      </c>
      <c r="DV156" s="8">
        <v>175636178</v>
      </c>
      <c r="DW156" s="8">
        <v>175636178</v>
      </c>
      <c r="DX156" s="8">
        <v>175636178</v>
      </c>
      <c r="DY156" s="8">
        <v>175636178</v>
      </c>
      <c r="DZ156" s="8">
        <v>175636178</v>
      </c>
      <c r="EA156" s="8">
        <v>175636178</v>
      </c>
      <c r="EB156" s="9">
        <f t="shared" si="123"/>
        <v>175636178</v>
      </c>
      <c r="EC156" s="8">
        <v>190965901</v>
      </c>
      <c r="ED156" s="8">
        <v>190965901</v>
      </c>
      <c r="EE156" s="8">
        <v>190965901</v>
      </c>
      <c r="EF156" s="8">
        <v>190965901</v>
      </c>
      <c r="EG156" s="8">
        <v>190965901</v>
      </c>
      <c r="EH156" s="8">
        <v>190965901</v>
      </c>
      <c r="EI156" s="8">
        <v>190965901</v>
      </c>
      <c r="EJ156" s="8">
        <v>190965901</v>
      </c>
      <c r="EK156" s="8">
        <v>190965901</v>
      </c>
      <c r="EL156" s="8">
        <v>190965901</v>
      </c>
      <c r="EM156" s="8">
        <v>190965901</v>
      </c>
      <c r="EN156" s="8">
        <v>190965901</v>
      </c>
      <c r="EO156" s="9">
        <f t="shared" si="124"/>
        <v>190965901</v>
      </c>
      <c r="EP156" s="8">
        <v>263292274</v>
      </c>
      <c r="EQ156" s="8">
        <v>263292274</v>
      </c>
      <c r="ER156" s="8">
        <v>263292274</v>
      </c>
      <c r="ES156" s="8">
        <v>263292274</v>
      </c>
      <c r="ET156" s="8">
        <v>263292274</v>
      </c>
      <c r="EU156" s="8">
        <v>263292274</v>
      </c>
      <c r="EV156" s="8">
        <v>263292274</v>
      </c>
      <c r="EW156" s="8">
        <v>263292274</v>
      </c>
      <c r="EX156" s="8">
        <v>263292274</v>
      </c>
      <c r="EY156" s="8">
        <v>263292274</v>
      </c>
      <c r="EZ156" s="8">
        <v>263292274</v>
      </c>
      <c r="FA156" s="8">
        <v>263292274</v>
      </c>
      <c r="FB156" s="9">
        <f t="shared" si="125"/>
        <v>263292274</v>
      </c>
      <c r="FC156" s="8">
        <v>237880088</v>
      </c>
      <c r="FD156" s="8">
        <v>237880088</v>
      </c>
      <c r="FE156" s="8">
        <v>237880088</v>
      </c>
      <c r="FF156" s="8">
        <v>237880088</v>
      </c>
      <c r="FG156" s="8">
        <v>237880088</v>
      </c>
      <c r="FH156" s="8">
        <v>237880088</v>
      </c>
      <c r="FI156" s="8">
        <v>237880088</v>
      </c>
      <c r="FJ156" s="8"/>
      <c r="FK156" s="8"/>
      <c r="FL156" s="8"/>
      <c r="FM156" s="8"/>
      <c r="FN156" s="8"/>
      <c r="FO156" s="9">
        <f t="shared" si="126"/>
        <v>237880088</v>
      </c>
    </row>
    <row r="157" spans="2:171" ht="14.25" customHeight="1" x14ac:dyDescent="0.3">
      <c r="B157" s="7" t="s">
        <v>54</v>
      </c>
      <c r="C157" s="8">
        <v>0</v>
      </c>
      <c r="D157" s="8">
        <v>0</v>
      </c>
      <c r="E157" s="8">
        <v>0</v>
      </c>
      <c r="F157" s="8">
        <v>0</v>
      </c>
      <c r="G157" s="8">
        <v>0</v>
      </c>
      <c r="H157" s="8">
        <v>0</v>
      </c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9">
        <f t="shared" si="114"/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9">
        <f t="shared" si="115"/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0</v>
      </c>
      <c r="AM157" s="8">
        <v>0</v>
      </c>
      <c r="AN157" s="8">
        <v>0</v>
      </c>
      <c r="AO157" s="9">
        <f t="shared" si="116"/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0</v>
      </c>
      <c r="AU157" s="8">
        <v>0</v>
      </c>
      <c r="AV157" s="8">
        <v>0</v>
      </c>
      <c r="AW157" s="8">
        <v>0</v>
      </c>
      <c r="AX157" s="8">
        <v>0</v>
      </c>
      <c r="AY157" s="8">
        <v>0</v>
      </c>
      <c r="AZ157" s="8">
        <v>0</v>
      </c>
      <c r="BA157" s="8">
        <v>0</v>
      </c>
      <c r="BB157" s="9">
        <f t="shared" si="117"/>
        <v>0</v>
      </c>
      <c r="BC157" s="8">
        <v>0</v>
      </c>
      <c r="BD157" s="8">
        <v>0</v>
      </c>
      <c r="BE157" s="8">
        <v>0</v>
      </c>
      <c r="BF157" s="8">
        <v>0</v>
      </c>
      <c r="BG157" s="8">
        <v>0</v>
      </c>
      <c r="BH157" s="8">
        <v>0</v>
      </c>
      <c r="BI157" s="8">
        <v>0</v>
      </c>
      <c r="BJ157" s="8">
        <v>0</v>
      </c>
      <c r="BK157" s="8">
        <v>0</v>
      </c>
      <c r="BL157" s="8">
        <v>0</v>
      </c>
      <c r="BM157" s="8">
        <v>0</v>
      </c>
      <c r="BN157" s="8">
        <v>0</v>
      </c>
      <c r="BO157" s="9">
        <f t="shared" si="118"/>
        <v>0</v>
      </c>
      <c r="BP157" s="8">
        <v>2000010</v>
      </c>
      <c r="BQ157" s="8">
        <v>2000010</v>
      </c>
      <c r="BR157" s="8">
        <v>2000010</v>
      </c>
      <c r="BS157" s="8">
        <v>2000010</v>
      </c>
      <c r="BT157" s="8">
        <v>2000010</v>
      </c>
      <c r="BU157" s="8">
        <v>2000010</v>
      </c>
      <c r="BV157" s="8">
        <v>2000010</v>
      </c>
      <c r="BW157" s="8">
        <v>2000010</v>
      </c>
      <c r="BX157" s="8">
        <v>2000010</v>
      </c>
      <c r="BY157" s="8">
        <v>2000010</v>
      </c>
      <c r="BZ157" s="8">
        <v>2000010</v>
      </c>
      <c r="CA157" s="8">
        <v>2000010</v>
      </c>
      <c r="CB157" s="9">
        <f t="shared" si="119"/>
        <v>2000010</v>
      </c>
      <c r="CC157" s="8">
        <v>13371225</v>
      </c>
      <c r="CD157" s="8">
        <v>13371225</v>
      </c>
      <c r="CE157" s="8">
        <v>13371225</v>
      </c>
      <c r="CF157" s="8">
        <v>13371225</v>
      </c>
      <c r="CG157" s="8">
        <v>13371225</v>
      </c>
      <c r="CH157" s="8">
        <v>13371225</v>
      </c>
      <c r="CI157" s="8">
        <v>13371225</v>
      </c>
      <c r="CJ157" s="8">
        <v>13371225</v>
      </c>
      <c r="CK157" s="8">
        <v>13371225</v>
      </c>
      <c r="CL157" s="8">
        <v>13371225</v>
      </c>
      <c r="CM157" s="8">
        <v>13371225</v>
      </c>
      <c r="CN157" s="8">
        <v>13371225</v>
      </c>
      <c r="CO157" s="9">
        <f t="shared" si="120"/>
        <v>13371225</v>
      </c>
      <c r="CP157" s="8">
        <v>26708956</v>
      </c>
      <c r="CQ157" s="8">
        <v>26708956</v>
      </c>
      <c r="CR157" s="8">
        <v>26708956</v>
      </c>
      <c r="CS157" s="8">
        <v>26708956</v>
      </c>
      <c r="CT157" s="8">
        <v>26708956</v>
      </c>
      <c r="CU157" s="8">
        <v>26708956</v>
      </c>
      <c r="CV157" s="8">
        <v>26708956</v>
      </c>
      <c r="CW157" s="8">
        <v>26708956</v>
      </c>
      <c r="CX157" s="8">
        <v>26708956</v>
      </c>
      <c r="CY157" s="8">
        <v>26708956</v>
      </c>
      <c r="CZ157" s="8">
        <v>26708956</v>
      </c>
      <c r="DA157" s="8">
        <v>26708956</v>
      </c>
      <c r="DB157" s="9">
        <f t="shared" si="121"/>
        <v>26708956</v>
      </c>
      <c r="DC157" s="8">
        <v>67680251</v>
      </c>
      <c r="DD157" s="8">
        <v>67680251</v>
      </c>
      <c r="DE157" s="8">
        <v>67680251</v>
      </c>
      <c r="DF157" s="8">
        <v>67680251</v>
      </c>
      <c r="DG157" s="8">
        <v>67680251</v>
      </c>
      <c r="DH157" s="8">
        <v>67680251</v>
      </c>
      <c r="DI157" s="8">
        <v>67680251</v>
      </c>
      <c r="DJ157" s="8">
        <v>67680251</v>
      </c>
      <c r="DK157" s="8">
        <v>67680251</v>
      </c>
      <c r="DL157" s="8">
        <v>67680251</v>
      </c>
      <c r="DM157" s="8">
        <v>67680251</v>
      </c>
      <c r="DN157" s="8">
        <v>67680251</v>
      </c>
      <c r="DO157" s="9">
        <f t="shared" si="122"/>
        <v>67680251</v>
      </c>
      <c r="DP157" s="8">
        <v>111469115</v>
      </c>
      <c r="DQ157" s="8">
        <v>111469115</v>
      </c>
      <c r="DR157" s="8">
        <v>111469115</v>
      </c>
      <c r="DS157" s="8">
        <v>111469115</v>
      </c>
      <c r="DT157" s="8">
        <v>111469115</v>
      </c>
      <c r="DU157" s="8">
        <v>111469115</v>
      </c>
      <c r="DV157" s="8">
        <v>111469115</v>
      </c>
      <c r="DW157" s="8">
        <v>111469115</v>
      </c>
      <c r="DX157" s="8">
        <v>111469115</v>
      </c>
      <c r="DY157" s="8">
        <v>111469115</v>
      </c>
      <c r="DZ157" s="8">
        <v>111469115</v>
      </c>
      <c r="EA157" s="8">
        <v>111469115</v>
      </c>
      <c r="EB157" s="9">
        <f t="shared" si="123"/>
        <v>111469115</v>
      </c>
      <c r="EC157" s="8">
        <v>116664561</v>
      </c>
      <c r="ED157" s="8">
        <v>116664561</v>
      </c>
      <c r="EE157" s="8">
        <v>116664561</v>
      </c>
      <c r="EF157" s="8">
        <v>116664561</v>
      </c>
      <c r="EG157" s="8">
        <v>116664561</v>
      </c>
      <c r="EH157" s="8">
        <v>116664561</v>
      </c>
      <c r="EI157" s="8">
        <v>116664561</v>
      </c>
      <c r="EJ157" s="8">
        <v>116664561</v>
      </c>
      <c r="EK157" s="8">
        <v>116664561</v>
      </c>
      <c r="EL157" s="8">
        <v>116664561</v>
      </c>
      <c r="EM157" s="8">
        <v>116664561</v>
      </c>
      <c r="EN157" s="8">
        <v>116664561</v>
      </c>
      <c r="EO157" s="9">
        <f t="shared" si="124"/>
        <v>116664561</v>
      </c>
      <c r="EP157" s="8">
        <v>154915622</v>
      </c>
      <c r="EQ157" s="8">
        <v>154915622</v>
      </c>
      <c r="ER157" s="8">
        <v>154915622</v>
      </c>
      <c r="ES157" s="8">
        <v>154915622</v>
      </c>
      <c r="ET157" s="8">
        <v>154915622</v>
      </c>
      <c r="EU157" s="8">
        <v>154915622</v>
      </c>
      <c r="EV157" s="8">
        <v>154915622</v>
      </c>
      <c r="EW157" s="8">
        <v>154915622</v>
      </c>
      <c r="EX157" s="8">
        <v>154915622</v>
      </c>
      <c r="EY157" s="8">
        <v>154915622</v>
      </c>
      <c r="EZ157" s="8">
        <v>154915622</v>
      </c>
      <c r="FA157" s="8">
        <v>154915622</v>
      </c>
      <c r="FB157" s="9">
        <f t="shared" si="125"/>
        <v>154915622</v>
      </c>
      <c r="FC157" s="8">
        <v>185909865</v>
      </c>
      <c r="FD157" s="8">
        <v>185909865</v>
      </c>
      <c r="FE157" s="8">
        <v>185909865</v>
      </c>
      <c r="FF157" s="8">
        <v>185909865</v>
      </c>
      <c r="FG157" s="8">
        <v>185909865</v>
      </c>
      <c r="FH157" s="8">
        <v>185909865</v>
      </c>
      <c r="FI157" s="8">
        <v>185909865</v>
      </c>
      <c r="FJ157" s="8"/>
      <c r="FK157" s="8"/>
      <c r="FL157" s="8"/>
      <c r="FM157" s="8"/>
      <c r="FN157" s="8"/>
      <c r="FO157" s="9">
        <f t="shared" si="126"/>
        <v>185909865</v>
      </c>
    </row>
    <row r="158" spans="2:171" ht="14.25" customHeight="1" x14ac:dyDescent="0.3">
      <c r="B158" s="7" t="s">
        <v>55</v>
      </c>
      <c r="C158" s="8">
        <v>121088016</v>
      </c>
      <c r="D158" s="8">
        <v>121088016</v>
      </c>
      <c r="E158" s="8">
        <v>121088016</v>
      </c>
      <c r="F158" s="8">
        <v>121088016</v>
      </c>
      <c r="G158" s="8">
        <v>121088016</v>
      </c>
      <c r="H158" s="8">
        <v>121088016</v>
      </c>
      <c r="I158" s="8">
        <v>121088016</v>
      </c>
      <c r="J158" s="8">
        <v>121088016</v>
      </c>
      <c r="K158" s="8">
        <v>121088016</v>
      </c>
      <c r="L158" s="8">
        <v>121088016</v>
      </c>
      <c r="M158" s="8">
        <v>121088016</v>
      </c>
      <c r="N158" s="8">
        <v>121088016</v>
      </c>
      <c r="O158" s="9">
        <f t="shared" si="114"/>
        <v>121088016</v>
      </c>
      <c r="P158" s="8">
        <v>144537559</v>
      </c>
      <c r="Q158" s="8">
        <v>144537559</v>
      </c>
      <c r="R158" s="8">
        <v>144537559</v>
      </c>
      <c r="S158" s="8">
        <v>144537559</v>
      </c>
      <c r="T158" s="8">
        <v>144537559</v>
      </c>
      <c r="U158" s="8">
        <v>144537559</v>
      </c>
      <c r="V158" s="8">
        <v>144537559</v>
      </c>
      <c r="W158" s="8">
        <v>144537559</v>
      </c>
      <c r="X158" s="8">
        <v>144537559</v>
      </c>
      <c r="Y158" s="8">
        <v>144537559</v>
      </c>
      <c r="Z158" s="8">
        <v>144537559</v>
      </c>
      <c r="AA158" s="8">
        <v>144537559</v>
      </c>
      <c r="AB158" s="9">
        <f t="shared" si="115"/>
        <v>144537559</v>
      </c>
      <c r="AC158" s="8">
        <v>163439440</v>
      </c>
      <c r="AD158" s="8">
        <v>163439440</v>
      </c>
      <c r="AE158" s="8">
        <v>163439440</v>
      </c>
      <c r="AF158" s="8">
        <v>163439440</v>
      </c>
      <c r="AG158" s="8">
        <v>163439440</v>
      </c>
      <c r="AH158" s="8">
        <v>163439440</v>
      </c>
      <c r="AI158" s="8">
        <v>163439440</v>
      </c>
      <c r="AJ158" s="8">
        <v>163439440</v>
      </c>
      <c r="AK158" s="8">
        <v>163439440</v>
      </c>
      <c r="AL158" s="8">
        <v>163439440</v>
      </c>
      <c r="AM158" s="8">
        <v>163439440</v>
      </c>
      <c r="AN158" s="8">
        <v>163439440</v>
      </c>
      <c r="AO158" s="9">
        <f t="shared" si="116"/>
        <v>163439440</v>
      </c>
      <c r="AP158" s="8">
        <v>139176073</v>
      </c>
      <c r="AQ158" s="8">
        <v>139176073</v>
      </c>
      <c r="AR158" s="8">
        <v>139176073</v>
      </c>
      <c r="AS158" s="8">
        <v>139176073</v>
      </c>
      <c r="AT158" s="8">
        <v>139176073</v>
      </c>
      <c r="AU158" s="8">
        <v>139176073</v>
      </c>
      <c r="AV158" s="8">
        <v>139176073</v>
      </c>
      <c r="AW158" s="8">
        <v>139176073</v>
      </c>
      <c r="AX158" s="8">
        <v>139176073</v>
      </c>
      <c r="AY158" s="8">
        <v>139176073</v>
      </c>
      <c r="AZ158" s="8">
        <v>139176073</v>
      </c>
      <c r="BA158" s="8">
        <v>139176073</v>
      </c>
      <c r="BB158" s="9">
        <f t="shared" si="117"/>
        <v>139176073</v>
      </c>
      <c r="BC158" s="8">
        <v>171760244</v>
      </c>
      <c r="BD158" s="8">
        <v>171760244</v>
      </c>
      <c r="BE158" s="8">
        <v>171760244</v>
      </c>
      <c r="BF158" s="8">
        <v>171760244</v>
      </c>
      <c r="BG158" s="8">
        <v>171760244</v>
      </c>
      <c r="BH158" s="8">
        <v>171760244</v>
      </c>
      <c r="BI158" s="8">
        <v>171760244</v>
      </c>
      <c r="BJ158" s="8">
        <v>171760244</v>
      </c>
      <c r="BK158" s="8">
        <v>171760244</v>
      </c>
      <c r="BL158" s="8">
        <v>171760244</v>
      </c>
      <c r="BM158" s="8">
        <v>171760244</v>
      </c>
      <c r="BN158" s="8">
        <v>171760244</v>
      </c>
      <c r="BO158" s="9">
        <f t="shared" si="118"/>
        <v>171760244</v>
      </c>
      <c r="BP158" s="8">
        <v>234561465</v>
      </c>
      <c r="BQ158" s="8">
        <v>234561465</v>
      </c>
      <c r="BR158" s="8">
        <v>234561465</v>
      </c>
      <c r="BS158" s="8">
        <v>234561465</v>
      </c>
      <c r="BT158" s="8">
        <v>234561465</v>
      </c>
      <c r="BU158" s="8">
        <v>234561465</v>
      </c>
      <c r="BV158" s="8">
        <v>234561465</v>
      </c>
      <c r="BW158" s="8">
        <v>234561465</v>
      </c>
      <c r="BX158" s="8">
        <v>234561465</v>
      </c>
      <c r="BY158" s="8">
        <v>234561465</v>
      </c>
      <c r="BZ158" s="8">
        <v>234561465</v>
      </c>
      <c r="CA158" s="8">
        <v>234561465</v>
      </c>
      <c r="CB158" s="9">
        <f t="shared" si="119"/>
        <v>234561465</v>
      </c>
      <c r="CC158" s="8">
        <v>240782468</v>
      </c>
      <c r="CD158" s="8">
        <v>240782468</v>
      </c>
      <c r="CE158" s="8">
        <v>240782468</v>
      </c>
      <c r="CF158" s="8">
        <v>240782468</v>
      </c>
      <c r="CG158" s="8">
        <v>240782468</v>
      </c>
      <c r="CH158" s="8">
        <v>240782468</v>
      </c>
      <c r="CI158" s="8">
        <v>240782468</v>
      </c>
      <c r="CJ158" s="8">
        <v>240782468</v>
      </c>
      <c r="CK158" s="8">
        <v>240782468</v>
      </c>
      <c r="CL158" s="8">
        <v>240782468</v>
      </c>
      <c r="CM158" s="8">
        <v>240782468</v>
      </c>
      <c r="CN158" s="8">
        <v>240782468</v>
      </c>
      <c r="CO158" s="9">
        <f t="shared" si="120"/>
        <v>240782468</v>
      </c>
      <c r="CP158" s="8">
        <v>259570845</v>
      </c>
      <c r="CQ158" s="8">
        <v>259570845</v>
      </c>
      <c r="CR158" s="8">
        <v>259570845</v>
      </c>
      <c r="CS158" s="8">
        <v>259570845</v>
      </c>
      <c r="CT158" s="8">
        <v>259570845</v>
      </c>
      <c r="CU158" s="8">
        <v>259570845</v>
      </c>
      <c r="CV158" s="8">
        <v>259570845</v>
      </c>
      <c r="CW158" s="8">
        <v>259570845</v>
      </c>
      <c r="CX158" s="8">
        <v>259570845</v>
      </c>
      <c r="CY158" s="8">
        <v>259570845</v>
      </c>
      <c r="CZ158" s="8">
        <v>259570845</v>
      </c>
      <c r="DA158" s="8">
        <v>259570845</v>
      </c>
      <c r="DB158" s="9">
        <f t="shared" si="121"/>
        <v>259570845</v>
      </c>
      <c r="DC158" s="8">
        <v>229958421</v>
      </c>
      <c r="DD158" s="8">
        <v>229958421</v>
      </c>
      <c r="DE158" s="8">
        <v>229958421</v>
      </c>
      <c r="DF158" s="8">
        <v>229958421</v>
      </c>
      <c r="DG158" s="8">
        <v>229958421</v>
      </c>
      <c r="DH158" s="8">
        <v>229958421</v>
      </c>
      <c r="DI158" s="8">
        <v>229958421</v>
      </c>
      <c r="DJ158" s="8">
        <v>229958421</v>
      </c>
      <c r="DK158" s="8">
        <v>229958421</v>
      </c>
      <c r="DL158" s="8">
        <v>229958421</v>
      </c>
      <c r="DM158" s="8">
        <v>229958421</v>
      </c>
      <c r="DN158" s="8">
        <v>229958421</v>
      </c>
      <c r="DO158" s="9">
        <f t="shared" si="122"/>
        <v>229958421</v>
      </c>
      <c r="DP158" s="8">
        <v>219835704</v>
      </c>
      <c r="DQ158" s="8">
        <v>219835704</v>
      </c>
      <c r="DR158" s="8">
        <v>219835704</v>
      </c>
      <c r="DS158" s="8">
        <v>219835704</v>
      </c>
      <c r="DT158" s="8">
        <v>219835704</v>
      </c>
      <c r="DU158" s="8">
        <v>219835704</v>
      </c>
      <c r="DV158" s="8">
        <v>219835704</v>
      </c>
      <c r="DW158" s="8">
        <v>219835704</v>
      </c>
      <c r="DX158" s="8">
        <v>219835704</v>
      </c>
      <c r="DY158" s="8">
        <v>219835704</v>
      </c>
      <c r="DZ158" s="8">
        <v>219835704</v>
      </c>
      <c r="EA158" s="8">
        <v>219835704</v>
      </c>
      <c r="EB158" s="9">
        <f t="shared" si="123"/>
        <v>219835704</v>
      </c>
      <c r="EC158" s="8">
        <v>293321880</v>
      </c>
      <c r="ED158" s="8">
        <v>293321880</v>
      </c>
      <c r="EE158" s="8">
        <v>293321880</v>
      </c>
      <c r="EF158" s="8">
        <v>293321880</v>
      </c>
      <c r="EG158" s="8">
        <v>293321880</v>
      </c>
      <c r="EH158" s="8">
        <v>293321880</v>
      </c>
      <c r="EI158" s="8">
        <v>293321880</v>
      </c>
      <c r="EJ158" s="8">
        <v>293321880</v>
      </c>
      <c r="EK158" s="8">
        <v>293321880</v>
      </c>
      <c r="EL158" s="8">
        <v>293321880</v>
      </c>
      <c r="EM158" s="8">
        <v>293321880</v>
      </c>
      <c r="EN158" s="8">
        <v>293321880</v>
      </c>
      <c r="EO158" s="9">
        <f t="shared" si="124"/>
        <v>293321880</v>
      </c>
      <c r="EP158" s="8">
        <v>339023824</v>
      </c>
      <c r="EQ158" s="8">
        <v>339023824</v>
      </c>
      <c r="ER158" s="8">
        <v>339023824</v>
      </c>
      <c r="ES158" s="8">
        <v>339023824</v>
      </c>
      <c r="ET158" s="8">
        <v>339023824</v>
      </c>
      <c r="EU158" s="8">
        <v>339023824</v>
      </c>
      <c r="EV158" s="8">
        <v>339023824</v>
      </c>
      <c r="EW158" s="8">
        <v>339023824</v>
      </c>
      <c r="EX158" s="8">
        <v>339023824</v>
      </c>
      <c r="EY158" s="8">
        <v>339023824</v>
      </c>
      <c r="EZ158" s="8">
        <v>339023824</v>
      </c>
      <c r="FA158" s="8">
        <v>339023824</v>
      </c>
      <c r="FB158" s="9">
        <f t="shared" si="125"/>
        <v>339023824</v>
      </c>
      <c r="FC158" s="8">
        <v>343891426</v>
      </c>
      <c r="FD158" s="8">
        <v>343891426</v>
      </c>
      <c r="FE158" s="8">
        <v>343891426</v>
      </c>
      <c r="FF158" s="8">
        <v>343891426</v>
      </c>
      <c r="FG158" s="8">
        <v>343891426</v>
      </c>
      <c r="FH158" s="8">
        <v>343891426</v>
      </c>
      <c r="FI158" s="8">
        <v>343891426</v>
      </c>
      <c r="FJ158" s="8"/>
      <c r="FK158" s="8"/>
      <c r="FL158" s="8"/>
      <c r="FM158" s="8"/>
      <c r="FN158" s="8"/>
      <c r="FO158" s="9">
        <f t="shared" si="126"/>
        <v>343891426</v>
      </c>
    </row>
    <row r="159" spans="2:171" ht="14.25" customHeight="1" x14ac:dyDescent="0.3">
      <c r="B159" s="7" t="s">
        <v>56</v>
      </c>
      <c r="C159" s="8">
        <v>61420590</v>
      </c>
      <c r="D159" s="8">
        <v>61420590</v>
      </c>
      <c r="E159" s="8">
        <v>61420590</v>
      </c>
      <c r="F159" s="8">
        <v>61420590</v>
      </c>
      <c r="G159" s="8">
        <v>61420590</v>
      </c>
      <c r="H159" s="8">
        <v>61420590</v>
      </c>
      <c r="I159" s="8">
        <v>61420590</v>
      </c>
      <c r="J159" s="8">
        <v>61420590</v>
      </c>
      <c r="K159" s="8">
        <v>61420590</v>
      </c>
      <c r="L159" s="8">
        <v>61420590</v>
      </c>
      <c r="M159" s="8">
        <v>61420590</v>
      </c>
      <c r="N159" s="8">
        <v>61420590</v>
      </c>
      <c r="O159" s="9">
        <f t="shared" si="114"/>
        <v>61420590</v>
      </c>
      <c r="P159" s="8">
        <v>82525731</v>
      </c>
      <c r="Q159" s="8">
        <v>82525731</v>
      </c>
      <c r="R159" s="8">
        <v>82525731</v>
      </c>
      <c r="S159" s="8">
        <v>82525731</v>
      </c>
      <c r="T159" s="8">
        <v>82525731</v>
      </c>
      <c r="U159" s="8">
        <v>82525731</v>
      </c>
      <c r="V159" s="8">
        <v>82525731</v>
      </c>
      <c r="W159" s="8">
        <v>82525731</v>
      </c>
      <c r="X159" s="8">
        <v>82525731</v>
      </c>
      <c r="Y159" s="8">
        <v>82525731</v>
      </c>
      <c r="Z159" s="8">
        <v>82525731</v>
      </c>
      <c r="AA159" s="8">
        <v>82525731</v>
      </c>
      <c r="AB159" s="9">
        <f t="shared" si="115"/>
        <v>82525731</v>
      </c>
      <c r="AC159" s="8">
        <v>89528181</v>
      </c>
      <c r="AD159" s="8">
        <v>89528181</v>
      </c>
      <c r="AE159" s="8">
        <v>89528181</v>
      </c>
      <c r="AF159" s="8">
        <v>89528181</v>
      </c>
      <c r="AG159" s="8">
        <v>89528181</v>
      </c>
      <c r="AH159" s="8">
        <v>89528181</v>
      </c>
      <c r="AI159" s="8">
        <v>89528181</v>
      </c>
      <c r="AJ159" s="8">
        <v>89528181</v>
      </c>
      <c r="AK159" s="8">
        <v>89528181</v>
      </c>
      <c r="AL159" s="8">
        <v>89528181</v>
      </c>
      <c r="AM159" s="8">
        <v>89528181</v>
      </c>
      <c r="AN159" s="8">
        <v>89528181</v>
      </c>
      <c r="AO159" s="9">
        <f t="shared" si="116"/>
        <v>89528181</v>
      </c>
      <c r="AP159" s="8">
        <v>147639682</v>
      </c>
      <c r="AQ159" s="8">
        <v>147639682</v>
      </c>
      <c r="AR159" s="8">
        <v>147639682</v>
      </c>
      <c r="AS159" s="8">
        <v>147639682</v>
      </c>
      <c r="AT159" s="8">
        <v>147639682</v>
      </c>
      <c r="AU159" s="8">
        <v>147639682</v>
      </c>
      <c r="AV159" s="8">
        <v>147639682</v>
      </c>
      <c r="AW159" s="8">
        <v>147639682</v>
      </c>
      <c r="AX159" s="8">
        <v>147639682</v>
      </c>
      <c r="AY159" s="8">
        <v>147639682</v>
      </c>
      <c r="AZ159" s="8">
        <v>147639682</v>
      </c>
      <c r="BA159" s="8">
        <v>147639682</v>
      </c>
      <c r="BB159" s="9">
        <f t="shared" si="117"/>
        <v>147639682</v>
      </c>
      <c r="BC159" s="8">
        <v>130924410</v>
      </c>
      <c r="BD159" s="8">
        <v>130924410</v>
      </c>
      <c r="BE159" s="8">
        <v>130924410</v>
      </c>
      <c r="BF159" s="8">
        <v>130924410</v>
      </c>
      <c r="BG159" s="8">
        <v>130924410</v>
      </c>
      <c r="BH159" s="8">
        <v>130924410</v>
      </c>
      <c r="BI159" s="8">
        <v>130924410</v>
      </c>
      <c r="BJ159" s="8">
        <v>130924410</v>
      </c>
      <c r="BK159" s="8">
        <v>130924410</v>
      </c>
      <c r="BL159" s="8">
        <v>130924410</v>
      </c>
      <c r="BM159" s="8">
        <v>130924410</v>
      </c>
      <c r="BN159" s="8">
        <v>130924410</v>
      </c>
      <c r="BO159" s="9">
        <f t="shared" si="118"/>
        <v>130924410</v>
      </c>
      <c r="BP159" s="8">
        <v>156833864</v>
      </c>
      <c r="BQ159" s="8">
        <v>156833864</v>
      </c>
      <c r="BR159" s="8">
        <v>156833864</v>
      </c>
      <c r="BS159" s="8">
        <v>156833864</v>
      </c>
      <c r="BT159" s="8">
        <v>156833864</v>
      </c>
      <c r="BU159" s="8">
        <v>156833864</v>
      </c>
      <c r="BV159" s="8">
        <v>156833864</v>
      </c>
      <c r="BW159" s="8">
        <v>156833864</v>
      </c>
      <c r="BX159" s="8">
        <v>156833864</v>
      </c>
      <c r="BY159" s="8">
        <v>156833864</v>
      </c>
      <c r="BZ159" s="8">
        <v>156833864</v>
      </c>
      <c r="CA159" s="8">
        <v>156833864</v>
      </c>
      <c r="CB159" s="9">
        <f t="shared" si="119"/>
        <v>156833864</v>
      </c>
      <c r="CC159" s="8">
        <v>161094550</v>
      </c>
      <c r="CD159" s="8">
        <v>161094550</v>
      </c>
      <c r="CE159" s="8">
        <v>161094550</v>
      </c>
      <c r="CF159" s="8">
        <v>161094550</v>
      </c>
      <c r="CG159" s="8">
        <v>161094550</v>
      </c>
      <c r="CH159" s="8">
        <v>161094550</v>
      </c>
      <c r="CI159" s="8">
        <v>161094550</v>
      </c>
      <c r="CJ159" s="8">
        <v>161094550</v>
      </c>
      <c r="CK159" s="8">
        <v>161094550</v>
      </c>
      <c r="CL159" s="8">
        <v>161094550</v>
      </c>
      <c r="CM159" s="8">
        <v>161094550</v>
      </c>
      <c r="CN159" s="8">
        <v>161094550</v>
      </c>
      <c r="CO159" s="9">
        <f t="shared" si="120"/>
        <v>161094550</v>
      </c>
      <c r="CP159" s="8">
        <v>179860668</v>
      </c>
      <c r="CQ159" s="8">
        <v>179860668</v>
      </c>
      <c r="CR159" s="8">
        <v>179860668</v>
      </c>
      <c r="CS159" s="8">
        <v>179860668</v>
      </c>
      <c r="CT159" s="8">
        <v>179860668</v>
      </c>
      <c r="CU159" s="8">
        <v>179860668</v>
      </c>
      <c r="CV159" s="8">
        <v>179860668</v>
      </c>
      <c r="CW159" s="8">
        <v>179860668</v>
      </c>
      <c r="CX159" s="8">
        <v>179860668</v>
      </c>
      <c r="CY159" s="8">
        <v>179860668</v>
      </c>
      <c r="CZ159" s="8">
        <v>179860668</v>
      </c>
      <c r="DA159" s="8">
        <v>179860668</v>
      </c>
      <c r="DB159" s="9">
        <f t="shared" si="121"/>
        <v>179860668</v>
      </c>
      <c r="DC159" s="8">
        <v>158633262</v>
      </c>
      <c r="DD159" s="8">
        <v>158633262</v>
      </c>
      <c r="DE159" s="8">
        <v>158633262</v>
      </c>
      <c r="DF159" s="8">
        <v>158633262</v>
      </c>
      <c r="DG159" s="8">
        <v>158633262</v>
      </c>
      <c r="DH159" s="8">
        <v>158633262</v>
      </c>
      <c r="DI159" s="8">
        <v>158633262</v>
      </c>
      <c r="DJ159" s="8">
        <v>158633262</v>
      </c>
      <c r="DK159" s="8">
        <v>158633262</v>
      </c>
      <c r="DL159" s="8">
        <v>158633262</v>
      </c>
      <c r="DM159" s="8">
        <v>158633262</v>
      </c>
      <c r="DN159" s="8">
        <v>158633262</v>
      </c>
      <c r="DO159" s="9">
        <f t="shared" si="122"/>
        <v>158633262</v>
      </c>
      <c r="DP159" s="8">
        <v>194797448</v>
      </c>
      <c r="DQ159" s="8">
        <v>194797448</v>
      </c>
      <c r="DR159" s="8">
        <v>194797448</v>
      </c>
      <c r="DS159" s="8">
        <v>194797448</v>
      </c>
      <c r="DT159" s="8">
        <v>194797448</v>
      </c>
      <c r="DU159" s="8">
        <v>194797448</v>
      </c>
      <c r="DV159" s="8">
        <v>194797448</v>
      </c>
      <c r="DW159" s="8">
        <v>194797448</v>
      </c>
      <c r="DX159" s="8">
        <v>194797448</v>
      </c>
      <c r="DY159" s="8">
        <v>194797448</v>
      </c>
      <c r="DZ159" s="8">
        <v>194797448</v>
      </c>
      <c r="EA159" s="8">
        <v>194797448</v>
      </c>
      <c r="EB159" s="9">
        <f t="shared" si="123"/>
        <v>194797448</v>
      </c>
      <c r="EC159" s="8">
        <v>249756619</v>
      </c>
      <c r="ED159" s="8">
        <v>249756619</v>
      </c>
      <c r="EE159" s="8">
        <v>249756619</v>
      </c>
      <c r="EF159" s="8">
        <v>249756619</v>
      </c>
      <c r="EG159" s="8">
        <v>249756619</v>
      </c>
      <c r="EH159" s="8">
        <v>249756619</v>
      </c>
      <c r="EI159" s="8">
        <v>249756619</v>
      </c>
      <c r="EJ159" s="8">
        <v>249756619</v>
      </c>
      <c r="EK159" s="8">
        <v>249756619</v>
      </c>
      <c r="EL159" s="8">
        <v>249756619</v>
      </c>
      <c r="EM159" s="8">
        <v>249756619</v>
      </c>
      <c r="EN159" s="8">
        <v>249756619</v>
      </c>
      <c r="EO159" s="9">
        <f t="shared" si="124"/>
        <v>249756619</v>
      </c>
      <c r="EP159" s="8">
        <v>284310890</v>
      </c>
      <c r="EQ159" s="8">
        <v>284310890</v>
      </c>
      <c r="ER159" s="8">
        <v>284310890</v>
      </c>
      <c r="ES159" s="8">
        <v>284310890</v>
      </c>
      <c r="ET159" s="8">
        <v>284310890</v>
      </c>
      <c r="EU159" s="8">
        <v>284310890</v>
      </c>
      <c r="EV159" s="8">
        <v>284310890</v>
      </c>
      <c r="EW159" s="8">
        <v>284310890</v>
      </c>
      <c r="EX159" s="8">
        <v>284310890</v>
      </c>
      <c r="EY159" s="8">
        <v>284310890</v>
      </c>
      <c r="EZ159" s="8">
        <v>284310890</v>
      </c>
      <c r="FA159" s="8">
        <v>284310890</v>
      </c>
      <c r="FB159" s="9">
        <f t="shared" si="125"/>
        <v>284310890</v>
      </c>
      <c r="FC159" s="8">
        <v>280082307</v>
      </c>
      <c r="FD159" s="8">
        <v>280082307</v>
      </c>
      <c r="FE159" s="8">
        <v>280082307</v>
      </c>
      <c r="FF159" s="8">
        <v>280082307</v>
      </c>
      <c r="FG159" s="8">
        <v>280082307</v>
      </c>
      <c r="FH159" s="8">
        <v>280082307</v>
      </c>
      <c r="FI159" s="8">
        <v>280082307</v>
      </c>
      <c r="FJ159" s="8"/>
      <c r="FK159" s="8"/>
      <c r="FL159" s="8"/>
      <c r="FM159" s="8"/>
      <c r="FN159" s="8"/>
      <c r="FO159" s="9">
        <f t="shared" si="126"/>
        <v>280082307</v>
      </c>
    </row>
    <row r="160" spans="2:171" ht="14.25" customHeight="1" x14ac:dyDescent="0.3">
      <c r="B160" s="7" t="s">
        <v>57</v>
      </c>
      <c r="C160" s="8">
        <v>15846063</v>
      </c>
      <c r="D160" s="8">
        <v>15846063</v>
      </c>
      <c r="E160" s="8">
        <v>15846063</v>
      </c>
      <c r="F160" s="8">
        <v>15846063</v>
      </c>
      <c r="G160" s="8">
        <v>15846063</v>
      </c>
      <c r="H160" s="8">
        <v>15846063</v>
      </c>
      <c r="I160" s="8">
        <v>15846063</v>
      </c>
      <c r="J160" s="8">
        <v>15846063</v>
      </c>
      <c r="K160" s="8">
        <v>15846063</v>
      </c>
      <c r="L160" s="8">
        <v>15846063</v>
      </c>
      <c r="M160" s="8">
        <v>15846063</v>
      </c>
      <c r="N160" s="8">
        <v>15846063</v>
      </c>
      <c r="O160" s="9">
        <f t="shared" si="114"/>
        <v>15846063</v>
      </c>
      <c r="P160" s="8">
        <v>28941296</v>
      </c>
      <c r="Q160" s="8">
        <v>28941296</v>
      </c>
      <c r="R160" s="8">
        <v>28941296</v>
      </c>
      <c r="S160" s="8">
        <v>28941296</v>
      </c>
      <c r="T160" s="8">
        <v>28941296</v>
      </c>
      <c r="U160" s="8">
        <v>28941296</v>
      </c>
      <c r="V160" s="8">
        <v>28941296</v>
      </c>
      <c r="W160" s="8">
        <v>28941296</v>
      </c>
      <c r="X160" s="8">
        <v>28941296</v>
      </c>
      <c r="Y160" s="8">
        <v>28941296</v>
      </c>
      <c r="Z160" s="8">
        <v>28941296</v>
      </c>
      <c r="AA160" s="8">
        <v>28941296</v>
      </c>
      <c r="AB160" s="9">
        <f t="shared" si="115"/>
        <v>28941296</v>
      </c>
      <c r="AC160" s="8">
        <v>28819166</v>
      </c>
      <c r="AD160" s="8">
        <v>28819166</v>
      </c>
      <c r="AE160" s="8">
        <v>28819166</v>
      </c>
      <c r="AF160" s="8">
        <v>28819166</v>
      </c>
      <c r="AG160" s="8">
        <v>28819166</v>
      </c>
      <c r="AH160" s="8">
        <v>28819166</v>
      </c>
      <c r="AI160" s="8">
        <v>28819166</v>
      </c>
      <c r="AJ160" s="8">
        <v>28819166</v>
      </c>
      <c r="AK160" s="8">
        <v>28819166</v>
      </c>
      <c r="AL160" s="8">
        <v>28819166</v>
      </c>
      <c r="AM160" s="8">
        <v>28819166</v>
      </c>
      <c r="AN160" s="8">
        <v>28819166</v>
      </c>
      <c r="AO160" s="9">
        <f t="shared" si="116"/>
        <v>28819166</v>
      </c>
      <c r="AP160" s="8">
        <v>31281722</v>
      </c>
      <c r="AQ160" s="8">
        <v>31281722</v>
      </c>
      <c r="AR160" s="8">
        <v>31281722</v>
      </c>
      <c r="AS160" s="8">
        <v>31281722</v>
      </c>
      <c r="AT160" s="8">
        <v>31281722</v>
      </c>
      <c r="AU160" s="8">
        <v>31281722</v>
      </c>
      <c r="AV160" s="8">
        <v>31281722</v>
      </c>
      <c r="AW160" s="8">
        <v>31281722</v>
      </c>
      <c r="AX160" s="8">
        <v>31281722</v>
      </c>
      <c r="AY160" s="8">
        <v>31281722</v>
      </c>
      <c r="AZ160" s="8">
        <v>31281722</v>
      </c>
      <c r="BA160" s="8">
        <v>31281722</v>
      </c>
      <c r="BB160" s="9">
        <f t="shared" si="117"/>
        <v>31281722</v>
      </c>
      <c r="BC160" s="8">
        <v>37842546</v>
      </c>
      <c r="BD160" s="8">
        <v>37842546</v>
      </c>
      <c r="BE160" s="8">
        <v>37842546</v>
      </c>
      <c r="BF160" s="8">
        <v>37842546</v>
      </c>
      <c r="BG160" s="8">
        <v>37842546</v>
      </c>
      <c r="BH160" s="8">
        <v>37842546</v>
      </c>
      <c r="BI160" s="8">
        <v>37842546</v>
      </c>
      <c r="BJ160" s="8">
        <v>37842546</v>
      </c>
      <c r="BK160" s="8">
        <v>37842546</v>
      </c>
      <c r="BL160" s="8">
        <v>37842546</v>
      </c>
      <c r="BM160" s="8">
        <v>37842546</v>
      </c>
      <c r="BN160" s="8">
        <v>37842546</v>
      </c>
      <c r="BO160" s="9">
        <f t="shared" si="118"/>
        <v>37842546</v>
      </c>
      <c r="BP160" s="8">
        <v>49795685</v>
      </c>
      <c r="BQ160" s="8">
        <v>49795685</v>
      </c>
      <c r="BR160" s="8">
        <v>49795685</v>
      </c>
      <c r="BS160" s="8">
        <v>49795685</v>
      </c>
      <c r="BT160" s="8">
        <v>49795685</v>
      </c>
      <c r="BU160" s="8">
        <v>49795685</v>
      </c>
      <c r="BV160" s="8">
        <v>49795685</v>
      </c>
      <c r="BW160" s="8">
        <v>49795685</v>
      </c>
      <c r="BX160" s="8">
        <v>49795685</v>
      </c>
      <c r="BY160" s="8">
        <v>49795685</v>
      </c>
      <c r="BZ160" s="8">
        <v>49795685</v>
      </c>
      <c r="CA160" s="8">
        <v>49795685</v>
      </c>
      <c r="CB160" s="9">
        <f t="shared" si="119"/>
        <v>49795685</v>
      </c>
      <c r="CC160" s="8">
        <v>51178300</v>
      </c>
      <c r="CD160" s="8">
        <v>51178300</v>
      </c>
      <c r="CE160" s="8">
        <v>51178300</v>
      </c>
      <c r="CF160" s="8">
        <v>51178300</v>
      </c>
      <c r="CG160" s="8">
        <v>51178300</v>
      </c>
      <c r="CH160" s="8">
        <v>51178300</v>
      </c>
      <c r="CI160" s="8">
        <v>51178300</v>
      </c>
      <c r="CJ160" s="8">
        <v>51178300</v>
      </c>
      <c r="CK160" s="8">
        <v>51178300</v>
      </c>
      <c r="CL160" s="8">
        <v>51178300</v>
      </c>
      <c r="CM160" s="8">
        <v>51178300</v>
      </c>
      <c r="CN160" s="8">
        <v>51178300</v>
      </c>
      <c r="CO160" s="9">
        <f t="shared" si="120"/>
        <v>51178300</v>
      </c>
      <c r="CP160" s="8">
        <v>54674637</v>
      </c>
      <c r="CQ160" s="8">
        <v>54674637</v>
      </c>
      <c r="CR160" s="8">
        <v>54674637</v>
      </c>
      <c r="CS160" s="8">
        <v>54674637</v>
      </c>
      <c r="CT160" s="8">
        <v>54674637</v>
      </c>
      <c r="CU160" s="8">
        <v>54674637</v>
      </c>
      <c r="CV160" s="8">
        <v>54674637</v>
      </c>
      <c r="CW160" s="8">
        <v>54674637</v>
      </c>
      <c r="CX160" s="8">
        <v>54674637</v>
      </c>
      <c r="CY160" s="8">
        <v>54674637</v>
      </c>
      <c r="CZ160" s="8">
        <v>54674637</v>
      </c>
      <c r="DA160" s="8">
        <v>54674637</v>
      </c>
      <c r="DB160" s="9">
        <f t="shared" si="121"/>
        <v>54674637</v>
      </c>
      <c r="DC160" s="8">
        <v>65122616</v>
      </c>
      <c r="DD160" s="8">
        <v>65122616</v>
      </c>
      <c r="DE160" s="8">
        <v>65122616</v>
      </c>
      <c r="DF160" s="8">
        <v>65122616</v>
      </c>
      <c r="DG160" s="8">
        <v>65122616</v>
      </c>
      <c r="DH160" s="8">
        <v>65122616</v>
      </c>
      <c r="DI160" s="8">
        <v>65122616</v>
      </c>
      <c r="DJ160" s="8">
        <v>65122616</v>
      </c>
      <c r="DK160" s="8">
        <v>65122616</v>
      </c>
      <c r="DL160" s="8">
        <v>65122616</v>
      </c>
      <c r="DM160" s="8">
        <v>65122616</v>
      </c>
      <c r="DN160" s="8">
        <v>65122616</v>
      </c>
      <c r="DO160" s="9">
        <f t="shared" si="122"/>
        <v>65122616</v>
      </c>
      <c r="DP160" s="8">
        <v>71702362</v>
      </c>
      <c r="DQ160" s="8">
        <v>71702362</v>
      </c>
      <c r="DR160" s="8">
        <v>71702362</v>
      </c>
      <c r="DS160" s="8">
        <v>71702362</v>
      </c>
      <c r="DT160" s="8">
        <v>71702362</v>
      </c>
      <c r="DU160" s="8">
        <v>71702362</v>
      </c>
      <c r="DV160" s="8">
        <v>71702362</v>
      </c>
      <c r="DW160" s="8">
        <v>71702362</v>
      </c>
      <c r="DX160" s="8">
        <v>71702362</v>
      </c>
      <c r="DY160" s="8">
        <v>71702362</v>
      </c>
      <c r="DZ160" s="8">
        <v>71702362</v>
      </c>
      <c r="EA160" s="8">
        <v>71702362</v>
      </c>
      <c r="EB160" s="9">
        <f t="shared" si="123"/>
        <v>71702362</v>
      </c>
      <c r="EC160" s="8">
        <v>85120131</v>
      </c>
      <c r="ED160" s="8">
        <v>85120131</v>
      </c>
      <c r="EE160" s="8">
        <v>85120131</v>
      </c>
      <c r="EF160" s="8">
        <v>85120131</v>
      </c>
      <c r="EG160" s="8">
        <v>85120131</v>
      </c>
      <c r="EH160" s="8">
        <v>85120131</v>
      </c>
      <c r="EI160" s="8">
        <v>85120131</v>
      </c>
      <c r="EJ160" s="8">
        <v>85120131</v>
      </c>
      <c r="EK160" s="8">
        <v>85120131</v>
      </c>
      <c r="EL160" s="8">
        <v>85120131</v>
      </c>
      <c r="EM160" s="8">
        <v>85120131</v>
      </c>
      <c r="EN160" s="8">
        <v>85120131</v>
      </c>
      <c r="EO160" s="9">
        <f t="shared" si="124"/>
        <v>85120131</v>
      </c>
      <c r="EP160" s="8">
        <v>105212754</v>
      </c>
      <c r="EQ160" s="8">
        <v>105212754</v>
      </c>
      <c r="ER160" s="8">
        <v>105212754</v>
      </c>
      <c r="ES160" s="8">
        <v>105212754</v>
      </c>
      <c r="ET160" s="8">
        <v>105212754</v>
      </c>
      <c r="EU160" s="8">
        <v>105212754</v>
      </c>
      <c r="EV160" s="8">
        <v>105212754</v>
      </c>
      <c r="EW160" s="8">
        <v>105212754</v>
      </c>
      <c r="EX160" s="8">
        <v>105212754</v>
      </c>
      <c r="EY160" s="8">
        <v>105212754</v>
      </c>
      <c r="EZ160" s="8">
        <v>105212754</v>
      </c>
      <c r="FA160" s="8">
        <v>105212754</v>
      </c>
      <c r="FB160" s="9">
        <f t="shared" si="125"/>
        <v>105212754</v>
      </c>
      <c r="FC160" s="8">
        <v>84118714</v>
      </c>
      <c r="FD160" s="8">
        <v>84118714</v>
      </c>
      <c r="FE160" s="8">
        <v>84118714</v>
      </c>
      <c r="FF160" s="8">
        <v>84118714</v>
      </c>
      <c r="FG160" s="8">
        <v>84118714</v>
      </c>
      <c r="FH160" s="8">
        <v>84118714</v>
      </c>
      <c r="FI160" s="8">
        <v>84118714</v>
      </c>
      <c r="FJ160" s="8"/>
      <c r="FK160" s="8"/>
      <c r="FL160" s="8"/>
      <c r="FM160" s="8"/>
      <c r="FN160" s="8"/>
      <c r="FO160" s="9">
        <f t="shared" si="126"/>
        <v>84118714</v>
      </c>
    </row>
    <row r="161" spans="2:171" ht="14.25" customHeight="1" x14ac:dyDescent="0.3">
      <c r="B161" s="7" t="s">
        <v>58</v>
      </c>
      <c r="C161" s="8">
        <v>28678013</v>
      </c>
      <c r="D161" s="8">
        <v>28678013</v>
      </c>
      <c r="E161" s="8">
        <v>28678013</v>
      </c>
      <c r="F161" s="8">
        <v>28678013</v>
      </c>
      <c r="G161" s="8">
        <v>28678013</v>
      </c>
      <c r="H161" s="8">
        <v>28678013</v>
      </c>
      <c r="I161" s="8">
        <v>28678013</v>
      </c>
      <c r="J161" s="8">
        <v>28678013</v>
      </c>
      <c r="K161" s="8">
        <v>28678013</v>
      </c>
      <c r="L161" s="8">
        <v>28678013</v>
      </c>
      <c r="M161" s="8">
        <v>28678013</v>
      </c>
      <c r="N161" s="8">
        <v>28678013</v>
      </c>
      <c r="O161" s="9">
        <f t="shared" si="114"/>
        <v>28678013</v>
      </c>
      <c r="P161" s="8">
        <v>60178299</v>
      </c>
      <c r="Q161" s="8">
        <v>60178299</v>
      </c>
      <c r="R161" s="8">
        <v>60178299</v>
      </c>
      <c r="S161" s="8">
        <v>60178299</v>
      </c>
      <c r="T161" s="8">
        <v>60178299</v>
      </c>
      <c r="U161" s="8">
        <v>60178299</v>
      </c>
      <c r="V161" s="8">
        <v>60178299</v>
      </c>
      <c r="W161" s="8">
        <v>60178299</v>
      </c>
      <c r="X161" s="8">
        <v>60178299</v>
      </c>
      <c r="Y161" s="8">
        <v>60178299</v>
      </c>
      <c r="Z161" s="8">
        <v>60178299</v>
      </c>
      <c r="AA161" s="8">
        <v>60178299</v>
      </c>
      <c r="AB161" s="9">
        <f t="shared" si="115"/>
        <v>60178299</v>
      </c>
      <c r="AC161" s="8">
        <v>64727693</v>
      </c>
      <c r="AD161" s="8">
        <v>64727693</v>
      </c>
      <c r="AE161" s="8">
        <v>64727693</v>
      </c>
      <c r="AF161" s="8">
        <v>64727693</v>
      </c>
      <c r="AG161" s="8">
        <v>64727693</v>
      </c>
      <c r="AH161" s="8">
        <v>64727693</v>
      </c>
      <c r="AI161" s="8">
        <v>64727693</v>
      </c>
      <c r="AJ161" s="8">
        <v>64727693</v>
      </c>
      <c r="AK161" s="8">
        <v>64727693</v>
      </c>
      <c r="AL161" s="8">
        <v>64727693</v>
      </c>
      <c r="AM161" s="8">
        <v>64727693</v>
      </c>
      <c r="AN161" s="8">
        <v>64727693</v>
      </c>
      <c r="AO161" s="9">
        <f t="shared" si="116"/>
        <v>64727693</v>
      </c>
      <c r="AP161" s="8">
        <v>83457399</v>
      </c>
      <c r="AQ161" s="8">
        <v>83457399</v>
      </c>
      <c r="AR161" s="8">
        <v>83457399</v>
      </c>
      <c r="AS161" s="8">
        <v>83457399</v>
      </c>
      <c r="AT161" s="8">
        <v>83457399</v>
      </c>
      <c r="AU161" s="8">
        <v>83457399</v>
      </c>
      <c r="AV161" s="8">
        <v>83457399</v>
      </c>
      <c r="AW161" s="8">
        <v>83457399</v>
      </c>
      <c r="AX161" s="8">
        <v>83457399</v>
      </c>
      <c r="AY161" s="8">
        <v>83457399</v>
      </c>
      <c r="AZ161" s="8">
        <v>83457399</v>
      </c>
      <c r="BA161" s="8">
        <v>83457399</v>
      </c>
      <c r="BB161" s="9">
        <f t="shared" si="117"/>
        <v>83457399</v>
      </c>
      <c r="BC161" s="8">
        <v>63406388</v>
      </c>
      <c r="BD161" s="8">
        <v>63406388</v>
      </c>
      <c r="BE161" s="8">
        <v>63406388</v>
      </c>
      <c r="BF161" s="8">
        <v>63406388</v>
      </c>
      <c r="BG161" s="8">
        <v>63406388</v>
      </c>
      <c r="BH161" s="8">
        <v>63406388</v>
      </c>
      <c r="BI161" s="8">
        <v>63406388</v>
      </c>
      <c r="BJ161" s="8">
        <v>63406388</v>
      </c>
      <c r="BK161" s="8">
        <v>63406388</v>
      </c>
      <c r="BL161" s="8">
        <v>63406388</v>
      </c>
      <c r="BM161" s="8">
        <v>63406388</v>
      </c>
      <c r="BN161" s="8">
        <v>63406388</v>
      </c>
      <c r="BO161" s="9">
        <f t="shared" si="118"/>
        <v>63406388</v>
      </c>
      <c r="BP161" s="8">
        <v>101293565</v>
      </c>
      <c r="BQ161" s="8">
        <v>101293565</v>
      </c>
      <c r="BR161" s="8">
        <v>101293565</v>
      </c>
      <c r="BS161" s="8">
        <v>101293565</v>
      </c>
      <c r="BT161" s="8">
        <v>101293565</v>
      </c>
      <c r="BU161" s="8">
        <v>101293565</v>
      </c>
      <c r="BV161" s="8">
        <v>101293565</v>
      </c>
      <c r="BW161" s="8">
        <v>101293565</v>
      </c>
      <c r="BX161" s="8">
        <v>101293565</v>
      </c>
      <c r="BY161" s="8">
        <v>101293565</v>
      </c>
      <c r="BZ161" s="8">
        <v>101293565</v>
      </c>
      <c r="CA161" s="8">
        <v>101293565</v>
      </c>
      <c r="CB161" s="9">
        <f t="shared" si="119"/>
        <v>101293565</v>
      </c>
      <c r="CC161" s="8">
        <v>104020101</v>
      </c>
      <c r="CD161" s="8">
        <v>104020101</v>
      </c>
      <c r="CE161" s="8">
        <v>104020101</v>
      </c>
      <c r="CF161" s="8">
        <v>104020101</v>
      </c>
      <c r="CG161" s="8">
        <v>104020101</v>
      </c>
      <c r="CH161" s="8">
        <v>104020101</v>
      </c>
      <c r="CI161" s="8">
        <v>104020101</v>
      </c>
      <c r="CJ161" s="8">
        <v>104020101</v>
      </c>
      <c r="CK161" s="8">
        <v>104020101</v>
      </c>
      <c r="CL161" s="8">
        <v>104020101</v>
      </c>
      <c r="CM161" s="8">
        <v>104020101</v>
      </c>
      <c r="CN161" s="8">
        <v>104020101</v>
      </c>
      <c r="CO161" s="9">
        <f t="shared" si="120"/>
        <v>104020101</v>
      </c>
      <c r="CP161" s="8">
        <v>110753672</v>
      </c>
      <c r="CQ161" s="8">
        <v>110753672</v>
      </c>
      <c r="CR161" s="8">
        <v>110753672</v>
      </c>
      <c r="CS161" s="8">
        <v>110753672</v>
      </c>
      <c r="CT161" s="8">
        <v>110753672</v>
      </c>
      <c r="CU161" s="8">
        <v>110753672</v>
      </c>
      <c r="CV161" s="8">
        <v>110753672</v>
      </c>
      <c r="CW161" s="8">
        <v>110753672</v>
      </c>
      <c r="CX161" s="8">
        <v>110753672</v>
      </c>
      <c r="CY161" s="8">
        <v>110753672</v>
      </c>
      <c r="CZ161" s="8">
        <v>110753672</v>
      </c>
      <c r="DA161" s="8">
        <v>110753672</v>
      </c>
      <c r="DB161" s="9">
        <f t="shared" si="121"/>
        <v>110753672</v>
      </c>
      <c r="DC161" s="8">
        <v>107124855</v>
      </c>
      <c r="DD161" s="8">
        <v>107124855</v>
      </c>
      <c r="DE161" s="8">
        <v>107124855</v>
      </c>
      <c r="DF161" s="8">
        <v>107124855</v>
      </c>
      <c r="DG161" s="8">
        <v>107124855</v>
      </c>
      <c r="DH161" s="8">
        <v>107124855</v>
      </c>
      <c r="DI161" s="8">
        <v>107124855</v>
      </c>
      <c r="DJ161" s="8">
        <v>107124855</v>
      </c>
      <c r="DK161" s="8">
        <v>107124855</v>
      </c>
      <c r="DL161" s="8">
        <v>107124855</v>
      </c>
      <c r="DM161" s="8">
        <v>107124855</v>
      </c>
      <c r="DN161" s="8">
        <v>107124855</v>
      </c>
      <c r="DO161" s="9">
        <f t="shared" si="122"/>
        <v>107124855</v>
      </c>
      <c r="DP161" s="8">
        <v>132146653</v>
      </c>
      <c r="DQ161" s="8">
        <v>132146653</v>
      </c>
      <c r="DR161" s="8">
        <v>132146653</v>
      </c>
      <c r="DS161" s="8">
        <v>132146653</v>
      </c>
      <c r="DT161" s="8">
        <v>132146653</v>
      </c>
      <c r="DU161" s="8">
        <v>132146653</v>
      </c>
      <c r="DV161" s="8">
        <v>132146653</v>
      </c>
      <c r="DW161" s="8">
        <v>132146653</v>
      </c>
      <c r="DX161" s="8">
        <v>132146653</v>
      </c>
      <c r="DY161" s="8">
        <v>132146653</v>
      </c>
      <c r="DZ161" s="8">
        <v>132146653</v>
      </c>
      <c r="EA161" s="8">
        <v>132146653</v>
      </c>
      <c r="EB161" s="9">
        <f t="shared" si="123"/>
        <v>132146653</v>
      </c>
      <c r="EC161" s="8">
        <v>153857890</v>
      </c>
      <c r="ED161" s="8">
        <v>153857890</v>
      </c>
      <c r="EE161" s="8">
        <v>153857890</v>
      </c>
      <c r="EF161" s="8">
        <v>153857890</v>
      </c>
      <c r="EG161" s="8">
        <v>153857890</v>
      </c>
      <c r="EH161" s="8">
        <v>153857890</v>
      </c>
      <c r="EI161" s="8">
        <v>153857890</v>
      </c>
      <c r="EJ161" s="8">
        <v>153857890</v>
      </c>
      <c r="EK161" s="8">
        <v>153857890</v>
      </c>
      <c r="EL161" s="8">
        <v>153857890</v>
      </c>
      <c r="EM161" s="8">
        <v>153857890</v>
      </c>
      <c r="EN161" s="8">
        <v>153857890</v>
      </c>
      <c r="EO161" s="9">
        <f t="shared" si="124"/>
        <v>153857890</v>
      </c>
      <c r="EP161" s="8">
        <v>204729212</v>
      </c>
      <c r="EQ161" s="8">
        <v>204729212</v>
      </c>
      <c r="ER161" s="8">
        <v>204729212</v>
      </c>
      <c r="ES161" s="8">
        <v>204729212</v>
      </c>
      <c r="ET161" s="8">
        <v>204729212</v>
      </c>
      <c r="EU161" s="8">
        <v>204729212</v>
      </c>
      <c r="EV161" s="8">
        <v>204729212</v>
      </c>
      <c r="EW161" s="8">
        <v>204729212</v>
      </c>
      <c r="EX161" s="8">
        <v>204729212</v>
      </c>
      <c r="EY161" s="8">
        <v>204729212</v>
      </c>
      <c r="EZ161" s="8">
        <v>204729212</v>
      </c>
      <c r="FA161" s="8">
        <v>204729212</v>
      </c>
      <c r="FB161" s="9">
        <f t="shared" si="125"/>
        <v>204729212</v>
      </c>
      <c r="FC161" s="8">
        <v>253550567</v>
      </c>
      <c r="FD161" s="8">
        <v>253550567</v>
      </c>
      <c r="FE161" s="8">
        <v>253550567</v>
      </c>
      <c r="FF161" s="8">
        <v>253550567</v>
      </c>
      <c r="FG161" s="8">
        <v>253550567</v>
      </c>
      <c r="FH161" s="8">
        <v>253550567</v>
      </c>
      <c r="FI161" s="8">
        <v>253550567</v>
      </c>
      <c r="FJ161" s="8"/>
      <c r="FK161" s="8"/>
      <c r="FL161" s="8"/>
      <c r="FM161" s="8"/>
      <c r="FN161" s="8"/>
      <c r="FO161" s="9">
        <f t="shared" si="126"/>
        <v>253550567</v>
      </c>
    </row>
    <row r="162" spans="2:171" ht="14.25" customHeight="1" x14ac:dyDescent="0.3">
      <c r="B162" s="7" t="s">
        <v>59</v>
      </c>
      <c r="C162" s="8">
        <v>12192340</v>
      </c>
      <c r="D162" s="8">
        <v>12192340</v>
      </c>
      <c r="E162" s="8">
        <v>12192340</v>
      </c>
      <c r="F162" s="8">
        <v>12192340</v>
      </c>
      <c r="G162" s="8">
        <v>12192340</v>
      </c>
      <c r="H162" s="8">
        <v>12192340</v>
      </c>
      <c r="I162" s="8">
        <v>12192340</v>
      </c>
      <c r="J162" s="8">
        <v>12192340</v>
      </c>
      <c r="K162" s="8">
        <v>12192340</v>
      </c>
      <c r="L162" s="8">
        <v>12192340</v>
      </c>
      <c r="M162" s="8">
        <v>12192340</v>
      </c>
      <c r="N162" s="8">
        <v>12192340</v>
      </c>
      <c r="O162" s="9">
        <f t="shared" si="114"/>
        <v>12192340</v>
      </c>
      <c r="P162" s="8">
        <v>15881494</v>
      </c>
      <c r="Q162" s="8">
        <v>15881494</v>
      </c>
      <c r="R162" s="8">
        <v>15881494</v>
      </c>
      <c r="S162" s="8">
        <v>15881494</v>
      </c>
      <c r="T162" s="8">
        <v>15881494</v>
      </c>
      <c r="U162" s="8">
        <v>15881494</v>
      </c>
      <c r="V162" s="8">
        <v>15881494</v>
      </c>
      <c r="W162" s="8">
        <v>15881494</v>
      </c>
      <c r="X162" s="8">
        <v>15881494</v>
      </c>
      <c r="Y162" s="8">
        <v>15881494</v>
      </c>
      <c r="Z162" s="8">
        <v>15881494</v>
      </c>
      <c r="AA162" s="8">
        <v>15881494</v>
      </c>
      <c r="AB162" s="9">
        <f t="shared" si="115"/>
        <v>15881494</v>
      </c>
      <c r="AC162" s="8">
        <v>13488471</v>
      </c>
      <c r="AD162" s="8">
        <v>13488471</v>
      </c>
      <c r="AE162" s="8">
        <v>13488471</v>
      </c>
      <c r="AF162" s="8">
        <v>13488471</v>
      </c>
      <c r="AG162" s="8">
        <v>13488471</v>
      </c>
      <c r="AH162" s="8">
        <v>13488471</v>
      </c>
      <c r="AI162" s="8">
        <v>13488471</v>
      </c>
      <c r="AJ162" s="8">
        <v>13488471</v>
      </c>
      <c r="AK162" s="8">
        <v>13488471</v>
      </c>
      <c r="AL162" s="8">
        <v>13488471</v>
      </c>
      <c r="AM162" s="8">
        <v>13488471</v>
      </c>
      <c r="AN162" s="8">
        <v>13488471</v>
      </c>
      <c r="AO162" s="9">
        <f t="shared" si="116"/>
        <v>13488471</v>
      </c>
      <c r="AP162" s="8">
        <v>20553941</v>
      </c>
      <c r="AQ162" s="8">
        <v>20553941</v>
      </c>
      <c r="AR162" s="8">
        <v>20553941</v>
      </c>
      <c r="AS162" s="8">
        <v>20553941</v>
      </c>
      <c r="AT162" s="8">
        <v>20553941</v>
      </c>
      <c r="AU162" s="8">
        <v>20553941</v>
      </c>
      <c r="AV162" s="8">
        <v>20553941</v>
      </c>
      <c r="AW162" s="8">
        <v>20553941</v>
      </c>
      <c r="AX162" s="8">
        <v>20553941</v>
      </c>
      <c r="AY162" s="8">
        <v>20553941</v>
      </c>
      <c r="AZ162" s="8">
        <v>20553941</v>
      </c>
      <c r="BA162" s="8">
        <v>20553941</v>
      </c>
      <c r="BB162" s="9">
        <f t="shared" si="117"/>
        <v>20553941</v>
      </c>
      <c r="BC162" s="8">
        <v>14998026</v>
      </c>
      <c r="BD162" s="8">
        <v>14998026</v>
      </c>
      <c r="BE162" s="8">
        <v>14998026</v>
      </c>
      <c r="BF162" s="8">
        <v>14998026</v>
      </c>
      <c r="BG162" s="8">
        <v>14998026</v>
      </c>
      <c r="BH162" s="8">
        <v>14998026</v>
      </c>
      <c r="BI162" s="8">
        <v>14998026</v>
      </c>
      <c r="BJ162" s="8">
        <v>14998026</v>
      </c>
      <c r="BK162" s="8">
        <v>14998026</v>
      </c>
      <c r="BL162" s="8">
        <v>14998026</v>
      </c>
      <c r="BM162" s="8">
        <v>14998026</v>
      </c>
      <c r="BN162" s="8">
        <v>14998026</v>
      </c>
      <c r="BO162" s="9">
        <f t="shared" si="118"/>
        <v>14998026</v>
      </c>
      <c r="BP162" s="8">
        <v>17552312</v>
      </c>
      <c r="BQ162" s="8">
        <v>17552312</v>
      </c>
      <c r="BR162" s="8">
        <v>17552312</v>
      </c>
      <c r="BS162" s="8">
        <v>17552312</v>
      </c>
      <c r="BT162" s="8">
        <v>17552312</v>
      </c>
      <c r="BU162" s="8">
        <v>17552312</v>
      </c>
      <c r="BV162" s="8">
        <v>17552312</v>
      </c>
      <c r="BW162" s="8">
        <v>17552312</v>
      </c>
      <c r="BX162" s="8">
        <v>17552312</v>
      </c>
      <c r="BY162" s="8">
        <v>17552312</v>
      </c>
      <c r="BZ162" s="8">
        <v>17552312</v>
      </c>
      <c r="CA162" s="8">
        <v>17552312</v>
      </c>
      <c r="CB162" s="9">
        <f t="shared" si="119"/>
        <v>17552312</v>
      </c>
      <c r="CC162" s="8">
        <v>18038079</v>
      </c>
      <c r="CD162" s="8">
        <v>18038079</v>
      </c>
      <c r="CE162" s="8">
        <v>18038079</v>
      </c>
      <c r="CF162" s="8">
        <v>18038079</v>
      </c>
      <c r="CG162" s="8">
        <v>18038079</v>
      </c>
      <c r="CH162" s="8">
        <v>18038079</v>
      </c>
      <c r="CI162" s="8">
        <v>18038079</v>
      </c>
      <c r="CJ162" s="8">
        <v>18038079</v>
      </c>
      <c r="CK162" s="8">
        <v>18038079</v>
      </c>
      <c r="CL162" s="8">
        <v>18038079</v>
      </c>
      <c r="CM162" s="8">
        <v>18038079</v>
      </c>
      <c r="CN162" s="8">
        <v>18038079</v>
      </c>
      <c r="CO162" s="9">
        <f t="shared" si="120"/>
        <v>18038079</v>
      </c>
      <c r="CP162" s="8">
        <v>20751066</v>
      </c>
      <c r="CQ162" s="8">
        <v>20751066</v>
      </c>
      <c r="CR162" s="8">
        <v>20751066</v>
      </c>
      <c r="CS162" s="8">
        <v>20751066</v>
      </c>
      <c r="CT162" s="8">
        <v>20751066</v>
      </c>
      <c r="CU162" s="8">
        <v>20751066</v>
      </c>
      <c r="CV162" s="8">
        <v>20751066</v>
      </c>
      <c r="CW162" s="8">
        <v>20751066</v>
      </c>
      <c r="CX162" s="8">
        <v>20751066</v>
      </c>
      <c r="CY162" s="8">
        <v>20751066</v>
      </c>
      <c r="CZ162" s="8">
        <v>20751066</v>
      </c>
      <c r="DA162" s="8">
        <v>20751066</v>
      </c>
      <c r="DB162" s="9">
        <f t="shared" si="121"/>
        <v>20751066</v>
      </c>
      <c r="DC162" s="8">
        <v>28166564</v>
      </c>
      <c r="DD162" s="8">
        <v>28166564</v>
      </c>
      <c r="DE162" s="8">
        <v>28166564</v>
      </c>
      <c r="DF162" s="8">
        <v>28166564</v>
      </c>
      <c r="DG162" s="8">
        <v>28166564</v>
      </c>
      <c r="DH162" s="8">
        <v>28166564</v>
      </c>
      <c r="DI162" s="8">
        <v>28166564</v>
      </c>
      <c r="DJ162" s="8">
        <v>28166564</v>
      </c>
      <c r="DK162" s="8">
        <v>28166564</v>
      </c>
      <c r="DL162" s="8">
        <v>28166564</v>
      </c>
      <c r="DM162" s="8">
        <v>28166564</v>
      </c>
      <c r="DN162" s="8">
        <v>28166564</v>
      </c>
      <c r="DO162" s="9">
        <f t="shared" si="122"/>
        <v>28166564</v>
      </c>
      <c r="DP162" s="8">
        <v>52334886</v>
      </c>
      <c r="DQ162" s="8">
        <v>52334886</v>
      </c>
      <c r="DR162" s="8">
        <v>52334886</v>
      </c>
      <c r="DS162" s="8">
        <v>52334886</v>
      </c>
      <c r="DT162" s="8">
        <v>52334886</v>
      </c>
      <c r="DU162" s="8">
        <v>52334886</v>
      </c>
      <c r="DV162" s="8">
        <v>52334886</v>
      </c>
      <c r="DW162" s="8">
        <v>52334886</v>
      </c>
      <c r="DX162" s="8">
        <v>52334886</v>
      </c>
      <c r="DY162" s="8">
        <v>52334886</v>
      </c>
      <c r="DZ162" s="8">
        <v>52334886</v>
      </c>
      <c r="EA162" s="8">
        <v>52334886</v>
      </c>
      <c r="EB162" s="9">
        <f t="shared" si="123"/>
        <v>52334886</v>
      </c>
      <c r="EC162" s="8">
        <v>33487034</v>
      </c>
      <c r="ED162" s="8">
        <v>33487034</v>
      </c>
      <c r="EE162" s="8">
        <v>33487034</v>
      </c>
      <c r="EF162" s="8">
        <v>33487034</v>
      </c>
      <c r="EG162" s="8">
        <v>33487034</v>
      </c>
      <c r="EH162" s="8">
        <v>33487034</v>
      </c>
      <c r="EI162" s="8">
        <v>33487034</v>
      </c>
      <c r="EJ162" s="8">
        <v>33487034</v>
      </c>
      <c r="EK162" s="8">
        <v>33487034</v>
      </c>
      <c r="EL162" s="8">
        <v>33487034</v>
      </c>
      <c r="EM162" s="8">
        <v>33487034</v>
      </c>
      <c r="EN162" s="8">
        <v>33487034</v>
      </c>
      <c r="EO162" s="9">
        <f t="shared" si="124"/>
        <v>33487034</v>
      </c>
      <c r="EP162" s="8">
        <v>62332384</v>
      </c>
      <c r="EQ162" s="8">
        <v>62332384</v>
      </c>
      <c r="ER162" s="8">
        <v>62332384</v>
      </c>
      <c r="ES162" s="8">
        <v>62332384</v>
      </c>
      <c r="ET162" s="8">
        <v>62332384</v>
      </c>
      <c r="EU162" s="8">
        <v>62332384</v>
      </c>
      <c r="EV162" s="8">
        <v>62332384</v>
      </c>
      <c r="EW162" s="8">
        <v>62332384</v>
      </c>
      <c r="EX162" s="8">
        <v>62332384</v>
      </c>
      <c r="EY162" s="8">
        <v>62332384</v>
      </c>
      <c r="EZ162" s="8">
        <v>62332384</v>
      </c>
      <c r="FA162" s="8">
        <v>62332384</v>
      </c>
      <c r="FB162" s="9">
        <f t="shared" si="125"/>
        <v>62332384</v>
      </c>
      <c r="FC162" s="8">
        <v>52358707</v>
      </c>
      <c r="FD162" s="8">
        <v>52358707</v>
      </c>
      <c r="FE162" s="8">
        <v>52358707</v>
      </c>
      <c r="FF162" s="8">
        <v>52358707</v>
      </c>
      <c r="FG162" s="8">
        <v>52358707</v>
      </c>
      <c r="FH162" s="8">
        <v>52358707</v>
      </c>
      <c r="FI162" s="8">
        <v>52358707</v>
      </c>
      <c r="FJ162" s="8"/>
      <c r="FK162" s="8"/>
      <c r="FL162" s="8"/>
      <c r="FM162" s="8"/>
      <c r="FN162" s="8"/>
      <c r="FO162" s="9">
        <f t="shared" si="126"/>
        <v>52358707</v>
      </c>
    </row>
    <row r="163" spans="2:171" ht="14.25" customHeight="1" x14ac:dyDescent="0.3">
      <c r="B163" s="7" t="s">
        <v>60</v>
      </c>
      <c r="C163" s="8">
        <v>16731275</v>
      </c>
      <c r="D163" s="8">
        <v>16731275</v>
      </c>
      <c r="E163" s="8">
        <v>16731275</v>
      </c>
      <c r="F163" s="8">
        <v>16731275</v>
      </c>
      <c r="G163" s="8">
        <v>16731275</v>
      </c>
      <c r="H163" s="8">
        <v>16731275</v>
      </c>
      <c r="I163" s="8">
        <v>16731275</v>
      </c>
      <c r="J163" s="8">
        <v>16731275</v>
      </c>
      <c r="K163" s="8">
        <v>16731275</v>
      </c>
      <c r="L163" s="8">
        <v>16731275</v>
      </c>
      <c r="M163" s="8">
        <v>16731275</v>
      </c>
      <c r="N163" s="8">
        <v>16731275</v>
      </c>
      <c r="O163" s="9">
        <f t="shared" si="114"/>
        <v>16731275</v>
      </c>
      <c r="P163" s="8">
        <v>18391236</v>
      </c>
      <c r="Q163" s="8">
        <v>18391236</v>
      </c>
      <c r="R163" s="8">
        <v>18391236</v>
      </c>
      <c r="S163" s="8">
        <v>18391236</v>
      </c>
      <c r="T163" s="8">
        <v>18391236</v>
      </c>
      <c r="U163" s="8">
        <v>18391236</v>
      </c>
      <c r="V163" s="8">
        <v>18391236</v>
      </c>
      <c r="W163" s="8">
        <v>18391236</v>
      </c>
      <c r="X163" s="8">
        <v>18391236</v>
      </c>
      <c r="Y163" s="8">
        <v>18391236</v>
      </c>
      <c r="Z163" s="8">
        <v>18391236</v>
      </c>
      <c r="AA163" s="8">
        <v>18391236</v>
      </c>
      <c r="AB163" s="9">
        <f t="shared" si="115"/>
        <v>18391236</v>
      </c>
      <c r="AC163" s="8">
        <v>20599186</v>
      </c>
      <c r="AD163" s="8">
        <v>20599186</v>
      </c>
      <c r="AE163" s="8">
        <v>20599186</v>
      </c>
      <c r="AF163" s="8">
        <v>20599186</v>
      </c>
      <c r="AG163" s="8">
        <v>20599186</v>
      </c>
      <c r="AH163" s="8">
        <v>20599186</v>
      </c>
      <c r="AI163" s="8">
        <v>20599186</v>
      </c>
      <c r="AJ163" s="8">
        <v>20599186</v>
      </c>
      <c r="AK163" s="8">
        <v>20599186</v>
      </c>
      <c r="AL163" s="8">
        <v>20599186</v>
      </c>
      <c r="AM163" s="8">
        <v>20599186</v>
      </c>
      <c r="AN163" s="8">
        <v>20599186</v>
      </c>
      <c r="AO163" s="9">
        <f t="shared" si="116"/>
        <v>20599186</v>
      </c>
      <c r="AP163" s="8">
        <v>16685178</v>
      </c>
      <c r="AQ163" s="8">
        <v>16685178</v>
      </c>
      <c r="AR163" s="8">
        <v>16685178</v>
      </c>
      <c r="AS163" s="8">
        <v>16685178</v>
      </c>
      <c r="AT163" s="8">
        <v>16685178</v>
      </c>
      <c r="AU163" s="8">
        <v>16685178</v>
      </c>
      <c r="AV163" s="8">
        <v>16685178</v>
      </c>
      <c r="AW163" s="8">
        <v>16685178</v>
      </c>
      <c r="AX163" s="8">
        <v>16685178</v>
      </c>
      <c r="AY163" s="8">
        <v>16685178</v>
      </c>
      <c r="AZ163" s="8">
        <v>16685178</v>
      </c>
      <c r="BA163" s="8">
        <v>16685178</v>
      </c>
      <c r="BB163" s="9">
        <f t="shared" si="117"/>
        <v>16685178</v>
      </c>
      <c r="BC163" s="8">
        <v>21138373</v>
      </c>
      <c r="BD163" s="8">
        <v>21138373</v>
      </c>
      <c r="BE163" s="8">
        <v>21138373</v>
      </c>
      <c r="BF163" s="8">
        <v>21138373</v>
      </c>
      <c r="BG163" s="8">
        <v>21138373</v>
      </c>
      <c r="BH163" s="8">
        <v>21138373</v>
      </c>
      <c r="BI163" s="8">
        <v>21138373</v>
      </c>
      <c r="BJ163" s="8">
        <v>21138373</v>
      </c>
      <c r="BK163" s="8">
        <v>21138373</v>
      </c>
      <c r="BL163" s="8">
        <v>21138373</v>
      </c>
      <c r="BM163" s="8">
        <v>21138373</v>
      </c>
      <c r="BN163" s="8">
        <v>21138373</v>
      </c>
      <c r="BO163" s="9">
        <f t="shared" si="118"/>
        <v>21138373</v>
      </c>
      <c r="BP163" s="8">
        <v>17594722</v>
      </c>
      <c r="BQ163" s="8">
        <v>17594722</v>
      </c>
      <c r="BR163" s="8">
        <v>17594722</v>
      </c>
      <c r="BS163" s="8">
        <v>17594722</v>
      </c>
      <c r="BT163" s="8">
        <v>17594722</v>
      </c>
      <c r="BU163" s="8">
        <v>17594722</v>
      </c>
      <c r="BV163" s="8">
        <v>17594722</v>
      </c>
      <c r="BW163" s="8">
        <v>17594722</v>
      </c>
      <c r="BX163" s="8">
        <v>17594722</v>
      </c>
      <c r="BY163" s="8">
        <v>17594722</v>
      </c>
      <c r="BZ163" s="8">
        <v>17594722</v>
      </c>
      <c r="CA163" s="8">
        <v>17594722</v>
      </c>
      <c r="CB163" s="9">
        <f t="shared" si="119"/>
        <v>17594722</v>
      </c>
      <c r="CC163" s="8">
        <v>18084640</v>
      </c>
      <c r="CD163" s="8">
        <v>18084640</v>
      </c>
      <c r="CE163" s="8">
        <v>18084640</v>
      </c>
      <c r="CF163" s="8">
        <v>18084640</v>
      </c>
      <c r="CG163" s="8">
        <v>18084640</v>
      </c>
      <c r="CH163" s="8">
        <v>18084640</v>
      </c>
      <c r="CI163" s="8">
        <v>18084640</v>
      </c>
      <c r="CJ163" s="8">
        <v>18084640</v>
      </c>
      <c r="CK163" s="8">
        <v>18084640</v>
      </c>
      <c r="CL163" s="8">
        <v>18084640</v>
      </c>
      <c r="CM163" s="8">
        <v>18084640</v>
      </c>
      <c r="CN163" s="8">
        <v>18084640</v>
      </c>
      <c r="CO163" s="9">
        <f t="shared" si="120"/>
        <v>18084640</v>
      </c>
      <c r="CP163" s="8">
        <v>20744457</v>
      </c>
      <c r="CQ163" s="8">
        <v>20744457</v>
      </c>
      <c r="CR163" s="8">
        <v>20744457</v>
      </c>
      <c r="CS163" s="8">
        <v>20744457</v>
      </c>
      <c r="CT163" s="8">
        <v>20744457</v>
      </c>
      <c r="CU163" s="8">
        <v>20744457</v>
      </c>
      <c r="CV163" s="8">
        <v>20744457</v>
      </c>
      <c r="CW163" s="8">
        <v>20744457</v>
      </c>
      <c r="CX163" s="8">
        <v>20744457</v>
      </c>
      <c r="CY163" s="8">
        <v>20744457</v>
      </c>
      <c r="CZ163" s="8">
        <v>20744457</v>
      </c>
      <c r="DA163" s="8">
        <v>20744457</v>
      </c>
      <c r="DB163" s="9">
        <f t="shared" si="121"/>
        <v>20744457</v>
      </c>
      <c r="DC163" s="8">
        <v>52237769</v>
      </c>
      <c r="DD163" s="8">
        <v>52237769</v>
      </c>
      <c r="DE163" s="8">
        <v>52237769</v>
      </c>
      <c r="DF163" s="8">
        <v>52237769</v>
      </c>
      <c r="DG163" s="8">
        <v>52237769</v>
      </c>
      <c r="DH163" s="8">
        <v>52237769</v>
      </c>
      <c r="DI163" s="8">
        <v>52237769</v>
      </c>
      <c r="DJ163" s="8">
        <v>52237769</v>
      </c>
      <c r="DK163" s="8">
        <v>52237769</v>
      </c>
      <c r="DL163" s="8">
        <v>52237769</v>
      </c>
      <c r="DM163" s="8">
        <v>52237769</v>
      </c>
      <c r="DN163" s="8">
        <v>52237769</v>
      </c>
      <c r="DO163" s="9">
        <f t="shared" si="122"/>
        <v>52237769</v>
      </c>
      <c r="DP163" s="8">
        <v>41497084</v>
      </c>
      <c r="DQ163" s="8">
        <v>41497084</v>
      </c>
      <c r="DR163" s="8">
        <v>41497084</v>
      </c>
      <c r="DS163" s="8">
        <v>41497084</v>
      </c>
      <c r="DT163" s="8">
        <v>41497084</v>
      </c>
      <c r="DU163" s="8">
        <v>41497084</v>
      </c>
      <c r="DV163" s="8">
        <v>41497084</v>
      </c>
      <c r="DW163" s="8">
        <v>41497084</v>
      </c>
      <c r="DX163" s="8">
        <v>41497084</v>
      </c>
      <c r="DY163" s="8">
        <v>41497084</v>
      </c>
      <c r="DZ163" s="8">
        <v>41497084</v>
      </c>
      <c r="EA163" s="8">
        <v>41497084</v>
      </c>
      <c r="EB163" s="9">
        <f t="shared" si="123"/>
        <v>41497084</v>
      </c>
      <c r="EC163" s="8">
        <v>86021116</v>
      </c>
      <c r="ED163" s="8">
        <v>86021116</v>
      </c>
      <c r="EE163" s="8">
        <v>86021116</v>
      </c>
      <c r="EF163" s="8">
        <v>86021116</v>
      </c>
      <c r="EG163" s="8">
        <v>86021116</v>
      </c>
      <c r="EH163" s="8">
        <v>86021116</v>
      </c>
      <c r="EI163" s="8">
        <v>86021116</v>
      </c>
      <c r="EJ163" s="8">
        <v>86021116</v>
      </c>
      <c r="EK163" s="8">
        <v>86021116</v>
      </c>
      <c r="EL163" s="8">
        <v>86021116</v>
      </c>
      <c r="EM163" s="8">
        <v>86021116</v>
      </c>
      <c r="EN163" s="8">
        <v>86021116</v>
      </c>
      <c r="EO163" s="9">
        <f t="shared" si="124"/>
        <v>86021116</v>
      </c>
      <c r="EP163" s="8">
        <v>122155247</v>
      </c>
      <c r="EQ163" s="8">
        <v>122155247</v>
      </c>
      <c r="ER163" s="8">
        <v>122155247</v>
      </c>
      <c r="ES163" s="8">
        <v>122155247</v>
      </c>
      <c r="ET163" s="8">
        <v>122155247</v>
      </c>
      <c r="EU163" s="8">
        <v>122155247</v>
      </c>
      <c r="EV163" s="8">
        <v>122155247</v>
      </c>
      <c r="EW163" s="8">
        <v>122155247</v>
      </c>
      <c r="EX163" s="8">
        <v>122155247</v>
      </c>
      <c r="EY163" s="8">
        <v>122155247</v>
      </c>
      <c r="EZ163" s="8">
        <v>122155247</v>
      </c>
      <c r="FA163" s="8">
        <v>122155247</v>
      </c>
      <c r="FB163" s="9">
        <f t="shared" si="125"/>
        <v>122155247</v>
      </c>
      <c r="FC163" s="8">
        <v>77301509</v>
      </c>
      <c r="FD163" s="8">
        <v>77301509</v>
      </c>
      <c r="FE163" s="8">
        <v>77301509</v>
      </c>
      <c r="FF163" s="8">
        <v>77301509</v>
      </c>
      <c r="FG163" s="8">
        <v>77301509</v>
      </c>
      <c r="FH163" s="8">
        <v>77301509</v>
      </c>
      <c r="FI163" s="8">
        <v>77301509</v>
      </c>
      <c r="FJ163" s="8"/>
      <c r="FK163" s="8"/>
      <c r="FL163" s="8"/>
      <c r="FM163" s="8"/>
      <c r="FN163" s="8"/>
      <c r="FO163" s="9">
        <f t="shared" si="126"/>
        <v>77301509</v>
      </c>
    </row>
    <row r="164" spans="2:171" ht="14.25" customHeight="1" x14ac:dyDescent="0.3">
      <c r="B164" s="14" t="s">
        <v>75</v>
      </c>
      <c r="C164" s="16">
        <f t="shared" ref="C164:AH164" si="127">SUM(C146:C163)</f>
        <v>880558044</v>
      </c>
      <c r="D164" s="16">
        <f t="shared" si="127"/>
        <v>880558044</v>
      </c>
      <c r="E164" s="16">
        <f t="shared" si="127"/>
        <v>912096484</v>
      </c>
      <c r="F164" s="16">
        <f t="shared" si="127"/>
        <v>912096484</v>
      </c>
      <c r="G164" s="16">
        <f t="shared" si="127"/>
        <v>912096484</v>
      </c>
      <c r="H164" s="16">
        <f t="shared" si="127"/>
        <v>912096484</v>
      </c>
      <c r="I164" s="16">
        <f t="shared" si="127"/>
        <v>912096484</v>
      </c>
      <c r="J164" s="16">
        <f t="shared" si="127"/>
        <v>912096484</v>
      </c>
      <c r="K164" s="16">
        <f t="shared" si="127"/>
        <v>912096484</v>
      </c>
      <c r="L164" s="16">
        <f t="shared" si="127"/>
        <v>912096484</v>
      </c>
      <c r="M164" s="16">
        <f t="shared" si="127"/>
        <v>912096484</v>
      </c>
      <c r="N164" s="16">
        <f t="shared" si="127"/>
        <v>912096484</v>
      </c>
      <c r="O164" s="16">
        <f t="shared" si="127"/>
        <v>912096484</v>
      </c>
      <c r="P164" s="16">
        <f t="shared" si="127"/>
        <v>1117371939</v>
      </c>
      <c r="Q164" s="16">
        <f t="shared" si="127"/>
        <v>1117371939</v>
      </c>
      <c r="R164" s="16">
        <f t="shared" si="127"/>
        <v>1117371939</v>
      </c>
      <c r="S164" s="16">
        <f t="shared" si="127"/>
        <v>1117371939</v>
      </c>
      <c r="T164" s="16">
        <f t="shared" si="127"/>
        <v>1117371939</v>
      </c>
      <c r="U164" s="16">
        <f t="shared" si="127"/>
        <v>1117371939</v>
      </c>
      <c r="V164" s="16">
        <f t="shared" si="127"/>
        <v>1117371939</v>
      </c>
      <c r="W164" s="16">
        <f t="shared" si="127"/>
        <v>1117371939</v>
      </c>
      <c r="X164" s="16">
        <f t="shared" si="127"/>
        <v>1117371939</v>
      </c>
      <c r="Y164" s="16">
        <f t="shared" si="127"/>
        <v>1117371939</v>
      </c>
      <c r="Z164" s="16">
        <f t="shared" si="127"/>
        <v>1117371939</v>
      </c>
      <c r="AA164" s="16">
        <f t="shared" si="127"/>
        <v>1117371939</v>
      </c>
      <c r="AB164" s="16">
        <f t="shared" si="127"/>
        <v>1117371939</v>
      </c>
      <c r="AC164" s="16">
        <f t="shared" si="127"/>
        <v>1308136145</v>
      </c>
      <c r="AD164" s="16">
        <f t="shared" si="127"/>
        <v>1308136145</v>
      </c>
      <c r="AE164" s="16">
        <f t="shared" si="127"/>
        <v>1308136145</v>
      </c>
      <c r="AF164" s="16">
        <f t="shared" si="127"/>
        <v>1308136145</v>
      </c>
      <c r="AG164" s="16">
        <f t="shared" si="127"/>
        <v>1308136145</v>
      </c>
      <c r="AH164" s="16">
        <f t="shared" si="127"/>
        <v>1308136145</v>
      </c>
      <c r="AI164" s="16">
        <f t="shared" ref="AI164:BN164" si="128">SUM(AI146:AI163)</f>
        <v>1308136145</v>
      </c>
      <c r="AJ164" s="16">
        <f t="shared" si="128"/>
        <v>1308136145</v>
      </c>
      <c r="AK164" s="16">
        <f t="shared" si="128"/>
        <v>1308136145</v>
      </c>
      <c r="AL164" s="16">
        <f t="shared" si="128"/>
        <v>1308136145</v>
      </c>
      <c r="AM164" s="16">
        <f t="shared" si="128"/>
        <v>1308136145</v>
      </c>
      <c r="AN164" s="16">
        <f t="shared" si="128"/>
        <v>1308136145</v>
      </c>
      <c r="AO164" s="16">
        <f t="shared" si="128"/>
        <v>1308136145</v>
      </c>
      <c r="AP164" s="16">
        <f t="shared" si="128"/>
        <v>1280609939</v>
      </c>
      <c r="AQ164" s="16">
        <f t="shared" si="128"/>
        <v>1280609939</v>
      </c>
      <c r="AR164" s="16">
        <f t="shared" si="128"/>
        <v>1280609939</v>
      </c>
      <c r="AS164" s="16">
        <f t="shared" si="128"/>
        <v>1280609939</v>
      </c>
      <c r="AT164" s="16">
        <f t="shared" si="128"/>
        <v>1280609939</v>
      </c>
      <c r="AU164" s="16">
        <f t="shared" si="128"/>
        <v>1280609939</v>
      </c>
      <c r="AV164" s="16">
        <f t="shared" si="128"/>
        <v>1280609939</v>
      </c>
      <c r="AW164" s="16">
        <f t="shared" si="128"/>
        <v>1280609939</v>
      </c>
      <c r="AX164" s="16">
        <f t="shared" si="128"/>
        <v>1280609939</v>
      </c>
      <c r="AY164" s="16">
        <f t="shared" si="128"/>
        <v>1280609939</v>
      </c>
      <c r="AZ164" s="16">
        <f t="shared" si="128"/>
        <v>1280609939</v>
      </c>
      <c r="BA164" s="16">
        <f t="shared" si="128"/>
        <v>1280609939</v>
      </c>
      <c r="BB164" s="16">
        <f t="shared" si="128"/>
        <v>1280609939</v>
      </c>
      <c r="BC164" s="16">
        <f t="shared" si="128"/>
        <v>1296682784</v>
      </c>
      <c r="BD164" s="16">
        <f t="shared" si="128"/>
        <v>1296682784</v>
      </c>
      <c r="BE164" s="16">
        <f t="shared" si="128"/>
        <v>1296682784</v>
      </c>
      <c r="BF164" s="16">
        <f t="shared" si="128"/>
        <v>1296682784</v>
      </c>
      <c r="BG164" s="16">
        <f t="shared" si="128"/>
        <v>1296682784</v>
      </c>
      <c r="BH164" s="16">
        <f t="shared" si="128"/>
        <v>1296682784</v>
      </c>
      <c r="BI164" s="16">
        <f t="shared" si="128"/>
        <v>1296682784</v>
      </c>
      <c r="BJ164" s="16">
        <f t="shared" si="128"/>
        <v>1296682784</v>
      </c>
      <c r="BK164" s="16">
        <f t="shared" si="128"/>
        <v>1296682784</v>
      </c>
      <c r="BL164" s="16">
        <f t="shared" si="128"/>
        <v>1296682784</v>
      </c>
      <c r="BM164" s="16">
        <f t="shared" si="128"/>
        <v>1296682784</v>
      </c>
      <c r="BN164" s="16">
        <f t="shared" si="128"/>
        <v>1296682784</v>
      </c>
      <c r="BO164" s="16">
        <f t="shared" ref="BO164:CT164" si="129">SUM(BO146:BO163)</f>
        <v>1296682784</v>
      </c>
      <c r="BP164" s="16">
        <f t="shared" si="129"/>
        <v>1487615608</v>
      </c>
      <c r="BQ164" s="16">
        <f t="shared" si="129"/>
        <v>1487615608</v>
      </c>
      <c r="BR164" s="16">
        <f t="shared" si="129"/>
        <v>1487615608</v>
      </c>
      <c r="BS164" s="16">
        <f t="shared" si="129"/>
        <v>1487615608</v>
      </c>
      <c r="BT164" s="16">
        <f t="shared" si="129"/>
        <v>1487615608</v>
      </c>
      <c r="BU164" s="16">
        <f t="shared" si="129"/>
        <v>1487615608</v>
      </c>
      <c r="BV164" s="16">
        <f t="shared" si="129"/>
        <v>1487615608</v>
      </c>
      <c r="BW164" s="16">
        <f t="shared" si="129"/>
        <v>1487615608</v>
      </c>
      <c r="BX164" s="16">
        <f t="shared" si="129"/>
        <v>1487615608</v>
      </c>
      <c r="BY164" s="16">
        <f t="shared" si="129"/>
        <v>1487615608</v>
      </c>
      <c r="BZ164" s="16">
        <f t="shared" si="129"/>
        <v>1487615608</v>
      </c>
      <c r="CA164" s="16">
        <f t="shared" si="129"/>
        <v>1487615608</v>
      </c>
      <c r="CB164" s="16">
        <f t="shared" si="129"/>
        <v>1487615608</v>
      </c>
      <c r="CC164" s="16">
        <f t="shared" si="129"/>
        <v>1557677212</v>
      </c>
      <c r="CD164" s="16">
        <f t="shared" si="129"/>
        <v>1557677212</v>
      </c>
      <c r="CE164" s="16">
        <f t="shared" si="129"/>
        <v>1557677212</v>
      </c>
      <c r="CF164" s="16">
        <f t="shared" si="129"/>
        <v>1557677212</v>
      </c>
      <c r="CG164" s="16">
        <f t="shared" si="129"/>
        <v>1557677212</v>
      </c>
      <c r="CH164" s="16">
        <f t="shared" si="129"/>
        <v>1557677212</v>
      </c>
      <c r="CI164" s="16">
        <f t="shared" si="129"/>
        <v>1557677212</v>
      </c>
      <c r="CJ164" s="16">
        <f t="shared" si="129"/>
        <v>1557677212</v>
      </c>
      <c r="CK164" s="16">
        <f t="shared" si="129"/>
        <v>1557677212</v>
      </c>
      <c r="CL164" s="16">
        <f t="shared" si="129"/>
        <v>1557677212</v>
      </c>
      <c r="CM164" s="16">
        <f t="shared" si="129"/>
        <v>1557677212</v>
      </c>
      <c r="CN164" s="16">
        <f t="shared" si="129"/>
        <v>1557677212</v>
      </c>
      <c r="CO164" s="16">
        <f t="shared" si="129"/>
        <v>1557677212</v>
      </c>
      <c r="CP164" s="16">
        <f t="shared" si="129"/>
        <v>1691444654</v>
      </c>
      <c r="CQ164" s="16">
        <f t="shared" si="129"/>
        <v>1691444654</v>
      </c>
      <c r="CR164" s="16">
        <f t="shared" si="129"/>
        <v>1691444654</v>
      </c>
      <c r="CS164" s="16">
        <f t="shared" si="129"/>
        <v>1691444654</v>
      </c>
      <c r="CT164" s="16">
        <f t="shared" si="129"/>
        <v>1691444654</v>
      </c>
      <c r="CU164" s="16">
        <f t="shared" ref="CU164:DZ164" si="130">SUM(CU146:CU163)</f>
        <v>1691444654</v>
      </c>
      <c r="CV164" s="16">
        <f t="shared" si="130"/>
        <v>1691444654</v>
      </c>
      <c r="CW164" s="16">
        <f t="shared" si="130"/>
        <v>1691444654</v>
      </c>
      <c r="CX164" s="16">
        <f t="shared" si="130"/>
        <v>1691444654</v>
      </c>
      <c r="CY164" s="16">
        <f t="shared" si="130"/>
        <v>1691444654</v>
      </c>
      <c r="CZ164" s="16">
        <f t="shared" si="130"/>
        <v>1691444654</v>
      </c>
      <c r="DA164" s="16">
        <f t="shared" si="130"/>
        <v>1691444654</v>
      </c>
      <c r="DB164" s="16">
        <f t="shared" si="130"/>
        <v>1691444654</v>
      </c>
      <c r="DC164" s="16">
        <f t="shared" si="130"/>
        <v>1981210073</v>
      </c>
      <c r="DD164" s="16">
        <f t="shared" si="130"/>
        <v>1981210073</v>
      </c>
      <c r="DE164" s="16">
        <f t="shared" si="130"/>
        <v>1981210073</v>
      </c>
      <c r="DF164" s="16">
        <f t="shared" si="130"/>
        <v>1981210073</v>
      </c>
      <c r="DG164" s="16">
        <f t="shared" si="130"/>
        <v>1981210073</v>
      </c>
      <c r="DH164" s="16">
        <f t="shared" si="130"/>
        <v>1981210073</v>
      </c>
      <c r="DI164" s="16">
        <f t="shared" si="130"/>
        <v>1981210073</v>
      </c>
      <c r="DJ164" s="16">
        <f t="shared" si="130"/>
        <v>1981210073</v>
      </c>
      <c r="DK164" s="16">
        <f t="shared" si="130"/>
        <v>1981210073</v>
      </c>
      <c r="DL164" s="16">
        <f t="shared" si="130"/>
        <v>1981210073</v>
      </c>
      <c r="DM164" s="16">
        <f t="shared" si="130"/>
        <v>1981210073</v>
      </c>
      <c r="DN164" s="16">
        <f t="shared" si="130"/>
        <v>1981210073</v>
      </c>
      <c r="DO164" s="16">
        <f t="shared" si="130"/>
        <v>1981210073</v>
      </c>
      <c r="DP164" s="16">
        <f t="shared" si="130"/>
        <v>2367597587</v>
      </c>
      <c r="DQ164" s="16">
        <f t="shared" si="130"/>
        <v>2367597587</v>
      </c>
      <c r="DR164" s="16">
        <f t="shared" si="130"/>
        <v>2367597587</v>
      </c>
      <c r="DS164" s="16">
        <f t="shared" si="130"/>
        <v>2367597587</v>
      </c>
      <c r="DT164" s="16">
        <f t="shared" si="130"/>
        <v>2367597587</v>
      </c>
      <c r="DU164" s="16">
        <f t="shared" si="130"/>
        <v>2367597587</v>
      </c>
      <c r="DV164" s="16">
        <f t="shared" si="130"/>
        <v>2367597587</v>
      </c>
      <c r="DW164" s="16">
        <f t="shared" si="130"/>
        <v>2367597587</v>
      </c>
      <c r="DX164" s="16">
        <f t="shared" si="130"/>
        <v>2367597587</v>
      </c>
      <c r="DY164" s="16">
        <f t="shared" si="130"/>
        <v>2367597587</v>
      </c>
      <c r="DZ164" s="16">
        <f t="shared" si="130"/>
        <v>2367597587</v>
      </c>
      <c r="EA164" s="16">
        <f t="shared" ref="EA164:FF164" si="131">SUM(EA146:EA163)</f>
        <v>2367597587</v>
      </c>
      <c r="EB164" s="16">
        <f t="shared" si="131"/>
        <v>2367597587</v>
      </c>
      <c r="EC164" s="16">
        <f t="shared" si="131"/>
        <v>2729162964</v>
      </c>
      <c r="ED164" s="16">
        <f t="shared" si="131"/>
        <v>2729162964</v>
      </c>
      <c r="EE164" s="16">
        <f t="shared" si="131"/>
        <v>2729162964</v>
      </c>
      <c r="EF164" s="16">
        <f t="shared" si="131"/>
        <v>2729162964</v>
      </c>
      <c r="EG164" s="16">
        <f t="shared" si="131"/>
        <v>2729162964</v>
      </c>
      <c r="EH164" s="16">
        <f t="shared" si="131"/>
        <v>2729162964</v>
      </c>
      <c r="EI164" s="16">
        <f t="shared" si="131"/>
        <v>2729162964</v>
      </c>
      <c r="EJ164" s="16">
        <f t="shared" si="131"/>
        <v>2729162964</v>
      </c>
      <c r="EK164" s="16">
        <f t="shared" si="131"/>
        <v>2729162964</v>
      </c>
      <c r="EL164" s="16">
        <f t="shared" si="131"/>
        <v>2729162964</v>
      </c>
      <c r="EM164" s="16">
        <f t="shared" si="131"/>
        <v>2729162964</v>
      </c>
      <c r="EN164" s="16">
        <f t="shared" si="131"/>
        <v>2729162964</v>
      </c>
      <c r="EO164" s="16">
        <f t="shared" si="131"/>
        <v>2729162964</v>
      </c>
      <c r="EP164" s="16">
        <f t="shared" si="131"/>
        <v>3213324447</v>
      </c>
      <c r="EQ164" s="16">
        <f t="shared" si="131"/>
        <v>3213324447</v>
      </c>
      <c r="ER164" s="16">
        <f t="shared" si="131"/>
        <v>3213324447</v>
      </c>
      <c r="ES164" s="16">
        <f t="shared" si="131"/>
        <v>3213324447</v>
      </c>
      <c r="ET164" s="16">
        <f t="shared" si="131"/>
        <v>3213324447</v>
      </c>
      <c r="EU164" s="16">
        <f t="shared" si="131"/>
        <v>3213324447</v>
      </c>
      <c r="EV164" s="16">
        <f t="shared" si="131"/>
        <v>3213324447</v>
      </c>
      <c r="EW164" s="16">
        <f t="shared" si="131"/>
        <v>3213324447</v>
      </c>
      <c r="EX164" s="16">
        <f t="shared" si="131"/>
        <v>3213324447</v>
      </c>
      <c r="EY164" s="16">
        <f t="shared" si="131"/>
        <v>3213324447</v>
      </c>
      <c r="EZ164" s="16">
        <f t="shared" si="131"/>
        <v>3213324447</v>
      </c>
      <c r="FA164" s="16">
        <f t="shared" si="131"/>
        <v>3213324447</v>
      </c>
      <c r="FB164" s="16">
        <f t="shared" si="131"/>
        <v>3213324447</v>
      </c>
      <c r="FC164" s="16">
        <f t="shared" si="131"/>
        <v>3680035337</v>
      </c>
      <c r="FD164" s="16">
        <f t="shared" si="131"/>
        <v>3680035337</v>
      </c>
      <c r="FE164" s="16">
        <f t="shared" si="131"/>
        <v>3680035337</v>
      </c>
      <c r="FF164" s="16">
        <f t="shared" si="131"/>
        <v>3680035337</v>
      </c>
      <c r="FG164" s="16">
        <f t="shared" ref="FG164:GL164" si="132">SUM(FG146:FG163)</f>
        <v>3680035337</v>
      </c>
      <c r="FH164" s="16">
        <f t="shared" si="132"/>
        <v>3680035337</v>
      </c>
      <c r="FI164" s="16">
        <f t="shared" si="132"/>
        <v>3680035337</v>
      </c>
      <c r="FJ164" s="16">
        <f t="shared" si="132"/>
        <v>0</v>
      </c>
      <c r="FK164" s="16">
        <f t="shared" si="132"/>
        <v>0</v>
      </c>
      <c r="FL164" s="16">
        <f t="shared" si="132"/>
        <v>0</v>
      </c>
      <c r="FM164" s="16">
        <f t="shared" si="132"/>
        <v>0</v>
      </c>
      <c r="FN164" s="16">
        <f t="shared" si="132"/>
        <v>0</v>
      </c>
      <c r="FO164" s="16">
        <f t="shared" si="132"/>
        <v>3680035337</v>
      </c>
    </row>
    <row r="165" spans="2:171" ht="14.25" customHeight="1" x14ac:dyDescent="0.3">
      <c r="B165" s="4" t="s">
        <v>76</v>
      </c>
    </row>
    <row r="166" spans="2:171" ht="14.25" customHeight="1" x14ac:dyDescent="0.3">
      <c r="C166" s="33" t="s">
        <v>4</v>
      </c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3" t="s">
        <v>5</v>
      </c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3" t="s">
        <v>6</v>
      </c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3" t="s">
        <v>7</v>
      </c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3" t="s">
        <v>8</v>
      </c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3" t="s">
        <v>9</v>
      </c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3" t="s">
        <v>10</v>
      </c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3" t="s">
        <v>11</v>
      </c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3" t="s">
        <v>12</v>
      </c>
      <c r="DD166" s="34"/>
      <c r="DE166" s="34"/>
      <c r="DF166" s="34"/>
      <c r="DG166" s="34"/>
      <c r="DH166" s="34"/>
      <c r="DI166" s="34"/>
      <c r="DJ166" s="34"/>
      <c r="DK166" s="34"/>
      <c r="DL166" s="34"/>
      <c r="DM166" s="34"/>
      <c r="DN166" s="34"/>
      <c r="DO166" s="34"/>
      <c r="DP166" s="33" t="s">
        <v>13</v>
      </c>
      <c r="DQ166" s="34"/>
      <c r="DR166" s="34"/>
      <c r="DS166" s="34"/>
      <c r="DT166" s="34"/>
      <c r="DU166" s="34"/>
      <c r="DV166" s="34"/>
      <c r="DW166" s="34"/>
      <c r="DX166" s="34"/>
      <c r="DY166" s="34"/>
      <c r="DZ166" s="34"/>
      <c r="EA166" s="34"/>
      <c r="EB166" s="34"/>
      <c r="EC166" s="33" t="s">
        <v>14</v>
      </c>
      <c r="ED166" s="34"/>
      <c r="EE166" s="34"/>
      <c r="EF166" s="34"/>
      <c r="EG166" s="34"/>
      <c r="EH166" s="34"/>
      <c r="EI166" s="34"/>
      <c r="EJ166" s="34"/>
      <c r="EK166" s="34"/>
      <c r="EL166" s="34"/>
      <c r="EM166" s="34"/>
      <c r="EN166" s="34"/>
      <c r="EO166" s="34"/>
      <c r="EP166" s="33" t="s">
        <v>15</v>
      </c>
      <c r="EQ166" s="34"/>
      <c r="ER166" s="34"/>
      <c r="ES166" s="34"/>
      <c r="ET166" s="34"/>
      <c r="EU166" s="34"/>
      <c r="EV166" s="34"/>
      <c r="EW166" s="34"/>
      <c r="EX166" s="34"/>
      <c r="EY166" s="34"/>
      <c r="EZ166" s="34"/>
      <c r="FA166" s="34"/>
      <c r="FB166" s="34"/>
      <c r="FC166" s="33" t="s">
        <v>16</v>
      </c>
      <c r="FD166" s="34"/>
      <c r="FE166" s="34"/>
      <c r="FF166" s="34"/>
      <c r="FG166" s="34"/>
      <c r="FH166" s="34"/>
      <c r="FI166" s="34"/>
      <c r="FJ166" s="34"/>
      <c r="FK166" s="34"/>
      <c r="FL166" s="34"/>
      <c r="FM166" s="34"/>
      <c r="FN166" s="34"/>
      <c r="FO166" s="34"/>
    </row>
    <row r="167" spans="2:171" ht="14.25" customHeight="1" x14ac:dyDescent="0.3">
      <c r="B167" s="5" t="s">
        <v>17</v>
      </c>
      <c r="C167" s="6" t="s">
        <v>18</v>
      </c>
      <c r="D167" s="6" t="s">
        <v>19</v>
      </c>
      <c r="E167" s="6" t="s">
        <v>20</v>
      </c>
      <c r="F167" s="6" t="s">
        <v>21</v>
      </c>
      <c r="G167" s="6" t="s">
        <v>22</v>
      </c>
      <c r="H167" s="6" t="s">
        <v>23</v>
      </c>
      <c r="I167" s="6" t="s">
        <v>24</v>
      </c>
      <c r="J167" s="6" t="s">
        <v>25</v>
      </c>
      <c r="K167" s="6" t="s">
        <v>26</v>
      </c>
      <c r="L167" s="6" t="s">
        <v>27</v>
      </c>
      <c r="M167" s="6" t="s">
        <v>28</v>
      </c>
      <c r="N167" s="6" t="s">
        <v>29</v>
      </c>
      <c r="O167" s="6" t="s">
        <v>30</v>
      </c>
      <c r="P167" s="6" t="s">
        <v>18</v>
      </c>
      <c r="Q167" s="6" t="s">
        <v>19</v>
      </c>
      <c r="R167" s="6" t="s">
        <v>20</v>
      </c>
      <c r="S167" s="6" t="s">
        <v>21</v>
      </c>
      <c r="T167" s="6" t="s">
        <v>22</v>
      </c>
      <c r="U167" s="6" t="s">
        <v>23</v>
      </c>
      <c r="V167" s="6" t="s">
        <v>24</v>
      </c>
      <c r="W167" s="6" t="s">
        <v>25</v>
      </c>
      <c r="X167" s="6" t="s">
        <v>26</v>
      </c>
      <c r="Y167" s="6" t="s">
        <v>27</v>
      </c>
      <c r="Z167" s="6" t="s">
        <v>28</v>
      </c>
      <c r="AA167" s="6" t="s">
        <v>29</v>
      </c>
      <c r="AB167" s="6" t="s">
        <v>31</v>
      </c>
      <c r="AC167" s="6" t="s">
        <v>18</v>
      </c>
      <c r="AD167" s="6" t="s">
        <v>19</v>
      </c>
      <c r="AE167" s="6" t="s">
        <v>20</v>
      </c>
      <c r="AF167" s="6" t="s">
        <v>21</v>
      </c>
      <c r="AG167" s="6" t="s">
        <v>22</v>
      </c>
      <c r="AH167" s="6" t="s">
        <v>23</v>
      </c>
      <c r="AI167" s="6" t="s">
        <v>24</v>
      </c>
      <c r="AJ167" s="6" t="s">
        <v>25</v>
      </c>
      <c r="AK167" s="6" t="s">
        <v>26</v>
      </c>
      <c r="AL167" s="6" t="s">
        <v>27</v>
      </c>
      <c r="AM167" s="6" t="s">
        <v>28</v>
      </c>
      <c r="AN167" s="6" t="s">
        <v>29</v>
      </c>
      <c r="AO167" s="6" t="s">
        <v>32</v>
      </c>
      <c r="AP167" s="6" t="s">
        <v>18</v>
      </c>
      <c r="AQ167" s="6" t="s">
        <v>19</v>
      </c>
      <c r="AR167" s="6" t="s">
        <v>20</v>
      </c>
      <c r="AS167" s="6" t="s">
        <v>21</v>
      </c>
      <c r="AT167" s="6" t="s">
        <v>22</v>
      </c>
      <c r="AU167" s="6" t="s">
        <v>23</v>
      </c>
      <c r="AV167" s="6" t="s">
        <v>24</v>
      </c>
      <c r="AW167" s="6" t="s">
        <v>25</v>
      </c>
      <c r="AX167" s="6" t="s">
        <v>26</v>
      </c>
      <c r="AY167" s="6" t="s">
        <v>27</v>
      </c>
      <c r="AZ167" s="6" t="s">
        <v>28</v>
      </c>
      <c r="BA167" s="6" t="s">
        <v>29</v>
      </c>
      <c r="BB167" s="6" t="s">
        <v>33</v>
      </c>
      <c r="BC167" s="6" t="s">
        <v>18</v>
      </c>
      <c r="BD167" s="6" t="s">
        <v>19</v>
      </c>
      <c r="BE167" s="6" t="s">
        <v>20</v>
      </c>
      <c r="BF167" s="6" t="s">
        <v>21</v>
      </c>
      <c r="BG167" s="6" t="s">
        <v>22</v>
      </c>
      <c r="BH167" s="6" t="s">
        <v>23</v>
      </c>
      <c r="BI167" s="6" t="s">
        <v>24</v>
      </c>
      <c r="BJ167" s="6" t="s">
        <v>25</v>
      </c>
      <c r="BK167" s="6" t="s">
        <v>26</v>
      </c>
      <c r="BL167" s="6" t="s">
        <v>27</v>
      </c>
      <c r="BM167" s="6" t="s">
        <v>28</v>
      </c>
      <c r="BN167" s="6" t="s">
        <v>29</v>
      </c>
      <c r="BO167" s="6" t="s">
        <v>34</v>
      </c>
      <c r="BP167" s="6" t="s">
        <v>18</v>
      </c>
      <c r="BQ167" s="6" t="s">
        <v>19</v>
      </c>
      <c r="BR167" s="6" t="s">
        <v>20</v>
      </c>
      <c r="BS167" s="6" t="s">
        <v>21</v>
      </c>
      <c r="BT167" s="6" t="s">
        <v>22</v>
      </c>
      <c r="BU167" s="6" t="s">
        <v>23</v>
      </c>
      <c r="BV167" s="6" t="s">
        <v>24</v>
      </c>
      <c r="BW167" s="6" t="s">
        <v>25</v>
      </c>
      <c r="BX167" s="6" t="s">
        <v>26</v>
      </c>
      <c r="BY167" s="6" t="s">
        <v>27</v>
      </c>
      <c r="BZ167" s="6" t="s">
        <v>28</v>
      </c>
      <c r="CA167" s="6" t="s">
        <v>29</v>
      </c>
      <c r="CB167" s="6" t="s">
        <v>35</v>
      </c>
      <c r="CC167" s="6" t="s">
        <v>18</v>
      </c>
      <c r="CD167" s="6" t="s">
        <v>19</v>
      </c>
      <c r="CE167" s="6" t="s">
        <v>20</v>
      </c>
      <c r="CF167" s="6" t="s">
        <v>21</v>
      </c>
      <c r="CG167" s="6" t="s">
        <v>22</v>
      </c>
      <c r="CH167" s="6" t="s">
        <v>23</v>
      </c>
      <c r="CI167" s="6" t="s">
        <v>24</v>
      </c>
      <c r="CJ167" s="6" t="s">
        <v>25</v>
      </c>
      <c r="CK167" s="6" t="s">
        <v>26</v>
      </c>
      <c r="CL167" s="6" t="s">
        <v>27</v>
      </c>
      <c r="CM167" s="6" t="s">
        <v>28</v>
      </c>
      <c r="CN167" s="6" t="s">
        <v>29</v>
      </c>
      <c r="CO167" s="6" t="s">
        <v>36</v>
      </c>
      <c r="CP167" s="6" t="s">
        <v>18</v>
      </c>
      <c r="CQ167" s="6" t="s">
        <v>19</v>
      </c>
      <c r="CR167" s="6" t="s">
        <v>20</v>
      </c>
      <c r="CS167" s="6" t="s">
        <v>21</v>
      </c>
      <c r="CT167" s="6" t="s">
        <v>22</v>
      </c>
      <c r="CU167" s="6" t="s">
        <v>23</v>
      </c>
      <c r="CV167" s="6" t="s">
        <v>24</v>
      </c>
      <c r="CW167" s="6" t="s">
        <v>25</v>
      </c>
      <c r="CX167" s="6" t="s">
        <v>26</v>
      </c>
      <c r="CY167" s="6" t="s">
        <v>27</v>
      </c>
      <c r="CZ167" s="6" t="s">
        <v>28</v>
      </c>
      <c r="DA167" s="6" t="s">
        <v>29</v>
      </c>
      <c r="DB167" s="6" t="s">
        <v>37</v>
      </c>
      <c r="DC167" s="6" t="s">
        <v>18</v>
      </c>
      <c r="DD167" s="6" t="s">
        <v>19</v>
      </c>
      <c r="DE167" s="6" t="s">
        <v>20</v>
      </c>
      <c r="DF167" s="6" t="s">
        <v>21</v>
      </c>
      <c r="DG167" s="6" t="s">
        <v>22</v>
      </c>
      <c r="DH167" s="6" t="s">
        <v>23</v>
      </c>
      <c r="DI167" s="6" t="s">
        <v>24</v>
      </c>
      <c r="DJ167" s="6" t="s">
        <v>25</v>
      </c>
      <c r="DK167" s="6" t="s">
        <v>26</v>
      </c>
      <c r="DL167" s="6" t="s">
        <v>27</v>
      </c>
      <c r="DM167" s="6" t="s">
        <v>28</v>
      </c>
      <c r="DN167" s="6" t="s">
        <v>29</v>
      </c>
      <c r="DO167" s="6" t="s">
        <v>38</v>
      </c>
      <c r="DP167" s="6" t="s">
        <v>18</v>
      </c>
      <c r="DQ167" s="6" t="s">
        <v>19</v>
      </c>
      <c r="DR167" s="6" t="s">
        <v>20</v>
      </c>
      <c r="DS167" s="6" t="s">
        <v>21</v>
      </c>
      <c r="DT167" s="6" t="s">
        <v>22</v>
      </c>
      <c r="DU167" s="6" t="s">
        <v>23</v>
      </c>
      <c r="DV167" s="6" t="s">
        <v>24</v>
      </c>
      <c r="DW167" s="6" t="s">
        <v>25</v>
      </c>
      <c r="DX167" s="6" t="s">
        <v>26</v>
      </c>
      <c r="DY167" s="6" t="s">
        <v>27</v>
      </c>
      <c r="DZ167" s="6" t="s">
        <v>28</v>
      </c>
      <c r="EA167" s="6" t="s">
        <v>29</v>
      </c>
      <c r="EB167" s="6" t="s">
        <v>39</v>
      </c>
      <c r="EC167" s="6" t="s">
        <v>18</v>
      </c>
      <c r="ED167" s="6" t="s">
        <v>19</v>
      </c>
      <c r="EE167" s="6" t="s">
        <v>20</v>
      </c>
      <c r="EF167" s="6" t="s">
        <v>21</v>
      </c>
      <c r="EG167" s="6" t="s">
        <v>22</v>
      </c>
      <c r="EH167" s="6" t="s">
        <v>23</v>
      </c>
      <c r="EI167" s="6" t="s">
        <v>24</v>
      </c>
      <c r="EJ167" s="6" t="s">
        <v>25</v>
      </c>
      <c r="EK167" s="6" t="s">
        <v>26</v>
      </c>
      <c r="EL167" s="6" t="s">
        <v>27</v>
      </c>
      <c r="EM167" s="6" t="s">
        <v>28</v>
      </c>
      <c r="EN167" s="6" t="s">
        <v>29</v>
      </c>
      <c r="EO167" s="6" t="s">
        <v>40</v>
      </c>
      <c r="EP167" s="6" t="s">
        <v>18</v>
      </c>
      <c r="EQ167" s="6" t="s">
        <v>19</v>
      </c>
      <c r="ER167" s="6" t="s">
        <v>20</v>
      </c>
      <c r="ES167" s="6" t="s">
        <v>21</v>
      </c>
      <c r="ET167" s="6" t="s">
        <v>22</v>
      </c>
      <c r="EU167" s="6" t="s">
        <v>23</v>
      </c>
      <c r="EV167" s="6" t="s">
        <v>24</v>
      </c>
      <c r="EW167" s="6" t="s">
        <v>25</v>
      </c>
      <c r="EX167" s="6" t="s">
        <v>26</v>
      </c>
      <c r="EY167" s="6" t="s">
        <v>27</v>
      </c>
      <c r="EZ167" s="6" t="s">
        <v>28</v>
      </c>
      <c r="FA167" s="6" t="s">
        <v>29</v>
      </c>
      <c r="FB167" s="6" t="s">
        <v>41</v>
      </c>
      <c r="FC167" s="6" t="s">
        <v>18</v>
      </c>
      <c r="FD167" s="6" t="s">
        <v>19</v>
      </c>
      <c r="FE167" s="6" t="s">
        <v>20</v>
      </c>
      <c r="FF167" s="6" t="s">
        <v>21</v>
      </c>
      <c r="FG167" s="6" t="s">
        <v>22</v>
      </c>
      <c r="FH167" s="6" t="s">
        <v>23</v>
      </c>
      <c r="FI167" s="6" t="s">
        <v>24</v>
      </c>
      <c r="FJ167" s="6" t="s">
        <v>25</v>
      </c>
      <c r="FK167" s="6" t="s">
        <v>26</v>
      </c>
      <c r="FL167" s="6" t="s">
        <v>27</v>
      </c>
      <c r="FM167" s="6" t="s">
        <v>28</v>
      </c>
      <c r="FN167" s="6" t="s">
        <v>29</v>
      </c>
      <c r="FO167" s="6" t="s">
        <v>42</v>
      </c>
    </row>
    <row r="168" spans="2:171" ht="14.25" customHeight="1" x14ac:dyDescent="0.3">
      <c r="B168" s="7" t="s">
        <v>43</v>
      </c>
      <c r="C168" s="8">
        <v>71955439</v>
      </c>
      <c r="D168" s="8">
        <v>71955439</v>
      </c>
      <c r="E168" s="8">
        <v>101514261</v>
      </c>
      <c r="F168" s="8">
        <v>100017577</v>
      </c>
      <c r="G168" s="8">
        <v>100006849</v>
      </c>
      <c r="H168" s="8">
        <v>69015720</v>
      </c>
      <c r="I168" s="8">
        <v>69015720</v>
      </c>
      <c r="J168" s="8">
        <v>69445702</v>
      </c>
      <c r="K168" s="8">
        <v>69855741</v>
      </c>
      <c r="L168" s="8">
        <v>68175543</v>
      </c>
      <c r="M168" s="8">
        <v>69221719</v>
      </c>
      <c r="N168" s="8">
        <v>68662249</v>
      </c>
      <c r="O168" s="9">
        <f t="shared" ref="O168:O185" si="133">N168</f>
        <v>68662249</v>
      </c>
      <c r="P168" s="8">
        <v>104593106</v>
      </c>
      <c r="Q168" s="8">
        <v>86333449</v>
      </c>
      <c r="R168" s="8">
        <v>97083857</v>
      </c>
      <c r="S168" s="8">
        <v>97083857</v>
      </c>
      <c r="T168" s="8">
        <v>97083857</v>
      </c>
      <c r="U168" s="8">
        <v>83160686</v>
      </c>
      <c r="V168" s="8">
        <v>83793646</v>
      </c>
      <c r="W168" s="8">
        <v>83793646</v>
      </c>
      <c r="X168" s="8">
        <v>83960768</v>
      </c>
      <c r="Y168" s="8">
        <v>83976050</v>
      </c>
      <c r="Z168" s="8">
        <v>82609843</v>
      </c>
      <c r="AA168" s="8">
        <v>88806678</v>
      </c>
      <c r="AB168" s="9">
        <f t="shared" ref="AB168:AB185" si="134">AA168</f>
        <v>88806678</v>
      </c>
      <c r="AC168" s="8">
        <v>116262764</v>
      </c>
      <c r="AD168" s="8">
        <v>111134886</v>
      </c>
      <c r="AE168" s="8">
        <v>111134886</v>
      </c>
      <c r="AF168" s="8">
        <v>111134886</v>
      </c>
      <c r="AG168" s="8">
        <v>109390445</v>
      </c>
      <c r="AH168" s="8">
        <v>106382977</v>
      </c>
      <c r="AI168" s="8">
        <v>107612689</v>
      </c>
      <c r="AJ168" s="8">
        <v>107487149</v>
      </c>
      <c r="AK168" s="8">
        <v>107425237</v>
      </c>
      <c r="AL168" s="8">
        <v>105620500</v>
      </c>
      <c r="AM168" s="8">
        <v>104918461</v>
      </c>
      <c r="AN168" s="8">
        <v>111614120</v>
      </c>
      <c r="AO168" s="9">
        <f t="shared" ref="AO168:AO185" si="135">AN168</f>
        <v>111614120</v>
      </c>
      <c r="AP168" s="8">
        <v>121955702</v>
      </c>
      <c r="AQ168" s="8">
        <v>101112063</v>
      </c>
      <c r="AR168" s="8">
        <v>102740737</v>
      </c>
      <c r="AS168" s="8">
        <v>102783997</v>
      </c>
      <c r="AT168" s="8">
        <v>102783997</v>
      </c>
      <c r="AU168" s="8">
        <v>98905212</v>
      </c>
      <c r="AV168" s="8">
        <v>98905212</v>
      </c>
      <c r="AW168" s="8">
        <v>98789923</v>
      </c>
      <c r="AX168" s="8">
        <v>98789923</v>
      </c>
      <c r="AY168" s="8">
        <v>97424004</v>
      </c>
      <c r="AZ168" s="8">
        <v>98066418</v>
      </c>
      <c r="BA168" s="8">
        <v>101227276</v>
      </c>
      <c r="BB168" s="9">
        <f t="shared" ref="BB168:BB185" si="136">BA168</f>
        <v>101227276</v>
      </c>
      <c r="BC168" s="8">
        <v>118063289</v>
      </c>
      <c r="BD168" s="8">
        <v>109393510</v>
      </c>
      <c r="BE168" s="8">
        <v>109393510</v>
      </c>
      <c r="BF168" s="8">
        <v>109393510</v>
      </c>
      <c r="BG168" s="8">
        <v>109393510</v>
      </c>
      <c r="BH168" s="8">
        <v>109393510</v>
      </c>
      <c r="BI168" s="8">
        <v>109485256</v>
      </c>
      <c r="BJ168" s="8">
        <v>111485256</v>
      </c>
      <c r="BK168" s="8">
        <v>111485256</v>
      </c>
      <c r="BL168" s="8">
        <v>111544732</v>
      </c>
      <c r="BM168" s="8">
        <v>114457564</v>
      </c>
      <c r="BN168" s="8">
        <v>114041616</v>
      </c>
      <c r="BO168" s="9">
        <f t="shared" ref="BO168:BO185" si="137">BN168</f>
        <v>114041616</v>
      </c>
      <c r="BP168" s="8">
        <v>119389210</v>
      </c>
      <c r="BQ168" s="8">
        <v>119389210</v>
      </c>
      <c r="BR168" s="8">
        <v>119873746</v>
      </c>
      <c r="BS168" s="8">
        <v>119873746</v>
      </c>
      <c r="BT168" s="8">
        <v>119873746</v>
      </c>
      <c r="BU168" s="8">
        <v>119873746</v>
      </c>
      <c r="BV168" s="8">
        <v>120791864</v>
      </c>
      <c r="BW168" s="8">
        <v>123195082</v>
      </c>
      <c r="BX168" s="8">
        <v>119873746</v>
      </c>
      <c r="BY168" s="8">
        <v>119389210</v>
      </c>
      <c r="BZ168" s="8">
        <v>119389210</v>
      </c>
      <c r="CA168" s="8">
        <v>134794041</v>
      </c>
      <c r="CB168" s="9">
        <f t="shared" ref="CB168:CB185" si="138">CA168</f>
        <v>134794041</v>
      </c>
      <c r="CC168" s="8">
        <v>140864809</v>
      </c>
      <c r="CD168" s="8">
        <v>140864809</v>
      </c>
      <c r="CE168" s="8">
        <v>140864809</v>
      </c>
      <c r="CF168" s="8">
        <v>140864809</v>
      </c>
      <c r="CG168" s="8">
        <v>139482872</v>
      </c>
      <c r="CH168" s="8">
        <v>139340992</v>
      </c>
      <c r="CI168" s="8">
        <v>138369522</v>
      </c>
      <c r="CJ168" s="8">
        <v>138369522</v>
      </c>
      <c r="CK168" s="8">
        <v>147602623</v>
      </c>
      <c r="CL168" s="8">
        <v>224292577</v>
      </c>
      <c r="CM168" s="8">
        <v>224340776</v>
      </c>
      <c r="CN168" s="8">
        <v>180383707</v>
      </c>
      <c r="CO168" s="9">
        <f t="shared" ref="CO168:CO185" si="139">CN168</f>
        <v>180383707</v>
      </c>
      <c r="CP168" s="8">
        <v>177369229</v>
      </c>
      <c r="CQ168" s="8">
        <v>177369229</v>
      </c>
      <c r="CR168" s="8">
        <v>177369229</v>
      </c>
      <c r="CS168" s="8">
        <v>175569574</v>
      </c>
      <c r="CT168" s="8">
        <v>204794475</v>
      </c>
      <c r="CU168" s="8">
        <v>204794475</v>
      </c>
      <c r="CV168" s="8">
        <v>204794475</v>
      </c>
      <c r="CW168" s="8">
        <v>212809140</v>
      </c>
      <c r="CX168" s="8">
        <v>212809140</v>
      </c>
      <c r="CY168" s="8">
        <v>209826261</v>
      </c>
      <c r="CZ168" s="8">
        <v>213755667</v>
      </c>
      <c r="DA168" s="8">
        <v>224405254</v>
      </c>
      <c r="DB168" s="9">
        <f t="shared" ref="DB168:DB185" si="140">DA168</f>
        <v>224405254</v>
      </c>
      <c r="DC168" s="8">
        <v>225560049</v>
      </c>
      <c r="DD168" s="8">
        <v>222189373</v>
      </c>
      <c r="DE168" s="8">
        <v>222189373</v>
      </c>
      <c r="DF168" s="8">
        <v>222189373</v>
      </c>
      <c r="DG168" s="8">
        <v>210439644</v>
      </c>
      <c r="DH168" s="8">
        <v>209980245</v>
      </c>
      <c r="DI168" s="8">
        <v>209811451</v>
      </c>
      <c r="DJ168" s="8">
        <v>207857276</v>
      </c>
      <c r="DK168" s="8">
        <v>204643276</v>
      </c>
      <c r="DL168" s="8">
        <v>204643276</v>
      </c>
      <c r="DM168" s="8">
        <v>202810669</v>
      </c>
      <c r="DN168" s="8">
        <v>199015330</v>
      </c>
      <c r="DO168" s="9">
        <f t="shared" ref="DO168:DO185" si="141">DN168</f>
        <v>199015330</v>
      </c>
      <c r="DP168" s="8">
        <v>261708490</v>
      </c>
      <c r="DQ168" s="8">
        <v>256214447</v>
      </c>
      <c r="DR168" s="8">
        <v>256214447</v>
      </c>
      <c r="DS168" s="8">
        <v>255696311</v>
      </c>
      <c r="DT168" s="8">
        <v>255634272</v>
      </c>
      <c r="DU168" s="8">
        <v>254448959</v>
      </c>
      <c r="DV168" s="8">
        <v>253487817</v>
      </c>
      <c r="DW168" s="8">
        <v>253487817</v>
      </c>
      <c r="DX168" s="8">
        <v>253487817</v>
      </c>
      <c r="DY168" s="8">
        <v>253019803</v>
      </c>
      <c r="DZ168" s="8">
        <v>244580966</v>
      </c>
      <c r="EA168" s="8">
        <v>219510229</v>
      </c>
      <c r="EB168" s="9">
        <f t="shared" ref="EB168:EB185" si="142">EA168</f>
        <v>219510229</v>
      </c>
      <c r="EC168" s="8">
        <v>259798881</v>
      </c>
      <c r="ED168" s="8">
        <v>259798881</v>
      </c>
      <c r="EE168" s="8">
        <v>253793858</v>
      </c>
      <c r="EF168" s="8">
        <v>253793858</v>
      </c>
      <c r="EG168" s="8">
        <v>251979629</v>
      </c>
      <c r="EH168" s="8">
        <v>251979629</v>
      </c>
      <c r="EI168" s="8">
        <v>250971976</v>
      </c>
      <c r="EJ168" s="8">
        <v>250971976</v>
      </c>
      <c r="EK168" s="8">
        <v>250971976</v>
      </c>
      <c r="EL168" s="8">
        <v>248314595</v>
      </c>
      <c r="EM168" s="8">
        <v>259414595</v>
      </c>
      <c r="EN168" s="8">
        <v>253260952</v>
      </c>
      <c r="EO168" s="9">
        <f t="shared" ref="EO168:EO185" si="143">EN168</f>
        <v>253260952</v>
      </c>
      <c r="EP168" s="8">
        <v>288622626</v>
      </c>
      <c r="EQ168" s="8">
        <v>281866986</v>
      </c>
      <c r="ER168" s="8">
        <v>279676204</v>
      </c>
      <c r="ES168" s="8">
        <v>278838975</v>
      </c>
      <c r="ET168" s="8">
        <v>278838975</v>
      </c>
      <c r="EU168" s="8">
        <v>276199607</v>
      </c>
      <c r="EV168" s="8">
        <v>290559537</v>
      </c>
      <c r="EW168" s="8">
        <v>290559537</v>
      </c>
      <c r="EX168" s="8">
        <v>290559537</v>
      </c>
      <c r="EY168" s="8">
        <v>311767170</v>
      </c>
      <c r="EZ168" s="8">
        <v>311767170</v>
      </c>
      <c r="FA168" s="8">
        <v>276265997</v>
      </c>
      <c r="FB168" s="9">
        <f t="shared" ref="FB168:FB185" si="144">FA168</f>
        <v>276265997</v>
      </c>
      <c r="FC168" s="8">
        <v>359934455</v>
      </c>
      <c r="FD168" s="8">
        <v>360334455</v>
      </c>
      <c r="FE168" s="8">
        <v>360334455</v>
      </c>
      <c r="FF168" s="8">
        <v>360334455</v>
      </c>
      <c r="FG168" s="8">
        <v>360334455</v>
      </c>
      <c r="FH168" s="8">
        <v>343615247</v>
      </c>
      <c r="FI168" s="8">
        <v>339013387</v>
      </c>
      <c r="FJ168" s="8"/>
      <c r="FK168" s="8"/>
      <c r="FL168" s="8"/>
      <c r="FM168" s="8"/>
      <c r="FN168" s="8"/>
      <c r="FO168" s="9">
        <f t="shared" ref="FO168:FO185" si="145">FI168</f>
        <v>339013387</v>
      </c>
    </row>
    <row r="169" spans="2:171" ht="14.25" customHeight="1" x14ac:dyDescent="0.3">
      <c r="B169" s="7" t="s">
        <v>44</v>
      </c>
      <c r="C169" s="8">
        <v>0</v>
      </c>
      <c r="D169" s="8">
        <v>0</v>
      </c>
      <c r="E169" s="8">
        <v>0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9">
        <f t="shared" si="133"/>
        <v>0</v>
      </c>
      <c r="P169" s="8">
        <v>0</v>
      </c>
      <c r="Q169" s="8">
        <v>0</v>
      </c>
      <c r="R169" s="8">
        <v>0</v>
      </c>
      <c r="S169" s="8">
        <v>0</v>
      </c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9">
        <f t="shared" si="134"/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0</v>
      </c>
      <c r="AN169" s="8">
        <v>0</v>
      </c>
      <c r="AO169" s="9">
        <f t="shared" si="135"/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>
        <v>0</v>
      </c>
      <c r="AY169" s="8">
        <v>0</v>
      </c>
      <c r="AZ169" s="8">
        <v>0</v>
      </c>
      <c r="BA169" s="8">
        <v>0</v>
      </c>
      <c r="BB169" s="9">
        <f t="shared" si="136"/>
        <v>0</v>
      </c>
      <c r="BC169" s="8">
        <v>0</v>
      </c>
      <c r="BD169" s="8">
        <v>0</v>
      </c>
      <c r="BE169" s="8">
        <v>0</v>
      </c>
      <c r="BF169" s="8">
        <v>0</v>
      </c>
      <c r="BG169" s="8">
        <v>0</v>
      </c>
      <c r="BH169" s="8">
        <v>0</v>
      </c>
      <c r="BI169" s="8">
        <v>0</v>
      </c>
      <c r="BJ169" s="8">
        <v>0</v>
      </c>
      <c r="BK169" s="8">
        <v>0</v>
      </c>
      <c r="BL169" s="8">
        <v>0</v>
      </c>
      <c r="BM169" s="8">
        <v>0</v>
      </c>
      <c r="BN169" s="8">
        <v>0</v>
      </c>
      <c r="BO169" s="9">
        <f t="shared" si="137"/>
        <v>0</v>
      </c>
      <c r="BP169" s="8">
        <v>0</v>
      </c>
      <c r="BQ169" s="8">
        <v>0</v>
      </c>
      <c r="BR169" s="8">
        <v>0</v>
      </c>
      <c r="BS169" s="8">
        <v>0</v>
      </c>
      <c r="BT169" s="8">
        <v>0</v>
      </c>
      <c r="BU169" s="8">
        <v>0</v>
      </c>
      <c r="BV169" s="8">
        <v>0</v>
      </c>
      <c r="BW169" s="8">
        <v>0</v>
      </c>
      <c r="BX169" s="8">
        <v>0</v>
      </c>
      <c r="BY169" s="8">
        <v>0</v>
      </c>
      <c r="BZ169" s="8">
        <v>0</v>
      </c>
      <c r="CA169" s="8">
        <v>0</v>
      </c>
      <c r="CB169" s="9">
        <f t="shared" si="138"/>
        <v>0</v>
      </c>
      <c r="CC169" s="8">
        <v>0</v>
      </c>
      <c r="CD169" s="8">
        <v>0</v>
      </c>
      <c r="CE169" s="8">
        <v>0</v>
      </c>
      <c r="CF169" s="8">
        <v>0</v>
      </c>
      <c r="CG169" s="8">
        <v>0</v>
      </c>
      <c r="CH169" s="8">
        <v>0</v>
      </c>
      <c r="CI169" s="8">
        <v>0</v>
      </c>
      <c r="CJ169" s="8">
        <v>0</v>
      </c>
      <c r="CK169" s="8">
        <v>0</v>
      </c>
      <c r="CL169" s="8">
        <v>0</v>
      </c>
      <c r="CM169" s="8">
        <v>0</v>
      </c>
      <c r="CN169" s="8">
        <v>0</v>
      </c>
      <c r="CO169" s="9">
        <f t="shared" si="139"/>
        <v>0</v>
      </c>
      <c r="CP169" s="8">
        <v>0</v>
      </c>
      <c r="CQ169" s="8">
        <v>0</v>
      </c>
      <c r="CR169" s="8">
        <v>0</v>
      </c>
      <c r="CS169" s="8">
        <v>0</v>
      </c>
      <c r="CT169" s="8">
        <v>0</v>
      </c>
      <c r="CU169" s="8">
        <v>0</v>
      </c>
      <c r="CV169" s="8">
        <v>0</v>
      </c>
      <c r="CW169" s="8">
        <v>0</v>
      </c>
      <c r="CX169" s="8">
        <v>0</v>
      </c>
      <c r="CY169" s="8">
        <v>0</v>
      </c>
      <c r="CZ169" s="8">
        <v>0</v>
      </c>
      <c r="DA169" s="8">
        <v>0</v>
      </c>
      <c r="DB169" s="9">
        <f t="shared" si="140"/>
        <v>0</v>
      </c>
      <c r="DC169" s="8">
        <v>0</v>
      </c>
      <c r="DD169" s="8">
        <v>0</v>
      </c>
      <c r="DE169" s="8">
        <v>0</v>
      </c>
      <c r="DF169" s="8">
        <v>0</v>
      </c>
      <c r="DG169" s="8">
        <v>0</v>
      </c>
      <c r="DH169" s="8">
        <v>0</v>
      </c>
      <c r="DI169" s="8">
        <v>0</v>
      </c>
      <c r="DJ169" s="8">
        <v>0</v>
      </c>
      <c r="DK169" s="8">
        <v>0</v>
      </c>
      <c r="DL169" s="8">
        <v>0</v>
      </c>
      <c r="DM169" s="8">
        <v>0</v>
      </c>
      <c r="DN169" s="8">
        <v>0</v>
      </c>
      <c r="DO169" s="9">
        <f t="shared" si="141"/>
        <v>0</v>
      </c>
      <c r="DP169" s="8">
        <v>0</v>
      </c>
      <c r="DQ169" s="8">
        <v>0</v>
      </c>
      <c r="DR169" s="8">
        <v>0</v>
      </c>
      <c r="DS169" s="8">
        <v>0</v>
      </c>
      <c r="DT169" s="8">
        <v>0</v>
      </c>
      <c r="DU169" s="8">
        <v>0</v>
      </c>
      <c r="DV169" s="8">
        <v>0</v>
      </c>
      <c r="DW169" s="8">
        <v>0</v>
      </c>
      <c r="DX169" s="8">
        <v>0</v>
      </c>
      <c r="DY169" s="8">
        <v>0</v>
      </c>
      <c r="DZ169" s="8">
        <v>0</v>
      </c>
      <c r="EA169" s="8">
        <v>0</v>
      </c>
      <c r="EB169" s="9">
        <f t="shared" si="142"/>
        <v>0</v>
      </c>
      <c r="EC169" s="8">
        <v>0</v>
      </c>
      <c r="ED169" s="8">
        <v>0</v>
      </c>
      <c r="EE169" s="8">
        <v>0</v>
      </c>
      <c r="EF169" s="8">
        <v>0</v>
      </c>
      <c r="EG169" s="8">
        <v>0</v>
      </c>
      <c r="EH169" s="8">
        <v>0</v>
      </c>
      <c r="EI169" s="8">
        <v>0</v>
      </c>
      <c r="EJ169" s="8">
        <v>0</v>
      </c>
      <c r="EK169" s="8">
        <v>0</v>
      </c>
      <c r="EL169" s="8">
        <v>0</v>
      </c>
      <c r="EM169" s="8">
        <v>0</v>
      </c>
      <c r="EN169" s="8">
        <v>0</v>
      </c>
      <c r="EO169" s="9">
        <f t="shared" si="143"/>
        <v>0</v>
      </c>
      <c r="EP169" s="8">
        <v>0</v>
      </c>
      <c r="EQ169" s="8">
        <v>0</v>
      </c>
      <c r="ER169" s="8">
        <v>0</v>
      </c>
      <c r="ES169" s="8">
        <v>0</v>
      </c>
      <c r="ET169" s="8">
        <v>0</v>
      </c>
      <c r="EU169" s="8">
        <v>0</v>
      </c>
      <c r="EV169" s="8">
        <v>0</v>
      </c>
      <c r="EW169" s="8">
        <v>0</v>
      </c>
      <c r="EX169" s="8">
        <v>0</v>
      </c>
      <c r="EY169" s="8">
        <v>0</v>
      </c>
      <c r="EZ169" s="8">
        <v>0</v>
      </c>
      <c r="FA169" s="8">
        <v>0</v>
      </c>
      <c r="FB169" s="9">
        <f t="shared" si="144"/>
        <v>0</v>
      </c>
      <c r="FC169" s="8">
        <v>0</v>
      </c>
      <c r="FD169" s="8">
        <v>0</v>
      </c>
      <c r="FE169" s="8">
        <v>0</v>
      </c>
      <c r="FF169" s="8">
        <v>0</v>
      </c>
      <c r="FG169" s="8">
        <v>0</v>
      </c>
      <c r="FH169" s="8">
        <v>0</v>
      </c>
      <c r="FI169" s="8">
        <v>0</v>
      </c>
      <c r="FJ169" s="8"/>
      <c r="FK169" s="8"/>
      <c r="FL169" s="8"/>
      <c r="FM169" s="8"/>
      <c r="FN169" s="8"/>
      <c r="FO169" s="9">
        <f t="shared" si="145"/>
        <v>0</v>
      </c>
    </row>
    <row r="170" spans="2:171" ht="14.25" customHeight="1" x14ac:dyDescent="0.3">
      <c r="B170" s="7" t="s">
        <v>45</v>
      </c>
      <c r="C170" s="8">
        <v>8297885</v>
      </c>
      <c r="D170" s="8">
        <v>8297885</v>
      </c>
      <c r="E170" s="8">
        <v>8297885</v>
      </c>
      <c r="F170" s="8">
        <v>8297885</v>
      </c>
      <c r="G170" s="8">
        <v>8297885</v>
      </c>
      <c r="H170" s="8">
        <v>8297885</v>
      </c>
      <c r="I170" s="8">
        <v>8297885</v>
      </c>
      <c r="J170" s="8">
        <v>8518500</v>
      </c>
      <c r="K170" s="8">
        <v>7985505</v>
      </c>
      <c r="L170" s="8">
        <v>7985505</v>
      </c>
      <c r="M170" s="8">
        <v>8932715</v>
      </c>
      <c r="N170" s="8">
        <v>9276374</v>
      </c>
      <c r="O170" s="9">
        <f t="shared" si="133"/>
        <v>9276374</v>
      </c>
      <c r="P170" s="8">
        <v>28356652</v>
      </c>
      <c r="Q170" s="8">
        <v>28427267</v>
      </c>
      <c r="R170" s="8">
        <v>28427267</v>
      </c>
      <c r="S170" s="8">
        <v>28427267</v>
      </c>
      <c r="T170" s="8">
        <v>28427267</v>
      </c>
      <c r="U170" s="8">
        <v>20589289</v>
      </c>
      <c r="V170" s="8">
        <v>20589289</v>
      </c>
      <c r="W170" s="8">
        <v>20589289</v>
      </c>
      <c r="X170" s="8">
        <v>20589289</v>
      </c>
      <c r="Y170" s="8">
        <v>20589289</v>
      </c>
      <c r="Z170" s="8">
        <v>20592189</v>
      </c>
      <c r="AA170" s="8">
        <v>22092189</v>
      </c>
      <c r="AB170" s="9">
        <f t="shared" si="134"/>
        <v>22092189</v>
      </c>
      <c r="AC170" s="8">
        <v>35733043</v>
      </c>
      <c r="AD170" s="8">
        <v>35838965</v>
      </c>
      <c r="AE170" s="8">
        <v>35838965</v>
      </c>
      <c r="AF170" s="8">
        <v>48030193</v>
      </c>
      <c r="AG170" s="8">
        <v>48030193</v>
      </c>
      <c r="AH170" s="8">
        <v>34099892</v>
      </c>
      <c r="AI170" s="8">
        <v>34038892</v>
      </c>
      <c r="AJ170" s="8">
        <v>34083892</v>
      </c>
      <c r="AK170" s="8">
        <v>34083892</v>
      </c>
      <c r="AL170" s="8">
        <v>34083892</v>
      </c>
      <c r="AM170" s="8">
        <v>34086892</v>
      </c>
      <c r="AN170" s="8">
        <v>36177929</v>
      </c>
      <c r="AO170" s="9">
        <f t="shared" si="135"/>
        <v>36177929</v>
      </c>
      <c r="AP170" s="8">
        <v>12944625</v>
      </c>
      <c r="AQ170" s="8">
        <v>12944625</v>
      </c>
      <c r="AR170" s="8">
        <v>12944625</v>
      </c>
      <c r="AS170" s="8">
        <v>12944625</v>
      </c>
      <c r="AT170" s="8">
        <v>12944625</v>
      </c>
      <c r="AU170" s="8">
        <v>16843805</v>
      </c>
      <c r="AV170" s="8">
        <v>16843805</v>
      </c>
      <c r="AW170" s="8">
        <v>20638822</v>
      </c>
      <c r="AX170" s="8">
        <v>20638822</v>
      </c>
      <c r="AY170" s="8">
        <v>20588822</v>
      </c>
      <c r="AZ170" s="8">
        <v>20569072</v>
      </c>
      <c r="BA170" s="8">
        <v>20259024</v>
      </c>
      <c r="BB170" s="9">
        <f t="shared" si="136"/>
        <v>20259024</v>
      </c>
      <c r="BC170" s="8">
        <v>12563770</v>
      </c>
      <c r="BD170" s="8">
        <v>12634384</v>
      </c>
      <c r="BE170" s="8">
        <v>12634384</v>
      </c>
      <c r="BF170" s="8">
        <v>12634384</v>
      </c>
      <c r="BG170" s="8">
        <v>12634384</v>
      </c>
      <c r="BH170" s="8">
        <v>12634384</v>
      </c>
      <c r="BI170" s="8">
        <v>12634384</v>
      </c>
      <c r="BJ170" s="8">
        <v>11765951</v>
      </c>
      <c r="BK170" s="8">
        <v>14841151</v>
      </c>
      <c r="BL170" s="8">
        <v>15399883</v>
      </c>
      <c r="BM170" s="8">
        <v>15399883</v>
      </c>
      <c r="BN170" s="8">
        <v>11370931</v>
      </c>
      <c r="BO170" s="9">
        <f t="shared" si="137"/>
        <v>11370931</v>
      </c>
      <c r="BP170" s="8">
        <v>20737295</v>
      </c>
      <c r="BQ170" s="8">
        <v>20737295</v>
      </c>
      <c r="BR170" s="8">
        <v>20813829</v>
      </c>
      <c r="BS170" s="8">
        <v>20813829</v>
      </c>
      <c r="BT170" s="8">
        <v>20813829</v>
      </c>
      <c r="BU170" s="8">
        <v>20813829</v>
      </c>
      <c r="BV170" s="8">
        <v>18552076</v>
      </c>
      <c r="BW170" s="8">
        <v>29520542</v>
      </c>
      <c r="BX170" s="8">
        <v>22380083</v>
      </c>
      <c r="BY170" s="8">
        <v>22380083</v>
      </c>
      <c r="BZ170" s="8">
        <v>22380083</v>
      </c>
      <c r="CA170" s="8">
        <v>26977948</v>
      </c>
      <c r="CB170" s="9">
        <f t="shared" si="138"/>
        <v>26977948</v>
      </c>
      <c r="CC170" s="8">
        <v>21329416</v>
      </c>
      <c r="CD170" s="8">
        <v>21329416</v>
      </c>
      <c r="CE170" s="8">
        <v>21329416</v>
      </c>
      <c r="CF170" s="8">
        <v>51329416</v>
      </c>
      <c r="CG170" s="8">
        <v>38894198</v>
      </c>
      <c r="CH170" s="8">
        <v>38894198</v>
      </c>
      <c r="CI170" s="8">
        <v>38894198</v>
      </c>
      <c r="CJ170" s="8">
        <v>38894198</v>
      </c>
      <c r="CK170" s="8">
        <v>38944198</v>
      </c>
      <c r="CL170" s="8">
        <v>54051041</v>
      </c>
      <c r="CM170" s="8">
        <v>54057041</v>
      </c>
      <c r="CN170" s="8">
        <v>56185557</v>
      </c>
      <c r="CO170" s="9">
        <f t="shared" si="139"/>
        <v>56185557</v>
      </c>
      <c r="CP170" s="8">
        <v>28635739</v>
      </c>
      <c r="CQ170" s="8">
        <v>28635739</v>
      </c>
      <c r="CR170" s="8">
        <v>28675739</v>
      </c>
      <c r="CS170" s="8">
        <v>33880010</v>
      </c>
      <c r="CT170" s="8">
        <v>30529155</v>
      </c>
      <c r="CU170" s="8">
        <v>30529155</v>
      </c>
      <c r="CV170" s="8">
        <v>30529155</v>
      </c>
      <c r="CW170" s="8">
        <v>29330781</v>
      </c>
      <c r="CX170" s="8">
        <v>29330781</v>
      </c>
      <c r="CY170" s="8">
        <v>29330781</v>
      </c>
      <c r="CZ170" s="8">
        <v>29330781</v>
      </c>
      <c r="DA170" s="8">
        <v>31499910</v>
      </c>
      <c r="DB170" s="9">
        <f t="shared" si="140"/>
        <v>31499910</v>
      </c>
      <c r="DC170" s="8">
        <v>39356191</v>
      </c>
      <c r="DD170" s="8">
        <v>40557843</v>
      </c>
      <c r="DE170" s="8">
        <v>40557843</v>
      </c>
      <c r="DF170" s="8">
        <v>40557843</v>
      </c>
      <c r="DG170" s="8">
        <v>40557843</v>
      </c>
      <c r="DH170" s="8">
        <v>40557843</v>
      </c>
      <c r="DI170" s="8">
        <v>40557843</v>
      </c>
      <c r="DJ170" s="8">
        <v>40557843</v>
      </c>
      <c r="DK170" s="8">
        <v>40547843</v>
      </c>
      <c r="DL170" s="8">
        <v>40547843</v>
      </c>
      <c r="DM170" s="8">
        <v>40547843</v>
      </c>
      <c r="DN170" s="8">
        <v>39145795</v>
      </c>
      <c r="DO170" s="9">
        <f t="shared" si="141"/>
        <v>39145795</v>
      </c>
      <c r="DP170" s="8">
        <v>78240619</v>
      </c>
      <c r="DQ170" s="8">
        <v>78280619</v>
      </c>
      <c r="DR170" s="8">
        <v>78280619</v>
      </c>
      <c r="DS170" s="8">
        <v>78280619</v>
      </c>
      <c r="DT170" s="8">
        <v>78280619</v>
      </c>
      <c r="DU170" s="8">
        <v>78280619</v>
      </c>
      <c r="DV170" s="8">
        <v>78280619</v>
      </c>
      <c r="DW170" s="8">
        <v>78280619</v>
      </c>
      <c r="DX170" s="8">
        <v>78280619</v>
      </c>
      <c r="DY170" s="8">
        <v>78280619</v>
      </c>
      <c r="DZ170" s="8">
        <v>78280619</v>
      </c>
      <c r="EA170" s="8">
        <v>78315638</v>
      </c>
      <c r="EB170" s="9">
        <f t="shared" si="142"/>
        <v>78315638</v>
      </c>
      <c r="EC170" s="8">
        <v>70228343</v>
      </c>
      <c r="ED170" s="8">
        <v>70228343</v>
      </c>
      <c r="EE170" s="8">
        <v>70468343</v>
      </c>
      <c r="EF170" s="8">
        <v>70468343</v>
      </c>
      <c r="EG170" s="8">
        <v>70468343</v>
      </c>
      <c r="EH170" s="8">
        <v>70468343</v>
      </c>
      <c r="EI170" s="8">
        <v>74227631</v>
      </c>
      <c r="EJ170" s="8">
        <v>74227631</v>
      </c>
      <c r="EK170" s="8">
        <v>75227631</v>
      </c>
      <c r="EL170" s="8">
        <v>80777707</v>
      </c>
      <c r="EM170" s="8">
        <v>82777707</v>
      </c>
      <c r="EN170" s="8">
        <v>83210671</v>
      </c>
      <c r="EO170" s="9">
        <f t="shared" si="143"/>
        <v>83210671</v>
      </c>
      <c r="EP170" s="8">
        <v>102230033</v>
      </c>
      <c r="EQ170" s="8">
        <v>102307191</v>
      </c>
      <c r="ER170" s="8">
        <v>102307191</v>
      </c>
      <c r="ES170" s="8">
        <v>102307191</v>
      </c>
      <c r="ET170" s="8">
        <v>102307191</v>
      </c>
      <c r="EU170" s="8">
        <v>102307191</v>
      </c>
      <c r="EV170" s="8">
        <v>102157891</v>
      </c>
      <c r="EW170" s="8">
        <v>102157891</v>
      </c>
      <c r="EX170" s="8">
        <v>102157891</v>
      </c>
      <c r="EY170" s="8">
        <v>101822139</v>
      </c>
      <c r="EZ170" s="8">
        <v>100752314</v>
      </c>
      <c r="FA170" s="8">
        <v>98783726</v>
      </c>
      <c r="FB170" s="9">
        <f t="shared" si="144"/>
        <v>98783726</v>
      </c>
      <c r="FC170" s="8">
        <v>109150858</v>
      </c>
      <c r="FD170" s="8">
        <v>106800858</v>
      </c>
      <c r="FE170" s="8">
        <v>106800858</v>
      </c>
      <c r="FF170" s="8">
        <v>106800858</v>
      </c>
      <c r="FG170" s="8">
        <v>106800858</v>
      </c>
      <c r="FH170" s="8">
        <v>107371045</v>
      </c>
      <c r="FI170" s="8">
        <v>107371045</v>
      </c>
      <c r="FJ170" s="8"/>
      <c r="FK170" s="8"/>
      <c r="FL170" s="8"/>
      <c r="FM170" s="8"/>
      <c r="FN170" s="8"/>
      <c r="FO170" s="9">
        <f t="shared" si="145"/>
        <v>107371045</v>
      </c>
    </row>
    <row r="171" spans="2:171" ht="14.25" customHeight="1" x14ac:dyDescent="0.3">
      <c r="B171" s="7" t="s">
        <v>46</v>
      </c>
      <c r="C171" s="8">
        <v>17352369</v>
      </c>
      <c r="D171" s="8">
        <v>17352369</v>
      </c>
      <c r="E171" s="8">
        <v>17510973</v>
      </c>
      <c r="F171" s="8">
        <v>17510973</v>
      </c>
      <c r="G171" s="8">
        <v>17510973</v>
      </c>
      <c r="H171" s="8">
        <v>17752095</v>
      </c>
      <c r="I171" s="8">
        <v>17752095</v>
      </c>
      <c r="J171" s="8">
        <v>17958701</v>
      </c>
      <c r="K171" s="8">
        <v>18458391</v>
      </c>
      <c r="L171" s="8">
        <v>18458391</v>
      </c>
      <c r="M171" s="8">
        <v>18923482</v>
      </c>
      <c r="N171" s="8">
        <v>18458521</v>
      </c>
      <c r="O171" s="9">
        <f t="shared" si="133"/>
        <v>18458521</v>
      </c>
      <c r="P171" s="8">
        <v>27145515</v>
      </c>
      <c r="Q171" s="8">
        <v>23819627</v>
      </c>
      <c r="R171" s="8">
        <v>23819627</v>
      </c>
      <c r="S171" s="8">
        <v>21366679</v>
      </c>
      <c r="T171" s="8">
        <v>21366679</v>
      </c>
      <c r="U171" s="8">
        <v>32614139</v>
      </c>
      <c r="V171" s="8">
        <v>32614139</v>
      </c>
      <c r="W171" s="8">
        <v>32614139</v>
      </c>
      <c r="X171" s="8">
        <v>33620273</v>
      </c>
      <c r="Y171" s="8">
        <v>30729285</v>
      </c>
      <c r="Z171" s="8">
        <v>31341395</v>
      </c>
      <c r="AA171" s="8">
        <v>38427269</v>
      </c>
      <c r="AB171" s="9">
        <f t="shared" si="134"/>
        <v>38427269</v>
      </c>
      <c r="AC171" s="8">
        <v>72904850</v>
      </c>
      <c r="AD171" s="8">
        <v>73407156</v>
      </c>
      <c r="AE171" s="8">
        <v>73407156</v>
      </c>
      <c r="AF171" s="8">
        <v>73387967</v>
      </c>
      <c r="AG171" s="8">
        <v>64769881</v>
      </c>
      <c r="AH171" s="8">
        <v>63725573</v>
      </c>
      <c r="AI171" s="8">
        <v>61078873</v>
      </c>
      <c r="AJ171" s="8">
        <v>60940878</v>
      </c>
      <c r="AK171" s="8">
        <v>60940878</v>
      </c>
      <c r="AL171" s="8">
        <v>60941792</v>
      </c>
      <c r="AM171" s="8">
        <v>60671792</v>
      </c>
      <c r="AN171" s="8">
        <v>55193869</v>
      </c>
      <c r="AO171" s="9">
        <f t="shared" si="135"/>
        <v>55193869</v>
      </c>
      <c r="AP171" s="8">
        <v>50960967</v>
      </c>
      <c r="AQ171" s="8">
        <v>51378065</v>
      </c>
      <c r="AR171" s="8">
        <v>51378065</v>
      </c>
      <c r="AS171" s="8">
        <v>51378065</v>
      </c>
      <c r="AT171" s="8">
        <v>51378065</v>
      </c>
      <c r="AU171" s="8">
        <v>46288518</v>
      </c>
      <c r="AV171" s="8">
        <v>46288518</v>
      </c>
      <c r="AW171" s="8">
        <v>46288518</v>
      </c>
      <c r="AX171" s="8">
        <v>46288518</v>
      </c>
      <c r="AY171" s="8">
        <v>46188518</v>
      </c>
      <c r="AZ171" s="8">
        <v>43335293</v>
      </c>
      <c r="BA171" s="8">
        <v>44001824</v>
      </c>
      <c r="BB171" s="9">
        <f t="shared" si="136"/>
        <v>44001824</v>
      </c>
      <c r="BC171" s="8">
        <v>51316746</v>
      </c>
      <c r="BD171" s="8">
        <v>51833646</v>
      </c>
      <c r="BE171" s="8">
        <v>51833646</v>
      </c>
      <c r="BF171" s="8">
        <v>51833646</v>
      </c>
      <c r="BG171" s="8">
        <v>51833646</v>
      </c>
      <c r="BH171" s="8">
        <v>51833646</v>
      </c>
      <c r="BI171" s="8">
        <v>51833646</v>
      </c>
      <c r="BJ171" s="8">
        <v>49659174</v>
      </c>
      <c r="BK171" s="8">
        <v>49659174</v>
      </c>
      <c r="BL171" s="8">
        <v>44024202</v>
      </c>
      <c r="BM171" s="8">
        <v>44024202</v>
      </c>
      <c r="BN171" s="8">
        <v>39817150</v>
      </c>
      <c r="BO171" s="9">
        <f t="shared" si="137"/>
        <v>39817150</v>
      </c>
      <c r="BP171" s="8">
        <v>39657232</v>
      </c>
      <c r="BQ171" s="8">
        <v>39657232</v>
      </c>
      <c r="BR171" s="8">
        <v>39657232</v>
      </c>
      <c r="BS171" s="8">
        <v>39657232</v>
      </c>
      <c r="BT171" s="8">
        <v>39657232</v>
      </c>
      <c r="BU171" s="8">
        <v>39657232</v>
      </c>
      <c r="BV171" s="8">
        <v>34500534</v>
      </c>
      <c r="BW171" s="8">
        <v>34540534</v>
      </c>
      <c r="BX171" s="8">
        <v>34295995</v>
      </c>
      <c r="BY171" s="8">
        <v>34295995</v>
      </c>
      <c r="BZ171" s="8">
        <v>34295995</v>
      </c>
      <c r="CA171" s="8">
        <v>34365515</v>
      </c>
      <c r="CB171" s="9">
        <f t="shared" si="138"/>
        <v>34365515</v>
      </c>
      <c r="CC171" s="8">
        <v>40726333</v>
      </c>
      <c r="CD171" s="8">
        <v>40726333</v>
      </c>
      <c r="CE171" s="8">
        <v>40726333</v>
      </c>
      <c r="CF171" s="8">
        <v>68766333</v>
      </c>
      <c r="CG171" s="8">
        <v>52106796</v>
      </c>
      <c r="CH171" s="8">
        <v>49870314</v>
      </c>
      <c r="CI171" s="8">
        <v>46087314</v>
      </c>
      <c r="CJ171" s="8">
        <v>46087314</v>
      </c>
      <c r="CK171" s="8">
        <v>46087314</v>
      </c>
      <c r="CL171" s="8">
        <v>41202493</v>
      </c>
      <c r="CM171" s="8">
        <v>41193493</v>
      </c>
      <c r="CN171" s="8">
        <v>38711768</v>
      </c>
      <c r="CO171" s="9">
        <f t="shared" si="139"/>
        <v>38711768</v>
      </c>
      <c r="CP171" s="8">
        <v>49281590</v>
      </c>
      <c r="CQ171" s="8">
        <v>49281590</v>
      </c>
      <c r="CR171" s="8">
        <v>49321590</v>
      </c>
      <c r="CS171" s="8">
        <v>49868346</v>
      </c>
      <c r="CT171" s="8">
        <v>46285227</v>
      </c>
      <c r="CU171" s="8">
        <v>46285227</v>
      </c>
      <c r="CV171" s="8">
        <v>46285227</v>
      </c>
      <c r="CW171" s="8">
        <v>46085227</v>
      </c>
      <c r="CX171" s="8">
        <v>46020466</v>
      </c>
      <c r="CY171" s="8">
        <v>46107696</v>
      </c>
      <c r="CZ171" s="8">
        <v>49092696</v>
      </c>
      <c r="DA171" s="8">
        <v>39382594</v>
      </c>
      <c r="DB171" s="9">
        <f t="shared" si="140"/>
        <v>39382594</v>
      </c>
      <c r="DC171" s="8">
        <v>65497216</v>
      </c>
      <c r="DD171" s="8">
        <v>67599285</v>
      </c>
      <c r="DE171" s="8">
        <v>67599285</v>
      </c>
      <c r="DF171" s="8">
        <v>67599285</v>
      </c>
      <c r="DG171" s="8">
        <v>67599285</v>
      </c>
      <c r="DH171" s="8">
        <v>67599285</v>
      </c>
      <c r="DI171" s="8">
        <v>67599285</v>
      </c>
      <c r="DJ171" s="8">
        <v>68069285</v>
      </c>
      <c r="DK171" s="8">
        <v>86329960</v>
      </c>
      <c r="DL171" s="8">
        <v>86329960</v>
      </c>
      <c r="DM171" s="8">
        <v>86329960</v>
      </c>
      <c r="DN171" s="8">
        <v>85934589</v>
      </c>
      <c r="DO171" s="9">
        <f t="shared" si="141"/>
        <v>85934589</v>
      </c>
      <c r="DP171" s="8">
        <v>88307532</v>
      </c>
      <c r="DQ171" s="8">
        <v>84409286</v>
      </c>
      <c r="DR171" s="8">
        <v>84409286</v>
      </c>
      <c r="DS171" s="8">
        <v>84409286</v>
      </c>
      <c r="DT171" s="8">
        <v>84469825</v>
      </c>
      <c r="DU171" s="8">
        <v>93469825</v>
      </c>
      <c r="DV171" s="8">
        <v>93469825</v>
      </c>
      <c r="DW171" s="8">
        <v>93469825</v>
      </c>
      <c r="DX171" s="8">
        <v>93469825</v>
      </c>
      <c r="DY171" s="8">
        <v>93469825</v>
      </c>
      <c r="DZ171" s="8">
        <v>93996307</v>
      </c>
      <c r="EA171" s="8">
        <v>91826366</v>
      </c>
      <c r="EB171" s="9">
        <f t="shared" si="142"/>
        <v>91826366</v>
      </c>
      <c r="EC171" s="8">
        <v>97459423</v>
      </c>
      <c r="ED171" s="8">
        <v>97459423</v>
      </c>
      <c r="EE171" s="8">
        <v>98169304</v>
      </c>
      <c r="EF171" s="8">
        <v>98169304</v>
      </c>
      <c r="EG171" s="8">
        <v>98320593</v>
      </c>
      <c r="EH171" s="8">
        <v>98320593</v>
      </c>
      <c r="EI171" s="8">
        <v>98320593</v>
      </c>
      <c r="EJ171" s="8">
        <v>98320593</v>
      </c>
      <c r="EK171" s="8">
        <v>98320593</v>
      </c>
      <c r="EL171" s="8">
        <v>88269707</v>
      </c>
      <c r="EM171" s="8">
        <v>88269707</v>
      </c>
      <c r="EN171" s="8">
        <v>81745804</v>
      </c>
      <c r="EO171" s="9">
        <f t="shared" si="143"/>
        <v>81745804</v>
      </c>
      <c r="EP171" s="8">
        <v>125360133</v>
      </c>
      <c r="EQ171" s="8">
        <v>125442633</v>
      </c>
      <c r="ER171" s="8">
        <v>125482633</v>
      </c>
      <c r="ES171" s="8">
        <v>125482633</v>
      </c>
      <c r="ET171" s="8">
        <v>125482633</v>
      </c>
      <c r="EU171" s="8">
        <v>136297860</v>
      </c>
      <c r="EV171" s="8">
        <v>135281204</v>
      </c>
      <c r="EW171" s="8">
        <v>135281204</v>
      </c>
      <c r="EX171" s="8">
        <v>135281204</v>
      </c>
      <c r="EY171" s="8">
        <v>130217135</v>
      </c>
      <c r="EZ171" s="8">
        <v>129351635</v>
      </c>
      <c r="FA171" s="8">
        <v>119605336</v>
      </c>
      <c r="FB171" s="9">
        <f t="shared" si="144"/>
        <v>119605336</v>
      </c>
      <c r="FC171" s="8">
        <v>124147527</v>
      </c>
      <c r="FD171" s="8">
        <v>122147527</v>
      </c>
      <c r="FE171" s="8">
        <v>122147527</v>
      </c>
      <c r="FF171" s="8">
        <v>122147527</v>
      </c>
      <c r="FG171" s="8">
        <v>122147527</v>
      </c>
      <c r="FH171" s="8">
        <v>122698381</v>
      </c>
      <c r="FI171" s="8">
        <v>122698381</v>
      </c>
      <c r="FJ171" s="8"/>
      <c r="FK171" s="8"/>
      <c r="FL171" s="8"/>
      <c r="FM171" s="8"/>
      <c r="FN171" s="8"/>
      <c r="FO171" s="9">
        <f t="shared" si="145"/>
        <v>122698381</v>
      </c>
    </row>
    <row r="172" spans="2:171" ht="14.25" customHeight="1" x14ac:dyDescent="0.3">
      <c r="B172" s="7" t="s">
        <v>47</v>
      </c>
      <c r="C172" s="8">
        <v>16777800</v>
      </c>
      <c r="D172" s="8">
        <v>16777800</v>
      </c>
      <c r="E172" s="8">
        <v>17230544</v>
      </c>
      <c r="F172" s="8">
        <v>17230544</v>
      </c>
      <c r="G172" s="8">
        <v>17230544</v>
      </c>
      <c r="H172" s="8">
        <v>18159521</v>
      </c>
      <c r="I172" s="8">
        <v>18159521</v>
      </c>
      <c r="J172" s="8">
        <v>18305443</v>
      </c>
      <c r="K172" s="8">
        <v>17514442</v>
      </c>
      <c r="L172" s="8">
        <v>17514442</v>
      </c>
      <c r="M172" s="8">
        <v>17514442</v>
      </c>
      <c r="N172" s="8">
        <v>17221140</v>
      </c>
      <c r="O172" s="9">
        <f t="shared" si="133"/>
        <v>17221140</v>
      </c>
      <c r="P172" s="8">
        <v>20783966</v>
      </c>
      <c r="Q172" s="8">
        <v>21687905</v>
      </c>
      <c r="R172" s="8">
        <v>21687905</v>
      </c>
      <c r="S172" s="8">
        <v>21687905</v>
      </c>
      <c r="T172" s="8">
        <v>21687905</v>
      </c>
      <c r="U172" s="8">
        <v>21938540</v>
      </c>
      <c r="V172" s="8">
        <v>22055020</v>
      </c>
      <c r="W172" s="8">
        <v>22055020</v>
      </c>
      <c r="X172" s="8">
        <v>22309449</v>
      </c>
      <c r="Y172" s="8">
        <v>22309449</v>
      </c>
      <c r="Z172" s="8">
        <v>22309449</v>
      </c>
      <c r="AA172" s="8">
        <v>22950451</v>
      </c>
      <c r="AB172" s="9">
        <f t="shared" si="134"/>
        <v>22950451</v>
      </c>
      <c r="AC172" s="8">
        <v>24062875</v>
      </c>
      <c r="AD172" s="8">
        <v>24522320</v>
      </c>
      <c r="AE172" s="8">
        <v>24522320</v>
      </c>
      <c r="AF172" s="8">
        <v>24522320</v>
      </c>
      <c r="AG172" s="8">
        <v>24522320</v>
      </c>
      <c r="AH172" s="8">
        <v>20933821</v>
      </c>
      <c r="AI172" s="8">
        <v>20933821</v>
      </c>
      <c r="AJ172" s="8">
        <v>20933821</v>
      </c>
      <c r="AK172" s="8">
        <v>20933821</v>
      </c>
      <c r="AL172" s="8">
        <v>22739493</v>
      </c>
      <c r="AM172" s="8">
        <v>26153777</v>
      </c>
      <c r="AN172" s="8">
        <v>26596371</v>
      </c>
      <c r="AO172" s="9">
        <f t="shared" si="135"/>
        <v>26596371</v>
      </c>
      <c r="AP172" s="8">
        <v>19872709</v>
      </c>
      <c r="AQ172" s="8">
        <v>20271456</v>
      </c>
      <c r="AR172" s="8">
        <v>20271456</v>
      </c>
      <c r="AS172" s="8">
        <v>20271456</v>
      </c>
      <c r="AT172" s="8">
        <v>20271456</v>
      </c>
      <c r="AU172" s="8">
        <v>23087637</v>
      </c>
      <c r="AV172" s="8">
        <v>26501469</v>
      </c>
      <c r="AW172" s="8">
        <v>26501469</v>
      </c>
      <c r="AX172" s="8">
        <v>26501469</v>
      </c>
      <c r="AY172" s="8">
        <v>28401469</v>
      </c>
      <c r="AZ172" s="8">
        <v>28401469</v>
      </c>
      <c r="BA172" s="8">
        <v>29969288</v>
      </c>
      <c r="BB172" s="9">
        <f t="shared" si="136"/>
        <v>29969288</v>
      </c>
      <c r="BC172" s="8">
        <v>16850923</v>
      </c>
      <c r="BD172" s="8">
        <v>17354764</v>
      </c>
      <c r="BE172" s="8">
        <v>17354764</v>
      </c>
      <c r="BF172" s="8">
        <v>17354764</v>
      </c>
      <c r="BG172" s="8">
        <v>17354764</v>
      </c>
      <c r="BH172" s="8">
        <v>18554764</v>
      </c>
      <c r="BI172" s="8">
        <v>22554764</v>
      </c>
      <c r="BJ172" s="8">
        <v>24104764</v>
      </c>
      <c r="BK172" s="8">
        <v>24104764</v>
      </c>
      <c r="BL172" s="8">
        <v>22592651</v>
      </c>
      <c r="BM172" s="8">
        <v>22592651</v>
      </c>
      <c r="BN172" s="8">
        <v>21994209</v>
      </c>
      <c r="BO172" s="9">
        <f t="shared" si="137"/>
        <v>21994209</v>
      </c>
      <c r="BP172" s="8">
        <v>29301813</v>
      </c>
      <c r="BQ172" s="8">
        <v>29301813</v>
      </c>
      <c r="BR172" s="8">
        <v>29423925</v>
      </c>
      <c r="BS172" s="8">
        <v>29423925</v>
      </c>
      <c r="BT172" s="8">
        <v>29423925</v>
      </c>
      <c r="BU172" s="8">
        <v>29423925</v>
      </c>
      <c r="BV172" s="8">
        <v>34150651</v>
      </c>
      <c r="BW172" s="8">
        <v>33514931</v>
      </c>
      <c r="BX172" s="8">
        <v>36153363</v>
      </c>
      <c r="BY172" s="8">
        <v>36153363</v>
      </c>
      <c r="BZ172" s="8">
        <v>36153363</v>
      </c>
      <c r="CA172" s="8">
        <v>36155409</v>
      </c>
      <c r="CB172" s="9">
        <f t="shared" si="138"/>
        <v>36155409</v>
      </c>
      <c r="CC172" s="8">
        <v>30116117</v>
      </c>
      <c r="CD172" s="8">
        <v>30116117</v>
      </c>
      <c r="CE172" s="8">
        <v>35404694</v>
      </c>
      <c r="CF172" s="8">
        <v>40404694</v>
      </c>
      <c r="CG172" s="8">
        <v>30616132</v>
      </c>
      <c r="CH172" s="8">
        <v>30616132</v>
      </c>
      <c r="CI172" s="8">
        <v>30656132</v>
      </c>
      <c r="CJ172" s="8">
        <v>30656132</v>
      </c>
      <c r="CK172" s="8">
        <v>30736132</v>
      </c>
      <c r="CL172" s="8">
        <v>44112696</v>
      </c>
      <c r="CM172" s="8">
        <v>44096797</v>
      </c>
      <c r="CN172" s="8">
        <v>47638383</v>
      </c>
      <c r="CO172" s="9">
        <f t="shared" si="139"/>
        <v>47638383</v>
      </c>
      <c r="CP172" s="8">
        <v>33675173</v>
      </c>
      <c r="CQ172" s="8">
        <v>42175173</v>
      </c>
      <c r="CR172" s="8">
        <v>42175173</v>
      </c>
      <c r="CS172" s="8">
        <v>42175173</v>
      </c>
      <c r="CT172" s="8">
        <v>42088198</v>
      </c>
      <c r="CU172" s="8">
        <v>42088198</v>
      </c>
      <c r="CV172" s="8">
        <v>42088198</v>
      </c>
      <c r="CW172" s="8">
        <v>41488198</v>
      </c>
      <c r="CX172" s="8">
        <v>41488198</v>
      </c>
      <c r="CY172" s="8">
        <v>41591072</v>
      </c>
      <c r="CZ172" s="8">
        <v>47046072</v>
      </c>
      <c r="DA172" s="8">
        <v>47720605</v>
      </c>
      <c r="DB172" s="9">
        <f t="shared" si="140"/>
        <v>47720605</v>
      </c>
      <c r="DC172" s="8">
        <v>44146114</v>
      </c>
      <c r="DD172" s="8">
        <v>46124389</v>
      </c>
      <c r="DE172" s="8">
        <v>46124389</v>
      </c>
      <c r="DF172" s="8">
        <v>46124389</v>
      </c>
      <c r="DG172" s="8">
        <v>46124389</v>
      </c>
      <c r="DH172" s="8">
        <v>46124389</v>
      </c>
      <c r="DI172" s="8">
        <v>46124389</v>
      </c>
      <c r="DJ172" s="8">
        <v>51439389</v>
      </c>
      <c r="DK172" s="8">
        <v>52484389</v>
      </c>
      <c r="DL172" s="8">
        <v>52484389</v>
      </c>
      <c r="DM172" s="8">
        <v>52484389</v>
      </c>
      <c r="DN172" s="8">
        <v>58540799</v>
      </c>
      <c r="DO172" s="9">
        <f t="shared" si="141"/>
        <v>58540799</v>
      </c>
      <c r="DP172" s="8">
        <v>66736778</v>
      </c>
      <c r="DQ172" s="8">
        <v>66736778</v>
      </c>
      <c r="DR172" s="8">
        <v>66736778</v>
      </c>
      <c r="DS172" s="8">
        <v>66736778</v>
      </c>
      <c r="DT172" s="8">
        <v>66736778</v>
      </c>
      <c r="DU172" s="8">
        <v>68736778</v>
      </c>
      <c r="DV172" s="8">
        <v>68736778</v>
      </c>
      <c r="DW172" s="8">
        <v>68736778</v>
      </c>
      <c r="DX172" s="8">
        <v>68736778</v>
      </c>
      <c r="DY172" s="8">
        <v>68736778</v>
      </c>
      <c r="DZ172" s="8">
        <v>88036778</v>
      </c>
      <c r="EA172" s="8">
        <v>87935808</v>
      </c>
      <c r="EB172" s="9">
        <f t="shared" si="142"/>
        <v>87935808</v>
      </c>
      <c r="EC172" s="8">
        <v>57746379</v>
      </c>
      <c r="ED172" s="8">
        <v>57746379</v>
      </c>
      <c r="EE172" s="8">
        <v>60035977</v>
      </c>
      <c r="EF172" s="8">
        <v>60035977</v>
      </c>
      <c r="EG172" s="8">
        <v>60035977</v>
      </c>
      <c r="EH172" s="8">
        <v>60035977</v>
      </c>
      <c r="EI172" s="8">
        <v>65135396</v>
      </c>
      <c r="EJ172" s="8">
        <v>65135396</v>
      </c>
      <c r="EK172" s="8">
        <v>65135396</v>
      </c>
      <c r="EL172" s="8">
        <v>65622774</v>
      </c>
      <c r="EM172" s="8">
        <v>65622774</v>
      </c>
      <c r="EN172" s="8">
        <v>73119497</v>
      </c>
      <c r="EO172" s="9">
        <f t="shared" si="143"/>
        <v>73119497</v>
      </c>
      <c r="EP172" s="8">
        <v>72789613</v>
      </c>
      <c r="EQ172" s="8">
        <v>75348740</v>
      </c>
      <c r="ER172" s="8">
        <v>75348740</v>
      </c>
      <c r="ES172" s="8">
        <v>75348740</v>
      </c>
      <c r="ET172" s="8">
        <v>75348740</v>
      </c>
      <c r="EU172" s="8">
        <v>75348740</v>
      </c>
      <c r="EV172" s="8">
        <v>74364706</v>
      </c>
      <c r="EW172" s="8">
        <v>74364706</v>
      </c>
      <c r="EX172" s="8">
        <v>74364706</v>
      </c>
      <c r="EY172" s="8">
        <v>75891821</v>
      </c>
      <c r="EZ172" s="8">
        <v>75944276</v>
      </c>
      <c r="FA172" s="8">
        <v>79415239</v>
      </c>
      <c r="FB172" s="9">
        <f t="shared" si="144"/>
        <v>79415239</v>
      </c>
      <c r="FC172" s="8">
        <v>132477179</v>
      </c>
      <c r="FD172" s="8">
        <v>129977179</v>
      </c>
      <c r="FE172" s="8">
        <v>129977179</v>
      </c>
      <c r="FF172" s="8">
        <v>129977179</v>
      </c>
      <c r="FG172" s="8">
        <v>129977179</v>
      </c>
      <c r="FH172" s="8">
        <v>130121882</v>
      </c>
      <c r="FI172" s="8">
        <v>130121882</v>
      </c>
      <c r="FJ172" s="8"/>
      <c r="FK172" s="8"/>
      <c r="FL172" s="8"/>
      <c r="FM172" s="8"/>
      <c r="FN172" s="8"/>
      <c r="FO172" s="9">
        <f t="shared" si="145"/>
        <v>130121882</v>
      </c>
    </row>
    <row r="173" spans="2:171" ht="14.25" customHeight="1" x14ac:dyDescent="0.3">
      <c r="B173" s="7" t="s">
        <v>48</v>
      </c>
      <c r="C173" s="8">
        <v>9037920</v>
      </c>
      <c r="D173" s="8">
        <v>9037920</v>
      </c>
      <c r="E173" s="8">
        <v>9037920</v>
      </c>
      <c r="F173" s="8">
        <v>9037920</v>
      </c>
      <c r="G173" s="8">
        <v>9037920</v>
      </c>
      <c r="H173" s="8">
        <v>9094829</v>
      </c>
      <c r="I173" s="8">
        <v>9094829</v>
      </c>
      <c r="J173" s="8">
        <v>9225444</v>
      </c>
      <c r="K173" s="8">
        <v>8936524</v>
      </c>
      <c r="L173" s="8">
        <v>8936524</v>
      </c>
      <c r="M173" s="8">
        <v>12188602</v>
      </c>
      <c r="N173" s="8">
        <v>12133249</v>
      </c>
      <c r="O173" s="9">
        <f t="shared" si="133"/>
        <v>12133249</v>
      </c>
      <c r="P173" s="8">
        <v>10713591</v>
      </c>
      <c r="Q173" s="8">
        <v>10748898</v>
      </c>
      <c r="R173" s="8">
        <v>10748898</v>
      </c>
      <c r="S173" s="8">
        <v>10748898</v>
      </c>
      <c r="T173" s="8">
        <v>10748898</v>
      </c>
      <c r="U173" s="8">
        <v>10525949</v>
      </c>
      <c r="V173" s="8">
        <v>10941949</v>
      </c>
      <c r="W173" s="8">
        <v>10941949</v>
      </c>
      <c r="X173" s="8">
        <v>11191949</v>
      </c>
      <c r="Y173" s="8">
        <v>11191949</v>
      </c>
      <c r="Z173" s="8">
        <v>11226949</v>
      </c>
      <c r="AA173" s="8">
        <v>15652024</v>
      </c>
      <c r="AB173" s="9">
        <f t="shared" si="134"/>
        <v>15652024</v>
      </c>
      <c r="AC173" s="8">
        <v>37951186</v>
      </c>
      <c r="AD173" s="8">
        <v>38057108</v>
      </c>
      <c r="AE173" s="8">
        <v>38057108</v>
      </c>
      <c r="AF173" s="8">
        <v>37719164</v>
      </c>
      <c r="AG173" s="8">
        <v>37719164</v>
      </c>
      <c r="AH173" s="8">
        <v>35301329</v>
      </c>
      <c r="AI173" s="8">
        <v>35301329</v>
      </c>
      <c r="AJ173" s="8">
        <v>30951329</v>
      </c>
      <c r="AK173" s="8">
        <v>30951329</v>
      </c>
      <c r="AL173" s="8">
        <v>30951329</v>
      </c>
      <c r="AM173" s="8">
        <v>32821787</v>
      </c>
      <c r="AN173" s="8">
        <v>36992936</v>
      </c>
      <c r="AO173" s="9">
        <f t="shared" si="135"/>
        <v>36992936</v>
      </c>
      <c r="AP173" s="8">
        <v>28983034</v>
      </c>
      <c r="AQ173" s="8">
        <v>28983034</v>
      </c>
      <c r="AR173" s="8">
        <v>28983034</v>
      </c>
      <c r="AS173" s="8">
        <v>28983034</v>
      </c>
      <c r="AT173" s="8">
        <v>28983034</v>
      </c>
      <c r="AU173" s="8">
        <v>37719689</v>
      </c>
      <c r="AV173" s="8">
        <v>37719689</v>
      </c>
      <c r="AW173" s="8">
        <v>37719689</v>
      </c>
      <c r="AX173" s="8">
        <v>37719689</v>
      </c>
      <c r="AY173" s="8">
        <v>37719689</v>
      </c>
      <c r="AZ173" s="8">
        <v>37719689</v>
      </c>
      <c r="BA173" s="8">
        <v>37527242</v>
      </c>
      <c r="BB173" s="9">
        <f t="shared" si="136"/>
        <v>37527242</v>
      </c>
      <c r="BC173" s="8">
        <v>19451231</v>
      </c>
      <c r="BD173" s="8">
        <v>19451231</v>
      </c>
      <c r="BE173" s="8">
        <v>19451231</v>
      </c>
      <c r="BF173" s="8">
        <v>19451231</v>
      </c>
      <c r="BG173" s="8">
        <v>19451231</v>
      </c>
      <c r="BH173" s="8">
        <v>20560229</v>
      </c>
      <c r="BI173" s="8">
        <v>20686163</v>
      </c>
      <c r="BJ173" s="8">
        <v>21777866</v>
      </c>
      <c r="BK173" s="8">
        <v>21777866</v>
      </c>
      <c r="BL173" s="8">
        <v>21317866</v>
      </c>
      <c r="BM173" s="8">
        <v>21317866</v>
      </c>
      <c r="BN173" s="8">
        <v>21856287</v>
      </c>
      <c r="BO173" s="9">
        <f t="shared" si="137"/>
        <v>21856287</v>
      </c>
      <c r="BP173" s="8">
        <v>17969652</v>
      </c>
      <c r="BQ173" s="8">
        <v>17969652</v>
      </c>
      <c r="BR173" s="8">
        <v>18046186</v>
      </c>
      <c r="BS173" s="8">
        <v>18046186</v>
      </c>
      <c r="BT173" s="8">
        <v>18046186</v>
      </c>
      <c r="BU173" s="8">
        <v>18046186</v>
      </c>
      <c r="BV173" s="8">
        <v>20966937</v>
      </c>
      <c r="BW173" s="8">
        <v>22433737</v>
      </c>
      <c r="BX173" s="8">
        <v>22461487</v>
      </c>
      <c r="BY173" s="8">
        <v>22461487</v>
      </c>
      <c r="BZ173" s="8">
        <v>22461487</v>
      </c>
      <c r="CA173" s="8">
        <v>31801236</v>
      </c>
      <c r="CB173" s="9">
        <f t="shared" si="138"/>
        <v>31801236</v>
      </c>
      <c r="CC173" s="8">
        <v>18496244</v>
      </c>
      <c r="CD173" s="8">
        <v>18496244</v>
      </c>
      <c r="CE173" s="8">
        <v>18496244</v>
      </c>
      <c r="CF173" s="8">
        <v>18536244</v>
      </c>
      <c r="CG173" s="8">
        <v>14045598</v>
      </c>
      <c r="CH173" s="8">
        <v>14045598</v>
      </c>
      <c r="CI173" s="8">
        <v>19828598</v>
      </c>
      <c r="CJ173" s="8">
        <v>19828598</v>
      </c>
      <c r="CK173" s="8">
        <v>19948598</v>
      </c>
      <c r="CL173" s="8">
        <v>25211747</v>
      </c>
      <c r="CM173" s="8">
        <v>25217747</v>
      </c>
      <c r="CN173" s="8">
        <v>33384509</v>
      </c>
      <c r="CO173" s="9">
        <f t="shared" si="139"/>
        <v>33384509</v>
      </c>
      <c r="CP173" s="8">
        <v>20770537</v>
      </c>
      <c r="CQ173" s="8">
        <v>20770537</v>
      </c>
      <c r="CR173" s="8">
        <v>20770537</v>
      </c>
      <c r="CS173" s="8">
        <v>20770537</v>
      </c>
      <c r="CT173" s="8">
        <v>22991303</v>
      </c>
      <c r="CU173" s="8">
        <v>22991303</v>
      </c>
      <c r="CV173" s="8">
        <v>22991303</v>
      </c>
      <c r="CW173" s="8">
        <v>23496966</v>
      </c>
      <c r="CX173" s="8">
        <v>23496966</v>
      </c>
      <c r="CY173" s="8">
        <v>23496966</v>
      </c>
      <c r="CZ173" s="8">
        <v>27494466</v>
      </c>
      <c r="DA173" s="8">
        <v>33796645</v>
      </c>
      <c r="DB173" s="9">
        <f t="shared" si="140"/>
        <v>33796645</v>
      </c>
      <c r="DC173" s="8">
        <v>33226672</v>
      </c>
      <c r="DD173" s="8">
        <v>34482164</v>
      </c>
      <c r="DE173" s="8">
        <v>34482164</v>
      </c>
      <c r="DF173" s="8">
        <v>34482164</v>
      </c>
      <c r="DG173" s="8">
        <v>34482164</v>
      </c>
      <c r="DH173" s="8">
        <v>34482164</v>
      </c>
      <c r="DI173" s="8">
        <v>34482164</v>
      </c>
      <c r="DJ173" s="8">
        <v>34482164</v>
      </c>
      <c r="DK173" s="8">
        <v>37352194</v>
      </c>
      <c r="DL173" s="8">
        <v>37352194</v>
      </c>
      <c r="DM173" s="8">
        <v>37352194</v>
      </c>
      <c r="DN173" s="8">
        <v>38796255</v>
      </c>
      <c r="DO173" s="9">
        <f t="shared" si="141"/>
        <v>38796255</v>
      </c>
      <c r="DP173" s="8">
        <v>47626282</v>
      </c>
      <c r="DQ173" s="8">
        <v>47666282</v>
      </c>
      <c r="DR173" s="8">
        <v>47666282</v>
      </c>
      <c r="DS173" s="8">
        <v>47666282</v>
      </c>
      <c r="DT173" s="8">
        <v>47666282</v>
      </c>
      <c r="DU173" s="8">
        <v>47718353</v>
      </c>
      <c r="DV173" s="8">
        <v>47838457</v>
      </c>
      <c r="DW173" s="8">
        <v>47838457</v>
      </c>
      <c r="DX173" s="8">
        <v>47838457</v>
      </c>
      <c r="DY173" s="8">
        <v>47838457</v>
      </c>
      <c r="DZ173" s="8">
        <v>43442777</v>
      </c>
      <c r="EA173" s="8">
        <v>43946778</v>
      </c>
      <c r="EB173" s="9">
        <f t="shared" si="142"/>
        <v>43946778</v>
      </c>
      <c r="EC173" s="8">
        <v>53240790</v>
      </c>
      <c r="ED173" s="8">
        <v>53240790</v>
      </c>
      <c r="EE173" s="8">
        <v>53240790</v>
      </c>
      <c r="EF173" s="8">
        <v>53240790</v>
      </c>
      <c r="EG173" s="8">
        <v>53240790</v>
      </c>
      <c r="EH173" s="8">
        <v>53240790</v>
      </c>
      <c r="EI173" s="8">
        <v>53240790</v>
      </c>
      <c r="EJ173" s="8">
        <v>53240790</v>
      </c>
      <c r="EK173" s="8">
        <v>53240790</v>
      </c>
      <c r="EL173" s="8">
        <v>52395853</v>
      </c>
      <c r="EM173" s="8">
        <v>52395853</v>
      </c>
      <c r="EN173" s="8">
        <v>50339570</v>
      </c>
      <c r="EO173" s="9">
        <f t="shared" si="143"/>
        <v>50339570</v>
      </c>
      <c r="EP173" s="8">
        <v>92931481</v>
      </c>
      <c r="EQ173" s="8">
        <v>93131497</v>
      </c>
      <c r="ER173" s="8">
        <v>93131497</v>
      </c>
      <c r="ES173" s="8">
        <v>93319045</v>
      </c>
      <c r="ET173" s="8">
        <v>93319045</v>
      </c>
      <c r="EU173" s="8">
        <v>93319045</v>
      </c>
      <c r="EV173" s="8">
        <v>92558948</v>
      </c>
      <c r="EW173" s="8">
        <v>92558948</v>
      </c>
      <c r="EX173" s="8">
        <v>92558948</v>
      </c>
      <c r="EY173" s="8">
        <v>93089284</v>
      </c>
      <c r="EZ173" s="8">
        <v>93118579</v>
      </c>
      <c r="FA173" s="8">
        <v>92604764</v>
      </c>
      <c r="FB173" s="9">
        <f t="shared" si="144"/>
        <v>92604764</v>
      </c>
      <c r="FC173" s="8">
        <v>89750044</v>
      </c>
      <c r="FD173" s="8">
        <v>88000044</v>
      </c>
      <c r="FE173" s="8">
        <v>88000044</v>
      </c>
      <c r="FF173" s="8">
        <v>88000044</v>
      </c>
      <c r="FG173" s="8">
        <v>88000044</v>
      </c>
      <c r="FH173" s="8">
        <v>88764542</v>
      </c>
      <c r="FI173" s="8">
        <v>88764542</v>
      </c>
      <c r="FJ173" s="8"/>
      <c r="FK173" s="8"/>
      <c r="FL173" s="8"/>
      <c r="FM173" s="8"/>
      <c r="FN173" s="8"/>
      <c r="FO173" s="9">
        <f t="shared" si="145"/>
        <v>88764542</v>
      </c>
    </row>
    <row r="174" spans="2:171" ht="14.25" customHeight="1" x14ac:dyDescent="0.3">
      <c r="B174" s="7" t="s">
        <v>49</v>
      </c>
      <c r="C174" s="8">
        <v>24875265</v>
      </c>
      <c r="D174" s="8">
        <v>24875265</v>
      </c>
      <c r="E174" s="8">
        <v>25995780</v>
      </c>
      <c r="F174" s="8">
        <v>26328166</v>
      </c>
      <c r="G174" s="8">
        <v>26328166</v>
      </c>
      <c r="H174" s="8">
        <v>23999231</v>
      </c>
      <c r="I174" s="8">
        <v>23999231</v>
      </c>
      <c r="J174" s="8">
        <v>24049231</v>
      </c>
      <c r="K174" s="8">
        <v>26621615</v>
      </c>
      <c r="L174" s="8">
        <v>26621615</v>
      </c>
      <c r="M174" s="8">
        <v>29185997</v>
      </c>
      <c r="N174" s="8">
        <v>29806984</v>
      </c>
      <c r="O174" s="9">
        <f t="shared" si="133"/>
        <v>29806984</v>
      </c>
      <c r="P174" s="8">
        <v>37865699</v>
      </c>
      <c r="Q174" s="8">
        <v>39135625</v>
      </c>
      <c r="R174" s="8">
        <v>37818683</v>
      </c>
      <c r="S174" s="8">
        <v>37818683</v>
      </c>
      <c r="T174" s="8">
        <v>37818683</v>
      </c>
      <c r="U174" s="8">
        <v>31458325</v>
      </c>
      <c r="V174" s="8">
        <v>31458325</v>
      </c>
      <c r="W174" s="8">
        <v>31409365</v>
      </c>
      <c r="X174" s="8">
        <v>32909365</v>
      </c>
      <c r="Y174" s="8">
        <v>33308285</v>
      </c>
      <c r="Z174" s="8">
        <v>33318285</v>
      </c>
      <c r="AA174" s="8">
        <v>38031866</v>
      </c>
      <c r="AB174" s="9">
        <f t="shared" si="134"/>
        <v>38031866</v>
      </c>
      <c r="AC174" s="8">
        <v>59663790</v>
      </c>
      <c r="AD174" s="8">
        <v>60762418</v>
      </c>
      <c r="AE174" s="8">
        <v>60691585</v>
      </c>
      <c r="AF174" s="8">
        <v>60691585</v>
      </c>
      <c r="AG174" s="8">
        <v>60691585</v>
      </c>
      <c r="AH174" s="8">
        <v>62249701</v>
      </c>
      <c r="AI174" s="8">
        <v>62249701</v>
      </c>
      <c r="AJ174" s="8">
        <v>62249701</v>
      </c>
      <c r="AK174" s="8">
        <v>62249701</v>
      </c>
      <c r="AL174" s="8">
        <v>62655801</v>
      </c>
      <c r="AM174" s="8">
        <v>63451429</v>
      </c>
      <c r="AN174" s="8">
        <v>54137910</v>
      </c>
      <c r="AO174" s="9">
        <f t="shared" si="135"/>
        <v>54137910</v>
      </c>
      <c r="AP174" s="8">
        <v>69195011</v>
      </c>
      <c r="AQ174" s="8">
        <v>70370067</v>
      </c>
      <c r="AR174" s="8">
        <v>70370067</v>
      </c>
      <c r="AS174" s="8">
        <v>70370067</v>
      </c>
      <c r="AT174" s="8">
        <v>70370067</v>
      </c>
      <c r="AU174" s="8">
        <v>68098203</v>
      </c>
      <c r="AV174" s="8">
        <v>68098203</v>
      </c>
      <c r="AW174" s="8">
        <v>68098203</v>
      </c>
      <c r="AX174" s="8">
        <v>68098203</v>
      </c>
      <c r="AY174" s="8">
        <v>62359435</v>
      </c>
      <c r="AZ174" s="8">
        <v>64359435</v>
      </c>
      <c r="BA174" s="8">
        <v>65288622</v>
      </c>
      <c r="BB174" s="9">
        <f t="shared" si="136"/>
        <v>65288622</v>
      </c>
      <c r="BC174" s="8">
        <v>76892719</v>
      </c>
      <c r="BD174" s="8">
        <v>77355654</v>
      </c>
      <c r="BE174" s="8">
        <v>77355654</v>
      </c>
      <c r="BF174" s="8">
        <v>77355654</v>
      </c>
      <c r="BG174" s="8">
        <v>77355654</v>
      </c>
      <c r="BH174" s="8">
        <v>77355654</v>
      </c>
      <c r="BI174" s="8">
        <v>77355654</v>
      </c>
      <c r="BJ174" s="8">
        <v>76935255</v>
      </c>
      <c r="BK174" s="8">
        <v>76935255</v>
      </c>
      <c r="BL174" s="8">
        <v>77535255</v>
      </c>
      <c r="BM174" s="8">
        <v>77535255</v>
      </c>
      <c r="BN174" s="8">
        <v>77615475</v>
      </c>
      <c r="BO174" s="9">
        <f t="shared" si="137"/>
        <v>77615475</v>
      </c>
      <c r="BP174" s="8">
        <v>75782905</v>
      </c>
      <c r="BQ174" s="8">
        <v>75782905</v>
      </c>
      <c r="BR174" s="8">
        <v>75897706</v>
      </c>
      <c r="BS174" s="8">
        <v>75897706</v>
      </c>
      <c r="BT174" s="8">
        <v>75897706</v>
      </c>
      <c r="BU174" s="8">
        <v>75897706</v>
      </c>
      <c r="BV174" s="8">
        <v>74304785</v>
      </c>
      <c r="BW174" s="8">
        <v>74304785</v>
      </c>
      <c r="BX174" s="8">
        <v>70605480</v>
      </c>
      <c r="BY174" s="8">
        <v>70605480</v>
      </c>
      <c r="BZ174" s="8">
        <v>70605480</v>
      </c>
      <c r="CA174" s="8">
        <v>64696303</v>
      </c>
      <c r="CB174" s="9">
        <f t="shared" si="138"/>
        <v>64696303</v>
      </c>
      <c r="CC174" s="8">
        <v>78065990</v>
      </c>
      <c r="CD174" s="8">
        <v>78065990</v>
      </c>
      <c r="CE174" s="8">
        <v>78065990</v>
      </c>
      <c r="CF174" s="8">
        <v>78145990</v>
      </c>
      <c r="CG174" s="8">
        <v>59214109</v>
      </c>
      <c r="CH174" s="8">
        <v>59214109</v>
      </c>
      <c r="CI174" s="8">
        <v>59214109</v>
      </c>
      <c r="CJ174" s="8">
        <v>59214109</v>
      </c>
      <c r="CK174" s="8">
        <v>59214109</v>
      </c>
      <c r="CL174" s="8">
        <v>67269946</v>
      </c>
      <c r="CM174" s="8">
        <v>66138455</v>
      </c>
      <c r="CN174" s="8">
        <v>47380726</v>
      </c>
      <c r="CO174" s="9">
        <f t="shared" si="139"/>
        <v>47380726</v>
      </c>
      <c r="CP174" s="8">
        <v>91254878</v>
      </c>
      <c r="CQ174" s="8">
        <v>91254878</v>
      </c>
      <c r="CR174" s="8">
        <v>91414878</v>
      </c>
      <c r="CS174" s="8">
        <v>91686489</v>
      </c>
      <c r="CT174" s="8">
        <v>89060668</v>
      </c>
      <c r="CU174" s="8">
        <v>89060668</v>
      </c>
      <c r="CV174" s="8">
        <v>89060668</v>
      </c>
      <c r="CW174" s="8">
        <v>72006668</v>
      </c>
      <c r="CX174" s="8">
        <v>72006668</v>
      </c>
      <c r="CY174" s="8">
        <v>72006668</v>
      </c>
      <c r="CZ174" s="8">
        <v>71994668</v>
      </c>
      <c r="DA174" s="8">
        <v>70578277</v>
      </c>
      <c r="DB174" s="9">
        <f t="shared" si="140"/>
        <v>70578277</v>
      </c>
      <c r="DC174" s="8">
        <v>68909036</v>
      </c>
      <c r="DD174" s="8">
        <v>80347934</v>
      </c>
      <c r="DE174" s="8">
        <v>80347934</v>
      </c>
      <c r="DF174" s="8">
        <v>80347934</v>
      </c>
      <c r="DG174" s="8">
        <v>81001058</v>
      </c>
      <c r="DH174" s="8">
        <v>81001058</v>
      </c>
      <c r="DI174" s="8">
        <v>81001058</v>
      </c>
      <c r="DJ174" s="8">
        <v>81001058</v>
      </c>
      <c r="DK174" s="8">
        <v>77945058</v>
      </c>
      <c r="DL174" s="8">
        <v>77945058</v>
      </c>
      <c r="DM174" s="8">
        <v>78163500</v>
      </c>
      <c r="DN174" s="8">
        <v>73598403</v>
      </c>
      <c r="DO174" s="9">
        <f t="shared" si="141"/>
        <v>73598403</v>
      </c>
      <c r="DP174" s="8">
        <v>107813988</v>
      </c>
      <c r="DQ174" s="8">
        <v>108396494</v>
      </c>
      <c r="DR174" s="8">
        <v>108396494</v>
      </c>
      <c r="DS174" s="8">
        <v>108396494</v>
      </c>
      <c r="DT174" s="8">
        <v>108396494</v>
      </c>
      <c r="DU174" s="8">
        <v>108605292</v>
      </c>
      <c r="DV174" s="8">
        <v>108995695</v>
      </c>
      <c r="DW174" s="8">
        <v>108995695</v>
      </c>
      <c r="DX174" s="8">
        <v>108995695</v>
      </c>
      <c r="DY174" s="8">
        <v>108995695</v>
      </c>
      <c r="DZ174" s="8">
        <v>88222070</v>
      </c>
      <c r="EA174" s="8">
        <v>95712461</v>
      </c>
      <c r="EB174" s="9">
        <f t="shared" si="142"/>
        <v>95712461</v>
      </c>
      <c r="EC174" s="8">
        <v>123704390</v>
      </c>
      <c r="ED174" s="8">
        <v>123704390</v>
      </c>
      <c r="EE174" s="8">
        <v>125327726</v>
      </c>
      <c r="EF174" s="8">
        <v>125327726</v>
      </c>
      <c r="EG174" s="8">
        <v>125578117</v>
      </c>
      <c r="EH174" s="8">
        <v>125578117</v>
      </c>
      <c r="EI174" s="8">
        <v>125578117</v>
      </c>
      <c r="EJ174" s="8">
        <v>125578117</v>
      </c>
      <c r="EK174" s="8">
        <v>125578117</v>
      </c>
      <c r="EL174" s="8">
        <v>115253698</v>
      </c>
      <c r="EM174" s="8">
        <v>115253698</v>
      </c>
      <c r="EN174" s="8">
        <v>107360177</v>
      </c>
      <c r="EO174" s="9">
        <f t="shared" si="143"/>
        <v>107360177</v>
      </c>
      <c r="EP174" s="8">
        <v>145360457</v>
      </c>
      <c r="EQ174" s="8">
        <v>145360457</v>
      </c>
      <c r="ER174" s="8">
        <v>145818224</v>
      </c>
      <c r="ES174" s="8">
        <v>147604105</v>
      </c>
      <c r="ET174" s="8">
        <v>147604105</v>
      </c>
      <c r="EU174" s="8">
        <v>147604105</v>
      </c>
      <c r="EV174" s="8">
        <v>137115059</v>
      </c>
      <c r="EW174" s="8">
        <v>137115059</v>
      </c>
      <c r="EX174" s="8">
        <v>137115059</v>
      </c>
      <c r="EY174" s="8">
        <v>127848797</v>
      </c>
      <c r="EZ174" s="8">
        <v>126672597</v>
      </c>
      <c r="FA174" s="8">
        <v>122802073</v>
      </c>
      <c r="FB174" s="9">
        <f t="shared" si="144"/>
        <v>122802073</v>
      </c>
      <c r="FC174" s="8">
        <v>135508027</v>
      </c>
      <c r="FD174" s="8">
        <v>132508027</v>
      </c>
      <c r="FE174" s="8">
        <v>132508027</v>
      </c>
      <c r="FF174" s="8">
        <v>132508027</v>
      </c>
      <c r="FG174" s="8">
        <v>132508027</v>
      </c>
      <c r="FH174" s="8">
        <v>133330696</v>
      </c>
      <c r="FI174" s="8">
        <v>133985654</v>
      </c>
      <c r="FJ174" s="8"/>
      <c r="FK174" s="8"/>
      <c r="FL174" s="8"/>
      <c r="FM174" s="8"/>
      <c r="FN174" s="8"/>
      <c r="FO174" s="9">
        <f t="shared" si="145"/>
        <v>133985654</v>
      </c>
    </row>
    <row r="175" spans="2:171" ht="14.25" customHeight="1" x14ac:dyDescent="0.3">
      <c r="B175" s="7" t="s">
        <v>50</v>
      </c>
      <c r="C175" s="8">
        <v>83941248</v>
      </c>
      <c r="D175" s="8">
        <v>83941248</v>
      </c>
      <c r="E175" s="8">
        <v>84487306</v>
      </c>
      <c r="F175" s="8">
        <v>84487306</v>
      </c>
      <c r="G175" s="8">
        <v>84487306</v>
      </c>
      <c r="H175" s="8">
        <v>74754146</v>
      </c>
      <c r="I175" s="8">
        <v>74754146</v>
      </c>
      <c r="J175" s="8">
        <v>75149764</v>
      </c>
      <c r="K175" s="8">
        <v>72894561</v>
      </c>
      <c r="L175" s="8">
        <v>72908561</v>
      </c>
      <c r="M175" s="8">
        <v>85961208</v>
      </c>
      <c r="N175" s="8">
        <v>85381719</v>
      </c>
      <c r="O175" s="9">
        <f t="shared" si="133"/>
        <v>85381719</v>
      </c>
      <c r="P175" s="8">
        <v>128371216</v>
      </c>
      <c r="Q175" s="8">
        <v>129660289</v>
      </c>
      <c r="R175" s="8">
        <v>129660289</v>
      </c>
      <c r="S175" s="8">
        <v>129295025</v>
      </c>
      <c r="T175" s="8">
        <v>129295025</v>
      </c>
      <c r="U175" s="8">
        <v>99613179</v>
      </c>
      <c r="V175" s="8">
        <v>99613179</v>
      </c>
      <c r="W175" s="8">
        <v>99613179</v>
      </c>
      <c r="X175" s="8">
        <v>100134002</v>
      </c>
      <c r="Y175" s="8">
        <v>100134002</v>
      </c>
      <c r="Z175" s="8">
        <v>100266002</v>
      </c>
      <c r="AA175" s="8">
        <v>100726882</v>
      </c>
      <c r="AB175" s="9">
        <f t="shared" si="134"/>
        <v>100726882</v>
      </c>
      <c r="AC175" s="8">
        <v>110507630</v>
      </c>
      <c r="AD175" s="8">
        <v>111263811</v>
      </c>
      <c r="AE175" s="8">
        <v>111263811</v>
      </c>
      <c r="AF175" s="8">
        <v>108463811</v>
      </c>
      <c r="AG175" s="8">
        <v>108513811</v>
      </c>
      <c r="AH175" s="8">
        <v>110042588</v>
      </c>
      <c r="AI175" s="8">
        <v>108390338</v>
      </c>
      <c r="AJ175" s="8">
        <v>108420338</v>
      </c>
      <c r="AK175" s="8">
        <v>108420338</v>
      </c>
      <c r="AL175" s="8">
        <v>108677338</v>
      </c>
      <c r="AM175" s="8">
        <v>108697338</v>
      </c>
      <c r="AN175" s="8">
        <v>111440330</v>
      </c>
      <c r="AO175" s="9">
        <f t="shared" si="135"/>
        <v>111440330</v>
      </c>
      <c r="AP175" s="8">
        <v>94638016</v>
      </c>
      <c r="AQ175" s="8">
        <v>95033087</v>
      </c>
      <c r="AR175" s="8">
        <v>95408213</v>
      </c>
      <c r="AS175" s="8">
        <v>95408213</v>
      </c>
      <c r="AT175" s="8">
        <v>95408213</v>
      </c>
      <c r="AU175" s="8">
        <v>95766559</v>
      </c>
      <c r="AV175" s="8">
        <v>95766559</v>
      </c>
      <c r="AW175" s="8">
        <v>96375509</v>
      </c>
      <c r="AX175" s="8">
        <v>96375509</v>
      </c>
      <c r="AY175" s="8">
        <v>97065509</v>
      </c>
      <c r="AZ175" s="8">
        <v>98714165</v>
      </c>
      <c r="BA175" s="8">
        <v>103342563</v>
      </c>
      <c r="BB175" s="9">
        <f t="shared" si="136"/>
        <v>103342563</v>
      </c>
      <c r="BC175" s="8">
        <v>123230266</v>
      </c>
      <c r="BD175" s="8">
        <v>123479169</v>
      </c>
      <c r="BE175" s="8">
        <v>123479169</v>
      </c>
      <c r="BF175" s="8">
        <v>123479169</v>
      </c>
      <c r="BG175" s="8">
        <v>123479169</v>
      </c>
      <c r="BH175" s="8">
        <v>123479169</v>
      </c>
      <c r="BI175" s="8">
        <v>123596560</v>
      </c>
      <c r="BJ175" s="8">
        <v>120596560</v>
      </c>
      <c r="BK175" s="8">
        <v>120596560</v>
      </c>
      <c r="BL175" s="8">
        <v>119096560</v>
      </c>
      <c r="BM175" s="8">
        <v>119096560</v>
      </c>
      <c r="BN175" s="8">
        <v>116574659</v>
      </c>
      <c r="BO175" s="9">
        <f t="shared" si="137"/>
        <v>116574659</v>
      </c>
      <c r="BP175" s="8">
        <v>113787823</v>
      </c>
      <c r="BQ175" s="8">
        <v>113787823</v>
      </c>
      <c r="BR175" s="8">
        <v>114588177</v>
      </c>
      <c r="BS175" s="8">
        <v>114588177</v>
      </c>
      <c r="BT175" s="8">
        <v>114588177</v>
      </c>
      <c r="BU175" s="8">
        <v>114588177</v>
      </c>
      <c r="BV175" s="8">
        <v>117262894</v>
      </c>
      <c r="BW175" s="8">
        <v>116782894</v>
      </c>
      <c r="BX175" s="8">
        <v>121852894</v>
      </c>
      <c r="BY175" s="8">
        <v>121852894</v>
      </c>
      <c r="BZ175" s="8">
        <v>121852894</v>
      </c>
      <c r="CA175" s="8">
        <v>130846480</v>
      </c>
      <c r="CB175" s="9">
        <f t="shared" si="138"/>
        <v>130846480</v>
      </c>
      <c r="CC175" s="8">
        <v>116864448</v>
      </c>
      <c r="CD175" s="8">
        <v>116864448</v>
      </c>
      <c r="CE175" s="8">
        <v>116864448</v>
      </c>
      <c r="CF175" s="8">
        <v>145485658</v>
      </c>
      <c r="CG175" s="8">
        <v>110239868</v>
      </c>
      <c r="CH175" s="8">
        <v>110239868</v>
      </c>
      <c r="CI175" s="8">
        <v>110239868</v>
      </c>
      <c r="CJ175" s="8">
        <v>110239868</v>
      </c>
      <c r="CK175" s="8">
        <v>110639868</v>
      </c>
      <c r="CL175" s="8">
        <v>136192071</v>
      </c>
      <c r="CM175" s="8">
        <v>136198071</v>
      </c>
      <c r="CN175" s="8">
        <v>134531330</v>
      </c>
      <c r="CO175" s="9">
        <f t="shared" si="139"/>
        <v>134531330</v>
      </c>
      <c r="CP175" s="8">
        <v>124411299</v>
      </c>
      <c r="CQ175" s="8">
        <v>124411299</v>
      </c>
      <c r="CR175" s="8">
        <v>124419299</v>
      </c>
      <c r="CS175" s="8">
        <v>124840169</v>
      </c>
      <c r="CT175" s="8">
        <v>124951527</v>
      </c>
      <c r="CU175" s="8">
        <v>124951527</v>
      </c>
      <c r="CV175" s="8">
        <v>124951527</v>
      </c>
      <c r="CW175" s="8">
        <v>139838527</v>
      </c>
      <c r="CX175" s="8">
        <v>139838527</v>
      </c>
      <c r="CY175" s="8">
        <v>139947527</v>
      </c>
      <c r="CZ175" s="8">
        <v>139922527</v>
      </c>
      <c r="DA175" s="8">
        <v>135541831</v>
      </c>
      <c r="DB175" s="9">
        <f t="shared" si="140"/>
        <v>135541831</v>
      </c>
      <c r="DC175" s="8">
        <v>166182827</v>
      </c>
      <c r="DD175" s="8">
        <v>176712602</v>
      </c>
      <c r="DE175" s="8">
        <v>176712602</v>
      </c>
      <c r="DF175" s="8">
        <v>176712602</v>
      </c>
      <c r="DG175" s="8">
        <v>176712602</v>
      </c>
      <c r="DH175" s="8">
        <v>176712602</v>
      </c>
      <c r="DI175" s="8">
        <v>176712602</v>
      </c>
      <c r="DJ175" s="8">
        <v>176712602</v>
      </c>
      <c r="DK175" s="8">
        <v>189372602</v>
      </c>
      <c r="DL175" s="8">
        <v>189372602</v>
      </c>
      <c r="DM175" s="8">
        <v>189574580</v>
      </c>
      <c r="DN175" s="8">
        <v>186565323</v>
      </c>
      <c r="DO175" s="9">
        <f t="shared" si="141"/>
        <v>186565323</v>
      </c>
      <c r="DP175" s="8">
        <v>199830432</v>
      </c>
      <c r="DQ175" s="8">
        <v>200242044</v>
      </c>
      <c r="DR175" s="8">
        <v>200242044</v>
      </c>
      <c r="DS175" s="8">
        <v>200512403</v>
      </c>
      <c r="DT175" s="8">
        <v>200512403</v>
      </c>
      <c r="DU175" s="8">
        <v>208512403</v>
      </c>
      <c r="DV175" s="8">
        <v>208512403</v>
      </c>
      <c r="DW175" s="8">
        <v>208512403</v>
      </c>
      <c r="DX175" s="8">
        <v>208512403</v>
      </c>
      <c r="DY175" s="8">
        <v>208512403</v>
      </c>
      <c r="DZ175" s="8">
        <v>194685163</v>
      </c>
      <c r="EA175" s="8">
        <v>194165737</v>
      </c>
      <c r="EB175" s="9">
        <f t="shared" si="142"/>
        <v>194165737</v>
      </c>
      <c r="EC175" s="8">
        <v>225771051</v>
      </c>
      <c r="ED175" s="8">
        <v>225771051</v>
      </c>
      <c r="EE175" s="8">
        <v>226444734</v>
      </c>
      <c r="EF175" s="8">
        <v>226444734</v>
      </c>
      <c r="EG175" s="8">
        <v>226444734</v>
      </c>
      <c r="EH175" s="8">
        <v>226444734</v>
      </c>
      <c r="EI175" s="8">
        <v>227008185</v>
      </c>
      <c r="EJ175" s="8">
        <v>269598971</v>
      </c>
      <c r="EK175" s="8">
        <v>269598971</v>
      </c>
      <c r="EL175" s="8">
        <v>268086083</v>
      </c>
      <c r="EM175" s="8">
        <v>268086083</v>
      </c>
      <c r="EN175" s="8">
        <v>226125474</v>
      </c>
      <c r="EO175" s="9">
        <f t="shared" si="143"/>
        <v>226125474</v>
      </c>
      <c r="EP175" s="8">
        <v>286562984</v>
      </c>
      <c r="EQ175" s="8">
        <v>330490553</v>
      </c>
      <c r="ER175" s="8">
        <v>330490553</v>
      </c>
      <c r="ES175" s="8">
        <v>330490553</v>
      </c>
      <c r="ET175" s="8">
        <v>330490553</v>
      </c>
      <c r="EU175" s="8">
        <v>330544553</v>
      </c>
      <c r="EV175" s="8">
        <v>325783217</v>
      </c>
      <c r="EW175" s="8">
        <v>325783217</v>
      </c>
      <c r="EX175" s="8">
        <v>325783217</v>
      </c>
      <c r="EY175" s="8">
        <v>314639115</v>
      </c>
      <c r="EZ175" s="8">
        <v>319715115</v>
      </c>
      <c r="FA175" s="8">
        <v>287629766</v>
      </c>
      <c r="FB175" s="9">
        <f t="shared" si="144"/>
        <v>287629766</v>
      </c>
      <c r="FC175" s="8">
        <v>303922147</v>
      </c>
      <c r="FD175" s="8">
        <v>299922147</v>
      </c>
      <c r="FE175" s="8">
        <v>299922147</v>
      </c>
      <c r="FF175" s="8">
        <v>299922147</v>
      </c>
      <c r="FG175" s="8">
        <v>299603973</v>
      </c>
      <c r="FH175" s="8">
        <v>299576213</v>
      </c>
      <c r="FI175" s="8">
        <v>299775335</v>
      </c>
      <c r="FJ175" s="8"/>
      <c r="FK175" s="8"/>
      <c r="FL175" s="8"/>
      <c r="FM175" s="8"/>
      <c r="FN175" s="8"/>
      <c r="FO175" s="9">
        <f t="shared" si="145"/>
        <v>299775335</v>
      </c>
    </row>
    <row r="176" spans="2:171" ht="14.25" customHeight="1" x14ac:dyDescent="0.3">
      <c r="B176" s="7" t="s">
        <v>51</v>
      </c>
      <c r="C176" s="8">
        <v>240699010</v>
      </c>
      <c r="D176" s="8">
        <v>240699010</v>
      </c>
      <c r="E176" s="8">
        <v>233204680</v>
      </c>
      <c r="F176" s="8">
        <v>233204680</v>
      </c>
      <c r="G176" s="8">
        <v>233204680</v>
      </c>
      <c r="H176" s="8">
        <v>216692903</v>
      </c>
      <c r="I176" s="8">
        <v>216692903</v>
      </c>
      <c r="J176" s="8">
        <v>217534103</v>
      </c>
      <c r="K176" s="8">
        <v>259074862</v>
      </c>
      <c r="L176" s="8">
        <v>250282293</v>
      </c>
      <c r="M176" s="8">
        <v>251032584</v>
      </c>
      <c r="N176" s="8">
        <v>262068706</v>
      </c>
      <c r="O176" s="9">
        <f t="shared" si="133"/>
        <v>262068706</v>
      </c>
      <c r="P176" s="8">
        <v>257903024</v>
      </c>
      <c r="Q176" s="8">
        <v>266543748</v>
      </c>
      <c r="R176" s="8">
        <v>255740261</v>
      </c>
      <c r="S176" s="8">
        <v>255740261</v>
      </c>
      <c r="T176" s="8">
        <v>255740261</v>
      </c>
      <c r="U176" s="8">
        <v>264420470</v>
      </c>
      <c r="V176" s="8">
        <v>263255030</v>
      </c>
      <c r="W176" s="8">
        <v>263255030</v>
      </c>
      <c r="X176" s="8">
        <v>262241626</v>
      </c>
      <c r="Y176" s="8">
        <v>262241626</v>
      </c>
      <c r="Z176" s="8">
        <v>262346626</v>
      </c>
      <c r="AA176" s="8">
        <v>256633923</v>
      </c>
      <c r="AB176" s="9">
        <f t="shared" si="134"/>
        <v>256633923</v>
      </c>
      <c r="AC176" s="8">
        <v>290438181</v>
      </c>
      <c r="AD176" s="8">
        <v>286751793</v>
      </c>
      <c r="AE176" s="8">
        <v>286751793</v>
      </c>
      <c r="AF176" s="8">
        <v>277751793</v>
      </c>
      <c r="AG176" s="8">
        <v>276490907</v>
      </c>
      <c r="AH176" s="8">
        <v>268964912</v>
      </c>
      <c r="AI176" s="8">
        <v>268964912</v>
      </c>
      <c r="AJ176" s="8">
        <v>267959620</v>
      </c>
      <c r="AK176" s="8">
        <v>266706026</v>
      </c>
      <c r="AL176" s="8">
        <v>267098474</v>
      </c>
      <c r="AM176" s="8">
        <v>258707532</v>
      </c>
      <c r="AN176" s="8">
        <v>236240336</v>
      </c>
      <c r="AO176" s="9">
        <f t="shared" si="135"/>
        <v>236240336</v>
      </c>
      <c r="AP176" s="8">
        <v>270594022</v>
      </c>
      <c r="AQ176" s="8">
        <v>276032508</v>
      </c>
      <c r="AR176" s="8">
        <v>274403834</v>
      </c>
      <c r="AS176" s="8">
        <v>268898859</v>
      </c>
      <c r="AT176" s="8">
        <v>264303859</v>
      </c>
      <c r="AU176" s="8">
        <v>238333280</v>
      </c>
      <c r="AV176" s="8">
        <v>238333280</v>
      </c>
      <c r="AW176" s="8">
        <v>238388280</v>
      </c>
      <c r="AX176" s="8">
        <v>238388280</v>
      </c>
      <c r="AY176" s="8">
        <v>230488280</v>
      </c>
      <c r="AZ176" s="8">
        <v>230488280</v>
      </c>
      <c r="BA176" s="8">
        <v>249067739</v>
      </c>
      <c r="BB176" s="9">
        <f t="shared" si="136"/>
        <v>249067739</v>
      </c>
      <c r="BC176" s="8">
        <v>271308769</v>
      </c>
      <c r="BD176" s="8">
        <v>273688666</v>
      </c>
      <c r="BE176" s="8">
        <v>273688666</v>
      </c>
      <c r="BF176" s="8">
        <v>273688666</v>
      </c>
      <c r="BG176" s="8">
        <v>273688666</v>
      </c>
      <c r="BH176" s="8">
        <v>273688666</v>
      </c>
      <c r="BI176" s="8">
        <v>269792952</v>
      </c>
      <c r="BJ176" s="8">
        <v>273223922</v>
      </c>
      <c r="BK176" s="8">
        <v>273223922</v>
      </c>
      <c r="BL176" s="8">
        <v>281637934</v>
      </c>
      <c r="BM176" s="8">
        <v>281904404</v>
      </c>
      <c r="BN176" s="8">
        <v>288258593</v>
      </c>
      <c r="BO176" s="9">
        <f t="shared" si="137"/>
        <v>288258593</v>
      </c>
      <c r="BP176" s="8">
        <v>315455128</v>
      </c>
      <c r="BQ176" s="8">
        <v>315455128</v>
      </c>
      <c r="BR176" s="8">
        <v>315707611</v>
      </c>
      <c r="BS176" s="8">
        <v>318437860</v>
      </c>
      <c r="BT176" s="8">
        <v>318437860</v>
      </c>
      <c r="BU176" s="8">
        <v>318437860</v>
      </c>
      <c r="BV176" s="8">
        <v>324402837</v>
      </c>
      <c r="BW176" s="8">
        <v>317096327</v>
      </c>
      <c r="BX176" s="8">
        <v>339935662</v>
      </c>
      <c r="BY176" s="8">
        <v>339935662</v>
      </c>
      <c r="BZ176" s="8">
        <v>340309742</v>
      </c>
      <c r="CA176" s="8">
        <v>340404681</v>
      </c>
      <c r="CB176" s="9">
        <f t="shared" si="138"/>
        <v>340404681</v>
      </c>
      <c r="CC176" s="8">
        <v>323949338</v>
      </c>
      <c r="CD176" s="8">
        <v>323949338</v>
      </c>
      <c r="CE176" s="8">
        <v>323949338</v>
      </c>
      <c r="CF176" s="8">
        <v>324319338</v>
      </c>
      <c r="CG176" s="8">
        <v>243944710</v>
      </c>
      <c r="CH176" s="8">
        <v>243944710</v>
      </c>
      <c r="CI176" s="8">
        <v>243944710</v>
      </c>
      <c r="CJ176" s="8">
        <v>243944710</v>
      </c>
      <c r="CK176" s="8">
        <v>243520395</v>
      </c>
      <c r="CL176" s="8">
        <v>291997320</v>
      </c>
      <c r="CM176" s="8">
        <v>291981320</v>
      </c>
      <c r="CN176" s="8">
        <v>304424514</v>
      </c>
      <c r="CO176" s="9">
        <f t="shared" si="139"/>
        <v>304424514</v>
      </c>
      <c r="CP176" s="8">
        <v>332881709</v>
      </c>
      <c r="CQ176" s="8">
        <v>332881709</v>
      </c>
      <c r="CR176" s="8">
        <v>332881709</v>
      </c>
      <c r="CS176" s="8">
        <v>334118228</v>
      </c>
      <c r="CT176" s="8">
        <v>322562732</v>
      </c>
      <c r="CU176" s="8">
        <v>322562732</v>
      </c>
      <c r="CV176" s="8">
        <v>322562732</v>
      </c>
      <c r="CW176" s="8">
        <v>321453941</v>
      </c>
      <c r="CX176" s="8">
        <v>322412109</v>
      </c>
      <c r="CY176" s="8">
        <v>323806044</v>
      </c>
      <c r="CZ176" s="8">
        <v>350855497</v>
      </c>
      <c r="DA176" s="8">
        <v>370793232</v>
      </c>
      <c r="DB176" s="9">
        <f t="shared" si="140"/>
        <v>370793232</v>
      </c>
      <c r="DC176" s="8">
        <v>406538500</v>
      </c>
      <c r="DD176" s="8">
        <v>441626360</v>
      </c>
      <c r="DE176" s="8">
        <v>441626360</v>
      </c>
      <c r="DF176" s="8">
        <v>439111845</v>
      </c>
      <c r="DG176" s="8">
        <v>439492557</v>
      </c>
      <c r="DH176" s="8">
        <v>439492557</v>
      </c>
      <c r="DI176" s="8">
        <v>439492557</v>
      </c>
      <c r="DJ176" s="8">
        <v>439735414</v>
      </c>
      <c r="DK176" s="8">
        <v>467217631</v>
      </c>
      <c r="DL176" s="8">
        <v>438008416</v>
      </c>
      <c r="DM176" s="8">
        <v>438088416</v>
      </c>
      <c r="DN176" s="8">
        <v>520035480</v>
      </c>
      <c r="DO176" s="9">
        <f t="shared" si="141"/>
        <v>520035480</v>
      </c>
      <c r="DP176" s="8">
        <v>387419275</v>
      </c>
      <c r="DQ176" s="8">
        <v>389208436</v>
      </c>
      <c r="DR176" s="8">
        <v>389208436</v>
      </c>
      <c r="DS176" s="8">
        <v>389208436</v>
      </c>
      <c r="DT176" s="8">
        <v>389208436</v>
      </c>
      <c r="DU176" s="8">
        <v>412671410</v>
      </c>
      <c r="DV176" s="8">
        <v>412671410</v>
      </c>
      <c r="DW176" s="8">
        <v>412671410</v>
      </c>
      <c r="DX176" s="8">
        <v>412671410</v>
      </c>
      <c r="DY176" s="8">
        <v>413134384</v>
      </c>
      <c r="DZ176" s="8">
        <v>453383732</v>
      </c>
      <c r="EA176" s="8">
        <v>479058544</v>
      </c>
      <c r="EB176" s="9">
        <f t="shared" si="142"/>
        <v>479058544</v>
      </c>
      <c r="EC176" s="8">
        <v>467857630</v>
      </c>
      <c r="ED176" s="8">
        <v>467857630</v>
      </c>
      <c r="EE176" s="8">
        <v>469655094</v>
      </c>
      <c r="EF176" s="8">
        <v>469655094</v>
      </c>
      <c r="EG176" s="8">
        <v>469655094</v>
      </c>
      <c r="EH176" s="8">
        <v>469655094</v>
      </c>
      <c r="EI176" s="8">
        <v>469655094</v>
      </c>
      <c r="EJ176" s="8">
        <v>469655094</v>
      </c>
      <c r="EK176" s="8">
        <v>491655094</v>
      </c>
      <c r="EL176" s="8">
        <v>526150582</v>
      </c>
      <c r="EM176" s="8">
        <v>544848582</v>
      </c>
      <c r="EN176" s="8">
        <v>536507887</v>
      </c>
      <c r="EO176" s="9">
        <f t="shared" si="143"/>
        <v>536507887</v>
      </c>
      <c r="EP176" s="8">
        <v>371219703</v>
      </c>
      <c r="EQ176" s="8">
        <v>371219703</v>
      </c>
      <c r="ER176" s="8">
        <v>371219703</v>
      </c>
      <c r="ES176" s="8">
        <v>371219703</v>
      </c>
      <c r="ET176" s="8">
        <v>371219703</v>
      </c>
      <c r="EU176" s="8">
        <v>373154196</v>
      </c>
      <c r="EV176" s="8">
        <v>401615007</v>
      </c>
      <c r="EW176" s="8">
        <v>401615007</v>
      </c>
      <c r="EX176" s="8">
        <v>401615007</v>
      </c>
      <c r="EY176" s="8">
        <v>471641998</v>
      </c>
      <c r="EZ176" s="8">
        <v>483642998</v>
      </c>
      <c r="FA176" s="8">
        <v>540684218</v>
      </c>
      <c r="FB176" s="9">
        <f t="shared" si="144"/>
        <v>540684218</v>
      </c>
      <c r="FC176" s="8">
        <v>776352146</v>
      </c>
      <c r="FD176" s="8">
        <v>757502146</v>
      </c>
      <c r="FE176" s="8">
        <v>757502146</v>
      </c>
      <c r="FF176" s="8">
        <v>757502146</v>
      </c>
      <c r="FG176" s="8">
        <v>757502146</v>
      </c>
      <c r="FH176" s="8">
        <v>758331938</v>
      </c>
      <c r="FI176" s="8">
        <v>759411467</v>
      </c>
      <c r="FJ176" s="8"/>
      <c r="FK176" s="8"/>
      <c r="FL176" s="8"/>
      <c r="FM176" s="8"/>
      <c r="FN176" s="8"/>
      <c r="FO176" s="9">
        <f t="shared" si="145"/>
        <v>759411467</v>
      </c>
    </row>
    <row r="177" spans="2:171" ht="14.25" customHeight="1" x14ac:dyDescent="0.3">
      <c r="B177" s="7" t="s">
        <v>52</v>
      </c>
      <c r="C177" s="8">
        <v>72739352</v>
      </c>
      <c r="D177" s="8">
        <v>72739352</v>
      </c>
      <c r="E177" s="8">
        <v>73455801</v>
      </c>
      <c r="F177" s="8">
        <v>73455801</v>
      </c>
      <c r="G177" s="8">
        <v>73455801</v>
      </c>
      <c r="H177" s="8">
        <v>76683204</v>
      </c>
      <c r="I177" s="8">
        <v>76683204</v>
      </c>
      <c r="J177" s="8">
        <v>76753819</v>
      </c>
      <c r="K177" s="8">
        <v>73489590</v>
      </c>
      <c r="L177" s="8">
        <v>73489590</v>
      </c>
      <c r="M177" s="8">
        <v>84345550</v>
      </c>
      <c r="N177" s="8">
        <v>85990859</v>
      </c>
      <c r="O177" s="9">
        <f t="shared" si="133"/>
        <v>85990859</v>
      </c>
      <c r="P177" s="8">
        <v>66281634</v>
      </c>
      <c r="Q177" s="8">
        <v>67800017</v>
      </c>
      <c r="R177" s="8">
        <v>67800017</v>
      </c>
      <c r="S177" s="8">
        <v>67543534</v>
      </c>
      <c r="T177" s="8">
        <v>67543534</v>
      </c>
      <c r="U177" s="8">
        <v>69547921</v>
      </c>
      <c r="V177" s="8">
        <v>69547921</v>
      </c>
      <c r="W177" s="8">
        <v>69547921</v>
      </c>
      <c r="X177" s="8">
        <v>68725272</v>
      </c>
      <c r="Y177" s="8">
        <v>68725272</v>
      </c>
      <c r="Z177" s="8">
        <v>68759272</v>
      </c>
      <c r="AA177" s="8">
        <v>68691017</v>
      </c>
      <c r="AB177" s="9">
        <f t="shared" si="134"/>
        <v>68691017</v>
      </c>
      <c r="AC177" s="8">
        <v>71432638</v>
      </c>
      <c r="AD177" s="8">
        <v>72057467</v>
      </c>
      <c r="AE177" s="8">
        <v>72057467</v>
      </c>
      <c r="AF177" s="8">
        <v>72057467</v>
      </c>
      <c r="AG177" s="8">
        <v>72167467</v>
      </c>
      <c r="AH177" s="8">
        <v>72282374</v>
      </c>
      <c r="AI177" s="8">
        <v>72282374</v>
      </c>
      <c r="AJ177" s="8">
        <v>69221670</v>
      </c>
      <c r="AK177" s="8">
        <v>69221670</v>
      </c>
      <c r="AL177" s="8">
        <v>69221670</v>
      </c>
      <c r="AM177" s="8">
        <v>68640542</v>
      </c>
      <c r="AN177" s="8">
        <v>74083967</v>
      </c>
      <c r="AO177" s="9">
        <f t="shared" si="135"/>
        <v>74083967</v>
      </c>
      <c r="AP177" s="8">
        <v>61503845</v>
      </c>
      <c r="AQ177" s="8">
        <v>61732947</v>
      </c>
      <c r="AR177" s="8">
        <v>61732947</v>
      </c>
      <c r="AS177" s="8">
        <v>61732947</v>
      </c>
      <c r="AT177" s="8">
        <v>61732947</v>
      </c>
      <c r="AU177" s="8">
        <v>62395810</v>
      </c>
      <c r="AV177" s="8">
        <v>62395810</v>
      </c>
      <c r="AW177" s="8">
        <v>62090544</v>
      </c>
      <c r="AX177" s="8">
        <v>62090544</v>
      </c>
      <c r="AY177" s="8">
        <v>69591264</v>
      </c>
      <c r="AZ177" s="8">
        <v>73911264</v>
      </c>
      <c r="BA177" s="8">
        <v>74524042</v>
      </c>
      <c r="BB177" s="9">
        <f t="shared" si="136"/>
        <v>74524042</v>
      </c>
      <c r="BC177" s="8">
        <v>67089204</v>
      </c>
      <c r="BD177" s="8">
        <v>67328510</v>
      </c>
      <c r="BE177" s="8">
        <v>67328510</v>
      </c>
      <c r="BF177" s="8">
        <v>67328510</v>
      </c>
      <c r="BG177" s="8">
        <v>67328510</v>
      </c>
      <c r="BH177" s="8">
        <v>67328510</v>
      </c>
      <c r="BI177" s="8">
        <v>67328510</v>
      </c>
      <c r="BJ177" s="8">
        <v>67401371</v>
      </c>
      <c r="BK177" s="8">
        <v>67401371</v>
      </c>
      <c r="BL177" s="8">
        <v>66404371</v>
      </c>
      <c r="BM177" s="8">
        <v>66404371</v>
      </c>
      <c r="BN177" s="8">
        <v>68687957</v>
      </c>
      <c r="BO177" s="9">
        <f t="shared" si="137"/>
        <v>68687957</v>
      </c>
      <c r="BP177" s="8">
        <v>58270832</v>
      </c>
      <c r="BQ177" s="8">
        <v>58270832</v>
      </c>
      <c r="BR177" s="8">
        <v>58982581</v>
      </c>
      <c r="BS177" s="8">
        <v>58982581</v>
      </c>
      <c r="BT177" s="8">
        <v>58982581</v>
      </c>
      <c r="BU177" s="8">
        <v>58982581</v>
      </c>
      <c r="BV177" s="8">
        <v>60878239</v>
      </c>
      <c r="BW177" s="8">
        <v>68049810</v>
      </c>
      <c r="BX177" s="8">
        <v>84115289</v>
      </c>
      <c r="BY177" s="8">
        <v>84115289</v>
      </c>
      <c r="BZ177" s="8">
        <v>84115289</v>
      </c>
      <c r="CA177" s="8">
        <v>82692344</v>
      </c>
      <c r="CB177" s="9">
        <f t="shared" si="138"/>
        <v>82692344</v>
      </c>
      <c r="CC177" s="8">
        <v>59866885</v>
      </c>
      <c r="CD177" s="8">
        <v>59866885</v>
      </c>
      <c r="CE177" s="8">
        <v>59866885</v>
      </c>
      <c r="CF177" s="8">
        <v>67272503</v>
      </c>
      <c r="CG177" s="8">
        <v>50974865</v>
      </c>
      <c r="CH177" s="8">
        <v>50974865</v>
      </c>
      <c r="CI177" s="8">
        <v>50974865</v>
      </c>
      <c r="CJ177" s="8">
        <v>50974865</v>
      </c>
      <c r="CK177" s="8">
        <v>51134865</v>
      </c>
      <c r="CL177" s="8">
        <v>53976792</v>
      </c>
      <c r="CM177" s="8">
        <v>53982792</v>
      </c>
      <c r="CN177" s="8">
        <v>58150047</v>
      </c>
      <c r="CO177" s="9">
        <f t="shared" si="139"/>
        <v>58150047</v>
      </c>
      <c r="CP177" s="8">
        <v>71654272</v>
      </c>
      <c r="CQ177" s="8">
        <v>71654272</v>
      </c>
      <c r="CR177" s="8">
        <v>71654272</v>
      </c>
      <c r="CS177" s="8">
        <v>71654272</v>
      </c>
      <c r="CT177" s="8">
        <v>68504970</v>
      </c>
      <c r="CU177" s="8">
        <v>68504970</v>
      </c>
      <c r="CV177" s="8">
        <v>68504970</v>
      </c>
      <c r="CW177" s="8">
        <v>99481570</v>
      </c>
      <c r="CX177" s="8">
        <v>99481570</v>
      </c>
      <c r="CY177" s="8">
        <v>103557209</v>
      </c>
      <c r="CZ177" s="8">
        <v>115540209</v>
      </c>
      <c r="DA177" s="8">
        <v>117188222</v>
      </c>
      <c r="DB177" s="9">
        <f t="shared" si="140"/>
        <v>117188222</v>
      </c>
      <c r="DC177" s="8">
        <v>77138039</v>
      </c>
      <c r="DD177" s="8">
        <v>83569182</v>
      </c>
      <c r="DE177" s="8">
        <v>82479467</v>
      </c>
      <c r="DF177" s="8">
        <v>82479467</v>
      </c>
      <c r="DG177" s="8">
        <v>82479467</v>
      </c>
      <c r="DH177" s="8">
        <v>82479467</v>
      </c>
      <c r="DI177" s="8">
        <v>82479467</v>
      </c>
      <c r="DJ177" s="8">
        <v>82479467</v>
      </c>
      <c r="DK177" s="8">
        <v>108393467</v>
      </c>
      <c r="DL177" s="8">
        <v>108393467</v>
      </c>
      <c r="DM177" s="8">
        <v>108473467</v>
      </c>
      <c r="DN177" s="8">
        <v>98456018</v>
      </c>
      <c r="DO177" s="9">
        <f t="shared" si="141"/>
        <v>98456018</v>
      </c>
      <c r="DP177" s="8">
        <v>130494761</v>
      </c>
      <c r="DQ177" s="8">
        <v>130614761</v>
      </c>
      <c r="DR177" s="8">
        <v>130614761</v>
      </c>
      <c r="DS177" s="8">
        <v>130614761</v>
      </c>
      <c r="DT177" s="8">
        <v>130614761</v>
      </c>
      <c r="DU177" s="8">
        <v>130893605</v>
      </c>
      <c r="DV177" s="8">
        <v>131280030</v>
      </c>
      <c r="DW177" s="8">
        <v>131280030</v>
      </c>
      <c r="DX177" s="8">
        <v>131280030</v>
      </c>
      <c r="DY177" s="8">
        <v>131280030</v>
      </c>
      <c r="DZ177" s="8">
        <v>121369140</v>
      </c>
      <c r="EA177" s="8">
        <v>115468655</v>
      </c>
      <c r="EB177" s="9">
        <f t="shared" si="142"/>
        <v>115468655</v>
      </c>
      <c r="EC177" s="8">
        <v>164160945</v>
      </c>
      <c r="ED177" s="8">
        <v>164160945</v>
      </c>
      <c r="EE177" s="8">
        <v>164788137</v>
      </c>
      <c r="EF177" s="8">
        <v>164788137</v>
      </c>
      <c r="EG177" s="8">
        <v>164810704</v>
      </c>
      <c r="EH177" s="8">
        <v>164810704</v>
      </c>
      <c r="EI177" s="8">
        <v>165176824</v>
      </c>
      <c r="EJ177" s="8">
        <v>165176824</v>
      </c>
      <c r="EK177" s="8">
        <v>167176824</v>
      </c>
      <c r="EL177" s="8">
        <v>173976760</v>
      </c>
      <c r="EM177" s="8">
        <v>173976760</v>
      </c>
      <c r="EN177" s="8">
        <v>172944682</v>
      </c>
      <c r="EO177" s="9">
        <f t="shared" si="143"/>
        <v>172944682</v>
      </c>
      <c r="EP177" s="8">
        <v>192275210</v>
      </c>
      <c r="EQ177" s="8">
        <v>192275210</v>
      </c>
      <c r="ER177" s="8">
        <v>192523010</v>
      </c>
      <c r="ES177" s="8">
        <v>192523010</v>
      </c>
      <c r="ET177" s="8">
        <v>192523010</v>
      </c>
      <c r="EU177" s="8">
        <v>192523010</v>
      </c>
      <c r="EV177" s="8">
        <v>201434593</v>
      </c>
      <c r="EW177" s="8">
        <v>201434593</v>
      </c>
      <c r="EX177" s="8">
        <v>201434593</v>
      </c>
      <c r="EY177" s="8">
        <v>179316698</v>
      </c>
      <c r="EZ177" s="8">
        <v>175464498</v>
      </c>
      <c r="FA177" s="8">
        <v>162893531</v>
      </c>
      <c r="FB177" s="9">
        <f t="shared" si="144"/>
        <v>162893531</v>
      </c>
      <c r="FC177" s="8">
        <v>196116811</v>
      </c>
      <c r="FD177" s="8">
        <v>192116811</v>
      </c>
      <c r="FE177" s="8">
        <v>192116811</v>
      </c>
      <c r="FF177" s="8">
        <v>192116811</v>
      </c>
      <c r="FG177" s="8">
        <v>192116811</v>
      </c>
      <c r="FH177" s="8">
        <v>193385572</v>
      </c>
      <c r="FI177" s="8">
        <v>193385572</v>
      </c>
      <c r="FJ177" s="8"/>
      <c r="FK177" s="8"/>
      <c r="FL177" s="8"/>
      <c r="FM177" s="8"/>
      <c r="FN177" s="8"/>
      <c r="FO177" s="9">
        <f t="shared" si="145"/>
        <v>193385572</v>
      </c>
    </row>
    <row r="178" spans="2:171" ht="14.25" customHeight="1" x14ac:dyDescent="0.3">
      <c r="B178" s="7" t="s">
        <v>53</v>
      </c>
      <c r="C178" s="8">
        <v>78925459</v>
      </c>
      <c r="D178" s="8">
        <v>78925459</v>
      </c>
      <c r="E178" s="8">
        <v>79663962</v>
      </c>
      <c r="F178" s="8">
        <v>79663962</v>
      </c>
      <c r="G178" s="8">
        <v>79663962</v>
      </c>
      <c r="H178" s="8">
        <v>100679930</v>
      </c>
      <c r="I178" s="8">
        <v>100679930</v>
      </c>
      <c r="J178" s="8">
        <v>100962686</v>
      </c>
      <c r="K178" s="8">
        <v>112969267</v>
      </c>
      <c r="L178" s="8">
        <v>112969267</v>
      </c>
      <c r="M178" s="8">
        <v>128853800</v>
      </c>
      <c r="N178" s="8">
        <v>129332765</v>
      </c>
      <c r="O178" s="9">
        <f t="shared" si="133"/>
        <v>129332765</v>
      </c>
      <c r="P178" s="8">
        <v>84901921</v>
      </c>
      <c r="Q178" s="8">
        <v>86074227</v>
      </c>
      <c r="R178" s="8">
        <v>86074227</v>
      </c>
      <c r="S178" s="8">
        <v>86074227</v>
      </c>
      <c r="T178" s="8">
        <v>86074227</v>
      </c>
      <c r="U178" s="8">
        <v>98189850</v>
      </c>
      <c r="V178" s="8">
        <v>98189850</v>
      </c>
      <c r="W178" s="8">
        <v>103462530</v>
      </c>
      <c r="X178" s="8">
        <v>102716595</v>
      </c>
      <c r="Y178" s="8">
        <v>106420202</v>
      </c>
      <c r="Z178" s="8">
        <v>106430202</v>
      </c>
      <c r="AA178" s="8">
        <v>115797147</v>
      </c>
      <c r="AB178" s="9">
        <f t="shared" si="134"/>
        <v>115797147</v>
      </c>
      <c r="AC178" s="8">
        <v>108577051</v>
      </c>
      <c r="AD178" s="8">
        <v>110901457</v>
      </c>
      <c r="AE178" s="8">
        <v>110901457</v>
      </c>
      <c r="AF178" s="8">
        <v>110771197</v>
      </c>
      <c r="AG178" s="8">
        <v>110771197</v>
      </c>
      <c r="AH178" s="8">
        <v>119561014</v>
      </c>
      <c r="AI178" s="8">
        <v>119561014</v>
      </c>
      <c r="AJ178" s="8">
        <v>119573237</v>
      </c>
      <c r="AK178" s="8">
        <v>119573237</v>
      </c>
      <c r="AL178" s="8">
        <v>119683930</v>
      </c>
      <c r="AM178" s="8">
        <v>119683930</v>
      </c>
      <c r="AN178" s="8">
        <v>120378026</v>
      </c>
      <c r="AO178" s="9">
        <f t="shared" si="135"/>
        <v>120378026</v>
      </c>
      <c r="AP178" s="8">
        <v>111168013</v>
      </c>
      <c r="AQ178" s="8">
        <v>113136203</v>
      </c>
      <c r="AR178" s="8">
        <v>113136203</v>
      </c>
      <c r="AS178" s="8">
        <v>113136203</v>
      </c>
      <c r="AT178" s="8">
        <v>113136203</v>
      </c>
      <c r="AU178" s="8">
        <v>105915895</v>
      </c>
      <c r="AV178" s="8">
        <v>105915895</v>
      </c>
      <c r="AW178" s="8">
        <v>106136375</v>
      </c>
      <c r="AX178" s="8">
        <v>106136375</v>
      </c>
      <c r="AY178" s="8">
        <v>106236375</v>
      </c>
      <c r="AZ178" s="8">
        <v>106236375</v>
      </c>
      <c r="BA178" s="8">
        <v>108751503</v>
      </c>
      <c r="BB178" s="9">
        <f t="shared" si="136"/>
        <v>108751503</v>
      </c>
      <c r="BC178" s="8">
        <v>99845880</v>
      </c>
      <c r="BD178" s="8">
        <v>100822312</v>
      </c>
      <c r="BE178" s="8">
        <v>100822312</v>
      </c>
      <c r="BF178" s="8">
        <v>100822312</v>
      </c>
      <c r="BG178" s="8">
        <v>100822312</v>
      </c>
      <c r="BH178" s="8">
        <v>100822312</v>
      </c>
      <c r="BI178" s="8">
        <v>100845880</v>
      </c>
      <c r="BJ178" s="8">
        <v>96983381</v>
      </c>
      <c r="BK178" s="8">
        <v>96983381</v>
      </c>
      <c r="BL178" s="8">
        <v>95483381</v>
      </c>
      <c r="BM178" s="8">
        <v>95483381</v>
      </c>
      <c r="BN178" s="8">
        <v>95483381</v>
      </c>
      <c r="BO178" s="9">
        <f t="shared" si="137"/>
        <v>95483381</v>
      </c>
      <c r="BP178" s="8">
        <v>117632095</v>
      </c>
      <c r="BQ178" s="8">
        <v>117632095</v>
      </c>
      <c r="BR178" s="8">
        <v>118285616</v>
      </c>
      <c r="BS178" s="8">
        <v>118285616</v>
      </c>
      <c r="BT178" s="8">
        <v>118285616</v>
      </c>
      <c r="BU178" s="8">
        <v>118285616</v>
      </c>
      <c r="BV178" s="8">
        <v>118019645</v>
      </c>
      <c r="BW178" s="8">
        <v>116519645</v>
      </c>
      <c r="BX178" s="8">
        <v>122819645</v>
      </c>
      <c r="BY178" s="8">
        <v>122819645</v>
      </c>
      <c r="BZ178" s="8">
        <v>122819645</v>
      </c>
      <c r="CA178" s="8">
        <v>123156920</v>
      </c>
      <c r="CB178" s="9">
        <f t="shared" si="138"/>
        <v>123156920</v>
      </c>
      <c r="CC178" s="8">
        <v>120828269</v>
      </c>
      <c r="CD178" s="8">
        <v>120828269</v>
      </c>
      <c r="CE178" s="8">
        <v>120828269</v>
      </c>
      <c r="CF178" s="8">
        <v>120908269</v>
      </c>
      <c r="CG178" s="8">
        <v>91616670</v>
      </c>
      <c r="CH178" s="8">
        <v>91616670</v>
      </c>
      <c r="CI178" s="8">
        <v>91616670</v>
      </c>
      <c r="CJ178" s="8">
        <v>91616670</v>
      </c>
      <c r="CK178" s="8">
        <v>92135670</v>
      </c>
      <c r="CL178" s="8">
        <v>127861124</v>
      </c>
      <c r="CM178" s="8">
        <v>127867124</v>
      </c>
      <c r="CN178" s="8">
        <v>133768378</v>
      </c>
      <c r="CO178" s="9">
        <f t="shared" si="139"/>
        <v>133768378</v>
      </c>
      <c r="CP178" s="8">
        <v>137108361</v>
      </c>
      <c r="CQ178" s="8">
        <v>137108361</v>
      </c>
      <c r="CR178" s="8">
        <v>137108361</v>
      </c>
      <c r="CS178" s="8">
        <v>137108361</v>
      </c>
      <c r="CT178" s="8">
        <v>135583256</v>
      </c>
      <c r="CU178" s="8">
        <v>135583256</v>
      </c>
      <c r="CV178" s="8">
        <v>135566295</v>
      </c>
      <c r="CW178" s="8">
        <v>136982295</v>
      </c>
      <c r="CX178" s="8">
        <v>136982295</v>
      </c>
      <c r="CY178" s="8">
        <v>137710556</v>
      </c>
      <c r="CZ178" s="8">
        <v>139777952</v>
      </c>
      <c r="DA178" s="8">
        <v>138092751</v>
      </c>
      <c r="DB178" s="9">
        <f t="shared" si="140"/>
        <v>138092751</v>
      </c>
      <c r="DC178" s="8">
        <v>145731691</v>
      </c>
      <c r="DD178" s="8">
        <v>158898570</v>
      </c>
      <c r="DE178" s="8">
        <v>158898570</v>
      </c>
      <c r="DF178" s="8">
        <v>158898570</v>
      </c>
      <c r="DG178" s="8">
        <v>158864744</v>
      </c>
      <c r="DH178" s="8">
        <v>158864744</v>
      </c>
      <c r="DI178" s="8">
        <v>158864744</v>
      </c>
      <c r="DJ178" s="8">
        <v>159264744</v>
      </c>
      <c r="DK178" s="8">
        <v>161504744</v>
      </c>
      <c r="DL178" s="8">
        <v>167707660</v>
      </c>
      <c r="DM178" s="8">
        <v>168187660</v>
      </c>
      <c r="DN178" s="8">
        <v>167624775</v>
      </c>
      <c r="DO178" s="9">
        <f t="shared" si="141"/>
        <v>167624775</v>
      </c>
      <c r="DP178" s="8">
        <v>175636178</v>
      </c>
      <c r="DQ178" s="8">
        <v>176796178</v>
      </c>
      <c r="DR178" s="8">
        <v>176796178</v>
      </c>
      <c r="DS178" s="8">
        <v>176876178</v>
      </c>
      <c r="DT178" s="8">
        <v>176877678</v>
      </c>
      <c r="DU178" s="8">
        <v>191877678</v>
      </c>
      <c r="DV178" s="8">
        <v>191877678</v>
      </c>
      <c r="DW178" s="8">
        <v>191877678</v>
      </c>
      <c r="DX178" s="8">
        <v>191877678</v>
      </c>
      <c r="DY178" s="8">
        <v>191877678</v>
      </c>
      <c r="DZ178" s="8">
        <v>216426514</v>
      </c>
      <c r="EA178" s="8">
        <v>219468834</v>
      </c>
      <c r="EB178" s="9">
        <f t="shared" si="142"/>
        <v>219468834</v>
      </c>
      <c r="EC178" s="8">
        <v>190965901</v>
      </c>
      <c r="ED178" s="8">
        <v>190965901</v>
      </c>
      <c r="EE178" s="8">
        <v>191356201</v>
      </c>
      <c r="EF178" s="8">
        <v>191356201</v>
      </c>
      <c r="EG178" s="8">
        <v>191405200</v>
      </c>
      <c r="EH178" s="8">
        <v>191405200</v>
      </c>
      <c r="EI178" s="8">
        <v>191405200</v>
      </c>
      <c r="EJ178" s="8">
        <v>191405200</v>
      </c>
      <c r="EK178" s="8">
        <v>193405200</v>
      </c>
      <c r="EL178" s="8">
        <v>213655318</v>
      </c>
      <c r="EM178" s="8">
        <v>216655318</v>
      </c>
      <c r="EN178" s="8">
        <v>213444748</v>
      </c>
      <c r="EO178" s="9">
        <f t="shared" si="143"/>
        <v>213444748</v>
      </c>
      <c r="EP178" s="8">
        <v>263292274</v>
      </c>
      <c r="EQ178" s="8">
        <v>263497063</v>
      </c>
      <c r="ER178" s="8">
        <v>263497063</v>
      </c>
      <c r="ES178" s="8">
        <v>263497063</v>
      </c>
      <c r="ET178" s="8">
        <v>263497063</v>
      </c>
      <c r="EU178" s="8">
        <v>263497063</v>
      </c>
      <c r="EV178" s="8">
        <v>263237933</v>
      </c>
      <c r="EW178" s="8">
        <v>263237933</v>
      </c>
      <c r="EX178" s="8">
        <v>263237933</v>
      </c>
      <c r="EY178" s="8">
        <v>256093165</v>
      </c>
      <c r="EZ178" s="8">
        <v>256916287</v>
      </c>
      <c r="FA178" s="8">
        <v>253541087</v>
      </c>
      <c r="FB178" s="9">
        <f t="shared" si="144"/>
        <v>253541087</v>
      </c>
      <c r="FC178" s="8">
        <v>237880088</v>
      </c>
      <c r="FD178" s="8">
        <v>235880088</v>
      </c>
      <c r="FE178" s="8">
        <v>235880088</v>
      </c>
      <c r="FF178" s="8">
        <v>235880088</v>
      </c>
      <c r="FG178" s="8">
        <v>235880088</v>
      </c>
      <c r="FH178" s="8">
        <v>236629939</v>
      </c>
      <c r="FI178" s="8">
        <v>237753345</v>
      </c>
      <c r="FJ178" s="8"/>
      <c r="FK178" s="8"/>
      <c r="FL178" s="8"/>
      <c r="FM178" s="8"/>
      <c r="FN178" s="8"/>
      <c r="FO178" s="9">
        <f t="shared" si="145"/>
        <v>237753345</v>
      </c>
    </row>
    <row r="179" spans="2:171" ht="14.25" customHeight="1" x14ac:dyDescent="0.3">
      <c r="B179" s="7" t="s">
        <v>54</v>
      </c>
      <c r="C179" s="8">
        <v>0</v>
      </c>
      <c r="D179" s="8">
        <v>0</v>
      </c>
      <c r="E179" s="8">
        <v>0</v>
      </c>
      <c r="F179" s="8">
        <v>0</v>
      </c>
      <c r="G179" s="8">
        <v>0</v>
      </c>
      <c r="H179" s="8">
        <v>0</v>
      </c>
      <c r="I179" s="8">
        <v>0</v>
      </c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9">
        <f t="shared" si="133"/>
        <v>0</v>
      </c>
      <c r="P179" s="8">
        <v>0</v>
      </c>
      <c r="Q179" s="8">
        <v>0</v>
      </c>
      <c r="R179" s="8">
        <v>0</v>
      </c>
      <c r="S179" s="8">
        <v>0</v>
      </c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9">
        <f t="shared" si="134"/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9">
        <f t="shared" si="135"/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0</v>
      </c>
      <c r="AU179" s="8">
        <v>0</v>
      </c>
      <c r="AV179" s="8">
        <v>0</v>
      </c>
      <c r="AW179" s="8">
        <v>0</v>
      </c>
      <c r="AX179" s="8">
        <v>0</v>
      </c>
      <c r="AY179" s="8">
        <v>0</v>
      </c>
      <c r="AZ179" s="8">
        <v>0</v>
      </c>
      <c r="BA179" s="8">
        <v>0</v>
      </c>
      <c r="BB179" s="9">
        <f t="shared" si="136"/>
        <v>0</v>
      </c>
      <c r="BC179" s="8">
        <v>0</v>
      </c>
      <c r="BD179" s="8">
        <v>0</v>
      </c>
      <c r="BE179" s="8">
        <v>0</v>
      </c>
      <c r="BF179" s="8">
        <v>0</v>
      </c>
      <c r="BG179" s="8">
        <v>0</v>
      </c>
      <c r="BH179" s="8">
        <v>0</v>
      </c>
      <c r="BI179" s="8">
        <v>0</v>
      </c>
      <c r="BJ179" s="8">
        <v>0</v>
      </c>
      <c r="BK179" s="8">
        <v>0</v>
      </c>
      <c r="BL179" s="8">
        <v>0</v>
      </c>
      <c r="BM179" s="8">
        <v>0</v>
      </c>
      <c r="BN179" s="8">
        <v>0</v>
      </c>
      <c r="BO179" s="9">
        <f t="shared" si="137"/>
        <v>0</v>
      </c>
      <c r="BP179" s="8">
        <v>2000010</v>
      </c>
      <c r="BQ179" s="8">
        <v>2000010</v>
      </c>
      <c r="BR179" s="8">
        <v>2000010</v>
      </c>
      <c r="BS179" s="8">
        <v>2000010</v>
      </c>
      <c r="BT179" s="8">
        <v>2000010</v>
      </c>
      <c r="BU179" s="8">
        <v>2000010</v>
      </c>
      <c r="BV179" s="8">
        <v>2000010</v>
      </c>
      <c r="BW179" s="8">
        <v>1133614</v>
      </c>
      <c r="BX179" s="8">
        <v>1135379</v>
      </c>
      <c r="BY179" s="8">
        <v>1135379</v>
      </c>
      <c r="BZ179" s="8">
        <v>1135379</v>
      </c>
      <c r="CA179" s="8">
        <v>984261</v>
      </c>
      <c r="CB179" s="9">
        <f t="shared" si="138"/>
        <v>984261</v>
      </c>
      <c r="CC179" s="8">
        <v>13371225</v>
      </c>
      <c r="CD179" s="8">
        <v>13371225</v>
      </c>
      <c r="CE179" s="8">
        <v>13371225</v>
      </c>
      <c r="CF179" s="8">
        <v>13371225</v>
      </c>
      <c r="CG179" s="8">
        <v>13371225</v>
      </c>
      <c r="CH179" s="8">
        <v>13371225</v>
      </c>
      <c r="CI179" s="8">
        <v>10162182</v>
      </c>
      <c r="CJ179" s="8">
        <v>10162182</v>
      </c>
      <c r="CK179" s="8">
        <v>11149673</v>
      </c>
      <c r="CL179" s="8">
        <v>11894498</v>
      </c>
      <c r="CM179" s="8">
        <v>11915198</v>
      </c>
      <c r="CN179" s="8">
        <v>14892118</v>
      </c>
      <c r="CO179" s="9">
        <f t="shared" si="139"/>
        <v>14892118</v>
      </c>
      <c r="CP179" s="8">
        <v>32706828</v>
      </c>
      <c r="CQ179" s="8">
        <v>32706828</v>
      </c>
      <c r="CR179" s="8">
        <v>32706828</v>
      </c>
      <c r="CS179" s="8">
        <v>32706828</v>
      </c>
      <c r="CT179" s="8">
        <v>40339761</v>
      </c>
      <c r="CU179" s="8">
        <v>40339761</v>
      </c>
      <c r="CV179" s="8">
        <v>40339761</v>
      </c>
      <c r="CW179" s="8">
        <v>50198744</v>
      </c>
      <c r="CX179" s="8">
        <v>50198744</v>
      </c>
      <c r="CY179" s="8">
        <v>56478126</v>
      </c>
      <c r="CZ179" s="8">
        <v>56980557</v>
      </c>
      <c r="DA179" s="8">
        <v>49684459</v>
      </c>
      <c r="DB179" s="9">
        <f t="shared" si="140"/>
        <v>49684459</v>
      </c>
      <c r="DC179" s="8">
        <v>67680251</v>
      </c>
      <c r="DD179" s="8">
        <v>88400751</v>
      </c>
      <c r="DE179" s="8">
        <v>88400751</v>
      </c>
      <c r="DF179" s="8">
        <v>88400751</v>
      </c>
      <c r="DG179" s="8">
        <v>89406248</v>
      </c>
      <c r="DH179" s="8">
        <v>89406248</v>
      </c>
      <c r="DI179" s="8">
        <v>89406248</v>
      </c>
      <c r="DJ179" s="8">
        <v>89524930</v>
      </c>
      <c r="DK179" s="8">
        <v>89736786</v>
      </c>
      <c r="DL179" s="8">
        <v>89736786</v>
      </c>
      <c r="DM179" s="8">
        <v>89889953</v>
      </c>
      <c r="DN179" s="8">
        <v>92119186</v>
      </c>
      <c r="DO179" s="9">
        <f t="shared" si="141"/>
        <v>92119186</v>
      </c>
      <c r="DP179" s="8">
        <v>111469115</v>
      </c>
      <c r="DQ179" s="8">
        <v>111469115</v>
      </c>
      <c r="DR179" s="8">
        <v>111469115</v>
      </c>
      <c r="DS179" s="8">
        <v>111469115</v>
      </c>
      <c r="DT179" s="8">
        <v>111469115</v>
      </c>
      <c r="DU179" s="8">
        <v>113469115</v>
      </c>
      <c r="DV179" s="8">
        <v>113469115</v>
      </c>
      <c r="DW179" s="8">
        <v>113469115</v>
      </c>
      <c r="DX179" s="8">
        <v>113469115</v>
      </c>
      <c r="DY179" s="8">
        <v>113469115</v>
      </c>
      <c r="DZ179" s="8">
        <v>118629115</v>
      </c>
      <c r="EA179" s="8">
        <v>120515252</v>
      </c>
      <c r="EB179" s="9">
        <f t="shared" si="142"/>
        <v>120515252</v>
      </c>
      <c r="EC179" s="8">
        <v>116664561</v>
      </c>
      <c r="ED179" s="8">
        <v>116664561</v>
      </c>
      <c r="EE179" s="8">
        <v>116744561</v>
      </c>
      <c r="EF179" s="8">
        <v>116744561</v>
      </c>
      <c r="EG179" s="8">
        <v>116844409</v>
      </c>
      <c r="EH179" s="8">
        <v>116844409</v>
      </c>
      <c r="EI179" s="8">
        <v>116844409</v>
      </c>
      <c r="EJ179" s="8">
        <v>116844409</v>
      </c>
      <c r="EK179" s="8">
        <v>119844409</v>
      </c>
      <c r="EL179" s="8">
        <v>142233036</v>
      </c>
      <c r="EM179" s="8">
        <v>142233036</v>
      </c>
      <c r="EN179" s="8">
        <v>154702362</v>
      </c>
      <c r="EO179" s="9">
        <f t="shared" si="143"/>
        <v>154702362</v>
      </c>
      <c r="EP179" s="8">
        <v>154915622</v>
      </c>
      <c r="EQ179" s="8">
        <v>154915622</v>
      </c>
      <c r="ER179" s="8">
        <v>154915622</v>
      </c>
      <c r="ES179" s="8">
        <v>154915622</v>
      </c>
      <c r="ET179" s="8">
        <v>154915622</v>
      </c>
      <c r="EU179" s="8">
        <v>154915622</v>
      </c>
      <c r="EV179" s="8">
        <v>165235367</v>
      </c>
      <c r="EW179" s="8">
        <v>165235367</v>
      </c>
      <c r="EX179" s="8">
        <v>165235367</v>
      </c>
      <c r="EY179" s="8">
        <v>189916720</v>
      </c>
      <c r="EZ179" s="8">
        <v>187467078</v>
      </c>
      <c r="FA179" s="8">
        <v>187909116</v>
      </c>
      <c r="FB179" s="9">
        <f t="shared" si="144"/>
        <v>187909116</v>
      </c>
      <c r="FC179" s="8">
        <v>185909865</v>
      </c>
      <c r="FD179" s="8">
        <v>181909865</v>
      </c>
      <c r="FE179" s="8">
        <v>181909865</v>
      </c>
      <c r="FF179" s="8">
        <v>181909865</v>
      </c>
      <c r="FG179" s="8">
        <v>181909865</v>
      </c>
      <c r="FH179" s="8">
        <v>182635761</v>
      </c>
      <c r="FI179" s="8">
        <v>182989649</v>
      </c>
      <c r="FJ179" s="8"/>
      <c r="FK179" s="8"/>
      <c r="FL179" s="8"/>
      <c r="FM179" s="8"/>
      <c r="FN179" s="8"/>
      <c r="FO179" s="9">
        <f t="shared" si="145"/>
        <v>182989649</v>
      </c>
    </row>
    <row r="180" spans="2:171" ht="14.25" customHeight="1" x14ac:dyDescent="0.3">
      <c r="B180" s="7" t="s">
        <v>55</v>
      </c>
      <c r="C180" s="8">
        <v>121088016</v>
      </c>
      <c r="D180" s="8">
        <v>121088016</v>
      </c>
      <c r="E180" s="8">
        <v>123495040</v>
      </c>
      <c r="F180" s="8">
        <v>123495040</v>
      </c>
      <c r="G180" s="8">
        <v>123495040</v>
      </c>
      <c r="H180" s="8">
        <v>126628037</v>
      </c>
      <c r="I180" s="8">
        <v>126628037</v>
      </c>
      <c r="J180" s="8">
        <v>127431111</v>
      </c>
      <c r="K180" s="8">
        <v>176070524</v>
      </c>
      <c r="L180" s="8">
        <v>176070524</v>
      </c>
      <c r="M180" s="8">
        <v>179616146</v>
      </c>
      <c r="N180" s="8">
        <v>179107744</v>
      </c>
      <c r="O180" s="9">
        <f t="shared" si="133"/>
        <v>179107744</v>
      </c>
      <c r="P180" s="8">
        <v>144537559</v>
      </c>
      <c r="Q180" s="8">
        <v>148076355</v>
      </c>
      <c r="R180" s="8">
        <v>148076355</v>
      </c>
      <c r="S180" s="8">
        <v>148076355</v>
      </c>
      <c r="T180" s="8">
        <v>148076355</v>
      </c>
      <c r="U180" s="8">
        <v>169074466</v>
      </c>
      <c r="V180" s="8">
        <v>169074466</v>
      </c>
      <c r="W180" s="8">
        <v>169074466</v>
      </c>
      <c r="X180" s="8">
        <v>168551163</v>
      </c>
      <c r="Y180" s="8">
        <v>168551163</v>
      </c>
      <c r="Z180" s="8">
        <v>168571163</v>
      </c>
      <c r="AA180" s="8">
        <v>173727395</v>
      </c>
      <c r="AB180" s="9">
        <f t="shared" si="134"/>
        <v>173727395</v>
      </c>
      <c r="AC180" s="8">
        <v>163439440</v>
      </c>
      <c r="AD180" s="8">
        <v>167502789</v>
      </c>
      <c r="AE180" s="8">
        <v>167502789</v>
      </c>
      <c r="AF180" s="8">
        <v>163102789</v>
      </c>
      <c r="AG180" s="8">
        <v>163102789</v>
      </c>
      <c r="AH180" s="8">
        <v>165813229</v>
      </c>
      <c r="AI180" s="8">
        <v>169674187</v>
      </c>
      <c r="AJ180" s="8">
        <v>169217633</v>
      </c>
      <c r="AK180" s="8">
        <v>169217633</v>
      </c>
      <c r="AL180" s="8">
        <v>169217633</v>
      </c>
      <c r="AM180" s="8">
        <v>173147573</v>
      </c>
      <c r="AN180" s="8">
        <v>187496036</v>
      </c>
      <c r="AO180" s="9">
        <f t="shared" si="135"/>
        <v>187496036</v>
      </c>
      <c r="AP180" s="8">
        <v>139176073</v>
      </c>
      <c r="AQ180" s="8">
        <v>141100125</v>
      </c>
      <c r="AR180" s="8">
        <v>141100125</v>
      </c>
      <c r="AS180" s="8">
        <v>141100125</v>
      </c>
      <c r="AT180" s="8">
        <v>141100125</v>
      </c>
      <c r="AU180" s="8">
        <v>168258596</v>
      </c>
      <c r="AV180" s="8">
        <v>168258596</v>
      </c>
      <c r="AW180" s="8">
        <v>168738596</v>
      </c>
      <c r="AX180" s="8">
        <v>168738596</v>
      </c>
      <c r="AY180" s="8">
        <v>178738596</v>
      </c>
      <c r="AZ180" s="8">
        <v>178738596</v>
      </c>
      <c r="BA180" s="8">
        <v>185603393</v>
      </c>
      <c r="BB180" s="9">
        <f t="shared" si="136"/>
        <v>185603393</v>
      </c>
      <c r="BC180" s="8">
        <v>171760244</v>
      </c>
      <c r="BD180" s="8">
        <v>172294916</v>
      </c>
      <c r="BE180" s="8">
        <v>172294916</v>
      </c>
      <c r="BF180" s="8">
        <v>172294916</v>
      </c>
      <c r="BG180" s="8">
        <v>172294916</v>
      </c>
      <c r="BH180" s="8">
        <v>174516434</v>
      </c>
      <c r="BI180" s="8">
        <v>174516434</v>
      </c>
      <c r="BJ180" s="8">
        <v>174516434</v>
      </c>
      <c r="BK180" s="8">
        <v>174516434</v>
      </c>
      <c r="BL180" s="8">
        <v>188116434</v>
      </c>
      <c r="BM180" s="8">
        <v>188116434</v>
      </c>
      <c r="BN180" s="8">
        <v>194070702</v>
      </c>
      <c r="BO180" s="9">
        <f t="shared" si="137"/>
        <v>194070702</v>
      </c>
      <c r="BP180" s="8">
        <v>234561465</v>
      </c>
      <c r="BQ180" s="8">
        <v>234561465</v>
      </c>
      <c r="BR180" s="8">
        <v>235170956</v>
      </c>
      <c r="BS180" s="8">
        <v>235170956</v>
      </c>
      <c r="BT180" s="8">
        <v>235170956</v>
      </c>
      <c r="BU180" s="8">
        <v>234395321</v>
      </c>
      <c r="BV180" s="8">
        <v>238429115</v>
      </c>
      <c r="BW180" s="8">
        <v>239352756</v>
      </c>
      <c r="BX180" s="8">
        <v>267343756</v>
      </c>
      <c r="BY180" s="8">
        <v>267343756</v>
      </c>
      <c r="BZ180" s="8">
        <v>267343756</v>
      </c>
      <c r="CA180" s="8">
        <v>267779999</v>
      </c>
      <c r="CB180" s="9">
        <f t="shared" si="138"/>
        <v>267779999</v>
      </c>
      <c r="CC180" s="8">
        <v>240782468</v>
      </c>
      <c r="CD180" s="8">
        <v>240782468</v>
      </c>
      <c r="CE180" s="8">
        <v>240782468</v>
      </c>
      <c r="CF180" s="8">
        <v>287654323</v>
      </c>
      <c r="CG180" s="8">
        <v>217966327</v>
      </c>
      <c r="CH180" s="8">
        <v>217966327</v>
      </c>
      <c r="CI180" s="8">
        <v>217966327</v>
      </c>
      <c r="CJ180" s="8">
        <v>217966327</v>
      </c>
      <c r="CK180" s="8">
        <v>220309143</v>
      </c>
      <c r="CL180" s="8">
        <v>238346009</v>
      </c>
      <c r="CM180" s="8">
        <v>238252009</v>
      </c>
      <c r="CN180" s="8">
        <v>241173617</v>
      </c>
      <c r="CO180" s="9">
        <f t="shared" si="139"/>
        <v>241173617</v>
      </c>
      <c r="CP180" s="8">
        <v>273426027</v>
      </c>
      <c r="CQ180" s="8">
        <v>273426027</v>
      </c>
      <c r="CR180" s="8">
        <v>273426027</v>
      </c>
      <c r="CS180" s="8">
        <v>272661797</v>
      </c>
      <c r="CT180" s="8">
        <v>269607341</v>
      </c>
      <c r="CU180" s="8">
        <v>269607341</v>
      </c>
      <c r="CV180" s="8">
        <v>269607341</v>
      </c>
      <c r="CW180" s="8">
        <v>244098234</v>
      </c>
      <c r="CX180" s="8">
        <v>244911929</v>
      </c>
      <c r="CY180" s="8">
        <v>245071929</v>
      </c>
      <c r="CZ180" s="8">
        <v>245036929</v>
      </c>
      <c r="DA180" s="8">
        <v>247350627</v>
      </c>
      <c r="DB180" s="9">
        <f t="shared" si="140"/>
        <v>247350627</v>
      </c>
      <c r="DC180" s="8">
        <v>229958421</v>
      </c>
      <c r="DD180" s="8">
        <v>248269635</v>
      </c>
      <c r="DE180" s="8">
        <v>248269635</v>
      </c>
      <c r="DF180" s="8">
        <v>248269635</v>
      </c>
      <c r="DG180" s="8">
        <v>248604168</v>
      </c>
      <c r="DH180" s="8">
        <v>248604168</v>
      </c>
      <c r="DI180" s="8">
        <v>248604168</v>
      </c>
      <c r="DJ180" s="8">
        <v>248604168</v>
      </c>
      <c r="DK180" s="8">
        <v>222179302</v>
      </c>
      <c r="DL180" s="8">
        <v>222179302</v>
      </c>
      <c r="DM180" s="8">
        <v>224869873</v>
      </c>
      <c r="DN180" s="8">
        <v>226989568</v>
      </c>
      <c r="DO180" s="9">
        <f t="shared" si="141"/>
        <v>226989568</v>
      </c>
      <c r="DP180" s="8">
        <v>219835704</v>
      </c>
      <c r="DQ180" s="8">
        <v>219875704</v>
      </c>
      <c r="DR180" s="8">
        <v>219875704</v>
      </c>
      <c r="DS180" s="8">
        <v>219875704</v>
      </c>
      <c r="DT180" s="8">
        <v>219875704</v>
      </c>
      <c r="DU180" s="8">
        <v>229875704</v>
      </c>
      <c r="DV180" s="8">
        <v>229939914</v>
      </c>
      <c r="DW180" s="8">
        <v>229939914</v>
      </c>
      <c r="DX180" s="8">
        <v>229939914</v>
      </c>
      <c r="DY180" s="8">
        <v>229939914</v>
      </c>
      <c r="DZ180" s="8">
        <v>253921925</v>
      </c>
      <c r="EA180" s="8">
        <v>254289795</v>
      </c>
      <c r="EB180" s="9">
        <f t="shared" si="142"/>
        <v>254289795</v>
      </c>
      <c r="EC180" s="8">
        <v>293321880</v>
      </c>
      <c r="ED180" s="8">
        <v>293321880</v>
      </c>
      <c r="EE180" s="8">
        <v>295017448</v>
      </c>
      <c r="EF180" s="8">
        <v>295017448</v>
      </c>
      <c r="EG180" s="8">
        <v>295296897</v>
      </c>
      <c r="EH180" s="8">
        <v>295296897</v>
      </c>
      <c r="EI180" s="8">
        <v>295296897</v>
      </c>
      <c r="EJ180" s="8">
        <v>295296897</v>
      </c>
      <c r="EK180" s="8">
        <v>295296897</v>
      </c>
      <c r="EL180" s="8">
        <v>292814252</v>
      </c>
      <c r="EM180" s="8">
        <v>294214252</v>
      </c>
      <c r="EN180" s="8">
        <v>303934966</v>
      </c>
      <c r="EO180" s="9">
        <f t="shared" si="143"/>
        <v>303934966</v>
      </c>
      <c r="EP180" s="8">
        <v>339023824</v>
      </c>
      <c r="EQ180" s="8">
        <v>339191329</v>
      </c>
      <c r="ER180" s="8">
        <v>339191329</v>
      </c>
      <c r="ES180" s="8">
        <v>339191329</v>
      </c>
      <c r="ET180" s="8">
        <v>339191329</v>
      </c>
      <c r="EU180" s="8">
        <v>339191329</v>
      </c>
      <c r="EV180" s="8">
        <v>358437931</v>
      </c>
      <c r="EW180" s="8">
        <v>358437931</v>
      </c>
      <c r="EX180" s="8">
        <v>358437931</v>
      </c>
      <c r="EY180" s="8">
        <v>339273828</v>
      </c>
      <c r="EZ180" s="8">
        <v>335170414</v>
      </c>
      <c r="FA180" s="8">
        <v>330148272</v>
      </c>
      <c r="FB180" s="9">
        <f t="shared" si="144"/>
        <v>330148272</v>
      </c>
      <c r="FC180" s="8">
        <v>343891426</v>
      </c>
      <c r="FD180" s="8">
        <v>340891426</v>
      </c>
      <c r="FE180" s="8">
        <v>340891426</v>
      </c>
      <c r="FF180" s="8">
        <v>340891426</v>
      </c>
      <c r="FG180" s="8">
        <v>340891426</v>
      </c>
      <c r="FH180" s="8">
        <v>345526651</v>
      </c>
      <c r="FI180" s="8">
        <v>345526651</v>
      </c>
      <c r="FJ180" s="8"/>
      <c r="FK180" s="8"/>
      <c r="FL180" s="8"/>
      <c r="FM180" s="8"/>
      <c r="FN180" s="8"/>
      <c r="FO180" s="9">
        <f t="shared" si="145"/>
        <v>345526651</v>
      </c>
    </row>
    <row r="181" spans="2:171" ht="14.25" customHeight="1" x14ac:dyDescent="0.3">
      <c r="B181" s="7" t="s">
        <v>56</v>
      </c>
      <c r="C181" s="8">
        <v>61420590</v>
      </c>
      <c r="D181" s="8">
        <v>61420590</v>
      </c>
      <c r="E181" s="8">
        <v>62985988</v>
      </c>
      <c r="F181" s="8">
        <v>63722595</v>
      </c>
      <c r="G181" s="8">
        <v>63722595</v>
      </c>
      <c r="H181" s="8">
        <v>69864447</v>
      </c>
      <c r="I181" s="8">
        <v>69864447</v>
      </c>
      <c r="J181" s="8">
        <v>70067812</v>
      </c>
      <c r="K181" s="8">
        <v>75396886</v>
      </c>
      <c r="L181" s="8">
        <v>75377820</v>
      </c>
      <c r="M181" s="8">
        <v>81830423</v>
      </c>
      <c r="N181" s="8">
        <v>82835712</v>
      </c>
      <c r="O181" s="9">
        <f t="shared" si="133"/>
        <v>82835712</v>
      </c>
      <c r="P181" s="8">
        <v>82525731</v>
      </c>
      <c r="Q181" s="8">
        <v>82955387</v>
      </c>
      <c r="R181" s="8">
        <v>82955387</v>
      </c>
      <c r="S181" s="8">
        <v>82955387</v>
      </c>
      <c r="T181" s="8">
        <v>82955387</v>
      </c>
      <c r="U181" s="8">
        <v>88440299</v>
      </c>
      <c r="V181" s="8">
        <v>88440299</v>
      </c>
      <c r="W181" s="8">
        <v>88477262</v>
      </c>
      <c r="X181" s="8">
        <v>88731091</v>
      </c>
      <c r="Y181" s="8">
        <v>88731091</v>
      </c>
      <c r="Z181" s="8">
        <v>88749591</v>
      </c>
      <c r="AA181" s="8">
        <v>88230960</v>
      </c>
      <c r="AB181" s="9">
        <f t="shared" si="134"/>
        <v>88230960</v>
      </c>
      <c r="AC181" s="8">
        <v>89528181</v>
      </c>
      <c r="AD181" s="8">
        <v>89606204</v>
      </c>
      <c r="AE181" s="8">
        <v>89606204</v>
      </c>
      <c r="AF181" s="8">
        <v>86655154</v>
      </c>
      <c r="AG181" s="8">
        <v>87003657</v>
      </c>
      <c r="AH181" s="8">
        <v>106245472</v>
      </c>
      <c r="AI181" s="8">
        <v>106195107</v>
      </c>
      <c r="AJ181" s="8">
        <v>106195107</v>
      </c>
      <c r="AK181" s="8">
        <v>106195107</v>
      </c>
      <c r="AL181" s="8">
        <v>106195107</v>
      </c>
      <c r="AM181" s="8">
        <v>106720107</v>
      </c>
      <c r="AN181" s="8">
        <v>108302338</v>
      </c>
      <c r="AO181" s="9">
        <f t="shared" si="135"/>
        <v>108302338</v>
      </c>
      <c r="AP181" s="8">
        <v>147639682</v>
      </c>
      <c r="AQ181" s="8">
        <v>147639682</v>
      </c>
      <c r="AR181" s="8">
        <v>147639682</v>
      </c>
      <c r="AS181" s="8">
        <v>147639682</v>
      </c>
      <c r="AT181" s="8">
        <v>147639682</v>
      </c>
      <c r="AU181" s="8">
        <v>137101900</v>
      </c>
      <c r="AV181" s="8">
        <v>137101900</v>
      </c>
      <c r="AW181" s="8">
        <v>137110900</v>
      </c>
      <c r="AX181" s="8">
        <v>137110900</v>
      </c>
      <c r="AY181" s="8">
        <v>132552102</v>
      </c>
      <c r="AZ181" s="8">
        <v>132552102</v>
      </c>
      <c r="BA181" s="8">
        <v>128318148</v>
      </c>
      <c r="BB181" s="9">
        <f t="shared" si="136"/>
        <v>128318148</v>
      </c>
      <c r="BC181" s="8">
        <v>130924410</v>
      </c>
      <c r="BD181" s="8">
        <v>131317051</v>
      </c>
      <c r="BE181" s="8">
        <v>131317051</v>
      </c>
      <c r="BF181" s="8">
        <v>131317051</v>
      </c>
      <c r="BG181" s="8">
        <v>131317051</v>
      </c>
      <c r="BH181" s="8">
        <v>131317051</v>
      </c>
      <c r="BI181" s="8">
        <v>131317051</v>
      </c>
      <c r="BJ181" s="8">
        <v>131381289</v>
      </c>
      <c r="BK181" s="8">
        <v>131381289</v>
      </c>
      <c r="BL181" s="8">
        <v>129381289</v>
      </c>
      <c r="BM181" s="8">
        <v>126565395</v>
      </c>
      <c r="BN181" s="8">
        <v>129541729</v>
      </c>
      <c r="BO181" s="9">
        <f t="shared" si="137"/>
        <v>129541729</v>
      </c>
      <c r="BP181" s="8">
        <v>156833864</v>
      </c>
      <c r="BQ181" s="8">
        <v>156833864</v>
      </c>
      <c r="BR181" s="8">
        <v>157063466</v>
      </c>
      <c r="BS181" s="8">
        <v>157063466</v>
      </c>
      <c r="BT181" s="8">
        <v>157063466</v>
      </c>
      <c r="BU181" s="8">
        <v>157063466</v>
      </c>
      <c r="BV181" s="8">
        <v>154063466</v>
      </c>
      <c r="BW181" s="8">
        <v>152589218</v>
      </c>
      <c r="BX181" s="8">
        <v>161190910</v>
      </c>
      <c r="BY181" s="8">
        <v>161190910</v>
      </c>
      <c r="BZ181" s="8">
        <v>161190910</v>
      </c>
      <c r="CA181" s="8">
        <v>159861442</v>
      </c>
      <c r="CB181" s="9">
        <f t="shared" si="138"/>
        <v>159861442</v>
      </c>
      <c r="CC181" s="8">
        <v>161094550</v>
      </c>
      <c r="CD181" s="8">
        <v>161094550</v>
      </c>
      <c r="CE181" s="8">
        <v>161094550</v>
      </c>
      <c r="CF181" s="8">
        <v>219123869</v>
      </c>
      <c r="CG181" s="8">
        <v>166038266</v>
      </c>
      <c r="CH181" s="8">
        <v>166038266</v>
      </c>
      <c r="CI181" s="8">
        <v>165902720</v>
      </c>
      <c r="CJ181" s="8">
        <v>165902720</v>
      </c>
      <c r="CK181" s="8">
        <v>165902720</v>
      </c>
      <c r="CL181" s="8">
        <v>149206390</v>
      </c>
      <c r="CM181" s="8">
        <v>149212390</v>
      </c>
      <c r="CN181" s="8">
        <v>146098555</v>
      </c>
      <c r="CO181" s="9">
        <f t="shared" si="139"/>
        <v>146098555</v>
      </c>
      <c r="CP181" s="8">
        <v>189005523</v>
      </c>
      <c r="CQ181" s="8">
        <v>189005523</v>
      </c>
      <c r="CR181" s="8">
        <v>189245523</v>
      </c>
      <c r="CS181" s="8">
        <v>189245523</v>
      </c>
      <c r="CT181" s="8">
        <v>196762953</v>
      </c>
      <c r="CU181" s="8">
        <v>196762953</v>
      </c>
      <c r="CV181" s="8">
        <v>196762953</v>
      </c>
      <c r="CW181" s="8">
        <v>171602853</v>
      </c>
      <c r="CX181" s="8">
        <v>171602853</v>
      </c>
      <c r="CY181" s="8">
        <v>162552848</v>
      </c>
      <c r="CZ181" s="8">
        <v>143542848</v>
      </c>
      <c r="DA181" s="8">
        <v>129759877</v>
      </c>
      <c r="DB181" s="9">
        <f t="shared" si="140"/>
        <v>129759877</v>
      </c>
      <c r="DC181" s="8">
        <v>158633262</v>
      </c>
      <c r="DD181" s="8">
        <v>187900956</v>
      </c>
      <c r="DE181" s="8">
        <v>187900956</v>
      </c>
      <c r="DF181" s="8">
        <v>187900956</v>
      </c>
      <c r="DG181" s="8">
        <v>187990956</v>
      </c>
      <c r="DH181" s="8">
        <v>188450355</v>
      </c>
      <c r="DI181" s="8">
        <v>188450355</v>
      </c>
      <c r="DJ181" s="8">
        <v>183623469</v>
      </c>
      <c r="DK181" s="8">
        <v>158811874</v>
      </c>
      <c r="DL181" s="8">
        <v>158811874</v>
      </c>
      <c r="DM181" s="8">
        <v>158923874</v>
      </c>
      <c r="DN181" s="8">
        <v>157575218</v>
      </c>
      <c r="DO181" s="9">
        <f t="shared" si="141"/>
        <v>157575218</v>
      </c>
      <c r="DP181" s="8">
        <v>194797448</v>
      </c>
      <c r="DQ181" s="8">
        <v>194827253</v>
      </c>
      <c r="DR181" s="8">
        <v>194827253</v>
      </c>
      <c r="DS181" s="8">
        <v>194827253</v>
      </c>
      <c r="DT181" s="8">
        <v>194827253</v>
      </c>
      <c r="DU181" s="8">
        <v>194827253</v>
      </c>
      <c r="DV181" s="8">
        <v>194827253</v>
      </c>
      <c r="DW181" s="8">
        <v>194827253</v>
      </c>
      <c r="DX181" s="8">
        <v>194827253</v>
      </c>
      <c r="DY181" s="8">
        <v>194827253</v>
      </c>
      <c r="DZ181" s="8">
        <v>200746614</v>
      </c>
      <c r="EA181" s="8">
        <v>203572763</v>
      </c>
      <c r="EB181" s="9">
        <f t="shared" si="142"/>
        <v>203572763</v>
      </c>
      <c r="EC181" s="8">
        <v>249756619</v>
      </c>
      <c r="ED181" s="8">
        <v>249756619</v>
      </c>
      <c r="EE181" s="8">
        <v>251561509</v>
      </c>
      <c r="EF181" s="8">
        <v>251561509</v>
      </c>
      <c r="EG181" s="8">
        <v>251910867</v>
      </c>
      <c r="EH181" s="8">
        <v>251910867</v>
      </c>
      <c r="EI181" s="8">
        <v>251910867</v>
      </c>
      <c r="EJ181" s="8">
        <v>251910867</v>
      </c>
      <c r="EK181" s="8">
        <v>257090867</v>
      </c>
      <c r="EL181" s="8">
        <v>259715030</v>
      </c>
      <c r="EM181" s="8">
        <v>261715030</v>
      </c>
      <c r="EN181" s="8">
        <v>266347073</v>
      </c>
      <c r="EO181" s="9">
        <f t="shared" si="143"/>
        <v>266347073</v>
      </c>
      <c r="EP181" s="8">
        <v>284310890</v>
      </c>
      <c r="EQ181" s="8">
        <v>284664514</v>
      </c>
      <c r="ER181" s="8">
        <v>285230729</v>
      </c>
      <c r="ES181" s="8">
        <v>285410729</v>
      </c>
      <c r="ET181" s="8">
        <v>285410729</v>
      </c>
      <c r="EU181" s="8">
        <v>285410729</v>
      </c>
      <c r="EV181" s="8">
        <v>287486255</v>
      </c>
      <c r="EW181" s="8">
        <v>287486255</v>
      </c>
      <c r="EX181" s="8">
        <v>287486255</v>
      </c>
      <c r="EY181" s="8">
        <v>284249006</v>
      </c>
      <c r="EZ181" s="8">
        <v>284249006</v>
      </c>
      <c r="FA181" s="8">
        <v>282838420</v>
      </c>
      <c r="FB181" s="9">
        <f t="shared" si="144"/>
        <v>282838420</v>
      </c>
      <c r="FC181" s="8">
        <v>280082307</v>
      </c>
      <c r="FD181" s="8">
        <v>275682307</v>
      </c>
      <c r="FE181" s="8">
        <v>275682307</v>
      </c>
      <c r="FF181" s="8">
        <v>275682307</v>
      </c>
      <c r="FG181" s="8">
        <v>275682307</v>
      </c>
      <c r="FH181" s="8">
        <v>277309735</v>
      </c>
      <c r="FI181" s="8">
        <v>277430246</v>
      </c>
      <c r="FJ181" s="8"/>
      <c r="FK181" s="8"/>
      <c r="FL181" s="8"/>
      <c r="FM181" s="8"/>
      <c r="FN181" s="8"/>
      <c r="FO181" s="9">
        <f t="shared" si="145"/>
        <v>277430246</v>
      </c>
    </row>
    <row r="182" spans="2:171" ht="14.25" customHeight="1" x14ac:dyDescent="0.3">
      <c r="B182" s="7" t="s">
        <v>57</v>
      </c>
      <c r="C182" s="8">
        <v>15846063</v>
      </c>
      <c r="D182" s="8">
        <v>15846063</v>
      </c>
      <c r="E182" s="8">
        <v>16188984</v>
      </c>
      <c r="F182" s="8">
        <v>16188984</v>
      </c>
      <c r="G182" s="8">
        <v>16188984</v>
      </c>
      <c r="H182" s="8">
        <v>17762717</v>
      </c>
      <c r="I182" s="8">
        <v>17762717</v>
      </c>
      <c r="J182" s="8">
        <v>17902398</v>
      </c>
      <c r="K182" s="8">
        <v>21302226</v>
      </c>
      <c r="L182" s="8">
        <v>21302226</v>
      </c>
      <c r="M182" s="8">
        <v>23600759</v>
      </c>
      <c r="N182" s="8">
        <v>23559187</v>
      </c>
      <c r="O182" s="9">
        <f t="shared" si="133"/>
        <v>23559187</v>
      </c>
      <c r="P182" s="8">
        <v>28941296</v>
      </c>
      <c r="Q182" s="8">
        <v>29622045</v>
      </c>
      <c r="R182" s="8">
        <v>29622045</v>
      </c>
      <c r="S182" s="8">
        <v>29622045</v>
      </c>
      <c r="T182" s="8">
        <v>29622045</v>
      </c>
      <c r="U182" s="8">
        <v>24769945</v>
      </c>
      <c r="V182" s="8">
        <v>24769945</v>
      </c>
      <c r="W182" s="8">
        <v>24769945</v>
      </c>
      <c r="X182" s="8">
        <v>24726116</v>
      </c>
      <c r="Y182" s="8">
        <v>24726116</v>
      </c>
      <c r="Z182" s="8">
        <v>24741116</v>
      </c>
      <c r="AA182" s="8">
        <v>23213019</v>
      </c>
      <c r="AB182" s="9">
        <f t="shared" si="134"/>
        <v>23213019</v>
      </c>
      <c r="AC182" s="8">
        <v>28819166</v>
      </c>
      <c r="AD182" s="8">
        <v>29085315</v>
      </c>
      <c r="AE182" s="8">
        <v>29085315</v>
      </c>
      <c r="AF182" s="8">
        <v>29085315</v>
      </c>
      <c r="AG182" s="8">
        <v>29085315</v>
      </c>
      <c r="AH182" s="8">
        <v>20737148</v>
      </c>
      <c r="AI182" s="8">
        <v>20737148</v>
      </c>
      <c r="AJ182" s="8">
        <v>20737148</v>
      </c>
      <c r="AK182" s="8">
        <v>20737148</v>
      </c>
      <c r="AL182" s="8">
        <v>20737148</v>
      </c>
      <c r="AM182" s="8">
        <v>25298416</v>
      </c>
      <c r="AN182" s="8">
        <v>29740039</v>
      </c>
      <c r="AO182" s="9">
        <f t="shared" si="135"/>
        <v>29740039</v>
      </c>
      <c r="AP182" s="8">
        <v>31281722</v>
      </c>
      <c r="AQ182" s="8">
        <v>31408307</v>
      </c>
      <c r="AR182" s="8">
        <v>31408307</v>
      </c>
      <c r="AS182" s="8">
        <v>31408307</v>
      </c>
      <c r="AT182" s="8">
        <v>31408307</v>
      </c>
      <c r="AU182" s="8">
        <v>33845063</v>
      </c>
      <c r="AV182" s="8">
        <v>33845063</v>
      </c>
      <c r="AW182" s="8">
        <v>33845063</v>
      </c>
      <c r="AX182" s="8">
        <v>33845063</v>
      </c>
      <c r="AY182" s="8">
        <v>33885469</v>
      </c>
      <c r="AZ182" s="8">
        <v>33885469</v>
      </c>
      <c r="BA182" s="8">
        <v>33167979</v>
      </c>
      <c r="BB182" s="9">
        <f t="shared" si="136"/>
        <v>33167979</v>
      </c>
      <c r="BC182" s="8">
        <v>37842546</v>
      </c>
      <c r="BD182" s="8">
        <v>37842546</v>
      </c>
      <c r="BE182" s="8">
        <v>37842546</v>
      </c>
      <c r="BF182" s="8">
        <v>37842546</v>
      </c>
      <c r="BG182" s="8">
        <v>37842546</v>
      </c>
      <c r="BH182" s="8">
        <v>37842546</v>
      </c>
      <c r="BI182" s="8">
        <v>37842546</v>
      </c>
      <c r="BJ182" s="8">
        <v>37949426</v>
      </c>
      <c r="BK182" s="8">
        <v>37949426</v>
      </c>
      <c r="BL182" s="8">
        <v>36349426</v>
      </c>
      <c r="BM182" s="8">
        <v>36778950</v>
      </c>
      <c r="BN182" s="8">
        <v>34631115</v>
      </c>
      <c r="BO182" s="9">
        <f t="shared" si="137"/>
        <v>34631115</v>
      </c>
      <c r="BP182" s="8">
        <v>49795685</v>
      </c>
      <c r="BQ182" s="8">
        <v>49795685</v>
      </c>
      <c r="BR182" s="8">
        <v>50080456</v>
      </c>
      <c r="BS182" s="8">
        <v>50080456</v>
      </c>
      <c r="BT182" s="8">
        <v>50080456</v>
      </c>
      <c r="BU182" s="8">
        <v>50080456</v>
      </c>
      <c r="BV182" s="8">
        <v>50149099</v>
      </c>
      <c r="BW182" s="8">
        <v>48652639</v>
      </c>
      <c r="BX182" s="8">
        <v>53969975</v>
      </c>
      <c r="BY182" s="8">
        <v>53969975</v>
      </c>
      <c r="BZ182" s="8">
        <v>53969975</v>
      </c>
      <c r="CA182" s="8">
        <v>47047837</v>
      </c>
      <c r="CB182" s="9">
        <f t="shared" si="138"/>
        <v>47047837</v>
      </c>
      <c r="CC182" s="8">
        <v>51178300</v>
      </c>
      <c r="CD182" s="8">
        <v>51178300</v>
      </c>
      <c r="CE182" s="8">
        <v>51178300</v>
      </c>
      <c r="CF182" s="8">
        <v>62603820</v>
      </c>
      <c r="CG182" s="8">
        <v>54705121</v>
      </c>
      <c r="CH182" s="8">
        <v>54705121</v>
      </c>
      <c r="CI182" s="8">
        <v>54705121</v>
      </c>
      <c r="CJ182" s="8">
        <v>54705121</v>
      </c>
      <c r="CK182" s="8">
        <v>54865121</v>
      </c>
      <c r="CL182" s="8">
        <v>54615341</v>
      </c>
      <c r="CM182" s="8">
        <v>54621341</v>
      </c>
      <c r="CN182" s="8">
        <v>48458149</v>
      </c>
      <c r="CO182" s="9">
        <f t="shared" si="139"/>
        <v>48458149</v>
      </c>
      <c r="CP182" s="8">
        <v>59001297</v>
      </c>
      <c r="CQ182" s="8">
        <v>59001297</v>
      </c>
      <c r="CR182" s="8">
        <v>59001297</v>
      </c>
      <c r="CS182" s="8">
        <v>59118445</v>
      </c>
      <c r="CT182" s="8">
        <v>57090170</v>
      </c>
      <c r="CU182" s="8">
        <v>57090170</v>
      </c>
      <c r="CV182" s="8">
        <v>57090170</v>
      </c>
      <c r="CW182" s="8">
        <v>50890170</v>
      </c>
      <c r="CX182" s="8">
        <v>50890170</v>
      </c>
      <c r="CY182" s="8">
        <v>52741430</v>
      </c>
      <c r="CZ182" s="8">
        <v>53735001</v>
      </c>
      <c r="DA182" s="8">
        <v>47671970</v>
      </c>
      <c r="DB182" s="9">
        <f t="shared" si="140"/>
        <v>47671970</v>
      </c>
      <c r="DC182" s="8">
        <v>65122616</v>
      </c>
      <c r="DD182" s="8">
        <v>72160481</v>
      </c>
      <c r="DE182" s="8">
        <v>71346442</v>
      </c>
      <c r="DF182" s="8">
        <v>71346442</v>
      </c>
      <c r="DG182" s="8">
        <v>71346442</v>
      </c>
      <c r="DH182" s="8">
        <v>71346442</v>
      </c>
      <c r="DI182" s="8">
        <v>71346442</v>
      </c>
      <c r="DJ182" s="8">
        <v>71346442</v>
      </c>
      <c r="DK182" s="8">
        <v>65286442</v>
      </c>
      <c r="DL182" s="8">
        <v>65286442</v>
      </c>
      <c r="DM182" s="8">
        <v>65286442</v>
      </c>
      <c r="DN182" s="8">
        <v>52386172</v>
      </c>
      <c r="DO182" s="9">
        <f t="shared" si="141"/>
        <v>52386172</v>
      </c>
      <c r="DP182" s="8">
        <v>71702362</v>
      </c>
      <c r="DQ182" s="8">
        <v>72287362</v>
      </c>
      <c r="DR182" s="8">
        <v>72287362</v>
      </c>
      <c r="DS182" s="8">
        <v>72287362</v>
      </c>
      <c r="DT182" s="8">
        <v>72287362</v>
      </c>
      <c r="DU182" s="8">
        <v>72478562</v>
      </c>
      <c r="DV182" s="8">
        <v>72478562</v>
      </c>
      <c r="DW182" s="8">
        <v>72478562</v>
      </c>
      <c r="DX182" s="8">
        <v>72478562</v>
      </c>
      <c r="DY182" s="8">
        <v>72483602</v>
      </c>
      <c r="DZ182" s="8">
        <v>64323602</v>
      </c>
      <c r="EA182" s="8">
        <v>61141985</v>
      </c>
      <c r="EB182" s="9">
        <f t="shared" si="142"/>
        <v>61141985</v>
      </c>
      <c r="EC182" s="8">
        <v>85120131</v>
      </c>
      <c r="ED182" s="8">
        <v>85120131</v>
      </c>
      <c r="EE182" s="8">
        <v>85280131</v>
      </c>
      <c r="EF182" s="8">
        <v>85280131</v>
      </c>
      <c r="EG182" s="8">
        <v>85442459</v>
      </c>
      <c r="EH182" s="8">
        <v>85442459</v>
      </c>
      <c r="EI182" s="8">
        <v>85442459</v>
      </c>
      <c r="EJ182" s="8">
        <v>85442459</v>
      </c>
      <c r="EK182" s="8">
        <v>85442459</v>
      </c>
      <c r="EL182" s="8">
        <v>78525914</v>
      </c>
      <c r="EM182" s="8">
        <v>78525914</v>
      </c>
      <c r="EN182" s="8">
        <v>73852164</v>
      </c>
      <c r="EO182" s="9">
        <f t="shared" si="143"/>
        <v>73852164</v>
      </c>
      <c r="EP182" s="8">
        <v>105212754</v>
      </c>
      <c r="EQ182" s="8">
        <v>105414108</v>
      </c>
      <c r="ER182" s="8">
        <v>106293108</v>
      </c>
      <c r="ES182" s="8">
        <v>106293108</v>
      </c>
      <c r="ET182" s="8">
        <v>106293108</v>
      </c>
      <c r="EU182" s="8">
        <v>106512970</v>
      </c>
      <c r="EV182" s="8">
        <v>90904180</v>
      </c>
      <c r="EW182" s="8">
        <v>90904180</v>
      </c>
      <c r="EX182" s="8">
        <v>90904180</v>
      </c>
      <c r="EY182" s="8">
        <v>78690932</v>
      </c>
      <c r="EZ182" s="8">
        <v>76260230</v>
      </c>
      <c r="FA182" s="8">
        <v>68572554</v>
      </c>
      <c r="FB182" s="9">
        <f t="shared" si="144"/>
        <v>68572554</v>
      </c>
      <c r="FC182" s="8">
        <v>84118714</v>
      </c>
      <c r="FD182" s="8">
        <v>82118714</v>
      </c>
      <c r="FE182" s="8">
        <v>82118714</v>
      </c>
      <c r="FF182" s="8">
        <v>82118714</v>
      </c>
      <c r="FG182" s="8">
        <v>82118714</v>
      </c>
      <c r="FH182" s="8">
        <v>82920697</v>
      </c>
      <c r="FI182" s="8">
        <v>83140559</v>
      </c>
      <c r="FJ182" s="8"/>
      <c r="FK182" s="8"/>
      <c r="FL182" s="8"/>
      <c r="FM182" s="8"/>
      <c r="FN182" s="8"/>
      <c r="FO182" s="9">
        <f t="shared" si="145"/>
        <v>83140559</v>
      </c>
    </row>
    <row r="183" spans="2:171" ht="14.25" customHeight="1" x14ac:dyDescent="0.3">
      <c r="B183" s="7" t="s">
        <v>58</v>
      </c>
      <c r="C183" s="8">
        <v>28678013</v>
      </c>
      <c r="D183" s="8">
        <v>28678013</v>
      </c>
      <c r="E183" s="8">
        <v>29298938</v>
      </c>
      <c r="F183" s="8">
        <v>29298938</v>
      </c>
      <c r="G183" s="8">
        <v>29298938</v>
      </c>
      <c r="H183" s="8">
        <v>40440718</v>
      </c>
      <c r="I183" s="8">
        <v>40440718</v>
      </c>
      <c r="J183" s="8">
        <v>40641948</v>
      </c>
      <c r="K183" s="8">
        <v>50644851</v>
      </c>
      <c r="L183" s="8">
        <v>50947570</v>
      </c>
      <c r="M183" s="8">
        <v>54352079</v>
      </c>
      <c r="N183" s="8">
        <v>55954079</v>
      </c>
      <c r="O183" s="9">
        <f t="shared" si="133"/>
        <v>55954079</v>
      </c>
      <c r="P183" s="8">
        <v>60178299</v>
      </c>
      <c r="Q183" s="8">
        <v>60499596</v>
      </c>
      <c r="R183" s="8">
        <v>60499596</v>
      </c>
      <c r="S183" s="8">
        <v>60499596</v>
      </c>
      <c r="T183" s="8">
        <v>60499596</v>
      </c>
      <c r="U183" s="8">
        <v>64377860</v>
      </c>
      <c r="V183" s="8">
        <v>64377860</v>
      </c>
      <c r="W183" s="8">
        <v>64377860</v>
      </c>
      <c r="X183" s="8">
        <v>64477860</v>
      </c>
      <c r="Y183" s="8">
        <v>64735870</v>
      </c>
      <c r="Z183" s="8">
        <v>64780870</v>
      </c>
      <c r="AA183" s="8">
        <v>61321579</v>
      </c>
      <c r="AB183" s="9">
        <f t="shared" si="134"/>
        <v>61321579</v>
      </c>
      <c r="AC183" s="8">
        <v>64727693</v>
      </c>
      <c r="AD183" s="8">
        <v>64918905</v>
      </c>
      <c r="AE183" s="8">
        <v>64918905</v>
      </c>
      <c r="AF183" s="8">
        <v>64918905</v>
      </c>
      <c r="AG183" s="8">
        <v>65717947</v>
      </c>
      <c r="AH183" s="8">
        <v>67878843</v>
      </c>
      <c r="AI183" s="8">
        <v>67878843</v>
      </c>
      <c r="AJ183" s="8">
        <v>63897771</v>
      </c>
      <c r="AK183" s="8">
        <v>63916013</v>
      </c>
      <c r="AL183" s="8">
        <v>63845398</v>
      </c>
      <c r="AM183" s="8">
        <v>63845398</v>
      </c>
      <c r="AN183" s="8">
        <v>69367728</v>
      </c>
      <c r="AO183" s="9">
        <f t="shared" si="135"/>
        <v>69367728</v>
      </c>
      <c r="AP183" s="8">
        <v>83457399</v>
      </c>
      <c r="AQ183" s="8">
        <v>83457399</v>
      </c>
      <c r="AR183" s="8">
        <v>83457399</v>
      </c>
      <c r="AS183" s="8">
        <v>83825933</v>
      </c>
      <c r="AT183" s="8">
        <v>83825933</v>
      </c>
      <c r="AU183" s="8">
        <v>88037865</v>
      </c>
      <c r="AV183" s="8">
        <v>88037865</v>
      </c>
      <c r="AW183" s="8">
        <v>88104865</v>
      </c>
      <c r="AX183" s="8">
        <v>88104865</v>
      </c>
      <c r="AY183" s="8">
        <v>88104865</v>
      </c>
      <c r="AZ183" s="8">
        <v>88104865</v>
      </c>
      <c r="BA183" s="8">
        <v>85586265</v>
      </c>
      <c r="BB183" s="9">
        <f t="shared" si="136"/>
        <v>85586265</v>
      </c>
      <c r="BC183" s="8">
        <v>63406388</v>
      </c>
      <c r="BD183" s="8">
        <v>63422020</v>
      </c>
      <c r="BE183" s="8">
        <v>63422020</v>
      </c>
      <c r="BF183" s="8">
        <v>63422020</v>
      </c>
      <c r="BG183" s="8">
        <v>63422020</v>
      </c>
      <c r="BH183" s="8">
        <v>63422020</v>
      </c>
      <c r="BI183" s="8">
        <v>63422020</v>
      </c>
      <c r="BJ183" s="8">
        <v>65306751</v>
      </c>
      <c r="BK183" s="8">
        <v>65306751</v>
      </c>
      <c r="BL183" s="8">
        <v>71806751</v>
      </c>
      <c r="BM183" s="8">
        <v>71806751</v>
      </c>
      <c r="BN183" s="8">
        <v>72922186</v>
      </c>
      <c r="BO183" s="9">
        <f t="shared" si="137"/>
        <v>72922186</v>
      </c>
      <c r="BP183" s="8">
        <v>101293565</v>
      </c>
      <c r="BQ183" s="8">
        <v>101293565</v>
      </c>
      <c r="BR183" s="8">
        <v>101732643</v>
      </c>
      <c r="BS183" s="8">
        <v>101732643</v>
      </c>
      <c r="BT183" s="8">
        <v>101732643</v>
      </c>
      <c r="BU183" s="8">
        <v>101732643</v>
      </c>
      <c r="BV183" s="8">
        <v>101619270</v>
      </c>
      <c r="BW183" s="8">
        <v>102419462</v>
      </c>
      <c r="BX183" s="8">
        <v>102440862</v>
      </c>
      <c r="BY183" s="8">
        <v>102440862</v>
      </c>
      <c r="BZ183" s="8">
        <v>102440862</v>
      </c>
      <c r="CA183" s="8">
        <v>102760862</v>
      </c>
      <c r="CB183" s="9">
        <f t="shared" si="138"/>
        <v>102760862</v>
      </c>
      <c r="CC183" s="8">
        <v>104020101</v>
      </c>
      <c r="CD183" s="8">
        <v>104020101</v>
      </c>
      <c r="CE183" s="8">
        <v>104020101</v>
      </c>
      <c r="CF183" s="8">
        <v>131350401</v>
      </c>
      <c r="CG183" s="8">
        <v>99529060</v>
      </c>
      <c r="CH183" s="8">
        <v>99529060</v>
      </c>
      <c r="CI183" s="8">
        <v>99529060</v>
      </c>
      <c r="CJ183" s="8">
        <v>99529060</v>
      </c>
      <c r="CK183" s="8">
        <v>99689060</v>
      </c>
      <c r="CL183" s="8">
        <v>112379677</v>
      </c>
      <c r="CM183" s="8">
        <v>112385677</v>
      </c>
      <c r="CN183" s="8">
        <v>116586271</v>
      </c>
      <c r="CO183" s="9">
        <f t="shared" si="139"/>
        <v>116586271</v>
      </c>
      <c r="CP183" s="8">
        <v>121277707</v>
      </c>
      <c r="CQ183" s="8">
        <v>121277707</v>
      </c>
      <c r="CR183" s="8">
        <v>121277707</v>
      </c>
      <c r="CS183" s="8">
        <v>121584457</v>
      </c>
      <c r="CT183" s="8">
        <v>118994815</v>
      </c>
      <c r="CU183" s="8">
        <v>118994815</v>
      </c>
      <c r="CV183" s="8">
        <v>118994815</v>
      </c>
      <c r="CW183" s="8">
        <v>115194815</v>
      </c>
      <c r="CX183" s="8">
        <v>115194815</v>
      </c>
      <c r="CY183" s="8">
        <v>115194815</v>
      </c>
      <c r="CZ183" s="8">
        <v>115179815</v>
      </c>
      <c r="DA183" s="8">
        <v>113154266</v>
      </c>
      <c r="DB183" s="9">
        <f t="shared" si="140"/>
        <v>113154266</v>
      </c>
      <c r="DC183" s="8">
        <v>107124855</v>
      </c>
      <c r="DD183" s="8">
        <v>116329347</v>
      </c>
      <c r="DE183" s="8">
        <v>116329347</v>
      </c>
      <c r="DF183" s="8">
        <v>116329347</v>
      </c>
      <c r="DG183" s="8">
        <v>116329347</v>
      </c>
      <c r="DH183" s="8">
        <v>116329347</v>
      </c>
      <c r="DI183" s="8">
        <v>116329347</v>
      </c>
      <c r="DJ183" s="8">
        <v>116476369</v>
      </c>
      <c r="DK183" s="8">
        <v>117634869</v>
      </c>
      <c r="DL183" s="8">
        <v>117634869</v>
      </c>
      <c r="DM183" s="8">
        <v>117834869</v>
      </c>
      <c r="DN183" s="8">
        <v>118428905</v>
      </c>
      <c r="DO183" s="9">
        <f t="shared" si="141"/>
        <v>118428905</v>
      </c>
      <c r="DP183" s="8">
        <v>132146653</v>
      </c>
      <c r="DQ183" s="8">
        <v>132146653</v>
      </c>
      <c r="DR183" s="8">
        <v>132146653</v>
      </c>
      <c r="DS183" s="8">
        <v>132146653</v>
      </c>
      <c r="DT183" s="8">
        <v>132146653</v>
      </c>
      <c r="DU183" s="8">
        <v>148146653</v>
      </c>
      <c r="DV183" s="8">
        <v>148146653</v>
      </c>
      <c r="DW183" s="8">
        <v>148146653</v>
      </c>
      <c r="DX183" s="8">
        <v>148146653</v>
      </c>
      <c r="DY183" s="8">
        <v>148146653</v>
      </c>
      <c r="DZ183" s="8">
        <v>144769767</v>
      </c>
      <c r="EA183" s="8">
        <v>146848229</v>
      </c>
      <c r="EB183" s="9">
        <f t="shared" si="142"/>
        <v>146848229</v>
      </c>
      <c r="EC183" s="8">
        <v>153857890</v>
      </c>
      <c r="ED183" s="8">
        <v>153857890</v>
      </c>
      <c r="EE183" s="8">
        <v>154097890</v>
      </c>
      <c r="EF183" s="8">
        <v>154097890</v>
      </c>
      <c r="EG183" s="8">
        <v>154097890</v>
      </c>
      <c r="EH183" s="8">
        <v>154097890</v>
      </c>
      <c r="EI183" s="8">
        <v>154097890</v>
      </c>
      <c r="EJ183" s="8">
        <v>154097890</v>
      </c>
      <c r="EK183" s="8">
        <v>164097890</v>
      </c>
      <c r="EL183" s="8">
        <v>190206299</v>
      </c>
      <c r="EM183" s="8">
        <v>193206299</v>
      </c>
      <c r="EN183" s="8">
        <v>209110935</v>
      </c>
      <c r="EO183" s="9">
        <f t="shared" si="143"/>
        <v>209110935</v>
      </c>
      <c r="EP183" s="8">
        <v>204729212</v>
      </c>
      <c r="EQ183" s="8">
        <v>206516275</v>
      </c>
      <c r="ER183" s="8">
        <v>206516275</v>
      </c>
      <c r="ES183" s="8">
        <v>206516275</v>
      </c>
      <c r="ET183" s="8">
        <v>206516275</v>
      </c>
      <c r="EU183" s="8">
        <v>206516275</v>
      </c>
      <c r="EV183" s="8">
        <v>226188007</v>
      </c>
      <c r="EW183" s="8">
        <v>226188007</v>
      </c>
      <c r="EX183" s="8">
        <v>226188007</v>
      </c>
      <c r="EY183" s="8">
        <v>240800108</v>
      </c>
      <c r="EZ183" s="8">
        <v>240800108</v>
      </c>
      <c r="FA183" s="8">
        <v>256732296</v>
      </c>
      <c r="FB183" s="9">
        <f t="shared" si="144"/>
        <v>256732296</v>
      </c>
      <c r="FC183" s="8">
        <v>253550567</v>
      </c>
      <c r="FD183" s="8">
        <v>249550567</v>
      </c>
      <c r="FE183" s="8">
        <v>249550567</v>
      </c>
      <c r="FF183" s="8">
        <v>249550567</v>
      </c>
      <c r="FG183" s="8">
        <v>249550567</v>
      </c>
      <c r="FH183" s="8">
        <v>252101636</v>
      </c>
      <c r="FI183" s="8">
        <v>253151342</v>
      </c>
      <c r="FJ183" s="8"/>
      <c r="FK183" s="8"/>
      <c r="FL183" s="8"/>
      <c r="FM183" s="8"/>
      <c r="FN183" s="8"/>
      <c r="FO183" s="9">
        <f t="shared" si="145"/>
        <v>253151342</v>
      </c>
    </row>
    <row r="184" spans="2:171" ht="14.25" customHeight="1" x14ac:dyDescent="0.3">
      <c r="B184" s="7" t="s">
        <v>59</v>
      </c>
      <c r="C184" s="8">
        <v>12192340</v>
      </c>
      <c r="D184" s="8">
        <v>12192340</v>
      </c>
      <c r="E184" s="8">
        <v>12415340</v>
      </c>
      <c r="F184" s="8">
        <v>12415340</v>
      </c>
      <c r="G184" s="8">
        <v>12415340</v>
      </c>
      <c r="H184" s="8">
        <v>12415340</v>
      </c>
      <c r="I184" s="8">
        <v>12415340</v>
      </c>
      <c r="J184" s="8">
        <v>12508415</v>
      </c>
      <c r="K184" s="8">
        <v>11965091</v>
      </c>
      <c r="L184" s="8">
        <v>11994043</v>
      </c>
      <c r="M184" s="8">
        <v>12938747</v>
      </c>
      <c r="N184" s="8">
        <v>13687593</v>
      </c>
      <c r="O184" s="9">
        <f t="shared" si="133"/>
        <v>13687593</v>
      </c>
      <c r="P184" s="8">
        <v>15881494</v>
      </c>
      <c r="Q184" s="8">
        <v>16294413</v>
      </c>
      <c r="R184" s="8">
        <v>16294413</v>
      </c>
      <c r="S184" s="8">
        <v>16294413</v>
      </c>
      <c r="T184" s="8">
        <v>16294413</v>
      </c>
      <c r="U184" s="8">
        <v>13358340</v>
      </c>
      <c r="V184" s="8">
        <v>13358340</v>
      </c>
      <c r="W184" s="8">
        <v>13358340</v>
      </c>
      <c r="X184" s="8">
        <v>13968803</v>
      </c>
      <c r="Y184" s="8">
        <v>16337708</v>
      </c>
      <c r="Z184" s="8">
        <v>16337708</v>
      </c>
      <c r="AA184" s="8">
        <v>17674750</v>
      </c>
      <c r="AB184" s="9">
        <f t="shared" si="134"/>
        <v>17674750</v>
      </c>
      <c r="AC184" s="8">
        <v>13488471</v>
      </c>
      <c r="AD184" s="8">
        <v>14028916</v>
      </c>
      <c r="AE184" s="8">
        <v>14028916</v>
      </c>
      <c r="AF184" s="8">
        <v>14028916</v>
      </c>
      <c r="AG184" s="8">
        <v>14363916</v>
      </c>
      <c r="AH184" s="8">
        <v>25011990</v>
      </c>
      <c r="AI184" s="8">
        <v>25011990</v>
      </c>
      <c r="AJ184" s="8">
        <v>25011990</v>
      </c>
      <c r="AK184" s="8">
        <v>25011990</v>
      </c>
      <c r="AL184" s="8">
        <v>25067145</v>
      </c>
      <c r="AM184" s="8">
        <v>25072145</v>
      </c>
      <c r="AN184" s="8">
        <v>23565482</v>
      </c>
      <c r="AO184" s="9">
        <f t="shared" si="135"/>
        <v>23565482</v>
      </c>
      <c r="AP184" s="8">
        <v>20553941</v>
      </c>
      <c r="AQ184" s="8">
        <v>20885450</v>
      </c>
      <c r="AR184" s="8">
        <v>20885450</v>
      </c>
      <c r="AS184" s="8">
        <v>20885450</v>
      </c>
      <c r="AT184" s="8">
        <v>20885450</v>
      </c>
      <c r="AU184" s="8">
        <v>25446984</v>
      </c>
      <c r="AV184" s="8">
        <v>28424748</v>
      </c>
      <c r="AW184" s="8">
        <v>28424748</v>
      </c>
      <c r="AX184" s="8">
        <v>28424748</v>
      </c>
      <c r="AY184" s="8">
        <v>27341937</v>
      </c>
      <c r="AZ184" s="8">
        <v>27341937</v>
      </c>
      <c r="BA184" s="8">
        <v>26916474</v>
      </c>
      <c r="BB184" s="9">
        <f t="shared" si="136"/>
        <v>26916474</v>
      </c>
      <c r="BC184" s="8">
        <v>14998026</v>
      </c>
      <c r="BD184" s="8">
        <v>15025462</v>
      </c>
      <c r="BE184" s="8">
        <v>14235760</v>
      </c>
      <c r="BF184" s="8">
        <v>14235760</v>
      </c>
      <c r="BG184" s="8">
        <v>14065360</v>
      </c>
      <c r="BH184" s="8">
        <v>14065360</v>
      </c>
      <c r="BI184" s="8">
        <v>14065360</v>
      </c>
      <c r="BJ184" s="8">
        <v>14189780</v>
      </c>
      <c r="BK184" s="8">
        <v>14189780</v>
      </c>
      <c r="BL184" s="8">
        <v>14189780</v>
      </c>
      <c r="BM184" s="8">
        <v>14189780</v>
      </c>
      <c r="BN184" s="8">
        <v>13491934</v>
      </c>
      <c r="BO184" s="9">
        <f t="shared" si="137"/>
        <v>13491934</v>
      </c>
      <c r="BP184" s="8">
        <v>17552312</v>
      </c>
      <c r="BQ184" s="8">
        <v>17552312</v>
      </c>
      <c r="BR184" s="8">
        <v>17641346</v>
      </c>
      <c r="BS184" s="8">
        <v>17641346</v>
      </c>
      <c r="BT184" s="8">
        <v>15549608</v>
      </c>
      <c r="BU184" s="8">
        <v>15549608</v>
      </c>
      <c r="BV184" s="8">
        <v>15603608</v>
      </c>
      <c r="BW184" s="8">
        <v>16357284</v>
      </c>
      <c r="BX184" s="8">
        <v>22174118</v>
      </c>
      <c r="BY184" s="8">
        <v>22174118</v>
      </c>
      <c r="BZ184" s="8">
        <v>24174118</v>
      </c>
      <c r="CA184" s="8">
        <v>22174206</v>
      </c>
      <c r="CB184" s="9">
        <f t="shared" si="138"/>
        <v>22174206</v>
      </c>
      <c r="CC184" s="8">
        <v>18038079</v>
      </c>
      <c r="CD184" s="8">
        <v>18038079</v>
      </c>
      <c r="CE184" s="8">
        <v>18038079</v>
      </c>
      <c r="CF184" s="8">
        <v>21478902</v>
      </c>
      <c r="CG184" s="8">
        <v>17275359</v>
      </c>
      <c r="CH184" s="8">
        <v>17275359</v>
      </c>
      <c r="CI184" s="8">
        <v>17809416</v>
      </c>
      <c r="CJ184" s="8">
        <v>17809416</v>
      </c>
      <c r="CK184" s="8">
        <v>17809416</v>
      </c>
      <c r="CL184" s="8">
        <v>33186726</v>
      </c>
      <c r="CM184" s="8">
        <v>33192726</v>
      </c>
      <c r="CN184" s="8">
        <v>32857775</v>
      </c>
      <c r="CO184" s="9">
        <f t="shared" si="139"/>
        <v>32857775</v>
      </c>
      <c r="CP184" s="8">
        <v>29319332</v>
      </c>
      <c r="CQ184" s="8">
        <v>29319332</v>
      </c>
      <c r="CR184" s="8">
        <v>29319332</v>
      </c>
      <c r="CS184" s="8">
        <v>31319332</v>
      </c>
      <c r="CT184" s="8">
        <v>26187092</v>
      </c>
      <c r="CU184" s="8">
        <v>26187092</v>
      </c>
      <c r="CV184" s="8">
        <v>26187092</v>
      </c>
      <c r="CW184" s="8">
        <v>28478553</v>
      </c>
      <c r="CX184" s="8">
        <v>28478553</v>
      </c>
      <c r="CY184" s="8">
        <v>29018366</v>
      </c>
      <c r="CZ184" s="8">
        <v>29018366</v>
      </c>
      <c r="DA184" s="8">
        <v>28917061</v>
      </c>
      <c r="DB184" s="9">
        <f t="shared" si="140"/>
        <v>28917061</v>
      </c>
      <c r="DC184" s="8">
        <v>28166564</v>
      </c>
      <c r="DD184" s="8">
        <v>31431649</v>
      </c>
      <c r="DE184" s="8">
        <v>31431649</v>
      </c>
      <c r="DF184" s="8">
        <v>31431649</v>
      </c>
      <c r="DG184" s="8">
        <v>31431649</v>
      </c>
      <c r="DH184" s="8">
        <v>31431649</v>
      </c>
      <c r="DI184" s="8">
        <v>31431649</v>
      </c>
      <c r="DJ184" s="8">
        <v>31431649</v>
      </c>
      <c r="DK184" s="8">
        <v>37867832</v>
      </c>
      <c r="DL184" s="8">
        <v>41047832</v>
      </c>
      <c r="DM184" s="8">
        <v>41047832</v>
      </c>
      <c r="DN184" s="8">
        <v>39557869</v>
      </c>
      <c r="DO184" s="9">
        <f t="shared" si="141"/>
        <v>39557869</v>
      </c>
      <c r="DP184" s="8">
        <v>52334886</v>
      </c>
      <c r="DQ184" s="8">
        <v>52334886</v>
      </c>
      <c r="DR184" s="8">
        <v>52334886</v>
      </c>
      <c r="DS184" s="8">
        <v>52502663</v>
      </c>
      <c r="DT184" s="8">
        <v>52502663</v>
      </c>
      <c r="DU184" s="8">
        <v>52502663</v>
      </c>
      <c r="DV184" s="8">
        <v>52502663</v>
      </c>
      <c r="DW184" s="8">
        <v>52502663</v>
      </c>
      <c r="DX184" s="8">
        <v>52502663</v>
      </c>
      <c r="DY184" s="8">
        <v>52502663</v>
      </c>
      <c r="DZ184" s="8">
        <v>52972280</v>
      </c>
      <c r="EA184" s="8">
        <v>52755613</v>
      </c>
      <c r="EB184" s="9">
        <f t="shared" si="142"/>
        <v>52755613</v>
      </c>
      <c r="EC184" s="8">
        <v>33487034</v>
      </c>
      <c r="ED184" s="8">
        <v>33487034</v>
      </c>
      <c r="EE184" s="8">
        <v>33647034</v>
      </c>
      <c r="EF184" s="8">
        <v>33647034</v>
      </c>
      <c r="EG184" s="8">
        <v>34097034</v>
      </c>
      <c r="EH184" s="8">
        <v>34097034</v>
      </c>
      <c r="EI184" s="8">
        <v>34097034</v>
      </c>
      <c r="EJ184" s="8">
        <v>34097034</v>
      </c>
      <c r="EK184" s="8">
        <v>34097034</v>
      </c>
      <c r="EL184" s="8">
        <v>36842945</v>
      </c>
      <c r="EM184" s="8">
        <v>39842945</v>
      </c>
      <c r="EN184" s="8">
        <v>40911462</v>
      </c>
      <c r="EO184" s="9">
        <f t="shared" si="143"/>
        <v>40911462</v>
      </c>
      <c r="EP184" s="8">
        <v>62332384</v>
      </c>
      <c r="EQ184" s="8">
        <v>62658631</v>
      </c>
      <c r="ER184" s="8">
        <v>62658631</v>
      </c>
      <c r="ES184" s="8">
        <v>62658631</v>
      </c>
      <c r="ET184" s="8">
        <v>62658631</v>
      </c>
      <c r="EU184" s="8">
        <v>62940186</v>
      </c>
      <c r="EV184" s="8">
        <v>62859105</v>
      </c>
      <c r="EW184" s="8">
        <v>62859105</v>
      </c>
      <c r="EX184" s="8">
        <v>62859105</v>
      </c>
      <c r="EY184" s="8">
        <v>61143121</v>
      </c>
      <c r="EZ184" s="8">
        <v>59245303</v>
      </c>
      <c r="FA184" s="8">
        <v>50534617</v>
      </c>
      <c r="FB184" s="9">
        <f t="shared" si="144"/>
        <v>50534617</v>
      </c>
      <c r="FC184" s="8">
        <v>52358707</v>
      </c>
      <c r="FD184" s="8">
        <v>51458707</v>
      </c>
      <c r="FE184" s="8">
        <v>51458707</v>
      </c>
      <c r="FF184" s="8">
        <v>51458707</v>
      </c>
      <c r="FG184" s="8">
        <v>51458707</v>
      </c>
      <c r="FH184" s="8">
        <v>51630599</v>
      </c>
      <c r="FI184" s="8">
        <v>51630599</v>
      </c>
      <c r="FJ184" s="8"/>
      <c r="FK184" s="8"/>
      <c r="FL184" s="8"/>
      <c r="FM184" s="8"/>
      <c r="FN184" s="8"/>
      <c r="FO184" s="9">
        <f t="shared" si="145"/>
        <v>51630599</v>
      </c>
    </row>
    <row r="185" spans="2:171" ht="14.25" customHeight="1" x14ac:dyDescent="0.3">
      <c r="B185" s="7" t="s">
        <v>60</v>
      </c>
      <c r="C185" s="8">
        <v>16731275</v>
      </c>
      <c r="D185" s="8">
        <v>16731275</v>
      </c>
      <c r="E185" s="8">
        <v>17313082</v>
      </c>
      <c r="F185" s="8">
        <v>17740773</v>
      </c>
      <c r="G185" s="8">
        <v>17740773</v>
      </c>
      <c r="H185" s="8">
        <v>15925067</v>
      </c>
      <c r="I185" s="8">
        <v>15925067</v>
      </c>
      <c r="J185" s="8">
        <v>16035748</v>
      </c>
      <c r="K185" s="8">
        <v>15571056</v>
      </c>
      <c r="L185" s="8">
        <v>15571056</v>
      </c>
      <c r="M185" s="8">
        <v>15571056</v>
      </c>
      <c r="N185" s="8">
        <v>14708356</v>
      </c>
      <c r="O185" s="9">
        <f t="shared" si="133"/>
        <v>14708356</v>
      </c>
      <c r="P185" s="8">
        <v>18391236</v>
      </c>
      <c r="Q185" s="8">
        <v>19772943</v>
      </c>
      <c r="R185" s="8">
        <v>19772943</v>
      </c>
      <c r="S185" s="8">
        <v>19772943</v>
      </c>
      <c r="T185" s="8">
        <v>19772943</v>
      </c>
      <c r="U185" s="8">
        <v>20687731</v>
      </c>
      <c r="V185" s="8">
        <v>20687731</v>
      </c>
      <c r="W185" s="8">
        <v>20702731</v>
      </c>
      <c r="X185" s="8">
        <v>20744787</v>
      </c>
      <c r="Y185" s="8">
        <v>20744787</v>
      </c>
      <c r="Z185" s="8">
        <v>20794787</v>
      </c>
      <c r="AA185" s="8">
        <v>20290011</v>
      </c>
      <c r="AB185" s="9">
        <f t="shared" si="134"/>
        <v>20290011</v>
      </c>
      <c r="AC185" s="8">
        <v>20599186</v>
      </c>
      <c r="AD185" s="8">
        <v>21007919</v>
      </c>
      <c r="AE185" s="8">
        <v>21007919</v>
      </c>
      <c r="AF185" s="8">
        <v>21007919</v>
      </c>
      <c r="AG185" s="8">
        <v>21007919</v>
      </c>
      <c r="AH185" s="8">
        <v>22296268</v>
      </c>
      <c r="AI185" s="8">
        <v>22296268</v>
      </c>
      <c r="AJ185" s="8">
        <v>22296268</v>
      </c>
      <c r="AK185" s="8">
        <v>22296268</v>
      </c>
      <c r="AL185" s="8">
        <v>22296268</v>
      </c>
      <c r="AM185" s="8">
        <v>22303268</v>
      </c>
      <c r="AN185" s="8">
        <v>20007451</v>
      </c>
      <c r="AO185" s="9">
        <f t="shared" si="135"/>
        <v>20007451</v>
      </c>
      <c r="AP185" s="8">
        <v>16685178</v>
      </c>
      <c r="AQ185" s="8">
        <v>17388218</v>
      </c>
      <c r="AR185" s="8">
        <v>17388218</v>
      </c>
      <c r="AS185" s="8">
        <v>17388218</v>
      </c>
      <c r="AT185" s="8">
        <v>18681218</v>
      </c>
      <c r="AU185" s="8">
        <v>18158554</v>
      </c>
      <c r="AV185" s="8">
        <v>18158554</v>
      </c>
      <c r="AW185" s="8">
        <v>18158554</v>
      </c>
      <c r="AX185" s="8">
        <v>18158554</v>
      </c>
      <c r="AY185" s="8">
        <v>18048525</v>
      </c>
      <c r="AZ185" s="8">
        <v>18048525</v>
      </c>
      <c r="BA185" s="8">
        <v>17671937</v>
      </c>
      <c r="BB185" s="9">
        <f t="shared" si="136"/>
        <v>17671937</v>
      </c>
      <c r="BC185" s="8">
        <v>21138373</v>
      </c>
      <c r="BD185" s="8">
        <v>21138373</v>
      </c>
      <c r="BE185" s="8">
        <v>21138373</v>
      </c>
      <c r="BF185" s="8">
        <v>21138373</v>
      </c>
      <c r="BG185" s="8">
        <v>21138373</v>
      </c>
      <c r="BH185" s="8">
        <v>22999336</v>
      </c>
      <c r="BI185" s="8">
        <v>23369613</v>
      </c>
      <c r="BJ185" s="8">
        <v>23369613</v>
      </c>
      <c r="BK185" s="8">
        <v>23369613</v>
      </c>
      <c r="BL185" s="8">
        <v>22269613</v>
      </c>
      <c r="BM185" s="8">
        <v>22269613</v>
      </c>
      <c r="BN185" s="8">
        <v>19860486</v>
      </c>
      <c r="BO185" s="9">
        <f t="shared" si="137"/>
        <v>19860486</v>
      </c>
      <c r="BP185" s="8">
        <v>17594722</v>
      </c>
      <c r="BQ185" s="8">
        <v>17594722</v>
      </c>
      <c r="BR185" s="8">
        <v>17671256</v>
      </c>
      <c r="BS185" s="8">
        <v>17671256</v>
      </c>
      <c r="BT185" s="8">
        <v>17671256</v>
      </c>
      <c r="BU185" s="8">
        <v>17671256</v>
      </c>
      <c r="BV185" s="8">
        <v>17510650</v>
      </c>
      <c r="BW185" s="8">
        <v>15321689</v>
      </c>
      <c r="BX185" s="8">
        <v>17182689</v>
      </c>
      <c r="BY185" s="8">
        <v>17182689</v>
      </c>
      <c r="BZ185" s="8">
        <v>17182689</v>
      </c>
      <c r="CA185" s="8">
        <v>21074017</v>
      </c>
      <c r="CB185" s="9">
        <f t="shared" si="138"/>
        <v>21074017</v>
      </c>
      <c r="CC185" s="8">
        <v>18084640</v>
      </c>
      <c r="CD185" s="8">
        <v>18084640</v>
      </c>
      <c r="CE185" s="8">
        <v>20432543</v>
      </c>
      <c r="CF185" s="8">
        <v>20472543</v>
      </c>
      <c r="CG185" s="8">
        <v>15359466</v>
      </c>
      <c r="CH185" s="8">
        <v>15359466</v>
      </c>
      <c r="CI185" s="8">
        <v>15992406</v>
      </c>
      <c r="CJ185" s="8">
        <v>15992406</v>
      </c>
      <c r="CK185" s="8">
        <v>16112406</v>
      </c>
      <c r="CL185" s="8">
        <v>30541306</v>
      </c>
      <c r="CM185" s="8">
        <v>30547306</v>
      </c>
      <c r="CN185" s="8">
        <v>30797184</v>
      </c>
      <c r="CO185" s="9">
        <f t="shared" si="139"/>
        <v>30797184</v>
      </c>
      <c r="CP185" s="8">
        <v>21317527</v>
      </c>
      <c r="CQ185" s="8">
        <v>21317527</v>
      </c>
      <c r="CR185" s="8">
        <v>21317527</v>
      </c>
      <c r="CS185" s="8">
        <v>21317527</v>
      </c>
      <c r="CT185" s="8">
        <v>21160855</v>
      </c>
      <c r="CU185" s="8">
        <v>21160855</v>
      </c>
      <c r="CV185" s="8">
        <v>21160855</v>
      </c>
      <c r="CW185" s="8">
        <v>34040855</v>
      </c>
      <c r="CX185" s="8">
        <v>48852697</v>
      </c>
      <c r="CY185" s="8">
        <v>49002697</v>
      </c>
      <c r="CZ185" s="8">
        <v>50144753</v>
      </c>
      <c r="DA185" s="8">
        <v>51896873</v>
      </c>
      <c r="DB185" s="9">
        <f t="shared" si="140"/>
        <v>51896873</v>
      </c>
      <c r="DC185" s="8">
        <v>52237769</v>
      </c>
      <c r="DD185" s="8">
        <v>53125446</v>
      </c>
      <c r="DE185" s="8">
        <v>53125446</v>
      </c>
      <c r="DF185" s="8">
        <v>53125446</v>
      </c>
      <c r="DG185" s="8">
        <v>53125446</v>
      </c>
      <c r="DH185" s="8">
        <v>53125446</v>
      </c>
      <c r="DI185" s="8">
        <v>53125446</v>
      </c>
      <c r="DJ185" s="8">
        <v>53125446</v>
      </c>
      <c r="DK185" s="8">
        <v>53388446</v>
      </c>
      <c r="DL185" s="8">
        <v>53388446</v>
      </c>
      <c r="DM185" s="8">
        <v>53388446</v>
      </c>
      <c r="DN185" s="8">
        <v>59801404</v>
      </c>
      <c r="DO185" s="9">
        <f t="shared" si="141"/>
        <v>59801404</v>
      </c>
      <c r="DP185" s="8">
        <v>41497084</v>
      </c>
      <c r="DQ185" s="8">
        <v>42113043</v>
      </c>
      <c r="DR185" s="8">
        <v>42113043</v>
      </c>
      <c r="DS185" s="8">
        <v>42113043</v>
      </c>
      <c r="DT185" s="8">
        <v>42113043</v>
      </c>
      <c r="DU185" s="8">
        <v>42113043</v>
      </c>
      <c r="DV185" s="8">
        <v>42113043</v>
      </c>
      <c r="DW185" s="8">
        <v>42113043</v>
      </c>
      <c r="DX185" s="8">
        <v>42113043</v>
      </c>
      <c r="DY185" s="8">
        <v>42113043</v>
      </c>
      <c r="DZ185" s="8">
        <v>42084164</v>
      </c>
      <c r="EA185" s="8">
        <v>49312263</v>
      </c>
      <c r="EB185" s="9">
        <f t="shared" si="142"/>
        <v>49312263</v>
      </c>
      <c r="EC185" s="8">
        <v>86021116</v>
      </c>
      <c r="ED185" s="8">
        <v>86021116</v>
      </c>
      <c r="EE185" s="8">
        <v>86101116</v>
      </c>
      <c r="EF185" s="8">
        <v>86101116</v>
      </c>
      <c r="EG185" s="8">
        <v>86101116</v>
      </c>
      <c r="EH185" s="8">
        <v>86101116</v>
      </c>
      <c r="EI185" s="8">
        <v>86101116</v>
      </c>
      <c r="EJ185" s="8">
        <v>86101116</v>
      </c>
      <c r="EK185" s="8">
        <v>86101116</v>
      </c>
      <c r="EL185" s="8">
        <v>68621867</v>
      </c>
      <c r="EM185" s="8">
        <v>68621867</v>
      </c>
      <c r="EN185" s="8">
        <v>66490061</v>
      </c>
      <c r="EO185" s="9">
        <f t="shared" si="143"/>
        <v>66490061</v>
      </c>
      <c r="EP185" s="8">
        <v>122155247</v>
      </c>
      <c r="EQ185" s="8">
        <v>122406272</v>
      </c>
      <c r="ER185" s="8">
        <v>122406272</v>
      </c>
      <c r="ES185" s="8">
        <v>122406272</v>
      </c>
      <c r="ET185" s="8">
        <v>122406272</v>
      </c>
      <c r="EU185" s="8">
        <v>122323772</v>
      </c>
      <c r="EV185" s="8">
        <v>68851579</v>
      </c>
      <c r="EW185" s="8">
        <v>68851579</v>
      </c>
      <c r="EX185" s="8">
        <v>68851579</v>
      </c>
      <c r="EY185" s="8">
        <v>54909642</v>
      </c>
      <c r="EZ185" s="8">
        <v>54936042</v>
      </c>
      <c r="FA185" s="8">
        <v>54940045</v>
      </c>
      <c r="FB185" s="9">
        <f t="shared" si="144"/>
        <v>54940045</v>
      </c>
      <c r="FC185" s="8">
        <v>77301509</v>
      </c>
      <c r="FD185" s="8">
        <v>76051509</v>
      </c>
      <c r="FE185" s="8">
        <v>76051509</v>
      </c>
      <c r="FF185" s="8">
        <v>76051509</v>
      </c>
      <c r="FG185" s="8">
        <v>76051509</v>
      </c>
      <c r="FH185" s="8">
        <v>76096259</v>
      </c>
      <c r="FI185" s="8">
        <v>76096259</v>
      </c>
      <c r="FJ185" s="8"/>
      <c r="FK185" s="8"/>
      <c r="FL185" s="8"/>
      <c r="FM185" s="8"/>
      <c r="FN185" s="8"/>
      <c r="FO185" s="9">
        <f t="shared" si="145"/>
        <v>76096259</v>
      </c>
    </row>
    <row r="186" spans="2:171" ht="14.25" customHeight="1" x14ac:dyDescent="0.3">
      <c r="B186" s="14" t="s">
        <v>77</v>
      </c>
      <c r="C186" s="16">
        <f t="shared" ref="C186:AH186" si="146">SUM(C168:C185)</f>
        <v>880558044</v>
      </c>
      <c r="D186" s="16">
        <f t="shared" si="146"/>
        <v>880558044</v>
      </c>
      <c r="E186" s="16">
        <f t="shared" si="146"/>
        <v>912096484</v>
      </c>
      <c r="F186" s="16">
        <f t="shared" si="146"/>
        <v>912096484</v>
      </c>
      <c r="G186" s="16">
        <f t="shared" si="146"/>
        <v>912085756</v>
      </c>
      <c r="H186" s="16">
        <f t="shared" si="146"/>
        <v>898165790</v>
      </c>
      <c r="I186" s="16">
        <f t="shared" si="146"/>
        <v>898165790</v>
      </c>
      <c r="J186" s="16">
        <f t="shared" si="146"/>
        <v>902490825</v>
      </c>
      <c r="K186" s="16">
        <f t="shared" si="146"/>
        <v>1018751132</v>
      </c>
      <c r="L186" s="16">
        <f t="shared" si="146"/>
        <v>1008604970</v>
      </c>
      <c r="M186" s="16">
        <f t="shared" si="146"/>
        <v>1074069309</v>
      </c>
      <c r="N186" s="16">
        <f t="shared" si="146"/>
        <v>1088185237</v>
      </c>
      <c r="O186" s="16">
        <f t="shared" si="146"/>
        <v>1088185237</v>
      </c>
      <c r="P186" s="16">
        <f t="shared" si="146"/>
        <v>1117371939</v>
      </c>
      <c r="Q186" s="16">
        <f t="shared" si="146"/>
        <v>1117451791</v>
      </c>
      <c r="R186" s="16">
        <f t="shared" si="146"/>
        <v>1116081770</v>
      </c>
      <c r="S186" s="16">
        <f t="shared" si="146"/>
        <v>1113007075</v>
      </c>
      <c r="T186" s="16">
        <f t="shared" si="146"/>
        <v>1113007075</v>
      </c>
      <c r="U186" s="16">
        <f t="shared" si="146"/>
        <v>1112766989</v>
      </c>
      <c r="V186" s="16">
        <f t="shared" si="146"/>
        <v>1112766989</v>
      </c>
      <c r="W186" s="16">
        <f t="shared" si="146"/>
        <v>1118042672</v>
      </c>
      <c r="X186" s="16">
        <f t="shared" si="146"/>
        <v>1119598408</v>
      </c>
      <c r="Y186" s="16">
        <f t="shared" si="146"/>
        <v>1123452144</v>
      </c>
      <c r="Z186" s="16">
        <f t="shared" si="146"/>
        <v>1123175447</v>
      </c>
      <c r="AA186" s="16">
        <f t="shared" si="146"/>
        <v>1152267160</v>
      </c>
      <c r="AB186" s="16">
        <f t="shared" si="146"/>
        <v>1152267160</v>
      </c>
      <c r="AC186" s="16">
        <f t="shared" si="146"/>
        <v>1308136145</v>
      </c>
      <c r="AD186" s="16">
        <f t="shared" si="146"/>
        <v>1310847429</v>
      </c>
      <c r="AE186" s="16">
        <f t="shared" si="146"/>
        <v>1310776596</v>
      </c>
      <c r="AF186" s="16">
        <f t="shared" si="146"/>
        <v>1303329381</v>
      </c>
      <c r="AG186" s="16">
        <f t="shared" si="146"/>
        <v>1293348513</v>
      </c>
      <c r="AH186" s="16">
        <f t="shared" si="146"/>
        <v>1301527131</v>
      </c>
      <c r="AI186" s="16">
        <f t="shared" ref="AI186:BN186" si="147">SUM(AI168:AI185)</f>
        <v>1302207486</v>
      </c>
      <c r="AJ186" s="16">
        <f t="shared" si="147"/>
        <v>1289177552</v>
      </c>
      <c r="AK186" s="16">
        <f t="shared" si="147"/>
        <v>1287880288</v>
      </c>
      <c r="AL186" s="16">
        <f t="shared" si="147"/>
        <v>1289032918</v>
      </c>
      <c r="AM186" s="16">
        <f t="shared" si="147"/>
        <v>1294220387</v>
      </c>
      <c r="AN186" s="16">
        <f t="shared" si="147"/>
        <v>1301334868</v>
      </c>
      <c r="AO186" s="16">
        <f t="shared" si="147"/>
        <v>1301334868</v>
      </c>
      <c r="AP186" s="16">
        <f t="shared" si="147"/>
        <v>1280609939</v>
      </c>
      <c r="AQ186" s="16">
        <f t="shared" si="147"/>
        <v>1272873236</v>
      </c>
      <c r="AR186" s="16">
        <f t="shared" si="147"/>
        <v>1273248362</v>
      </c>
      <c r="AS186" s="16">
        <f t="shared" si="147"/>
        <v>1268155181</v>
      </c>
      <c r="AT186" s="16">
        <f t="shared" si="147"/>
        <v>1264853181</v>
      </c>
      <c r="AU186" s="16">
        <f t="shared" si="147"/>
        <v>1264203570</v>
      </c>
      <c r="AV186" s="16">
        <f t="shared" si="147"/>
        <v>1270595166</v>
      </c>
      <c r="AW186" s="16">
        <f t="shared" si="147"/>
        <v>1275410058</v>
      </c>
      <c r="AX186" s="16">
        <f t="shared" si="147"/>
        <v>1275410058</v>
      </c>
      <c r="AY186" s="16">
        <f t="shared" si="147"/>
        <v>1274734859</v>
      </c>
      <c r="AZ186" s="16">
        <f t="shared" si="147"/>
        <v>1280472954</v>
      </c>
      <c r="BA186" s="16">
        <f t="shared" si="147"/>
        <v>1311223319</v>
      </c>
      <c r="BB186" s="16">
        <f t="shared" si="147"/>
        <v>1311223319</v>
      </c>
      <c r="BC186" s="16">
        <f t="shared" si="147"/>
        <v>1296682784</v>
      </c>
      <c r="BD186" s="16">
        <f t="shared" si="147"/>
        <v>1294382214</v>
      </c>
      <c r="BE186" s="16">
        <f t="shared" si="147"/>
        <v>1293592512</v>
      </c>
      <c r="BF186" s="16">
        <f t="shared" si="147"/>
        <v>1293592512</v>
      </c>
      <c r="BG186" s="16">
        <f t="shared" si="147"/>
        <v>1293422112</v>
      </c>
      <c r="BH186" s="16">
        <f t="shared" si="147"/>
        <v>1299813591</v>
      </c>
      <c r="BI186" s="16">
        <f t="shared" si="147"/>
        <v>1300646793</v>
      </c>
      <c r="BJ186" s="16">
        <f t="shared" si="147"/>
        <v>1300646793</v>
      </c>
      <c r="BK186" s="16">
        <f t="shared" si="147"/>
        <v>1303721993</v>
      </c>
      <c r="BL186" s="16">
        <f t="shared" si="147"/>
        <v>1317150128</v>
      </c>
      <c r="BM186" s="16">
        <f t="shared" si="147"/>
        <v>1317943060</v>
      </c>
      <c r="BN186" s="16">
        <f t="shared" si="147"/>
        <v>1320218410</v>
      </c>
      <c r="BO186" s="16">
        <f t="shared" ref="BO186:CT186" si="148">SUM(BO168:BO185)</f>
        <v>1320218410</v>
      </c>
      <c r="BP186" s="16">
        <f t="shared" si="148"/>
        <v>1487615608</v>
      </c>
      <c r="BQ186" s="16">
        <f t="shared" si="148"/>
        <v>1487615608</v>
      </c>
      <c r="BR186" s="16">
        <f t="shared" si="148"/>
        <v>1492636742</v>
      </c>
      <c r="BS186" s="16">
        <f t="shared" si="148"/>
        <v>1495366991</v>
      </c>
      <c r="BT186" s="16">
        <f t="shared" si="148"/>
        <v>1493275253</v>
      </c>
      <c r="BU186" s="16">
        <f t="shared" si="148"/>
        <v>1492499618</v>
      </c>
      <c r="BV186" s="16">
        <f t="shared" si="148"/>
        <v>1503205680</v>
      </c>
      <c r="BW186" s="16">
        <f t="shared" si="148"/>
        <v>1511784949</v>
      </c>
      <c r="BX186" s="16">
        <f t="shared" si="148"/>
        <v>1599931333</v>
      </c>
      <c r="BY186" s="16">
        <f t="shared" si="148"/>
        <v>1599446797</v>
      </c>
      <c r="BZ186" s="16">
        <f t="shared" si="148"/>
        <v>1601820877</v>
      </c>
      <c r="CA186" s="16">
        <f t="shared" si="148"/>
        <v>1627573501</v>
      </c>
      <c r="CB186" s="16">
        <f t="shared" si="148"/>
        <v>1627573501</v>
      </c>
      <c r="CC186" s="16">
        <f t="shared" si="148"/>
        <v>1557677212</v>
      </c>
      <c r="CD186" s="16">
        <f t="shared" si="148"/>
        <v>1557677212</v>
      </c>
      <c r="CE186" s="16">
        <f t="shared" si="148"/>
        <v>1565313692</v>
      </c>
      <c r="CF186" s="16">
        <f t="shared" si="148"/>
        <v>1812088337</v>
      </c>
      <c r="CG186" s="16">
        <f t="shared" si="148"/>
        <v>1415380642</v>
      </c>
      <c r="CH186" s="16">
        <f t="shared" si="148"/>
        <v>1413002280</v>
      </c>
      <c r="CI186" s="16">
        <f t="shared" si="148"/>
        <v>1411893218</v>
      </c>
      <c r="CJ186" s="16">
        <f t="shared" si="148"/>
        <v>1411893218</v>
      </c>
      <c r="CK186" s="16">
        <f t="shared" si="148"/>
        <v>1425801311</v>
      </c>
      <c r="CL186" s="16">
        <f t="shared" si="148"/>
        <v>1696337754</v>
      </c>
      <c r="CM186" s="16">
        <f t="shared" si="148"/>
        <v>1695200263</v>
      </c>
      <c r="CN186" s="16">
        <f t="shared" si="148"/>
        <v>1665422588</v>
      </c>
      <c r="CO186" s="16">
        <f t="shared" si="148"/>
        <v>1665422588</v>
      </c>
      <c r="CP186" s="16">
        <f t="shared" si="148"/>
        <v>1793097028</v>
      </c>
      <c r="CQ186" s="16">
        <f t="shared" si="148"/>
        <v>1801597028</v>
      </c>
      <c r="CR186" s="16">
        <f t="shared" si="148"/>
        <v>1802085028</v>
      </c>
      <c r="CS186" s="16">
        <f t="shared" si="148"/>
        <v>1809625068</v>
      </c>
      <c r="CT186" s="16">
        <f t="shared" si="148"/>
        <v>1817494498</v>
      </c>
      <c r="CU186" s="16">
        <f t="shared" ref="CU186:DZ186" si="149">SUM(CU168:CU185)</f>
        <v>1817494498</v>
      </c>
      <c r="CV186" s="16">
        <f t="shared" si="149"/>
        <v>1817477537</v>
      </c>
      <c r="CW186" s="16">
        <f t="shared" si="149"/>
        <v>1817477537</v>
      </c>
      <c r="CX186" s="16">
        <f t="shared" si="149"/>
        <v>1833996481</v>
      </c>
      <c r="CY186" s="16">
        <f t="shared" si="149"/>
        <v>1837440991</v>
      </c>
      <c r="CZ186" s="16">
        <f t="shared" si="149"/>
        <v>1878448804</v>
      </c>
      <c r="DA186" s="16">
        <f t="shared" si="149"/>
        <v>1877434454</v>
      </c>
      <c r="DB186" s="16">
        <f t="shared" si="149"/>
        <v>1877434454</v>
      </c>
      <c r="DC186" s="16">
        <f t="shared" si="149"/>
        <v>1981210073</v>
      </c>
      <c r="DD186" s="16">
        <f t="shared" si="149"/>
        <v>2149725967</v>
      </c>
      <c r="DE186" s="16">
        <f t="shared" si="149"/>
        <v>2147822213</v>
      </c>
      <c r="DF186" s="16">
        <f t="shared" si="149"/>
        <v>2145307698</v>
      </c>
      <c r="DG186" s="16">
        <f t="shared" si="149"/>
        <v>2135988009</v>
      </c>
      <c r="DH186" s="16">
        <f t="shared" si="149"/>
        <v>2135988009</v>
      </c>
      <c r="DI186" s="16">
        <f t="shared" si="149"/>
        <v>2135819215</v>
      </c>
      <c r="DJ186" s="16">
        <f t="shared" si="149"/>
        <v>2135731715</v>
      </c>
      <c r="DK186" s="16">
        <f t="shared" si="149"/>
        <v>2170696715</v>
      </c>
      <c r="DL186" s="16">
        <f t="shared" si="149"/>
        <v>2150870416</v>
      </c>
      <c r="DM186" s="16">
        <f t="shared" si="149"/>
        <v>2153253967</v>
      </c>
      <c r="DN186" s="16">
        <f t="shared" si="149"/>
        <v>2214571089</v>
      </c>
      <c r="DO186" s="16">
        <f t="shared" si="149"/>
        <v>2214571089</v>
      </c>
      <c r="DP186" s="16">
        <f t="shared" si="149"/>
        <v>2367597587</v>
      </c>
      <c r="DQ186" s="16">
        <f t="shared" si="149"/>
        <v>2363619341</v>
      </c>
      <c r="DR186" s="16">
        <f t="shared" si="149"/>
        <v>2363619341</v>
      </c>
      <c r="DS186" s="16">
        <f t="shared" si="149"/>
        <v>2363619341</v>
      </c>
      <c r="DT186" s="16">
        <f t="shared" si="149"/>
        <v>2363619341</v>
      </c>
      <c r="DU186" s="16">
        <f t="shared" si="149"/>
        <v>2448627915</v>
      </c>
      <c r="DV186" s="16">
        <f t="shared" si="149"/>
        <v>2448627915</v>
      </c>
      <c r="DW186" s="16">
        <f t="shared" si="149"/>
        <v>2448627915</v>
      </c>
      <c r="DX186" s="16">
        <f t="shared" si="149"/>
        <v>2448627915</v>
      </c>
      <c r="DY186" s="16">
        <f t="shared" si="149"/>
        <v>2448627915</v>
      </c>
      <c r="DZ186" s="16">
        <f t="shared" si="149"/>
        <v>2499871533</v>
      </c>
      <c r="EA186" s="16">
        <f t="shared" ref="EA186:FF186" si="150">SUM(EA168:EA185)</f>
        <v>2513844950</v>
      </c>
      <c r="EB186" s="16">
        <f t="shared" si="150"/>
        <v>2513844950</v>
      </c>
      <c r="EC186" s="16">
        <f t="shared" si="150"/>
        <v>2729162964</v>
      </c>
      <c r="ED186" s="16">
        <f t="shared" si="150"/>
        <v>2729162964</v>
      </c>
      <c r="EE186" s="16">
        <f t="shared" si="150"/>
        <v>2735729853</v>
      </c>
      <c r="EF186" s="16">
        <f t="shared" si="150"/>
        <v>2735729853</v>
      </c>
      <c r="EG186" s="16">
        <f t="shared" si="150"/>
        <v>2735729853</v>
      </c>
      <c r="EH186" s="16">
        <f t="shared" si="150"/>
        <v>2735729853</v>
      </c>
      <c r="EI186" s="16">
        <f t="shared" si="150"/>
        <v>2744510478</v>
      </c>
      <c r="EJ186" s="16">
        <f t="shared" si="150"/>
        <v>2787101264</v>
      </c>
      <c r="EK186" s="16">
        <f t="shared" si="150"/>
        <v>2832281264</v>
      </c>
      <c r="EL186" s="16">
        <f t="shared" si="150"/>
        <v>2901462420</v>
      </c>
      <c r="EM186" s="16">
        <f t="shared" si="150"/>
        <v>2945660420</v>
      </c>
      <c r="EN186" s="16">
        <f t="shared" si="150"/>
        <v>2913408485</v>
      </c>
      <c r="EO186" s="16">
        <f t="shared" si="150"/>
        <v>2913408485</v>
      </c>
      <c r="EP186" s="16">
        <f t="shared" si="150"/>
        <v>3213324447</v>
      </c>
      <c r="EQ186" s="16">
        <f t="shared" si="150"/>
        <v>3256706784</v>
      </c>
      <c r="ER186" s="16">
        <f t="shared" si="150"/>
        <v>3256706784</v>
      </c>
      <c r="ES186" s="16">
        <f t="shared" si="150"/>
        <v>3258022984</v>
      </c>
      <c r="ET186" s="16">
        <f t="shared" si="150"/>
        <v>3258022984</v>
      </c>
      <c r="EU186" s="16">
        <f t="shared" si="150"/>
        <v>3268606253</v>
      </c>
      <c r="EV186" s="16">
        <f t="shared" si="150"/>
        <v>3284070519</v>
      </c>
      <c r="EW186" s="16">
        <f t="shared" si="150"/>
        <v>3284070519</v>
      </c>
      <c r="EX186" s="16">
        <f t="shared" si="150"/>
        <v>3284070519</v>
      </c>
      <c r="EY186" s="16">
        <f t="shared" si="150"/>
        <v>3311310679</v>
      </c>
      <c r="EZ186" s="16">
        <f t="shared" si="150"/>
        <v>3311473650</v>
      </c>
      <c r="FA186" s="16">
        <f t="shared" si="150"/>
        <v>3265901057</v>
      </c>
      <c r="FB186" s="16">
        <f t="shared" si="150"/>
        <v>3265901057</v>
      </c>
      <c r="FC186" s="16">
        <f t="shared" si="150"/>
        <v>3742452377</v>
      </c>
      <c r="FD186" s="16">
        <f t="shared" si="150"/>
        <v>3682852377</v>
      </c>
      <c r="FE186" s="16">
        <f t="shared" si="150"/>
        <v>3682852377</v>
      </c>
      <c r="FF186" s="16">
        <f t="shared" si="150"/>
        <v>3682852377</v>
      </c>
      <c r="FG186" s="16">
        <f t="shared" ref="FG186:GL186" si="151">SUM(FG168:FG185)</f>
        <v>3682534203</v>
      </c>
      <c r="FH186" s="16">
        <f t="shared" si="151"/>
        <v>3682046793</v>
      </c>
      <c r="FI186" s="16">
        <f t="shared" si="151"/>
        <v>3682245915</v>
      </c>
      <c r="FJ186" s="16">
        <f t="shared" si="151"/>
        <v>0</v>
      </c>
      <c r="FK186" s="16">
        <f t="shared" si="151"/>
        <v>0</v>
      </c>
      <c r="FL186" s="16">
        <f t="shared" si="151"/>
        <v>0</v>
      </c>
      <c r="FM186" s="16">
        <f t="shared" si="151"/>
        <v>0</v>
      </c>
      <c r="FN186" s="16">
        <f t="shared" si="151"/>
        <v>0</v>
      </c>
      <c r="FO186" s="16">
        <f t="shared" si="151"/>
        <v>3682245915</v>
      </c>
    </row>
    <row r="187" spans="2:171" ht="14.25" customHeight="1" x14ac:dyDescent="0.3">
      <c r="B187" s="4" t="s">
        <v>78</v>
      </c>
    </row>
    <row r="188" spans="2:171" ht="14.25" customHeight="1" x14ac:dyDescent="0.3">
      <c r="C188" s="33" t="s">
        <v>4</v>
      </c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3" t="s">
        <v>5</v>
      </c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3" t="s">
        <v>6</v>
      </c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3" t="s">
        <v>7</v>
      </c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3" t="s">
        <v>8</v>
      </c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3" t="s">
        <v>9</v>
      </c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3" t="s">
        <v>10</v>
      </c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3" t="s">
        <v>11</v>
      </c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3" t="s">
        <v>12</v>
      </c>
      <c r="DD188" s="34"/>
      <c r="DE188" s="34"/>
      <c r="DF188" s="34"/>
      <c r="DG188" s="34"/>
      <c r="DH188" s="34"/>
      <c r="DI188" s="34"/>
      <c r="DJ188" s="34"/>
      <c r="DK188" s="34"/>
      <c r="DL188" s="34"/>
      <c r="DM188" s="34"/>
      <c r="DN188" s="34"/>
      <c r="DO188" s="34"/>
      <c r="DP188" s="33" t="s">
        <v>13</v>
      </c>
      <c r="DQ188" s="34"/>
      <c r="DR188" s="34"/>
      <c r="DS188" s="34"/>
      <c r="DT188" s="34"/>
      <c r="DU188" s="34"/>
      <c r="DV188" s="34"/>
      <c r="DW188" s="34"/>
      <c r="DX188" s="34"/>
      <c r="DY188" s="34"/>
      <c r="DZ188" s="34"/>
      <c r="EA188" s="34"/>
      <c r="EB188" s="34"/>
      <c r="EC188" s="33" t="s">
        <v>14</v>
      </c>
      <c r="ED188" s="34"/>
      <c r="EE188" s="34"/>
      <c r="EF188" s="34"/>
      <c r="EG188" s="34"/>
      <c r="EH188" s="34"/>
      <c r="EI188" s="34"/>
      <c r="EJ188" s="34"/>
      <c r="EK188" s="34"/>
      <c r="EL188" s="34"/>
      <c r="EM188" s="34"/>
      <c r="EN188" s="34"/>
      <c r="EO188" s="34"/>
      <c r="EP188" s="33" t="s">
        <v>15</v>
      </c>
      <c r="EQ188" s="34"/>
      <c r="ER188" s="34"/>
      <c r="ES188" s="34"/>
      <c r="ET188" s="34"/>
      <c r="EU188" s="34"/>
      <c r="EV188" s="34"/>
      <c r="EW188" s="34"/>
      <c r="EX188" s="34"/>
      <c r="EY188" s="34"/>
      <c r="EZ188" s="34"/>
      <c r="FA188" s="34"/>
      <c r="FB188" s="34"/>
      <c r="FC188" s="33" t="s">
        <v>16</v>
      </c>
      <c r="FD188" s="34"/>
      <c r="FE188" s="34"/>
      <c r="FF188" s="34"/>
      <c r="FG188" s="34"/>
      <c r="FH188" s="34"/>
      <c r="FI188" s="34"/>
      <c r="FJ188" s="34"/>
      <c r="FK188" s="34"/>
      <c r="FL188" s="34"/>
      <c r="FM188" s="34"/>
      <c r="FN188" s="34"/>
      <c r="FO188" s="34"/>
    </row>
    <row r="189" spans="2:171" ht="14.25" customHeight="1" x14ac:dyDescent="0.3">
      <c r="B189" s="5" t="s">
        <v>17</v>
      </c>
      <c r="C189" s="6" t="s">
        <v>18</v>
      </c>
      <c r="D189" s="6" t="s">
        <v>19</v>
      </c>
      <c r="E189" s="6" t="s">
        <v>20</v>
      </c>
      <c r="F189" s="6" t="s">
        <v>21</v>
      </c>
      <c r="G189" s="6" t="s">
        <v>22</v>
      </c>
      <c r="H189" s="6" t="s">
        <v>23</v>
      </c>
      <c r="I189" s="6" t="s">
        <v>24</v>
      </c>
      <c r="J189" s="6" t="s">
        <v>25</v>
      </c>
      <c r="K189" s="6" t="s">
        <v>26</v>
      </c>
      <c r="L189" s="6" t="s">
        <v>27</v>
      </c>
      <c r="M189" s="6" t="s">
        <v>28</v>
      </c>
      <c r="N189" s="6" t="s">
        <v>29</v>
      </c>
      <c r="O189" s="6" t="s">
        <v>30</v>
      </c>
      <c r="P189" s="6" t="s">
        <v>18</v>
      </c>
      <c r="Q189" s="6" t="s">
        <v>19</v>
      </c>
      <c r="R189" s="6" t="s">
        <v>20</v>
      </c>
      <c r="S189" s="6" t="s">
        <v>21</v>
      </c>
      <c r="T189" s="6" t="s">
        <v>22</v>
      </c>
      <c r="U189" s="6" t="s">
        <v>23</v>
      </c>
      <c r="V189" s="6" t="s">
        <v>24</v>
      </c>
      <c r="W189" s="6" t="s">
        <v>25</v>
      </c>
      <c r="X189" s="6" t="s">
        <v>26</v>
      </c>
      <c r="Y189" s="6" t="s">
        <v>27</v>
      </c>
      <c r="Z189" s="6" t="s">
        <v>28</v>
      </c>
      <c r="AA189" s="6" t="s">
        <v>29</v>
      </c>
      <c r="AB189" s="6" t="s">
        <v>31</v>
      </c>
      <c r="AC189" s="6" t="s">
        <v>18</v>
      </c>
      <c r="AD189" s="6" t="s">
        <v>19</v>
      </c>
      <c r="AE189" s="6" t="s">
        <v>20</v>
      </c>
      <c r="AF189" s="6" t="s">
        <v>21</v>
      </c>
      <c r="AG189" s="6" t="s">
        <v>22</v>
      </c>
      <c r="AH189" s="6" t="s">
        <v>23</v>
      </c>
      <c r="AI189" s="6" t="s">
        <v>24</v>
      </c>
      <c r="AJ189" s="6" t="s">
        <v>25</v>
      </c>
      <c r="AK189" s="6" t="s">
        <v>26</v>
      </c>
      <c r="AL189" s="6" t="s">
        <v>27</v>
      </c>
      <c r="AM189" s="6" t="s">
        <v>28</v>
      </c>
      <c r="AN189" s="6" t="s">
        <v>29</v>
      </c>
      <c r="AO189" s="6" t="s">
        <v>32</v>
      </c>
      <c r="AP189" s="6" t="s">
        <v>18</v>
      </c>
      <c r="AQ189" s="6" t="s">
        <v>19</v>
      </c>
      <c r="AR189" s="6" t="s">
        <v>20</v>
      </c>
      <c r="AS189" s="6" t="s">
        <v>21</v>
      </c>
      <c r="AT189" s="6" t="s">
        <v>22</v>
      </c>
      <c r="AU189" s="6" t="s">
        <v>23</v>
      </c>
      <c r="AV189" s="6" t="s">
        <v>24</v>
      </c>
      <c r="AW189" s="6" t="s">
        <v>25</v>
      </c>
      <c r="AX189" s="6" t="s">
        <v>26</v>
      </c>
      <c r="AY189" s="6" t="s">
        <v>27</v>
      </c>
      <c r="AZ189" s="6" t="s">
        <v>28</v>
      </c>
      <c r="BA189" s="6" t="s">
        <v>29</v>
      </c>
      <c r="BB189" s="6" t="s">
        <v>33</v>
      </c>
      <c r="BC189" s="6" t="s">
        <v>18</v>
      </c>
      <c r="BD189" s="6" t="s">
        <v>19</v>
      </c>
      <c r="BE189" s="6" t="s">
        <v>20</v>
      </c>
      <c r="BF189" s="6" t="s">
        <v>21</v>
      </c>
      <c r="BG189" s="6" t="s">
        <v>22</v>
      </c>
      <c r="BH189" s="6" t="s">
        <v>23</v>
      </c>
      <c r="BI189" s="6" t="s">
        <v>24</v>
      </c>
      <c r="BJ189" s="6" t="s">
        <v>25</v>
      </c>
      <c r="BK189" s="6" t="s">
        <v>26</v>
      </c>
      <c r="BL189" s="6" t="s">
        <v>27</v>
      </c>
      <c r="BM189" s="6" t="s">
        <v>28</v>
      </c>
      <c r="BN189" s="6" t="s">
        <v>29</v>
      </c>
      <c r="BO189" s="6" t="s">
        <v>34</v>
      </c>
      <c r="BP189" s="6" t="s">
        <v>18</v>
      </c>
      <c r="BQ189" s="6" t="s">
        <v>19</v>
      </c>
      <c r="BR189" s="6" t="s">
        <v>20</v>
      </c>
      <c r="BS189" s="6" t="s">
        <v>21</v>
      </c>
      <c r="BT189" s="6" t="s">
        <v>22</v>
      </c>
      <c r="BU189" s="6" t="s">
        <v>23</v>
      </c>
      <c r="BV189" s="6" t="s">
        <v>24</v>
      </c>
      <c r="BW189" s="6" t="s">
        <v>25</v>
      </c>
      <c r="BX189" s="6" t="s">
        <v>26</v>
      </c>
      <c r="BY189" s="6" t="s">
        <v>27</v>
      </c>
      <c r="BZ189" s="6" t="s">
        <v>28</v>
      </c>
      <c r="CA189" s="6" t="s">
        <v>29</v>
      </c>
      <c r="CB189" s="6" t="s">
        <v>35</v>
      </c>
      <c r="CC189" s="6" t="s">
        <v>18</v>
      </c>
      <c r="CD189" s="6" t="s">
        <v>19</v>
      </c>
      <c r="CE189" s="6" t="s">
        <v>20</v>
      </c>
      <c r="CF189" s="6" t="s">
        <v>21</v>
      </c>
      <c r="CG189" s="6" t="s">
        <v>22</v>
      </c>
      <c r="CH189" s="6" t="s">
        <v>23</v>
      </c>
      <c r="CI189" s="6" t="s">
        <v>24</v>
      </c>
      <c r="CJ189" s="6" t="s">
        <v>25</v>
      </c>
      <c r="CK189" s="6" t="s">
        <v>26</v>
      </c>
      <c r="CL189" s="6" t="s">
        <v>27</v>
      </c>
      <c r="CM189" s="6" t="s">
        <v>28</v>
      </c>
      <c r="CN189" s="6" t="s">
        <v>29</v>
      </c>
      <c r="CO189" s="6" t="s">
        <v>36</v>
      </c>
      <c r="CP189" s="6" t="s">
        <v>18</v>
      </c>
      <c r="CQ189" s="6" t="s">
        <v>19</v>
      </c>
      <c r="CR189" s="6" t="s">
        <v>20</v>
      </c>
      <c r="CS189" s="6" t="s">
        <v>21</v>
      </c>
      <c r="CT189" s="6" t="s">
        <v>22</v>
      </c>
      <c r="CU189" s="6" t="s">
        <v>23</v>
      </c>
      <c r="CV189" s="6" t="s">
        <v>24</v>
      </c>
      <c r="CW189" s="6" t="s">
        <v>25</v>
      </c>
      <c r="CX189" s="6" t="s">
        <v>26</v>
      </c>
      <c r="CY189" s="6" t="s">
        <v>27</v>
      </c>
      <c r="CZ189" s="6" t="s">
        <v>28</v>
      </c>
      <c r="DA189" s="6" t="s">
        <v>29</v>
      </c>
      <c r="DB189" s="6" t="s">
        <v>37</v>
      </c>
      <c r="DC189" s="6" t="s">
        <v>18</v>
      </c>
      <c r="DD189" s="6" t="s">
        <v>19</v>
      </c>
      <c r="DE189" s="6" t="s">
        <v>20</v>
      </c>
      <c r="DF189" s="6" t="s">
        <v>21</v>
      </c>
      <c r="DG189" s="6" t="s">
        <v>22</v>
      </c>
      <c r="DH189" s="6" t="s">
        <v>23</v>
      </c>
      <c r="DI189" s="6" t="s">
        <v>24</v>
      </c>
      <c r="DJ189" s="6" t="s">
        <v>25</v>
      </c>
      <c r="DK189" s="6" t="s">
        <v>26</v>
      </c>
      <c r="DL189" s="6" t="s">
        <v>27</v>
      </c>
      <c r="DM189" s="6" t="s">
        <v>28</v>
      </c>
      <c r="DN189" s="6" t="s">
        <v>29</v>
      </c>
      <c r="DO189" s="6" t="s">
        <v>38</v>
      </c>
      <c r="DP189" s="6" t="s">
        <v>18</v>
      </c>
      <c r="DQ189" s="6" t="s">
        <v>19</v>
      </c>
      <c r="DR189" s="6" t="s">
        <v>20</v>
      </c>
      <c r="DS189" s="6" t="s">
        <v>21</v>
      </c>
      <c r="DT189" s="6" t="s">
        <v>22</v>
      </c>
      <c r="DU189" s="6" t="s">
        <v>23</v>
      </c>
      <c r="DV189" s="6" t="s">
        <v>24</v>
      </c>
      <c r="DW189" s="6" t="s">
        <v>25</v>
      </c>
      <c r="DX189" s="6" t="s">
        <v>26</v>
      </c>
      <c r="DY189" s="6" t="s">
        <v>27</v>
      </c>
      <c r="DZ189" s="6" t="s">
        <v>28</v>
      </c>
      <c r="EA189" s="6" t="s">
        <v>29</v>
      </c>
      <c r="EB189" s="6" t="s">
        <v>39</v>
      </c>
      <c r="EC189" s="6" t="s">
        <v>18</v>
      </c>
      <c r="ED189" s="6" t="s">
        <v>19</v>
      </c>
      <c r="EE189" s="6" t="s">
        <v>20</v>
      </c>
      <c r="EF189" s="6" t="s">
        <v>21</v>
      </c>
      <c r="EG189" s="6" t="s">
        <v>22</v>
      </c>
      <c r="EH189" s="6" t="s">
        <v>23</v>
      </c>
      <c r="EI189" s="6" t="s">
        <v>24</v>
      </c>
      <c r="EJ189" s="6" t="s">
        <v>25</v>
      </c>
      <c r="EK189" s="6" t="s">
        <v>26</v>
      </c>
      <c r="EL189" s="6" t="s">
        <v>27</v>
      </c>
      <c r="EM189" s="6" t="s">
        <v>28</v>
      </c>
      <c r="EN189" s="6" t="s">
        <v>29</v>
      </c>
      <c r="EO189" s="6" t="s">
        <v>40</v>
      </c>
      <c r="EP189" s="6" t="s">
        <v>18</v>
      </c>
      <c r="EQ189" s="6" t="s">
        <v>19</v>
      </c>
      <c r="ER189" s="6" t="s">
        <v>20</v>
      </c>
      <c r="ES189" s="6" t="s">
        <v>21</v>
      </c>
      <c r="ET189" s="6" t="s">
        <v>22</v>
      </c>
      <c r="EU189" s="6" t="s">
        <v>23</v>
      </c>
      <c r="EV189" s="6" t="s">
        <v>24</v>
      </c>
      <c r="EW189" s="6" t="s">
        <v>25</v>
      </c>
      <c r="EX189" s="6" t="s">
        <v>26</v>
      </c>
      <c r="EY189" s="6" t="s">
        <v>27</v>
      </c>
      <c r="EZ189" s="6" t="s">
        <v>28</v>
      </c>
      <c r="FA189" s="6" t="s">
        <v>29</v>
      </c>
      <c r="FB189" s="6" t="s">
        <v>41</v>
      </c>
      <c r="FC189" s="6" t="s">
        <v>18</v>
      </c>
      <c r="FD189" s="6" t="s">
        <v>19</v>
      </c>
      <c r="FE189" s="6" t="s">
        <v>20</v>
      </c>
      <c r="FF189" s="6" t="s">
        <v>21</v>
      </c>
      <c r="FG189" s="6" t="s">
        <v>22</v>
      </c>
      <c r="FH189" s="6" t="s">
        <v>23</v>
      </c>
      <c r="FI189" s="6" t="s">
        <v>24</v>
      </c>
      <c r="FJ189" s="6" t="s">
        <v>25</v>
      </c>
      <c r="FK189" s="6" t="s">
        <v>26</v>
      </c>
      <c r="FL189" s="6" t="s">
        <v>27</v>
      </c>
      <c r="FM189" s="6" t="s">
        <v>28</v>
      </c>
      <c r="FN189" s="6" t="s">
        <v>29</v>
      </c>
      <c r="FO189" s="6" t="s">
        <v>42</v>
      </c>
    </row>
    <row r="190" spans="2:171" ht="14.25" customHeight="1" x14ac:dyDescent="0.3">
      <c r="B190" s="7" t="s">
        <v>43</v>
      </c>
      <c r="C190" s="8">
        <v>5861434</v>
      </c>
      <c r="D190" s="8">
        <v>8484105</v>
      </c>
      <c r="E190" s="8">
        <v>13261518</v>
      </c>
      <c r="F190" s="8">
        <v>18458967</v>
      </c>
      <c r="G190" s="8">
        <v>24391385</v>
      </c>
      <c r="H190" s="8">
        <v>29225238</v>
      </c>
      <c r="I190" s="8">
        <v>33094901</v>
      </c>
      <c r="J190" s="8">
        <v>39435624</v>
      </c>
      <c r="K190" s="8">
        <v>46468095</v>
      </c>
      <c r="L190" s="8">
        <v>51678161</v>
      </c>
      <c r="M190" s="8">
        <v>58882110</v>
      </c>
      <c r="N190" s="8">
        <v>68134210</v>
      </c>
      <c r="O190" s="9">
        <f t="shared" ref="O190:O207" si="152">N190</f>
        <v>68134210</v>
      </c>
      <c r="P190" s="8">
        <v>6814957</v>
      </c>
      <c r="Q190" s="8">
        <v>13280198</v>
      </c>
      <c r="R190" s="8">
        <v>17469508</v>
      </c>
      <c r="S190" s="8">
        <v>19962167</v>
      </c>
      <c r="T190" s="8">
        <v>29617877</v>
      </c>
      <c r="U190" s="8">
        <v>35263141</v>
      </c>
      <c r="V190" s="8">
        <v>41740778</v>
      </c>
      <c r="W190" s="8">
        <v>49528533</v>
      </c>
      <c r="X190" s="8">
        <v>55028133</v>
      </c>
      <c r="Y190" s="8">
        <v>63535920</v>
      </c>
      <c r="Z190" s="8">
        <v>72528310</v>
      </c>
      <c r="AA190" s="8">
        <v>88382714</v>
      </c>
      <c r="AB190" s="9">
        <f t="shared" ref="AB190:AB207" si="153">AA190</f>
        <v>88382714</v>
      </c>
      <c r="AC190" s="8">
        <v>5684340</v>
      </c>
      <c r="AD190" s="8">
        <v>13580015</v>
      </c>
      <c r="AE190" s="8">
        <v>20690076</v>
      </c>
      <c r="AF190" s="8">
        <v>29727655</v>
      </c>
      <c r="AG190" s="8">
        <v>37890561</v>
      </c>
      <c r="AH190" s="8">
        <v>45265677</v>
      </c>
      <c r="AI190" s="8">
        <v>59472004</v>
      </c>
      <c r="AJ190" s="8">
        <v>68977308</v>
      </c>
      <c r="AK190" s="8">
        <v>73812014</v>
      </c>
      <c r="AL190" s="8">
        <v>80656048</v>
      </c>
      <c r="AM190" s="8">
        <v>96596598</v>
      </c>
      <c r="AN190" s="8">
        <v>110933784</v>
      </c>
      <c r="AO190" s="9">
        <f t="shared" ref="AO190:AO207" si="154">AN190</f>
        <v>110933784</v>
      </c>
      <c r="AP190" s="8">
        <v>10381941</v>
      </c>
      <c r="AQ190" s="8">
        <v>18560366</v>
      </c>
      <c r="AR190" s="8">
        <v>27115343</v>
      </c>
      <c r="AS190" s="8">
        <v>33112582</v>
      </c>
      <c r="AT190" s="8">
        <v>41581803</v>
      </c>
      <c r="AU190" s="8">
        <v>48594427</v>
      </c>
      <c r="AV190" s="8">
        <v>56993157</v>
      </c>
      <c r="AW190" s="8">
        <v>68137954</v>
      </c>
      <c r="AX190" s="8">
        <v>75993623</v>
      </c>
      <c r="AY190" s="8">
        <v>83120563</v>
      </c>
      <c r="AZ190" s="8">
        <v>90391419</v>
      </c>
      <c r="BA190" s="8">
        <v>100976538</v>
      </c>
      <c r="BB190" s="9">
        <f t="shared" ref="BB190:BB207" si="155">BA190</f>
        <v>100976538</v>
      </c>
      <c r="BC190" s="8">
        <v>3926364</v>
      </c>
      <c r="BD190" s="8">
        <v>15060226</v>
      </c>
      <c r="BE190" s="8">
        <v>30076652</v>
      </c>
      <c r="BF190" s="8">
        <v>37549861</v>
      </c>
      <c r="BG190" s="8">
        <v>49485385</v>
      </c>
      <c r="BH190" s="8">
        <v>57070629</v>
      </c>
      <c r="BI190" s="8">
        <v>66365664</v>
      </c>
      <c r="BJ190" s="8">
        <v>78957066</v>
      </c>
      <c r="BK190" s="8">
        <v>85442872</v>
      </c>
      <c r="BL190" s="8">
        <v>95559647</v>
      </c>
      <c r="BM190" s="8">
        <v>106056015</v>
      </c>
      <c r="BN190" s="8">
        <v>113249409</v>
      </c>
      <c r="BO190" s="9">
        <f t="shared" ref="BO190:BO207" si="156">BN190</f>
        <v>113249409</v>
      </c>
      <c r="BP190" s="8">
        <v>12611939</v>
      </c>
      <c r="BQ190" s="8">
        <v>23862266</v>
      </c>
      <c r="BR190" s="8">
        <v>31547935</v>
      </c>
      <c r="BS190" s="8">
        <v>43522820</v>
      </c>
      <c r="BT190" s="8">
        <v>55493572</v>
      </c>
      <c r="BU190" s="8">
        <v>62364883</v>
      </c>
      <c r="BV190" s="8">
        <v>69920939</v>
      </c>
      <c r="BW190" s="8">
        <v>80918651</v>
      </c>
      <c r="BX190" s="8">
        <v>90875374</v>
      </c>
      <c r="BY190" s="8">
        <v>100791174</v>
      </c>
      <c r="BZ190" s="8">
        <v>110340470</v>
      </c>
      <c r="CA190" s="8">
        <v>132970400</v>
      </c>
      <c r="CB190" s="9">
        <f t="shared" ref="CB190:CB207" si="157">CA190</f>
        <v>132970400</v>
      </c>
      <c r="CC190" s="8">
        <v>3724666</v>
      </c>
      <c r="CD190" s="8">
        <v>12324052</v>
      </c>
      <c r="CE190" s="8">
        <v>28554352</v>
      </c>
      <c r="CF190" s="8">
        <v>40542914</v>
      </c>
      <c r="CG190" s="8">
        <v>57254059</v>
      </c>
      <c r="CH190" s="8">
        <v>67813061</v>
      </c>
      <c r="CI190" s="8">
        <v>79057420</v>
      </c>
      <c r="CJ190" s="8">
        <v>95027825</v>
      </c>
      <c r="CK190" s="8">
        <v>113009123</v>
      </c>
      <c r="CL190" s="8">
        <v>134529345</v>
      </c>
      <c r="CM190" s="8">
        <v>159513357</v>
      </c>
      <c r="CN190" s="8">
        <v>180027896</v>
      </c>
      <c r="CO190" s="9">
        <f t="shared" ref="CO190:CO207" si="158">CN190</f>
        <v>180027896</v>
      </c>
      <c r="CP190" s="8">
        <v>10974976</v>
      </c>
      <c r="CQ190" s="8">
        <v>24103181</v>
      </c>
      <c r="CR190" s="8">
        <v>33756294</v>
      </c>
      <c r="CS190" s="8">
        <v>49680272</v>
      </c>
      <c r="CT190" s="8">
        <v>73457274</v>
      </c>
      <c r="CU190" s="8">
        <v>95206458</v>
      </c>
      <c r="CV190" s="8">
        <v>115553770</v>
      </c>
      <c r="CW190" s="8">
        <v>140959259</v>
      </c>
      <c r="CX190" s="8">
        <v>160725594</v>
      </c>
      <c r="CY190" s="8">
        <v>174838670</v>
      </c>
      <c r="CZ190" s="8">
        <v>193671048</v>
      </c>
      <c r="DA190" s="8">
        <v>220242223</v>
      </c>
      <c r="DB190" s="9">
        <f t="shared" ref="DB190:DB207" si="159">DA190</f>
        <v>220242223</v>
      </c>
      <c r="DC190" s="8">
        <v>5279604</v>
      </c>
      <c r="DD190" s="8">
        <v>22006992</v>
      </c>
      <c r="DE190" s="8">
        <v>34546981</v>
      </c>
      <c r="DF190" s="8">
        <v>50440849</v>
      </c>
      <c r="DG190" s="8">
        <v>65847682</v>
      </c>
      <c r="DH190" s="8">
        <v>76844958</v>
      </c>
      <c r="DI190" s="8">
        <v>93219747</v>
      </c>
      <c r="DJ190" s="8">
        <v>114084682</v>
      </c>
      <c r="DK190" s="8">
        <v>136698508</v>
      </c>
      <c r="DL190" s="8">
        <v>150221204</v>
      </c>
      <c r="DM190" s="8">
        <v>171765624</v>
      </c>
      <c r="DN190" s="8">
        <v>198037514</v>
      </c>
      <c r="DO190" s="9">
        <f t="shared" ref="DO190:DO207" si="160">DN190</f>
        <v>198037514</v>
      </c>
      <c r="DP190" s="8">
        <v>14032699</v>
      </c>
      <c r="DQ190" s="8">
        <v>32778605</v>
      </c>
      <c r="DR190" s="8">
        <v>51849706</v>
      </c>
      <c r="DS190" s="8">
        <v>65694907</v>
      </c>
      <c r="DT190" s="8">
        <v>88622950</v>
      </c>
      <c r="DU190" s="8">
        <v>100877596</v>
      </c>
      <c r="DV190" s="8">
        <v>114844834</v>
      </c>
      <c r="DW190" s="8">
        <v>136050870</v>
      </c>
      <c r="DX190" s="8">
        <v>150180307</v>
      </c>
      <c r="DY190" s="8">
        <v>163602118</v>
      </c>
      <c r="DZ190" s="8">
        <v>175604072</v>
      </c>
      <c r="EA190" s="8">
        <v>217749671</v>
      </c>
      <c r="EB190" s="9">
        <f t="shared" ref="EB190:EB207" si="161">EA190</f>
        <v>217749671</v>
      </c>
      <c r="EC190" s="8">
        <v>19047105</v>
      </c>
      <c r="ED190" s="8">
        <v>36555205</v>
      </c>
      <c r="EE190" s="8">
        <v>58052342</v>
      </c>
      <c r="EF190" s="8">
        <v>70702780</v>
      </c>
      <c r="EG190" s="8">
        <v>94272744</v>
      </c>
      <c r="EH190" s="8">
        <v>110106554</v>
      </c>
      <c r="EI190" s="8">
        <v>129130015</v>
      </c>
      <c r="EJ190" s="8">
        <v>150079321</v>
      </c>
      <c r="EK190" s="8">
        <v>164894773</v>
      </c>
      <c r="EL190" s="8">
        <v>182211792</v>
      </c>
      <c r="EM190" s="8">
        <v>203501844</v>
      </c>
      <c r="EN190" s="8">
        <v>249185192</v>
      </c>
      <c r="EO190" s="9">
        <f t="shared" ref="EO190:EO207" si="162">EN190</f>
        <v>249185192</v>
      </c>
      <c r="EP190" s="8">
        <v>17206044</v>
      </c>
      <c r="EQ190" s="8">
        <v>44796320</v>
      </c>
      <c r="ER190" s="8">
        <v>62780942</v>
      </c>
      <c r="ES190" s="8">
        <v>80794825</v>
      </c>
      <c r="ET190" s="8">
        <v>110179131</v>
      </c>
      <c r="EU190" s="8">
        <v>130265406</v>
      </c>
      <c r="EV190" s="8">
        <v>150808728</v>
      </c>
      <c r="EW190" s="8">
        <v>168968552</v>
      </c>
      <c r="EX190" s="8">
        <v>196714744</v>
      </c>
      <c r="EY190" s="8">
        <v>224987711</v>
      </c>
      <c r="EZ190" s="8">
        <v>249256474</v>
      </c>
      <c r="FA190" s="8">
        <v>273789362</v>
      </c>
      <c r="FB190" s="9">
        <f t="shared" ref="FB190:FB207" si="163">FA190</f>
        <v>273789362</v>
      </c>
      <c r="FC190" s="8">
        <v>18176422</v>
      </c>
      <c r="FD190" s="8">
        <v>52371832</v>
      </c>
      <c r="FE190" s="8">
        <v>71824798</v>
      </c>
      <c r="FF190" s="8">
        <v>100096546</v>
      </c>
      <c r="FG190" s="8">
        <v>126038083</v>
      </c>
      <c r="FH190" s="8">
        <v>155743479</v>
      </c>
      <c r="FI190" s="8">
        <v>180238546</v>
      </c>
      <c r="FJ190" s="8"/>
      <c r="FK190" s="8"/>
      <c r="FL190" s="8"/>
      <c r="FM190" s="8"/>
      <c r="FN190" s="8"/>
      <c r="FO190" s="9">
        <f t="shared" ref="FO190:FO207" si="164">FI190</f>
        <v>180238546</v>
      </c>
    </row>
    <row r="191" spans="2:171" ht="14.25" customHeight="1" x14ac:dyDescent="0.3">
      <c r="B191" s="7" t="s">
        <v>44</v>
      </c>
      <c r="C191" s="8">
        <v>0</v>
      </c>
      <c r="D191" s="8">
        <v>0</v>
      </c>
      <c r="E191" s="8">
        <v>0</v>
      </c>
      <c r="F191" s="8">
        <v>0</v>
      </c>
      <c r="G191" s="8">
        <v>0</v>
      </c>
      <c r="H191" s="8">
        <v>0</v>
      </c>
      <c r="I191" s="8">
        <v>0</v>
      </c>
      <c r="J191" s="8">
        <v>0</v>
      </c>
      <c r="K191" s="8">
        <v>0</v>
      </c>
      <c r="L191" s="8">
        <v>0</v>
      </c>
      <c r="M191" s="8">
        <v>0</v>
      </c>
      <c r="N191" s="8">
        <v>0</v>
      </c>
      <c r="O191" s="9">
        <f t="shared" si="152"/>
        <v>0</v>
      </c>
      <c r="P191" s="8">
        <v>0</v>
      </c>
      <c r="Q191" s="8">
        <v>0</v>
      </c>
      <c r="R191" s="8">
        <v>0</v>
      </c>
      <c r="S191" s="8">
        <v>0</v>
      </c>
      <c r="T191" s="8">
        <v>0</v>
      </c>
      <c r="U191" s="8">
        <v>0</v>
      </c>
      <c r="V191" s="8">
        <v>0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9">
        <f t="shared" si="153"/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>
        <v>0</v>
      </c>
      <c r="AK191" s="8">
        <v>0</v>
      </c>
      <c r="AL191" s="8">
        <v>0</v>
      </c>
      <c r="AM191" s="8">
        <v>0</v>
      </c>
      <c r="AN191" s="8">
        <v>0</v>
      </c>
      <c r="AO191" s="9">
        <f t="shared" si="154"/>
        <v>0</v>
      </c>
      <c r="AP191" s="8">
        <v>0</v>
      </c>
      <c r="AQ191" s="8">
        <v>0</v>
      </c>
      <c r="AR191" s="8">
        <v>0</v>
      </c>
      <c r="AS191" s="8">
        <v>0</v>
      </c>
      <c r="AT191" s="8">
        <v>0</v>
      </c>
      <c r="AU191" s="8">
        <v>0</v>
      </c>
      <c r="AV191" s="8">
        <v>0</v>
      </c>
      <c r="AW191" s="8">
        <v>0</v>
      </c>
      <c r="AX191" s="8">
        <v>0</v>
      </c>
      <c r="AY191" s="8">
        <v>0</v>
      </c>
      <c r="AZ191" s="8">
        <v>0</v>
      </c>
      <c r="BA191" s="8">
        <v>0</v>
      </c>
      <c r="BB191" s="9">
        <f t="shared" si="155"/>
        <v>0</v>
      </c>
      <c r="BC191" s="8">
        <v>0</v>
      </c>
      <c r="BD191" s="8">
        <v>0</v>
      </c>
      <c r="BE191" s="8">
        <v>0</v>
      </c>
      <c r="BF191" s="8">
        <v>0</v>
      </c>
      <c r="BG191" s="8">
        <v>0</v>
      </c>
      <c r="BH191" s="8">
        <v>0</v>
      </c>
      <c r="BI191" s="8">
        <v>0</v>
      </c>
      <c r="BJ191" s="8">
        <v>0</v>
      </c>
      <c r="BK191" s="8">
        <v>0</v>
      </c>
      <c r="BL191" s="8">
        <v>0</v>
      </c>
      <c r="BM191" s="8">
        <v>0</v>
      </c>
      <c r="BN191" s="8">
        <v>0</v>
      </c>
      <c r="BO191" s="9">
        <f t="shared" si="156"/>
        <v>0</v>
      </c>
      <c r="BP191" s="8">
        <v>0</v>
      </c>
      <c r="BQ191" s="8">
        <v>0</v>
      </c>
      <c r="BR191" s="8">
        <v>0</v>
      </c>
      <c r="BS191" s="8">
        <v>0</v>
      </c>
      <c r="BT191" s="8">
        <v>0</v>
      </c>
      <c r="BU191" s="8">
        <v>0</v>
      </c>
      <c r="BV191" s="8">
        <v>0</v>
      </c>
      <c r="BW191" s="8">
        <v>0</v>
      </c>
      <c r="BX191" s="8">
        <v>0</v>
      </c>
      <c r="BY191" s="8">
        <v>0</v>
      </c>
      <c r="BZ191" s="8">
        <v>0</v>
      </c>
      <c r="CA191" s="8">
        <v>0</v>
      </c>
      <c r="CB191" s="9">
        <f t="shared" si="157"/>
        <v>0</v>
      </c>
      <c r="CC191" s="8">
        <v>0</v>
      </c>
      <c r="CD191" s="8">
        <v>0</v>
      </c>
      <c r="CE191" s="8">
        <v>0</v>
      </c>
      <c r="CF191" s="8">
        <v>0</v>
      </c>
      <c r="CG191" s="8">
        <v>0</v>
      </c>
      <c r="CH191" s="8">
        <v>0</v>
      </c>
      <c r="CI191" s="8">
        <v>0</v>
      </c>
      <c r="CJ191" s="8">
        <v>0</v>
      </c>
      <c r="CK191" s="8">
        <v>0</v>
      </c>
      <c r="CL191" s="8">
        <v>0</v>
      </c>
      <c r="CM191" s="8">
        <v>0</v>
      </c>
      <c r="CN191" s="8">
        <v>0</v>
      </c>
      <c r="CO191" s="9">
        <f t="shared" si="158"/>
        <v>0</v>
      </c>
      <c r="CP191" s="8">
        <v>0</v>
      </c>
      <c r="CQ191" s="8">
        <v>0</v>
      </c>
      <c r="CR191" s="8">
        <v>0</v>
      </c>
      <c r="CS191" s="8">
        <v>0</v>
      </c>
      <c r="CT191" s="8">
        <v>0</v>
      </c>
      <c r="CU191" s="8">
        <v>0</v>
      </c>
      <c r="CV191" s="8">
        <v>0</v>
      </c>
      <c r="CW191" s="8">
        <v>0</v>
      </c>
      <c r="CX191" s="8">
        <v>0</v>
      </c>
      <c r="CY191" s="8">
        <v>0</v>
      </c>
      <c r="CZ191" s="8">
        <v>0</v>
      </c>
      <c r="DA191" s="8">
        <v>0</v>
      </c>
      <c r="DB191" s="9">
        <f t="shared" si="159"/>
        <v>0</v>
      </c>
      <c r="DC191" s="8">
        <v>0</v>
      </c>
      <c r="DD191" s="8">
        <v>0</v>
      </c>
      <c r="DE191" s="8">
        <v>0</v>
      </c>
      <c r="DF191" s="8">
        <v>0</v>
      </c>
      <c r="DG191" s="8">
        <v>0</v>
      </c>
      <c r="DH191" s="8">
        <v>0</v>
      </c>
      <c r="DI191" s="8">
        <v>0</v>
      </c>
      <c r="DJ191" s="8">
        <v>0</v>
      </c>
      <c r="DK191" s="8">
        <v>0</v>
      </c>
      <c r="DL191" s="8">
        <v>0</v>
      </c>
      <c r="DM191" s="8">
        <v>0</v>
      </c>
      <c r="DN191" s="8">
        <v>0</v>
      </c>
      <c r="DO191" s="9">
        <f t="shared" si="160"/>
        <v>0</v>
      </c>
      <c r="DP191" s="8">
        <v>0</v>
      </c>
      <c r="DQ191" s="8">
        <v>0</v>
      </c>
      <c r="DR191" s="8">
        <v>0</v>
      </c>
      <c r="DS191" s="8">
        <v>0</v>
      </c>
      <c r="DT191" s="8">
        <v>0</v>
      </c>
      <c r="DU191" s="8">
        <v>0</v>
      </c>
      <c r="DV191" s="8">
        <v>0</v>
      </c>
      <c r="DW191" s="8">
        <v>0</v>
      </c>
      <c r="DX191" s="8">
        <v>0</v>
      </c>
      <c r="DY191" s="8">
        <v>0</v>
      </c>
      <c r="DZ191" s="8">
        <v>0</v>
      </c>
      <c r="EA191" s="8">
        <v>0</v>
      </c>
      <c r="EB191" s="9">
        <f t="shared" si="161"/>
        <v>0</v>
      </c>
      <c r="EC191" s="8">
        <v>0</v>
      </c>
      <c r="ED191" s="8">
        <v>0</v>
      </c>
      <c r="EE191" s="8">
        <v>0</v>
      </c>
      <c r="EF191" s="8">
        <v>0</v>
      </c>
      <c r="EG191" s="8">
        <v>0</v>
      </c>
      <c r="EH191" s="8">
        <v>0</v>
      </c>
      <c r="EI191" s="8">
        <v>0</v>
      </c>
      <c r="EJ191" s="8">
        <v>0</v>
      </c>
      <c r="EK191" s="8">
        <v>0</v>
      </c>
      <c r="EL191" s="8">
        <v>0</v>
      </c>
      <c r="EM191" s="8">
        <v>0</v>
      </c>
      <c r="EN191" s="8">
        <v>0</v>
      </c>
      <c r="EO191" s="9">
        <f t="shared" si="162"/>
        <v>0</v>
      </c>
      <c r="EP191" s="8">
        <v>0</v>
      </c>
      <c r="EQ191" s="8">
        <v>0</v>
      </c>
      <c r="ER191" s="8">
        <v>0</v>
      </c>
      <c r="ES191" s="8">
        <v>0</v>
      </c>
      <c r="ET191" s="8">
        <v>0</v>
      </c>
      <c r="EU191" s="8">
        <v>0</v>
      </c>
      <c r="EV191" s="8">
        <v>0</v>
      </c>
      <c r="EW191" s="8">
        <v>0</v>
      </c>
      <c r="EX191" s="8">
        <v>0</v>
      </c>
      <c r="EY191" s="8">
        <v>0</v>
      </c>
      <c r="EZ191" s="8">
        <v>0</v>
      </c>
      <c r="FA191" s="8">
        <v>0</v>
      </c>
      <c r="FB191" s="9">
        <f t="shared" si="163"/>
        <v>0</v>
      </c>
      <c r="FC191" s="8">
        <v>0</v>
      </c>
      <c r="FD191" s="8">
        <v>0</v>
      </c>
      <c r="FE191" s="8">
        <v>0</v>
      </c>
      <c r="FF191" s="8">
        <v>0</v>
      </c>
      <c r="FG191" s="8">
        <v>0</v>
      </c>
      <c r="FH191" s="8">
        <v>0</v>
      </c>
      <c r="FI191" s="8">
        <v>0</v>
      </c>
      <c r="FJ191" s="8"/>
      <c r="FK191" s="8"/>
      <c r="FL191" s="8"/>
      <c r="FM191" s="8"/>
      <c r="FN191" s="8"/>
      <c r="FO191" s="9">
        <f t="shared" si="164"/>
        <v>0</v>
      </c>
    </row>
    <row r="192" spans="2:171" ht="14.25" customHeight="1" x14ac:dyDescent="0.3">
      <c r="B192" s="7" t="s">
        <v>45</v>
      </c>
      <c r="C192" s="8">
        <v>1257595</v>
      </c>
      <c r="D192" s="8">
        <v>1365448</v>
      </c>
      <c r="E192" s="8">
        <v>2686215</v>
      </c>
      <c r="F192" s="8">
        <v>2898498</v>
      </c>
      <c r="G192" s="8">
        <v>3313189</v>
      </c>
      <c r="H192" s="8">
        <v>3739748</v>
      </c>
      <c r="I192" s="8">
        <v>4806709</v>
      </c>
      <c r="J192" s="8">
        <v>5437416</v>
      </c>
      <c r="K192" s="8">
        <v>6001415</v>
      </c>
      <c r="L192" s="8">
        <v>6751219</v>
      </c>
      <c r="M192" s="8">
        <v>8379920</v>
      </c>
      <c r="N192" s="8">
        <v>9235319</v>
      </c>
      <c r="O192" s="9">
        <f t="shared" si="152"/>
        <v>9235319</v>
      </c>
      <c r="P192" s="8">
        <v>642498</v>
      </c>
      <c r="Q192" s="8">
        <v>1727800</v>
      </c>
      <c r="R192" s="8">
        <v>3495716</v>
      </c>
      <c r="S192" s="8">
        <v>4624462</v>
      </c>
      <c r="T192" s="8">
        <v>5552902</v>
      </c>
      <c r="U192" s="8">
        <v>8497368</v>
      </c>
      <c r="V192" s="8">
        <v>9390864</v>
      </c>
      <c r="W192" s="8">
        <v>11066029</v>
      </c>
      <c r="X192" s="8">
        <v>12619553</v>
      </c>
      <c r="Y192" s="8">
        <v>18396837</v>
      </c>
      <c r="Z192" s="8">
        <v>20113961</v>
      </c>
      <c r="AA192" s="8">
        <v>22090938</v>
      </c>
      <c r="AB192" s="9">
        <f t="shared" si="153"/>
        <v>22090938</v>
      </c>
      <c r="AC192" s="8">
        <v>1580138</v>
      </c>
      <c r="AD192" s="8">
        <v>5611679</v>
      </c>
      <c r="AE192" s="8">
        <v>8962823</v>
      </c>
      <c r="AF192" s="8">
        <v>11220768</v>
      </c>
      <c r="AG192" s="8">
        <v>13286720</v>
      </c>
      <c r="AH192" s="8">
        <v>15295318</v>
      </c>
      <c r="AI192" s="8">
        <v>18952297</v>
      </c>
      <c r="AJ192" s="8">
        <v>19976566</v>
      </c>
      <c r="AK192" s="8">
        <v>23819911</v>
      </c>
      <c r="AL192" s="8">
        <v>27383079</v>
      </c>
      <c r="AM192" s="8">
        <v>30980581</v>
      </c>
      <c r="AN192" s="8">
        <v>35923043</v>
      </c>
      <c r="AO192" s="9">
        <f t="shared" si="154"/>
        <v>35923043</v>
      </c>
      <c r="AP192" s="8">
        <v>1090183</v>
      </c>
      <c r="AQ192" s="8">
        <v>2398608</v>
      </c>
      <c r="AR192" s="8">
        <v>5508583</v>
      </c>
      <c r="AS192" s="8">
        <v>7228091</v>
      </c>
      <c r="AT192" s="8">
        <v>10790020</v>
      </c>
      <c r="AU192" s="8">
        <v>12370275</v>
      </c>
      <c r="AV192" s="8">
        <v>14011796</v>
      </c>
      <c r="AW192" s="8">
        <v>15103826</v>
      </c>
      <c r="AX192" s="8">
        <v>15688267</v>
      </c>
      <c r="AY192" s="8">
        <v>16530524</v>
      </c>
      <c r="AZ192" s="8">
        <v>19037534</v>
      </c>
      <c r="BA192" s="8">
        <v>20222966</v>
      </c>
      <c r="BB192" s="9">
        <f t="shared" si="155"/>
        <v>20222966</v>
      </c>
      <c r="BC192" s="8">
        <v>430401</v>
      </c>
      <c r="BD192" s="8">
        <v>776612</v>
      </c>
      <c r="BE192" s="8">
        <v>1113845</v>
      </c>
      <c r="BF192" s="8">
        <v>1809108</v>
      </c>
      <c r="BG192" s="8">
        <v>2389415</v>
      </c>
      <c r="BH192" s="8">
        <v>7009552</v>
      </c>
      <c r="BI192" s="8">
        <v>7398833</v>
      </c>
      <c r="BJ192" s="8">
        <v>8532648</v>
      </c>
      <c r="BK192" s="8">
        <v>9613144</v>
      </c>
      <c r="BL192" s="8">
        <v>9936018</v>
      </c>
      <c r="BM192" s="8">
        <v>11045208</v>
      </c>
      <c r="BN192" s="8">
        <v>11367445</v>
      </c>
      <c r="BO192" s="9">
        <f t="shared" si="156"/>
        <v>11367445</v>
      </c>
      <c r="BP192" s="8">
        <v>5207763</v>
      </c>
      <c r="BQ192" s="8">
        <v>5640034</v>
      </c>
      <c r="BR192" s="8">
        <v>6061803</v>
      </c>
      <c r="BS192" s="8">
        <v>7027203</v>
      </c>
      <c r="BT192" s="8">
        <v>7675361</v>
      </c>
      <c r="BU192" s="8">
        <v>8892790</v>
      </c>
      <c r="BV192" s="8">
        <v>9134431</v>
      </c>
      <c r="BW192" s="8">
        <v>9134431</v>
      </c>
      <c r="BX192" s="8">
        <v>10682047</v>
      </c>
      <c r="BY192" s="8">
        <v>19356916</v>
      </c>
      <c r="BZ192" s="8">
        <v>22196324</v>
      </c>
      <c r="CA192" s="8">
        <v>26946429</v>
      </c>
      <c r="CB192" s="9">
        <f t="shared" si="157"/>
        <v>26946429</v>
      </c>
      <c r="CC192" s="8">
        <v>149973</v>
      </c>
      <c r="CD192" s="8">
        <v>5700988</v>
      </c>
      <c r="CE192" s="8">
        <v>8151966</v>
      </c>
      <c r="CF192" s="8">
        <v>21085893</v>
      </c>
      <c r="CG192" s="8">
        <v>31231868</v>
      </c>
      <c r="CH192" s="8">
        <v>31832705</v>
      </c>
      <c r="CI192" s="8">
        <v>32470783</v>
      </c>
      <c r="CJ192" s="8">
        <v>33158265</v>
      </c>
      <c r="CK192" s="8">
        <v>34364258</v>
      </c>
      <c r="CL192" s="8">
        <v>46305247</v>
      </c>
      <c r="CM192" s="8">
        <v>52014240</v>
      </c>
      <c r="CN192" s="8">
        <v>56150782</v>
      </c>
      <c r="CO192" s="9">
        <f t="shared" si="158"/>
        <v>56150782</v>
      </c>
      <c r="CP192" s="8">
        <v>3236320</v>
      </c>
      <c r="CQ192" s="8">
        <v>3844901</v>
      </c>
      <c r="CR192" s="8">
        <v>4204615</v>
      </c>
      <c r="CS192" s="8">
        <v>6317533</v>
      </c>
      <c r="CT192" s="8">
        <v>7450578</v>
      </c>
      <c r="CU192" s="8">
        <v>10195177</v>
      </c>
      <c r="CV192" s="8">
        <v>11943581</v>
      </c>
      <c r="CW192" s="8">
        <v>13189404</v>
      </c>
      <c r="CX192" s="8">
        <v>23685841</v>
      </c>
      <c r="CY192" s="8">
        <v>24378847</v>
      </c>
      <c r="CZ192" s="8">
        <v>26016937</v>
      </c>
      <c r="DA192" s="8">
        <v>31485069</v>
      </c>
      <c r="DB192" s="9">
        <f t="shared" si="159"/>
        <v>31485069</v>
      </c>
      <c r="DC192" s="8">
        <v>43117</v>
      </c>
      <c r="DD192" s="8">
        <v>2890283</v>
      </c>
      <c r="DE192" s="8">
        <v>3406050</v>
      </c>
      <c r="DF192" s="8">
        <v>4253402</v>
      </c>
      <c r="DG192" s="8">
        <v>5053693</v>
      </c>
      <c r="DH192" s="8">
        <v>15374036</v>
      </c>
      <c r="DI192" s="8">
        <v>16312585</v>
      </c>
      <c r="DJ192" s="8">
        <v>17664273</v>
      </c>
      <c r="DK192" s="8">
        <v>18885749</v>
      </c>
      <c r="DL192" s="8">
        <v>23754406</v>
      </c>
      <c r="DM192" s="8">
        <v>25734161</v>
      </c>
      <c r="DN192" s="8">
        <v>39079064</v>
      </c>
      <c r="DO192" s="9">
        <f t="shared" si="160"/>
        <v>39079064</v>
      </c>
      <c r="DP192" s="8">
        <v>81413</v>
      </c>
      <c r="DQ192" s="8">
        <v>609826</v>
      </c>
      <c r="DR192" s="8">
        <v>2031119</v>
      </c>
      <c r="DS192" s="8">
        <v>8548079</v>
      </c>
      <c r="DT192" s="8">
        <v>10625281</v>
      </c>
      <c r="DU192" s="8">
        <v>15060804</v>
      </c>
      <c r="DV192" s="8">
        <v>19203857</v>
      </c>
      <c r="DW192" s="8">
        <v>25169729</v>
      </c>
      <c r="DX192" s="8">
        <v>34224056</v>
      </c>
      <c r="DY192" s="8">
        <v>46308964</v>
      </c>
      <c r="DZ192" s="8">
        <v>55067635</v>
      </c>
      <c r="EA192" s="8">
        <v>77895241</v>
      </c>
      <c r="EB192" s="9">
        <f t="shared" si="161"/>
        <v>77895241</v>
      </c>
      <c r="EC192" s="8">
        <v>3157076</v>
      </c>
      <c r="ED192" s="8">
        <v>11470729</v>
      </c>
      <c r="EE192" s="8">
        <v>18763215</v>
      </c>
      <c r="EF192" s="8">
        <v>24407965</v>
      </c>
      <c r="EG192" s="8">
        <v>34575057</v>
      </c>
      <c r="EH192" s="8">
        <v>43516423</v>
      </c>
      <c r="EI192" s="8">
        <v>47961260</v>
      </c>
      <c r="EJ192" s="8">
        <v>48496213</v>
      </c>
      <c r="EK192" s="8">
        <v>53812013</v>
      </c>
      <c r="EL192" s="8">
        <v>68576281</v>
      </c>
      <c r="EM192" s="8">
        <v>73452096</v>
      </c>
      <c r="EN192" s="8">
        <v>83196155</v>
      </c>
      <c r="EO192" s="9">
        <f t="shared" si="162"/>
        <v>83196155</v>
      </c>
      <c r="EP192" s="8">
        <v>5162619</v>
      </c>
      <c r="EQ192" s="8">
        <v>6212706</v>
      </c>
      <c r="ER192" s="8">
        <v>12203409</v>
      </c>
      <c r="ES192" s="8">
        <v>18101994</v>
      </c>
      <c r="ET192" s="8">
        <v>22718642</v>
      </c>
      <c r="EU192" s="8">
        <v>40341151</v>
      </c>
      <c r="EV192" s="8">
        <v>42422120</v>
      </c>
      <c r="EW192" s="8">
        <v>44141816</v>
      </c>
      <c r="EX192" s="8">
        <v>49674585</v>
      </c>
      <c r="EY192" s="8">
        <v>55503834</v>
      </c>
      <c r="EZ192" s="8">
        <v>58241570</v>
      </c>
      <c r="FA192" s="8">
        <v>98735963</v>
      </c>
      <c r="FB192" s="9">
        <f t="shared" si="163"/>
        <v>98735963</v>
      </c>
      <c r="FC192" s="8">
        <v>117347</v>
      </c>
      <c r="FD192" s="8">
        <v>1914497</v>
      </c>
      <c r="FE192" s="8">
        <v>14349883</v>
      </c>
      <c r="FF192" s="8">
        <v>23436434</v>
      </c>
      <c r="FG192" s="8">
        <v>30895355</v>
      </c>
      <c r="FH192" s="8">
        <v>38095824</v>
      </c>
      <c r="FI192" s="8">
        <v>64490069</v>
      </c>
      <c r="FJ192" s="8"/>
      <c r="FK192" s="8"/>
      <c r="FL192" s="8"/>
      <c r="FM192" s="8"/>
      <c r="FN192" s="8"/>
      <c r="FO192" s="9">
        <f t="shared" si="164"/>
        <v>64490069</v>
      </c>
    </row>
    <row r="193" spans="2:171" ht="14.25" customHeight="1" x14ac:dyDescent="0.3">
      <c r="B193" s="7" t="s">
        <v>46</v>
      </c>
      <c r="C193" s="8">
        <v>1169244</v>
      </c>
      <c r="D193" s="8">
        <v>2630929</v>
      </c>
      <c r="E193" s="8">
        <v>3454072</v>
      </c>
      <c r="F193" s="8">
        <v>4637532</v>
      </c>
      <c r="G193" s="8">
        <v>5877922</v>
      </c>
      <c r="H193" s="8">
        <v>7184026</v>
      </c>
      <c r="I193" s="8">
        <v>8571411</v>
      </c>
      <c r="J193" s="8">
        <v>10824302</v>
      </c>
      <c r="K193" s="8">
        <v>12883720</v>
      </c>
      <c r="L193" s="8">
        <v>15024073</v>
      </c>
      <c r="M193" s="8">
        <v>17075523</v>
      </c>
      <c r="N193" s="8">
        <v>18448107</v>
      </c>
      <c r="O193" s="9">
        <f t="shared" si="152"/>
        <v>18448107</v>
      </c>
      <c r="P193" s="8">
        <v>2559108</v>
      </c>
      <c r="Q193" s="8">
        <v>4540772</v>
      </c>
      <c r="R193" s="8">
        <v>7865732</v>
      </c>
      <c r="S193" s="8">
        <v>10519587</v>
      </c>
      <c r="T193" s="8">
        <v>13516399</v>
      </c>
      <c r="U193" s="8">
        <v>16207241</v>
      </c>
      <c r="V193" s="8">
        <v>19281182</v>
      </c>
      <c r="W193" s="8">
        <v>23604868</v>
      </c>
      <c r="X193" s="8">
        <v>26387937</v>
      </c>
      <c r="Y193" s="8">
        <v>30404774</v>
      </c>
      <c r="Z193" s="8">
        <v>31196266</v>
      </c>
      <c r="AA193" s="8">
        <v>38295462</v>
      </c>
      <c r="AB193" s="9">
        <f t="shared" si="153"/>
        <v>38295462</v>
      </c>
      <c r="AC193" s="8">
        <v>4604498</v>
      </c>
      <c r="AD193" s="8">
        <v>8237790</v>
      </c>
      <c r="AE193" s="8">
        <v>11405135</v>
      </c>
      <c r="AF193" s="8">
        <v>18674594</v>
      </c>
      <c r="AG193" s="8">
        <v>22394401</v>
      </c>
      <c r="AH193" s="8">
        <v>27574883</v>
      </c>
      <c r="AI193" s="8">
        <v>31394959</v>
      </c>
      <c r="AJ193" s="8">
        <v>34644054</v>
      </c>
      <c r="AK193" s="8">
        <v>39976441</v>
      </c>
      <c r="AL193" s="8">
        <v>45803188</v>
      </c>
      <c r="AM193" s="8">
        <v>51509683</v>
      </c>
      <c r="AN193" s="8">
        <v>55179757</v>
      </c>
      <c r="AO193" s="9">
        <f t="shared" si="154"/>
        <v>55179757</v>
      </c>
      <c r="AP193" s="8">
        <v>4916185</v>
      </c>
      <c r="AQ193" s="8">
        <v>7848666</v>
      </c>
      <c r="AR193" s="8">
        <v>12115333</v>
      </c>
      <c r="AS193" s="8">
        <v>16243654</v>
      </c>
      <c r="AT193" s="8">
        <v>20101954</v>
      </c>
      <c r="AU193" s="8">
        <v>23580537</v>
      </c>
      <c r="AV193" s="8">
        <v>27044306</v>
      </c>
      <c r="AW193" s="8">
        <v>31434401</v>
      </c>
      <c r="AX193" s="8">
        <v>37729038</v>
      </c>
      <c r="AY193" s="8">
        <v>40403597</v>
      </c>
      <c r="AZ193" s="8">
        <v>42743905</v>
      </c>
      <c r="BA193" s="8">
        <v>43999075</v>
      </c>
      <c r="BB193" s="9">
        <f t="shared" si="155"/>
        <v>43999075</v>
      </c>
      <c r="BC193" s="8">
        <v>3708238</v>
      </c>
      <c r="BD193" s="8">
        <v>5879653</v>
      </c>
      <c r="BE193" s="8">
        <v>9417024</v>
      </c>
      <c r="BF193" s="8">
        <v>11542675</v>
      </c>
      <c r="BG193" s="8">
        <v>14353791</v>
      </c>
      <c r="BH193" s="8">
        <v>16751375</v>
      </c>
      <c r="BI193" s="8">
        <v>20630637</v>
      </c>
      <c r="BJ193" s="8">
        <v>23325995</v>
      </c>
      <c r="BK193" s="8">
        <v>25248495</v>
      </c>
      <c r="BL193" s="8">
        <v>27706066</v>
      </c>
      <c r="BM193" s="8">
        <v>39410002</v>
      </c>
      <c r="BN193" s="8">
        <v>39811456</v>
      </c>
      <c r="BO193" s="9">
        <f t="shared" si="156"/>
        <v>39811456</v>
      </c>
      <c r="BP193" s="8">
        <v>4520788</v>
      </c>
      <c r="BQ193" s="8">
        <v>7646788</v>
      </c>
      <c r="BR193" s="8">
        <v>10599556</v>
      </c>
      <c r="BS193" s="8">
        <v>12840473</v>
      </c>
      <c r="BT193" s="8">
        <v>16187264</v>
      </c>
      <c r="BU193" s="8">
        <v>18809549</v>
      </c>
      <c r="BV193" s="8">
        <v>21560636</v>
      </c>
      <c r="BW193" s="8">
        <v>24990658</v>
      </c>
      <c r="BX193" s="8">
        <v>27159905</v>
      </c>
      <c r="BY193" s="8">
        <v>29605872</v>
      </c>
      <c r="BZ193" s="8">
        <v>32366852</v>
      </c>
      <c r="CA193" s="8">
        <v>34080173</v>
      </c>
      <c r="CB193" s="9">
        <f t="shared" si="157"/>
        <v>34080173</v>
      </c>
      <c r="CC193" s="8">
        <v>1487254</v>
      </c>
      <c r="CD193" s="8">
        <v>4165377</v>
      </c>
      <c r="CE193" s="8">
        <v>5420088</v>
      </c>
      <c r="CF193" s="8">
        <v>7070483</v>
      </c>
      <c r="CG193" s="8">
        <v>8336415</v>
      </c>
      <c r="CH193" s="8">
        <v>9117730</v>
      </c>
      <c r="CI193" s="8">
        <v>9810558</v>
      </c>
      <c r="CJ193" s="8">
        <v>11935411</v>
      </c>
      <c r="CK193" s="8">
        <v>13872182</v>
      </c>
      <c r="CL193" s="8">
        <v>21148827</v>
      </c>
      <c r="CM193" s="8">
        <v>32229839</v>
      </c>
      <c r="CN193" s="8">
        <v>38593412</v>
      </c>
      <c r="CO193" s="9">
        <f t="shared" si="158"/>
        <v>38593412</v>
      </c>
      <c r="CP193" s="8">
        <v>2216679</v>
      </c>
      <c r="CQ193" s="8">
        <v>4996340</v>
      </c>
      <c r="CR193" s="8">
        <v>7749124</v>
      </c>
      <c r="CS193" s="8">
        <v>9574425</v>
      </c>
      <c r="CT193" s="8">
        <v>12979543</v>
      </c>
      <c r="CU193" s="8">
        <v>16662733</v>
      </c>
      <c r="CV193" s="8">
        <v>20640097</v>
      </c>
      <c r="CW193" s="8">
        <v>23792664</v>
      </c>
      <c r="CX193" s="8">
        <v>25843178</v>
      </c>
      <c r="CY193" s="8">
        <v>30518407</v>
      </c>
      <c r="CZ193" s="8">
        <v>34287567</v>
      </c>
      <c r="DA193" s="8">
        <v>39336280</v>
      </c>
      <c r="DB193" s="9">
        <f t="shared" si="159"/>
        <v>39336280</v>
      </c>
      <c r="DC193" s="8">
        <v>5492985</v>
      </c>
      <c r="DD193" s="8">
        <v>9272576</v>
      </c>
      <c r="DE193" s="8">
        <v>16471020</v>
      </c>
      <c r="DF193" s="8">
        <v>22868746</v>
      </c>
      <c r="DG193" s="8">
        <v>29367638</v>
      </c>
      <c r="DH193" s="8">
        <v>35714031</v>
      </c>
      <c r="DI193" s="8">
        <v>40922142</v>
      </c>
      <c r="DJ193" s="8">
        <v>50954472</v>
      </c>
      <c r="DK193" s="8">
        <v>58317974</v>
      </c>
      <c r="DL193" s="8">
        <v>72265176</v>
      </c>
      <c r="DM193" s="8">
        <v>78646699</v>
      </c>
      <c r="DN193" s="8">
        <v>84485833</v>
      </c>
      <c r="DO193" s="9">
        <f t="shared" si="160"/>
        <v>84485833</v>
      </c>
      <c r="DP193" s="8">
        <v>6736388</v>
      </c>
      <c r="DQ193" s="8">
        <v>17281441</v>
      </c>
      <c r="DR193" s="8">
        <v>30608365</v>
      </c>
      <c r="DS193" s="8">
        <v>37950316</v>
      </c>
      <c r="DT193" s="8">
        <v>46896797</v>
      </c>
      <c r="DU193" s="8">
        <v>54470579</v>
      </c>
      <c r="DV193" s="8">
        <v>60819852</v>
      </c>
      <c r="DW193" s="8">
        <v>67010949</v>
      </c>
      <c r="DX193" s="8">
        <v>71470131</v>
      </c>
      <c r="DY193" s="8">
        <v>78496647</v>
      </c>
      <c r="DZ193" s="8">
        <v>85021722</v>
      </c>
      <c r="EA193" s="8">
        <v>91295184</v>
      </c>
      <c r="EB193" s="9">
        <f t="shared" si="161"/>
        <v>91295184</v>
      </c>
      <c r="EC193" s="8">
        <v>5295126</v>
      </c>
      <c r="ED193" s="8">
        <v>11264347</v>
      </c>
      <c r="EE193" s="8">
        <v>17547001</v>
      </c>
      <c r="EF193" s="8">
        <v>23684549</v>
      </c>
      <c r="EG193" s="8">
        <v>29678410</v>
      </c>
      <c r="EH193" s="8">
        <v>35162226</v>
      </c>
      <c r="EI193" s="8">
        <v>41219495</v>
      </c>
      <c r="EJ193" s="8">
        <v>49644647</v>
      </c>
      <c r="EK193" s="8">
        <v>58279809</v>
      </c>
      <c r="EL193" s="8">
        <v>68764740</v>
      </c>
      <c r="EM193" s="8">
        <v>75458792</v>
      </c>
      <c r="EN193" s="8">
        <v>81667751</v>
      </c>
      <c r="EO193" s="9">
        <f t="shared" si="162"/>
        <v>81667751</v>
      </c>
      <c r="EP193" s="8">
        <v>12319058</v>
      </c>
      <c r="EQ193" s="8">
        <v>20516169</v>
      </c>
      <c r="ER193" s="8">
        <v>36684583</v>
      </c>
      <c r="ES193" s="8">
        <v>45010537</v>
      </c>
      <c r="ET193" s="8">
        <v>51810760</v>
      </c>
      <c r="EU193" s="8">
        <v>59658272</v>
      </c>
      <c r="EV193" s="8">
        <v>71471953</v>
      </c>
      <c r="EW193" s="8">
        <v>79470080</v>
      </c>
      <c r="EX193" s="8">
        <v>88938746</v>
      </c>
      <c r="EY193" s="8">
        <v>96130776</v>
      </c>
      <c r="EZ193" s="8">
        <v>102149147</v>
      </c>
      <c r="FA193" s="8">
        <v>117116960</v>
      </c>
      <c r="FB193" s="9">
        <f t="shared" si="163"/>
        <v>117116960</v>
      </c>
      <c r="FC193" s="8">
        <v>6813264</v>
      </c>
      <c r="FD193" s="8">
        <v>13968911</v>
      </c>
      <c r="FE193" s="8">
        <v>21429580</v>
      </c>
      <c r="FF193" s="8">
        <v>26740171</v>
      </c>
      <c r="FG193" s="8">
        <v>33046571</v>
      </c>
      <c r="FH193" s="8">
        <v>38579551</v>
      </c>
      <c r="FI193" s="8">
        <v>44698490</v>
      </c>
      <c r="FJ193" s="8"/>
      <c r="FK193" s="8"/>
      <c r="FL193" s="8"/>
      <c r="FM193" s="8"/>
      <c r="FN193" s="8"/>
      <c r="FO193" s="9">
        <f t="shared" si="164"/>
        <v>44698490</v>
      </c>
    </row>
    <row r="194" spans="2:171" ht="14.25" customHeight="1" x14ac:dyDescent="0.3">
      <c r="B194" s="7" t="s">
        <v>47</v>
      </c>
      <c r="C194" s="8">
        <v>663721</v>
      </c>
      <c r="D194" s="8">
        <v>1400939</v>
      </c>
      <c r="E194" s="8">
        <v>2192396</v>
      </c>
      <c r="F194" s="8">
        <v>2927425</v>
      </c>
      <c r="G194" s="8">
        <v>4335793</v>
      </c>
      <c r="H194" s="8">
        <v>5283635</v>
      </c>
      <c r="I194" s="8">
        <v>6160560</v>
      </c>
      <c r="J194" s="8">
        <v>8276936</v>
      </c>
      <c r="K194" s="8">
        <v>9194371</v>
      </c>
      <c r="L194" s="8">
        <v>12336871</v>
      </c>
      <c r="M194" s="8">
        <v>14466180</v>
      </c>
      <c r="N194" s="8">
        <v>17030543</v>
      </c>
      <c r="O194" s="9">
        <f t="shared" si="152"/>
        <v>17030543</v>
      </c>
      <c r="P194" s="8">
        <v>1110975</v>
      </c>
      <c r="Q194" s="8">
        <v>2405317</v>
      </c>
      <c r="R194" s="8">
        <v>3817773</v>
      </c>
      <c r="S194" s="8">
        <v>5397069</v>
      </c>
      <c r="T194" s="8">
        <v>6667101</v>
      </c>
      <c r="U194" s="8">
        <v>8377003</v>
      </c>
      <c r="V194" s="8">
        <v>11537981</v>
      </c>
      <c r="W194" s="8">
        <v>13729952</v>
      </c>
      <c r="X194" s="8">
        <v>16419348</v>
      </c>
      <c r="Y194" s="8">
        <v>17864524</v>
      </c>
      <c r="Z194" s="8">
        <v>20274154</v>
      </c>
      <c r="AA194" s="8">
        <v>22950451</v>
      </c>
      <c r="AB194" s="9">
        <f t="shared" si="153"/>
        <v>22950451</v>
      </c>
      <c r="AC194" s="8">
        <v>1512990</v>
      </c>
      <c r="AD194" s="8">
        <v>3275934</v>
      </c>
      <c r="AE194" s="8">
        <v>5642584</v>
      </c>
      <c r="AF194" s="8">
        <v>7818125</v>
      </c>
      <c r="AG194" s="8">
        <v>9838312</v>
      </c>
      <c r="AH194" s="8">
        <v>12693012</v>
      </c>
      <c r="AI194" s="8">
        <v>14214811</v>
      </c>
      <c r="AJ194" s="8">
        <v>15605048</v>
      </c>
      <c r="AK194" s="8">
        <v>17167633</v>
      </c>
      <c r="AL194" s="8">
        <v>18771704</v>
      </c>
      <c r="AM194" s="8">
        <v>19684388</v>
      </c>
      <c r="AN194" s="8">
        <v>26592735</v>
      </c>
      <c r="AO194" s="9">
        <f t="shared" si="154"/>
        <v>26592735</v>
      </c>
      <c r="AP194" s="8">
        <v>921642</v>
      </c>
      <c r="AQ194" s="8">
        <v>2815856</v>
      </c>
      <c r="AR194" s="8">
        <v>4456432</v>
      </c>
      <c r="AS194" s="8">
        <v>6634533</v>
      </c>
      <c r="AT194" s="8">
        <v>9040947</v>
      </c>
      <c r="AU194" s="8">
        <v>12481634</v>
      </c>
      <c r="AV194" s="8">
        <v>16995744</v>
      </c>
      <c r="AW194" s="8">
        <v>19885406</v>
      </c>
      <c r="AX194" s="8">
        <v>22299562</v>
      </c>
      <c r="AY194" s="8">
        <v>24851943</v>
      </c>
      <c r="AZ194" s="8">
        <v>27211451</v>
      </c>
      <c r="BA194" s="8">
        <v>29907565</v>
      </c>
      <c r="BB194" s="9">
        <f t="shared" si="155"/>
        <v>29907565</v>
      </c>
      <c r="BC194" s="8">
        <v>664715</v>
      </c>
      <c r="BD194" s="8">
        <v>2940291</v>
      </c>
      <c r="BE194" s="8">
        <v>4928548</v>
      </c>
      <c r="BF194" s="8">
        <v>6976785</v>
      </c>
      <c r="BG194" s="8">
        <v>8283817</v>
      </c>
      <c r="BH194" s="8">
        <v>9651152</v>
      </c>
      <c r="BI194" s="8">
        <v>10821442</v>
      </c>
      <c r="BJ194" s="8">
        <v>12755136</v>
      </c>
      <c r="BK194" s="8">
        <v>14043652</v>
      </c>
      <c r="BL194" s="8">
        <v>18758720</v>
      </c>
      <c r="BM194" s="8">
        <v>19398135</v>
      </c>
      <c r="BN194" s="8">
        <v>21985933</v>
      </c>
      <c r="BO194" s="9">
        <f t="shared" si="156"/>
        <v>21985933</v>
      </c>
      <c r="BP194" s="8">
        <v>667756</v>
      </c>
      <c r="BQ194" s="8">
        <v>2527605</v>
      </c>
      <c r="BR194" s="8">
        <v>3330398</v>
      </c>
      <c r="BS194" s="8">
        <v>4393355</v>
      </c>
      <c r="BT194" s="8">
        <v>8210978</v>
      </c>
      <c r="BU194" s="8">
        <v>10860113</v>
      </c>
      <c r="BV194" s="8">
        <v>14143305</v>
      </c>
      <c r="BW194" s="8">
        <v>17527021</v>
      </c>
      <c r="BX194" s="8">
        <v>22142883</v>
      </c>
      <c r="BY194" s="8">
        <v>24329918</v>
      </c>
      <c r="BZ194" s="8">
        <v>31716917</v>
      </c>
      <c r="CA194" s="8">
        <v>35983228</v>
      </c>
      <c r="CB194" s="9">
        <f t="shared" si="157"/>
        <v>35983228</v>
      </c>
      <c r="CC194" s="8">
        <v>2418029</v>
      </c>
      <c r="CD194" s="8">
        <v>4649298</v>
      </c>
      <c r="CE194" s="8">
        <v>7941431</v>
      </c>
      <c r="CF194" s="8">
        <v>10563974</v>
      </c>
      <c r="CG194" s="8">
        <v>13417675</v>
      </c>
      <c r="CH194" s="8">
        <v>14931249</v>
      </c>
      <c r="CI194" s="8">
        <v>15472631</v>
      </c>
      <c r="CJ194" s="8">
        <v>16107289</v>
      </c>
      <c r="CK194" s="8">
        <v>18919012</v>
      </c>
      <c r="CL194" s="8">
        <v>25698858</v>
      </c>
      <c r="CM194" s="8">
        <v>35930573</v>
      </c>
      <c r="CN194" s="8">
        <v>46508742</v>
      </c>
      <c r="CO194" s="9">
        <f t="shared" si="158"/>
        <v>46508742</v>
      </c>
      <c r="CP194" s="8">
        <v>792764</v>
      </c>
      <c r="CQ194" s="8">
        <v>3698296</v>
      </c>
      <c r="CR194" s="8">
        <v>6559923</v>
      </c>
      <c r="CS194" s="8">
        <v>9862056</v>
      </c>
      <c r="CT194" s="8">
        <v>11244223</v>
      </c>
      <c r="CU194" s="8">
        <v>28851111</v>
      </c>
      <c r="CV194" s="8">
        <v>32157309</v>
      </c>
      <c r="CW194" s="8">
        <v>35162160</v>
      </c>
      <c r="CX194" s="8">
        <v>37408627</v>
      </c>
      <c r="CY194" s="8">
        <v>39041498</v>
      </c>
      <c r="CZ194" s="8">
        <v>43352485</v>
      </c>
      <c r="DA194" s="8">
        <v>47466038</v>
      </c>
      <c r="DB194" s="9">
        <f t="shared" si="159"/>
        <v>47466038</v>
      </c>
      <c r="DC194" s="8">
        <v>5692575</v>
      </c>
      <c r="DD194" s="8">
        <v>9741958</v>
      </c>
      <c r="DE194" s="8">
        <v>19397245</v>
      </c>
      <c r="DF194" s="8">
        <v>25631697</v>
      </c>
      <c r="DG194" s="8">
        <v>33812646</v>
      </c>
      <c r="DH194" s="8">
        <v>36005411</v>
      </c>
      <c r="DI194" s="8">
        <v>38517014</v>
      </c>
      <c r="DJ194" s="8">
        <v>40255702</v>
      </c>
      <c r="DK194" s="8">
        <v>44490435</v>
      </c>
      <c r="DL194" s="8">
        <v>46407796</v>
      </c>
      <c r="DM194" s="8">
        <v>47125648</v>
      </c>
      <c r="DN194" s="8">
        <v>58401121</v>
      </c>
      <c r="DO194" s="9">
        <f t="shared" si="160"/>
        <v>58401121</v>
      </c>
      <c r="DP194" s="8">
        <v>274699</v>
      </c>
      <c r="DQ194" s="8">
        <v>10059123</v>
      </c>
      <c r="DR194" s="8">
        <v>19639203</v>
      </c>
      <c r="DS194" s="8">
        <v>25809322</v>
      </c>
      <c r="DT194" s="8">
        <v>30607023</v>
      </c>
      <c r="DU194" s="8">
        <v>38986358</v>
      </c>
      <c r="DV194" s="8">
        <v>40962607</v>
      </c>
      <c r="DW194" s="8">
        <v>41748998</v>
      </c>
      <c r="DX194" s="8">
        <v>42170761</v>
      </c>
      <c r="DY194" s="8">
        <v>43297308</v>
      </c>
      <c r="DZ194" s="8">
        <v>49191523</v>
      </c>
      <c r="EA194" s="8">
        <v>87311488</v>
      </c>
      <c r="EB194" s="9">
        <f t="shared" si="161"/>
        <v>87311488</v>
      </c>
      <c r="EC194" s="8">
        <v>293415</v>
      </c>
      <c r="ED194" s="8">
        <v>4466442</v>
      </c>
      <c r="EE194" s="8">
        <v>6462295</v>
      </c>
      <c r="EF194" s="8">
        <v>9961321</v>
      </c>
      <c r="EG194" s="8">
        <v>15098606</v>
      </c>
      <c r="EH194" s="8">
        <v>16443018</v>
      </c>
      <c r="EI194" s="8">
        <v>23108163</v>
      </c>
      <c r="EJ194" s="8">
        <v>42258259</v>
      </c>
      <c r="EK194" s="8">
        <v>45834971</v>
      </c>
      <c r="EL194" s="8">
        <v>51690387</v>
      </c>
      <c r="EM194" s="8">
        <v>54719287</v>
      </c>
      <c r="EN194" s="8">
        <v>73069447</v>
      </c>
      <c r="EO194" s="9">
        <f t="shared" si="162"/>
        <v>73069447</v>
      </c>
      <c r="EP194" s="8">
        <v>6005967</v>
      </c>
      <c r="EQ194" s="8">
        <v>11187082</v>
      </c>
      <c r="ER194" s="8">
        <v>16850474</v>
      </c>
      <c r="ES194" s="8">
        <v>23089117</v>
      </c>
      <c r="ET194" s="8">
        <v>30108570</v>
      </c>
      <c r="EU194" s="8">
        <v>35644617</v>
      </c>
      <c r="EV194" s="8">
        <v>53191551</v>
      </c>
      <c r="EW194" s="8">
        <v>60979411</v>
      </c>
      <c r="EX194" s="8">
        <v>63768787</v>
      </c>
      <c r="EY194" s="8">
        <v>68323098</v>
      </c>
      <c r="EZ194" s="8">
        <v>69299722</v>
      </c>
      <c r="FA194" s="8">
        <v>78918879</v>
      </c>
      <c r="FB194" s="9">
        <f t="shared" si="163"/>
        <v>78918879</v>
      </c>
      <c r="FC194" s="8">
        <v>5018975</v>
      </c>
      <c r="FD194" s="8">
        <v>9676031</v>
      </c>
      <c r="FE194" s="8">
        <v>14474533</v>
      </c>
      <c r="FF194" s="8">
        <v>20193632</v>
      </c>
      <c r="FG194" s="8">
        <v>26395450</v>
      </c>
      <c r="FH194" s="8">
        <v>33105338</v>
      </c>
      <c r="FI194" s="8">
        <v>43663125</v>
      </c>
      <c r="FJ194" s="8"/>
      <c r="FK194" s="8"/>
      <c r="FL194" s="8"/>
      <c r="FM194" s="8"/>
      <c r="FN194" s="8"/>
      <c r="FO194" s="9">
        <f t="shared" si="164"/>
        <v>43663125</v>
      </c>
    </row>
    <row r="195" spans="2:171" ht="14.25" customHeight="1" x14ac:dyDescent="0.3">
      <c r="B195" s="7" t="s">
        <v>48</v>
      </c>
      <c r="C195" s="8">
        <v>624939</v>
      </c>
      <c r="D195" s="8">
        <v>982491</v>
      </c>
      <c r="E195" s="8">
        <v>1876024</v>
      </c>
      <c r="F195" s="8">
        <v>2573359</v>
      </c>
      <c r="G195" s="8">
        <v>3338939</v>
      </c>
      <c r="H195" s="8">
        <v>4125710</v>
      </c>
      <c r="I195" s="8">
        <v>4902397</v>
      </c>
      <c r="J195" s="8">
        <v>6806219</v>
      </c>
      <c r="K195" s="8">
        <v>8205063</v>
      </c>
      <c r="L195" s="8">
        <v>8776425</v>
      </c>
      <c r="M195" s="8">
        <v>10771812</v>
      </c>
      <c r="N195" s="8">
        <v>11809210</v>
      </c>
      <c r="O195" s="9">
        <f t="shared" si="152"/>
        <v>11809210</v>
      </c>
      <c r="P195" s="8">
        <v>831842</v>
      </c>
      <c r="Q195" s="8">
        <v>2002693</v>
      </c>
      <c r="R195" s="8">
        <v>2643743</v>
      </c>
      <c r="S195" s="8">
        <v>3155208</v>
      </c>
      <c r="T195" s="8">
        <v>3698712</v>
      </c>
      <c r="U195" s="8">
        <v>4324410</v>
      </c>
      <c r="V195" s="8">
        <v>5469623</v>
      </c>
      <c r="W195" s="8">
        <v>6651690</v>
      </c>
      <c r="X195" s="8">
        <v>8326756</v>
      </c>
      <c r="Y195" s="8">
        <v>9895406</v>
      </c>
      <c r="Z195" s="8">
        <v>11191849</v>
      </c>
      <c r="AA195" s="8">
        <v>15576359</v>
      </c>
      <c r="AB195" s="9">
        <f t="shared" si="153"/>
        <v>15576359</v>
      </c>
      <c r="AC195" s="8">
        <v>1242124</v>
      </c>
      <c r="AD195" s="8">
        <v>7072927</v>
      </c>
      <c r="AE195" s="8">
        <v>11783913</v>
      </c>
      <c r="AF195" s="8">
        <v>14101152</v>
      </c>
      <c r="AG195" s="8">
        <v>16573253</v>
      </c>
      <c r="AH195" s="8">
        <v>19778328</v>
      </c>
      <c r="AI195" s="8">
        <v>22623607</v>
      </c>
      <c r="AJ195" s="8">
        <v>25478337</v>
      </c>
      <c r="AK195" s="8">
        <v>27921063</v>
      </c>
      <c r="AL195" s="8">
        <v>30526750</v>
      </c>
      <c r="AM195" s="8">
        <v>32609209</v>
      </c>
      <c r="AN195" s="8">
        <v>36968108</v>
      </c>
      <c r="AO195" s="9">
        <f t="shared" si="154"/>
        <v>36968108</v>
      </c>
      <c r="AP195" s="8">
        <v>2261984</v>
      </c>
      <c r="AQ195" s="8">
        <v>4878888</v>
      </c>
      <c r="AR195" s="8">
        <v>8183039</v>
      </c>
      <c r="AS195" s="8">
        <v>11423798</v>
      </c>
      <c r="AT195" s="8">
        <v>16783114</v>
      </c>
      <c r="AU195" s="8">
        <v>19830112</v>
      </c>
      <c r="AV195" s="8">
        <v>25659102</v>
      </c>
      <c r="AW195" s="8">
        <v>27967734</v>
      </c>
      <c r="AX195" s="8">
        <v>29797142</v>
      </c>
      <c r="AY195" s="8">
        <v>31408502</v>
      </c>
      <c r="AZ195" s="8">
        <v>33364651</v>
      </c>
      <c r="BA195" s="8">
        <v>37523706</v>
      </c>
      <c r="BB195" s="9">
        <f t="shared" si="155"/>
        <v>37523706</v>
      </c>
      <c r="BC195" s="8">
        <v>2124864</v>
      </c>
      <c r="BD195" s="8">
        <v>4984012</v>
      </c>
      <c r="BE195" s="8">
        <v>6962328</v>
      </c>
      <c r="BF195" s="8">
        <v>9003251</v>
      </c>
      <c r="BG195" s="8">
        <v>11078353</v>
      </c>
      <c r="BH195" s="8">
        <v>12547058</v>
      </c>
      <c r="BI195" s="8">
        <v>14405480</v>
      </c>
      <c r="BJ195" s="8">
        <v>16704459</v>
      </c>
      <c r="BK195" s="8">
        <v>18181126</v>
      </c>
      <c r="BL195" s="8">
        <v>19065624</v>
      </c>
      <c r="BM195" s="8">
        <v>19623754</v>
      </c>
      <c r="BN195" s="8">
        <v>21847533</v>
      </c>
      <c r="BO195" s="9">
        <f t="shared" si="156"/>
        <v>21847533</v>
      </c>
      <c r="BP195" s="8">
        <v>3926502</v>
      </c>
      <c r="BQ195" s="8">
        <v>7236529</v>
      </c>
      <c r="BR195" s="8">
        <v>9493906</v>
      </c>
      <c r="BS195" s="8">
        <v>11136453</v>
      </c>
      <c r="BT195" s="8">
        <v>12495677</v>
      </c>
      <c r="BU195" s="8">
        <v>14268863</v>
      </c>
      <c r="BV195" s="8">
        <v>16374997</v>
      </c>
      <c r="BW195" s="8">
        <v>17320353</v>
      </c>
      <c r="BX195" s="8">
        <v>17545507</v>
      </c>
      <c r="BY195" s="8">
        <v>19379167</v>
      </c>
      <c r="BZ195" s="8">
        <v>19534286</v>
      </c>
      <c r="CA195" s="8">
        <v>31815424</v>
      </c>
      <c r="CB195" s="9">
        <f t="shared" si="157"/>
        <v>31815424</v>
      </c>
      <c r="CC195" s="8">
        <v>1333111</v>
      </c>
      <c r="CD195" s="8">
        <v>4740224</v>
      </c>
      <c r="CE195" s="8">
        <v>7386457</v>
      </c>
      <c r="CF195" s="8">
        <v>9840725</v>
      </c>
      <c r="CG195" s="8">
        <v>11092874</v>
      </c>
      <c r="CH195" s="8">
        <v>13289181</v>
      </c>
      <c r="CI195" s="8">
        <v>14387705</v>
      </c>
      <c r="CJ195" s="8">
        <v>16685011</v>
      </c>
      <c r="CK195" s="8">
        <v>17993404</v>
      </c>
      <c r="CL195" s="8">
        <v>20667430</v>
      </c>
      <c r="CM195" s="8">
        <v>22728838</v>
      </c>
      <c r="CN195" s="8">
        <v>33316769</v>
      </c>
      <c r="CO195" s="9">
        <f t="shared" si="158"/>
        <v>33316769</v>
      </c>
      <c r="CP195" s="8">
        <v>902393</v>
      </c>
      <c r="CQ195" s="8">
        <v>2803647</v>
      </c>
      <c r="CR195" s="8">
        <v>5711293</v>
      </c>
      <c r="CS195" s="8">
        <v>6735182</v>
      </c>
      <c r="CT195" s="8">
        <v>8454262</v>
      </c>
      <c r="CU195" s="8">
        <v>9552724</v>
      </c>
      <c r="CV195" s="8">
        <v>11675870</v>
      </c>
      <c r="CW195" s="8">
        <v>12827811</v>
      </c>
      <c r="CX195" s="8">
        <v>14317678</v>
      </c>
      <c r="CY195" s="8">
        <v>16815777</v>
      </c>
      <c r="CZ195" s="8">
        <v>18023751</v>
      </c>
      <c r="DA195" s="8">
        <v>33187158</v>
      </c>
      <c r="DB195" s="9">
        <f t="shared" si="159"/>
        <v>33187158</v>
      </c>
      <c r="DC195" s="8">
        <v>1677276</v>
      </c>
      <c r="DD195" s="8">
        <v>3884234</v>
      </c>
      <c r="DE195" s="8">
        <v>6843283</v>
      </c>
      <c r="DF195" s="8">
        <v>9034399</v>
      </c>
      <c r="DG195" s="8">
        <v>12827107</v>
      </c>
      <c r="DH195" s="8">
        <v>17752792</v>
      </c>
      <c r="DI195" s="8">
        <v>22025218</v>
      </c>
      <c r="DJ195" s="8">
        <v>24145619</v>
      </c>
      <c r="DK195" s="8">
        <v>27522781</v>
      </c>
      <c r="DL195" s="8">
        <v>29871881</v>
      </c>
      <c r="DM195" s="8">
        <v>33061128</v>
      </c>
      <c r="DN195" s="8">
        <v>38134306</v>
      </c>
      <c r="DO195" s="9">
        <f t="shared" si="160"/>
        <v>38134306</v>
      </c>
      <c r="DP195" s="8">
        <v>1428955</v>
      </c>
      <c r="DQ195" s="8">
        <v>2107872</v>
      </c>
      <c r="DR195" s="8">
        <v>7346190</v>
      </c>
      <c r="DS195" s="8">
        <v>12920269</v>
      </c>
      <c r="DT195" s="8">
        <v>23104412</v>
      </c>
      <c r="DU195" s="8">
        <v>30370481</v>
      </c>
      <c r="DV195" s="8">
        <v>32542907</v>
      </c>
      <c r="DW195" s="8">
        <v>34101627</v>
      </c>
      <c r="DX195" s="8">
        <v>35482088</v>
      </c>
      <c r="DY195" s="8">
        <v>37055573</v>
      </c>
      <c r="DZ195" s="8">
        <v>39681697</v>
      </c>
      <c r="EA195" s="8">
        <v>43782701</v>
      </c>
      <c r="EB195" s="9">
        <f t="shared" si="161"/>
        <v>43782701</v>
      </c>
      <c r="EC195" s="8">
        <v>1308785</v>
      </c>
      <c r="ED195" s="8">
        <v>2306985</v>
      </c>
      <c r="EE195" s="8">
        <v>6921006</v>
      </c>
      <c r="EF195" s="8">
        <v>16039515</v>
      </c>
      <c r="EG195" s="8">
        <v>23820121</v>
      </c>
      <c r="EH195" s="8">
        <v>30925478</v>
      </c>
      <c r="EI195" s="8">
        <v>32196729</v>
      </c>
      <c r="EJ195" s="8">
        <v>36482394</v>
      </c>
      <c r="EK195" s="8">
        <v>41242003</v>
      </c>
      <c r="EL195" s="8">
        <v>43876897</v>
      </c>
      <c r="EM195" s="8">
        <v>45302979</v>
      </c>
      <c r="EN195" s="8">
        <v>50275024</v>
      </c>
      <c r="EO195" s="9">
        <f t="shared" si="162"/>
        <v>50275024</v>
      </c>
      <c r="EP195" s="8">
        <v>756294</v>
      </c>
      <c r="EQ195" s="8">
        <v>4738608</v>
      </c>
      <c r="ER195" s="8">
        <v>15047025</v>
      </c>
      <c r="ES195" s="8">
        <v>26160432</v>
      </c>
      <c r="ET195" s="8">
        <v>31980009</v>
      </c>
      <c r="EU195" s="8">
        <v>35163871</v>
      </c>
      <c r="EV195" s="8">
        <v>50130104</v>
      </c>
      <c r="EW195" s="8">
        <v>57095810</v>
      </c>
      <c r="EX195" s="8">
        <v>71098134</v>
      </c>
      <c r="EY195" s="8">
        <v>74656845</v>
      </c>
      <c r="EZ195" s="8">
        <v>77301290</v>
      </c>
      <c r="FA195" s="8">
        <v>92078446</v>
      </c>
      <c r="FB195" s="9">
        <f t="shared" si="163"/>
        <v>92078446</v>
      </c>
      <c r="FC195" s="8">
        <v>4816591</v>
      </c>
      <c r="FD195" s="8">
        <v>13740877</v>
      </c>
      <c r="FE195" s="8">
        <v>21760819</v>
      </c>
      <c r="FF195" s="8">
        <v>29949204</v>
      </c>
      <c r="FG195" s="8">
        <v>32343149</v>
      </c>
      <c r="FH195" s="8">
        <v>42735045</v>
      </c>
      <c r="FI195" s="8">
        <v>48871138</v>
      </c>
      <c r="FJ195" s="8"/>
      <c r="FK195" s="8"/>
      <c r="FL195" s="8"/>
      <c r="FM195" s="8"/>
      <c r="FN195" s="8"/>
      <c r="FO195" s="9">
        <f t="shared" si="164"/>
        <v>48871138</v>
      </c>
    </row>
    <row r="196" spans="2:171" ht="14.25" customHeight="1" x14ac:dyDescent="0.3">
      <c r="B196" s="7" t="s">
        <v>49</v>
      </c>
      <c r="C196" s="8">
        <v>2705661</v>
      </c>
      <c r="D196" s="8">
        <v>4555065</v>
      </c>
      <c r="E196" s="8">
        <v>6485937</v>
      </c>
      <c r="F196" s="8">
        <v>8754818</v>
      </c>
      <c r="G196" s="8">
        <v>10929693</v>
      </c>
      <c r="H196" s="8">
        <v>13356893</v>
      </c>
      <c r="I196" s="8">
        <v>15949937</v>
      </c>
      <c r="J196" s="8">
        <v>17995376</v>
      </c>
      <c r="K196" s="8">
        <v>20533968</v>
      </c>
      <c r="L196" s="8">
        <v>23574942</v>
      </c>
      <c r="M196" s="8">
        <v>26183262</v>
      </c>
      <c r="N196" s="8">
        <v>29791080</v>
      </c>
      <c r="O196" s="9">
        <f t="shared" si="152"/>
        <v>29791080</v>
      </c>
      <c r="P196" s="8">
        <v>3326300</v>
      </c>
      <c r="Q196" s="8">
        <v>6232321</v>
      </c>
      <c r="R196" s="8">
        <v>8936143</v>
      </c>
      <c r="S196" s="8">
        <v>12528908</v>
      </c>
      <c r="T196" s="8">
        <v>15879211</v>
      </c>
      <c r="U196" s="8">
        <v>18418008</v>
      </c>
      <c r="V196" s="8">
        <v>21671998</v>
      </c>
      <c r="W196" s="8">
        <v>25081374</v>
      </c>
      <c r="X196" s="8">
        <v>27017733</v>
      </c>
      <c r="Y196" s="8">
        <v>29410445</v>
      </c>
      <c r="Z196" s="8">
        <v>32496364</v>
      </c>
      <c r="AA196" s="8">
        <v>38031658</v>
      </c>
      <c r="AB196" s="9">
        <f t="shared" si="153"/>
        <v>38031658</v>
      </c>
      <c r="AC196" s="8">
        <v>3643182</v>
      </c>
      <c r="AD196" s="8">
        <v>7614394</v>
      </c>
      <c r="AE196" s="8">
        <v>11393630</v>
      </c>
      <c r="AF196" s="8">
        <v>16282270</v>
      </c>
      <c r="AG196" s="8">
        <v>20211708</v>
      </c>
      <c r="AH196" s="8">
        <v>24353660</v>
      </c>
      <c r="AI196" s="8">
        <v>28398996</v>
      </c>
      <c r="AJ196" s="8">
        <v>32452132</v>
      </c>
      <c r="AK196" s="8">
        <v>36719151</v>
      </c>
      <c r="AL196" s="8">
        <v>41746982</v>
      </c>
      <c r="AM196" s="8">
        <v>47137299</v>
      </c>
      <c r="AN196" s="8">
        <v>54121045</v>
      </c>
      <c r="AO196" s="9">
        <f t="shared" si="154"/>
        <v>54121045</v>
      </c>
      <c r="AP196" s="8">
        <v>3333803</v>
      </c>
      <c r="AQ196" s="8">
        <v>7752112</v>
      </c>
      <c r="AR196" s="8">
        <v>14122422</v>
      </c>
      <c r="AS196" s="8">
        <v>18761487</v>
      </c>
      <c r="AT196" s="8">
        <v>23494253</v>
      </c>
      <c r="AU196" s="8">
        <v>29508605</v>
      </c>
      <c r="AV196" s="8">
        <v>35013776</v>
      </c>
      <c r="AW196" s="8">
        <v>42986710</v>
      </c>
      <c r="AX196" s="8">
        <v>49152276</v>
      </c>
      <c r="AY196" s="8">
        <v>55725378</v>
      </c>
      <c r="AZ196" s="8">
        <v>62637230</v>
      </c>
      <c r="BA196" s="8">
        <v>65215750</v>
      </c>
      <c r="BB196" s="9">
        <f t="shared" si="155"/>
        <v>65215750</v>
      </c>
      <c r="BC196" s="8">
        <v>8173212</v>
      </c>
      <c r="BD196" s="8">
        <v>13416245</v>
      </c>
      <c r="BE196" s="8">
        <v>21831120</v>
      </c>
      <c r="BF196" s="8">
        <v>29793713</v>
      </c>
      <c r="BG196" s="8">
        <v>33791764</v>
      </c>
      <c r="BH196" s="8">
        <v>41870686</v>
      </c>
      <c r="BI196" s="8">
        <v>47979434</v>
      </c>
      <c r="BJ196" s="8">
        <v>54766031</v>
      </c>
      <c r="BK196" s="8">
        <v>61533552</v>
      </c>
      <c r="BL196" s="8">
        <v>66727922</v>
      </c>
      <c r="BM196" s="8">
        <v>74182380</v>
      </c>
      <c r="BN196" s="8">
        <v>77578658</v>
      </c>
      <c r="BO196" s="9">
        <f t="shared" si="156"/>
        <v>77578658</v>
      </c>
      <c r="BP196" s="8">
        <v>2979333</v>
      </c>
      <c r="BQ196" s="8">
        <v>5737130</v>
      </c>
      <c r="BR196" s="8">
        <v>9502428</v>
      </c>
      <c r="BS196" s="8">
        <v>14111740</v>
      </c>
      <c r="BT196" s="8">
        <v>18653099</v>
      </c>
      <c r="BU196" s="8">
        <v>23253670</v>
      </c>
      <c r="BV196" s="8">
        <v>29856650</v>
      </c>
      <c r="BW196" s="8">
        <v>35220810</v>
      </c>
      <c r="BX196" s="8">
        <v>38548539</v>
      </c>
      <c r="BY196" s="8">
        <v>51502513</v>
      </c>
      <c r="BZ196" s="8">
        <v>61159417</v>
      </c>
      <c r="CA196" s="8">
        <v>64501134</v>
      </c>
      <c r="CB196" s="9">
        <f t="shared" si="157"/>
        <v>64501134</v>
      </c>
      <c r="CC196" s="8">
        <v>1559575</v>
      </c>
      <c r="CD196" s="8">
        <v>3336513</v>
      </c>
      <c r="CE196" s="8">
        <v>8691076</v>
      </c>
      <c r="CF196" s="8">
        <v>11584030</v>
      </c>
      <c r="CG196" s="8">
        <v>14299745</v>
      </c>
      <c r="CH196" s="8">
        <v>20258388</v>
      </c>
      <c r="CI196" s="8">
        <v>23547003</v>
      </c>
      <c r="CJ196" s="8">
        <v>29236339</v>
      </c>
      <c r="CK196" s="8">
        <v>32554452</v>
      </c>
      <c r="CL196" s="8">
        <v>36592187</v>
      </c>
      <c r="CM196" s="8">
        <v>43859005</v>
      </c>
      <c r="CN196" s="8">
        <v>47369249</v>
      </c>
      <c r="CO196" s="9">
        <f t="shared" si="158"/>
        <v>47369249</v>
      </c>
      <c r="CP196" s="8">
        <v>2848394</v>
      </c>
      <c r="CQ196" s="8">
        <v>5923883</v>
      </c>
      <c r="CR196" s="8">
        <v>7965978</v>
      </c>
      <c r="CS196" s="8">
        <v>9617044</v>
      </c>
      <c r="CT196" s="8">
        <v>13852548</v>
      </c>
      <c r="CU196" s="8">
        <v>18040494</v>
      </c>
      <c r="CV196" s="8">
        <v>22387310</v>
      </c>
      <c r="CW196" s="8">
        <v>31636401</v>
      </c>
      <c r="CX196" s="8">
        <v>49169116</v>
      </c>
      <c r="CY196" s="8">
        <v>51622575</v>
      </c>
      <c r="CZ196" s="8">
        <v>53941002</v>
      </c>
      <c r="DA196" s="8">
        <v>67085048</v>
      </c>
      <c r="DB196" s="9">
        <f t="shared" si="159"/>
        <v>67085048</v>
      </c>
      <c r="DC196" s="8">
        <v>2552459</v>
      </c>
      <c r="DD196" s="8">
        <v>6491641</v>
      </c>
      <c r="DE196" s="8">
        <v>12089073</v>
      </c>
      <c r="DF196" s="8">
        <v>15342872</v>
      </c>
      <c r="DG196" s="8">
        <v>22248538</v>
      </c>
      <c r="DH196" s="8">
        <v>32049883</v>
      </c>
      <c r="DI196" s="8">
        <v>38173286</v>
      </c>
      <c r="DJ196" s="8">
        <v>42188580</v>
      </c>
      <c r="DK196" s="8">
        <v>46593304</v>
      </c>
      <c r="DL196" s="8">
        <v>55662325</v>
      </c>
      <c r="DM196" s="8">
        <v>61630201</v>
      </c>
      <c r="DN196" s="8">
        <v>73208745</v>
      </c>
      <c r="DO196" s="9">
        <f t="shared" si="160"/>
        <v>73208745</v>
      </c>
      <c r="DP196" s="8">
        <v>10100936</v>
      </c>
      <c r="DQ196" s="8">
        <v>16067988</v>
      </c>
      <c r="DR196" s="8">
        <v>24396745</v>
      </c>
      <c r="DS196" s="8">
        <v>30288290</v>
      </c>
      <c r="DT196" s="8">
        <v>33611175</v>
      </c>
      <c r="DU196" s="8">
        <v>40139526</v>
      </c>
      <c r="DV196" s="8">
        <v>45789704</v>
      </c>
      <c r="DW196" s="8">
        <v>52661229</v>
      </c>
      <c r="DX196" s="8">
        <v>55576448</v>
      </c>
      <c r="DY196" s="8">
        <v>72273798</v>
      </c>
      <c r="DZ196" s="8">
        <v>80006583</v>
      </c>
      <c r="EA196" s="8">
        <v>95095205</v>
      </c>
      <c r="EB196" s="9">
        <f t="shared" si="161"/>
        <v>95095205</v>
      </c>
      <c r="EC196" s="8">
        <v>5214269</v>
      </c>
      <c r="ED196" s="8">
        <v>11235900</v>
      </c>
      <c r="EE196" s="8">
        <v>16905106</v>
      </c>
      <c r="EF196" s="8">
        <v>23742083</v>
      </c>
      <c r="EG196" s="8">
        <v>30484197</v>
      </c>
      <c r="EH196" s="8">
        <v>39499416</v>
      </c>
      <c r="EI196" s="8">
        <v>47300435</v>
      </c>
      <c r="EJ196" s="8">
        <v>56881802</v>
      </c>
      <c r="EK196" s="8">
        <v>64725887</v>
      </c>
      <c r="EL196" s="8">
        <v>75675766</v>
      </c>
      <c r="EM196" s="8">
        <v>81986895</v>
      </c>
      <c r="EN196" s="8">
        <v>106974951</v>
      </c>
      <c r="EO196" s="9">
        <f t="shared" si="162"/>
        <v>106974951</v>
      </c>
      <c r="EP196" s="8">
        <v>7447418</v>
      </c>
      <c r="EQ196" s="8">
        <v>23994446</v>
      </c>
      <c r="ER196" s="8">
        <v>29971017</v>
      </c>
      <c r="ES196" s="8">
        <v>35520045</v>
      </c>
      <c r="ET196" s="8">
        <v>42604873</v>
      </c>
      <c r="EU196" s="8">
        <v>50293712</v>
      </c>
      <c r="EV196" s="8">
        <v>60108224</v>
      </c>
      <c r="EW196" s="8">
        <v>67603966</v>
      </c>
      <c r="EX196" s="8">
        <v>75529454</v>
      </c>
      <c r="EY196" s="8">
        <v>96186537</v>
      </c>
      <c r="EZ196" s="8">
        <v>110595441</v>
      </c>
      <c r="FA196" s="8">
        <v>121561430</v>
      </c>
      <c r="FB196" s="9">
        <f t="shared" si="163"/>
        <v>121561430</v>
      </c>
      <c r="FC196" s="8">
        <v>4876896</v>
      </c>
      <c r="FD196" s="8">
        <v>21687378</v>
      </c>
      <c r="FE196" s="8">
        <v>34301743</v>
      </c>
      <c r="FF196" s="8">
        <v>42309988</v>
      </c>
      <c r="FG196" s="8">
        <v>54922374</v>
      </c>
      <c r="FH196" s="8">
        <v>64126737</v>
      </c>
      <c r="FI196" s="8">
        <v>87205139</v>
      </c>
      <c r="FJ196" s="8"/>
      <c r="FK196" s="8"/>
      <c r="FL196" s="8"/>
      <c r="FM196" s="8"/>
      <c r="FN196" s="8"/>
      <c r="FO196" s="9">
        <f t="shared" si="164"/>
        <v>87205139</v>
      </c>
    </row>
    <row r="197" spans="2:171" ht="14.25" customHeight="1" x14ac:dyDescent="0.3">
      <c r="B197" s="7" t="s">
        <v>50</v>
      </c>
      <c r="C197" s="8">
        <v>5114792</v>
      </c>
      <c r="D197" s="8">
        <v>11825055</v>
      </c>
      <c r="E197" s="8">
        <v>19002655</v>
      </c>
      <c r="F197" s="8">
        <v>26623575</v>
      </c>
      <c r="G197" s="8">
        <v>32439691</v>
      </c>
      <c r="H197" s="8">
        <v>38847264</v>
      </c>
      <c r="I197" s="8">
        <v>43830334</v>
      </c>
      <c r="J197" s="8">
        <v>50519875</v>
      </c>
      <c r="K197" s="8">
        <v>56856928</v>
      </c>
      <c r="L197" s="8">
        <v>65401303</v>
      </c>
      <c r="M197" s="8">
        <v>74694972</v>
      </c>
      <c r="N197" s="8">
        <v>84735951</v>
      </c>
      <c r="O197" s="9">
        <f t="shared" si="152"/>
        <v>84735951</v>
      </c>
      <c r="P197" s="8">
        <v>5486053</v>
      </c>
      <c r="Q197" s="8">
        <v>11326991</v>
      </c>
      <c r="R197" s="8">
        <v>18335146</v>
      </c>
      <c r="S197" s="8">
        <v>27665285</v>
      </c>
      <c r="T197" s="8">
        <v>36349440</v>
      </c>
      <c r="U197" s="8">
        <v>46965573</v>
      </c>
      <c r="V197" s="8">
        <v>55795988</v>
      </c>
      <c r="W197" s="8">
        <v>63586370</v>
      </c>
      <c r="X197" s="8">
        <v>70844325</v>
      </c>
      <c r="Y197" s="8">
        <v>79837677</v>
      </c>
      <c r="Z197" s="8">
        <v>90793275</v>
      </c>
      <c r="AA197" s="8">
        <v>100650369</v>
      </c>
      <c r="AB197" s="9">
        <f t="shared" si="153"/>
        <v>100650369</v>
      </c>
      <c r="AC197" s="8">
        <v>6983149</v>
      </c>
      <c r="AD197" s="8">
        <v>14247404</v>
      </c>
      <c r="AE197" s="8">
        <v>22892691</v>
      </c>
      <c r="AF197" s="8">
        <v>31826112</v>
      </c>
      <c r="AG197" s="8">
        <v>43865791</v>
      </c>
      <c r="AH197" s="8">
        <v>53298532</v>
      </c>
      <c r="AI197" s="8">
        <v>63687648</v>
      </c>
      <c r="AJ197" s="8">
        <v>71481484</v>
      </c>
      <c r="AK197" s="8">
        <v>81511682</v>
      </c>
      <c r="AL197" s="8">
        <v>91818456</v>
      </c>
      <c r="AM197" s="8">
        <v>99912361</v>
      </c>
      <c r="AN197" s="8">
        <v>111426770</v>
      </c>
      <c r="AO197" s="9">
        <f t="shared" si="154"/>
        <v>111426770</v>
      </c>
      <c r="AP197" s="8">
        <v>8290823</v>
      </c>
      <c r="AQ197" s="8">
        <v>18377284</v>
      </c>
      <c r="AR197" s="8">
        <v>28823128</v>
      </c>
      <c r="AS197" s="8">
        <v>38920713</v>
      </c>
      <c r="AT197" s="8">
        <v>46611812</v>
      </c>
      <c r="AU197" s="8">
        <v>55507993</v>
      </c>
      <c r="AV197" s="8">
        <v>63860755</v>
      </c>
      <c r="AW197" s="8">
        <v>72542822</v>
      </c>
      <c r="AX197" s="8">
        <v>81131579</v>
      </c>
      <c r="AY197" s="8">
        <v>89675152</v>
      </c>
      <c r="AZ197" s="8">
        <v>95223840</v>
      </c>
      <c r="BA197" s="8">
        <v>103339429</v>
      </c>
      <c r="BB197" s="9">
        <f t="shared" si="155"/>
        <v>103339429</v>
      </c>
      <c r="BC197" s="8">
        <v>12211117</v>
      </c>
      <c r="BD197" s="8">
        <v>19565230</v>
      </c>
      <c r="BE197" s="8">
        <v>29603779</v>
      </c>
      <c r="BF197" s="8">
        <v>39979451</v>
      </c>
      <c r="BG197" s="8">
        <v>51132501</v>
      </c>
      <c r="BH197" s="8">
        <v>63504258</v>
      </c>
      <c r="BI197" s="8">
        <v>74576987</v>
      </c>
      <c r="BJ197" s="8">
        <v>84938554</v>
      </c>
      <c r="BK197" s="8">
        <v>91640509</v>
      </c>
      <c r="BL197" s="8">
        <v>100046517</v>
      </c>
      <c r="BM197" s="8">
        <v>109661827</v>
      </c>
      <c r="BN197" s="8">
        <v>116560271</v>
      </c>
      <c r="BO197" s="9">
        <f t="shared" si="156"/>
        <v>116560271</v>
      </c>
      <c r="BP197" s="8">
        <v>8014803</v>
      </c>
      <c r="BQ197" s="8">
        <v>14755182</v>
      </c>
      <c r="BR197" s="8">
        <v>25488306</v>
      </c>
      <c r="BS197" s="8">
        <v>36631078</v>
      </c>
      <c r="BT197" s="8">
        <v>47199416</v>
      </c>
      <c r="BU197" s="8">
        <v>56940784</v>
      </c>
      <c r="BV197" s="8">
        <v>69301889</v>
      </c>
      <c r="BW197" s="8">
        <v>74194267</v>
      </c>
      <c r="BX197" s="8">
        <v>81172291</v>
      </c>
      <c r="BY197" s="8">
        <v>85211986</v>
      </c>
      <c r="BZ197" s="8">
        <v>109236338</v>
      </c>
      <c r="CA197" s="8">
        <v>130762244</v>
      </c>
      <c r="CB197" s="9">
        <f t="shared" si="157"/>
        <v>130762244</v>
      </c>
      <c r="CC197" s="8">
        <v>11122808</v>
      </c>
      <c r="CD197" s="8">
        <v>18753003</v>
      </c>
      <c r="CE197" s="8">
        <v>29394963</v>
      </c>
      <c r="CF197" s="8">
        <v>38993580</v>
      </c>
      <c r="CG197" s="8">
        <v>48429778</v>
      </c>
      <c r="CH197" s="8">
        <v>59466824</v>
      </c>
      <c r="CI197" s="8">
        <v>66599221</v>
      </c>
      <c r="CJ197" s="8">
        <v>75181586</v>
      </c>
      <c r="CK197" s="8">
        <v>84427122</v>
      </c>
      <c r="CL197" s="8">
        <v>101998482</v>
      </c>
      <c r="CM197" s="8">
        <v>128117885</v>
      </c>
      <c r="CN197" s="8">
        <v>134156410</v>
      </c>
      <c r="CO197" s="9">
        <f t="shared" si="158"/>
        <v>134156410</v>
      </c>
      <c r="CP197" s="8">
        <v>6351658</v>
      </c>
      <c r="CQ197" s="8">
        <v>16507602</v>
      </c>
      <c r="CR197" s="8">
        <v>28226480</v>
      </c>
      <c r="CS197" s="8">
        <v>41249236</v>
      </c>
      <c r="CT197" s="8">
        <v>51149004</v>
      </c>
      <c r="CU197" s="8">
        <v>65193942</v>
      </c>
      <c r="CV197" s="8">
        <v>75559471</v>
      </c>
      <c r="CW197" s="8">
        <v>77732162</v>
      </c>
      <c r="CX197" s="8">
        <v>88178086</v>
      </c>
      <c r="CY197" s="8">
        <v>102216070</v>
      </c>
      <c r="CZ197" s="8">
        <v>121547308</v>
      </c>
      <c r="DA197" s="8">
        <v>135146453</v>
      </c>
      <c r="DB197" s="9">
        <f t="shared" si="159"/>
        <v>135146453</v>
      </c>
      <c r="DC197" s="8">
        <v>8326701</v>
      </c>
      <c r="DD197" s="8">
        <v>16422114</v>
      </c>
      <c r="DE197" s="8">
        <v>26201458</v>
      </c>
      <c r="DF197" s="8">
        <v>35907394</v>
      </c>
      <c r="DG197" s="8">
        <v>52234360</v>
      </c>
      <c r="DH197" s="8">
        <v>71747829</v>
      </c>
      <c r="DI197" s="8">
        <v>85629512</v>
      </c>
      <c r="DJ197" s="8">
        <v>107494724</v>
      </c>
      <c r="DK197" s="8">
        <v>129632624</v>
      </c>
      <c r="DL197" s="8">
        <v>147748816</v>
      </c>
      <c r="DM197" s="8">
        <v>165947767</v>
      </c>
      <c r="DN197" s="8">
        <v>186522313</v>
      </c>
      <c r="DO197" s="9">
        <f t="shared" si="160"/>
        <v>186522313</v>
      </c>
      <c r="DP197" s="8">
        <v>7979227</v>
      </c>
      <c r="DQ197" s="8">
        <v>17247246</v>
      </c>
      <c r="DR197" s="8">
        <v>39539929</v>
      </c>
      <c r="DS197" s="8">
        <v>59708311</v>
      </c>
      <c r="DT197" s="8">
        <v>77926389</v>
      </c>
      <c r="DU197" s="8">
        <v>98045046</v>
      </c>
      <c r="DV197" s="8">
        <v>114456060</v>
      </c>
      <c r="DW197" s="8">
        <v>132047132</v>
      </c>
      <c r="DX197" s="8">
        <v>150736133</v>
      </c>
      <c r="DY197" s="8">
        <v>165085094</v>
      </c>
      <c r="DZ197" s="8">
        <v>177490199</v>
      </c>
      <c r="EA197" s="8">
        <v>194128933</v>
      </c>
      <c r="EB197" s="9">
        <f t="shared" si="161"/>
        <v>194128933</v>
      </c>
      <c r="EC197" s="8">
        <v>12686467</v>
      </c>
      <c r="ED197" s="8">
        <v>24545418</v>
      </c>
      <c r="EE197" s="8">
        <v>49075589</v>
      </c>
      <c r="EF197" s="8">
        <v>71299439</v>
      </c>
      <c r="EG197" s="8">
        <v>94126793</v>
      </c>
      <c r="EH197" s="8">
        <v>111391005</v>
      </c>
      <c r="EI197" s="8">
        <v>129375801</v>
      </c>
      <c r="EJ197" s="8">
        <v>135567630</v>
      </c>
      <c r="EK197" s="8">
        <v>154831290</v>
      </c>
      <c r="EL197" s="8">
        <v>180242526</v>
      </c>
      <c r="EM197" s="8">
        <v>204755167</v>
      </c>
      <c r="EN197" s="8">
        <v>225998740</v>
      </c>
      <c r="EO197" s="9">
        <f t="shared" si="162"/>
        <v>225998740</v>
      </c>
      <c r="EP197" s="8">
        <v>22106404</v>
      </c>
      <c r="EQ197" s="8">
        <v>36262241</v>
      </c>
      <c r="ER197" s="8">
        <v>54408810</v>
      </c>
      <c r="ES197" s="8">
        <v>79334204</v>
      </c>
      <c r="ET197" s="8">
        <v>111134038</v>
      </c>
      <c r="EU197" s="8">
        <v>134827300</v>
      </c>
      <c r="EV197" s="8">
        <v>162124111</v>
      </c>
      <c r="EW197" s="8">
        <v>188041199</v>
      </c>
      <c r="EX197" s="8">
        <v>212529317</v>
      </c>
      <c r="EY197" s="8">
        <v>239220849</v>
      </c>
      <c r="EZ197" s="8">
        <v>258245155</v>
      </c>
      <c r="FA197" s="8">
        <v>287372330</v>
      </c>
      <c r="FB197" s="9">
        <f t="shared" si="163"/>
        <v>287372330</v>
      </c>
      <c r="FC197" s="8">
        <v>4835902</v>
      </c>
      <c r="FD197" s="8">
        <v>18553383</v>
      </c>
      <c r="FE197" s="8">
        <v>38606044</v>
      </c>
      <c r="FF197" s="8">
        <v>59545523</v>
      </c>
      <c r="FG197" s="8">
        <v>74303371</v>
      </c>
      <c r="FH197" s="8">
        <v>90892187</v>
      </c>
      <c r="FI197" s="8">
        <v>110960565</v>
      </c>
      <c r="FJ197" s="8"/>
      <c r="FK197" s="8"/>
      <c r="FL197" s="8"/>
      <c r="FM197" s="8"/>
      <c r="FN197" s="8"/>
      <c r="FO197" s="9">
        <f t="shared" si="164"/>
        <v>110960565</v>
      </c>
    </row>
    <row r="198" spans="2:171" ht="14.25" customHeight="1" x14ac:dyDescent="0.3">
      <c r="B198" s="7" t="s">
        <v>51</v>
      </c>
      <c r="C198" s="8">
        <v>19602855</v>
      </c>
      <c r="D198" s="8">
        <v>38301924</v>
      </c>
      <c r="E198" s="8">
        <v>66051608</v>
      </c>
      <c r="F198" s="8">
        <v>87919123</v>
      </c>
      <c r="G198" s="8">
        <v>108528737</v>
      </c>
      <c r="H198" s="8">
        <v>132717771</v>
      </c>
      <c r="I198" s="8">
        <v>156378503</v>
      </c>
      <c r="J198" s="8">
        <v>175292900</v>
      </c>
      <c r="K198" s="8">
        <v>193952109</v>
      </c>
      <c r="L198" s="8">
        <v>214505999</v>
      </c>
      <c r="M198" s="8">
        <v>237735693</v>
      </c>
      <c r="N198" s="8">
        <v>261921473</v>
      </c>
      <c r="O198" s="9">
        <f t="shared" si="152"/>
        <v>261921473</v>
      </c>
      <c r="P198" s="8">
        <v>15541548</v>
      </c>
      <c r="Q198" s="8">
        <v>31563750</v>
      </c>
      <c r="R198" s="8">
        <v>56319912</v>
      </c>
      <c r="S198" s="8">
        <v>76066976</v>
      </c>
      <c r="T198" s="8">
        <v>96704214</v>
      </c>
      <c r="U198" s="8">
        <v>120584151</v>
      </c>
      <c r="V198" s="8">
        <v>150394928</v>
      </c>
      <c r="W198" s="8">
        <v>169439736</v>
      </c>
      <c r="X198" s="8">
        <v>187467122</v>
      </c>
      <c r="Y198" s="8">
        <v>209205069</v>
      </c>
      <c r="Z198" s="8">
        <v>231707347</v>
      </c>
      <c r="AA198" s="8">
        <v>255946010</v>
      </c>
      <c r="AB198" s="9">
        <f t="shared" si="153"/>
        <v>255946010</v>
      </c>
      <c r="AC198" s="8">
        <v>13270771</v>
      </c>
      <c r="AD198" s="8">
        <v>30516869</v>
      </c>
      <c r="AE198" s="8">
        <v>48622405</v>
      </c>
      <c r="AF198" s="8">
        <v>67315695</v>
      </c>
      <c r="AG198" s="8">
        <v>85243212</v>
      </c>
      <c r="AH198" s="8">
        <v>105163244</v>
      </c>
      <c r="AI198" s="8">
        <v>127499918</v>
      </c>
      <c r="AJ198" s="8">
        <v>148368914</v>
      </c>
      <c r="AK198" s="8">
        <v>170373247</v>
      </c>
      <c r="AL198" s="8">
        <v>190100855</v>
      </c>
      <c r="AM198" s="8">
        <v>208945878</v>
      </c>
      <c r="AN198" s="8">
        <v>235889106</v>
      </c>
      <c r="AO198" s="9">
        <f t="shared" si="154"/>
        <v>235889106</v>
      </c>
      <c r="AP198" s="8">
        <v>20654977</v>
      </c>
      <c r="AQ198" s="8">
        <v>41112798</v>
      </c>
      <c r="AR198" s="8">
        <v>65456417</v>
      </c>
      <c r="AS198" s="8">
        <v>93047119</v>
      </c>
      <c r="AT198" s="8">
        <v>113882604</v>
      </c>
      <c r="AU198" s="8">
        <v>133962418</v>
      </c>
      <c r="AV198" s="8">
        <v>155331061</v>
      </c>
      <c r="AW198" s="8">
        <v>178036147</v>
      </c>
      <c r="AX198" s="8">
        <v>197571093</v>
      </c>
      <c r="AY198" s="8">
        <v>221632810</v>
      </c>
      <c r="AZ198" s="8">
        <v>226592365</v>
      </c>
      <c r="BA198" s="8">
        <v>248554771</v>
      </c>
      <c r="BB198" s="9">
        <f t="shared" si="155"/>
        <v>248554771</v>
      </c>
      <c r="BC198" s="8">
        <v>39081119</v>
      </c>
      <c r="BD198" s="8">
        <v>58747288</v>
      </c>
      <c r="BE198" s="8">
        <v>81242318</v>
      </c>
      <c r="BF198" s="8">
        <v>106132024</v>
      </c>
      <c r="BG198" s="8">
        <v>136993257</v>
      </c>
      <c r="BH198" s="8">
        <v>163874651</v>
      </c>
      <c r="BI198" s="8">
        <v>197698719</v>
      </c>
      <c r="BJ198" s="8">
        <v>223573289</v>
      </c>
      <c r="BK198" s="8">
        <v>239109129</v>
      </c>
      <c r="BL198" s="8">
        <v>257779289</v>
      </c>
      <c r="BM198" s="8">
        <v>279592063</v>
      </c>
      <c r="BN198" s="8">
        <v>287871343</v>
      </c>
      <c r="BO198" s="9">
        <f t="shared" si="156"/>
        <v>287871343</v>
      </c>
      <c r="BP198" s="8">
        <v>38803845</v>
      </c>
      <c r="BQ198" s="8">
        <v>61991389</v>
      </c>
      <c r="BR198" s="8">
        <v>83084702</v>
      </c>
      <c r="BS198" s="8">
        <v>106694467</v>
      </c>
      <c r="BT198" s="8">
        <v>128912955</v>
      </c>
      <c r="BU198" s="8">
        <v>150327001</v>
      </c>
      <c r="BV198" s="8">
        <v>172609744</v>
      </c>
      <c r="BW198" s="8">
        <v>197558829</v>
      </c>
      <c r="BX198" s="8">
        <v>215717611</v>
      </c>
      <c r="BY198" s="8">
        <v>260191993</v>
      </c>
      <c r="BZ198" s="8">
        <v>307120438</v>
      </c>
      <c r="CA198" s="8">
        <v>339538678</v>
      </c>
      <c r="CB198" s="9">
        <f t="shared" si="157"/>
        <v>339538678</v>
      </c>
      <c r="CC198" s="8">
        <v>10551394</v>
      </c>
      <c r="CD198" s="8">
        <v>36187782</v>
      </c>
      <c r="CE198" s="8">
        <v>57163433</v>
      </c>
      <c r="CF198" s="8">
        <v>72890967</v>
      </c>
      <c r="CG198" s="8">
        <v>85160651</v>
      </c>
      <c r="CH198" s="8">
        <v>120573456</v>
      </c>
      <c r="CI198" s="8">
        <v>154283397</v>
      </c>
      <c r="CJ198" s="8">
        <v>183465117</v>
      </c>
      <c r="CK198" s="8">
        <v>215244413</v>
      </c>
      <c r="CL198" s="8">
        <v>261235976</v>
      </c>
      <c r="CM198" s="8">
        <v>279789607</v>
      </c>
      <c r="CN198" s="8">
        <v>304006483</v>
      </c>
      <c r="CO198" s="9">
        <f t="shared" si="158"/>
        <v>304006483</v>
      </c>
      <c r="CP198" s="8">
        <v>9345086</v>
      </c>
      <c r="CQ198" s="8">
        <v>19611044</v>
      </c>
      <c r="CR198" s="8">
        <v>34869861</v>
      </c>
      <c r="CS198" s="8">
        <v>79019855</v>
      </c>
      <c r="CT198" s="8">
        <v>126152332</v>
      </c>
      <c r="CU198" s="8">
        <v>164602957</v>
      </c>
      <c r="CV198" s="8">
        <v>202555640</v>
      </c>
      <c r="CW198" s="8">
        <v>233946999</v>
      </c>
      <c r="CX198" s="8">
        <v>274945343</v>
      </c>
      <c r="CY198" s="8">
        <v>298069452</v>
      </c>
      <c r="CZ198" s="8">
        <v>316452594</v>
      </c>
      <c r="DA198" s="8">
        <v>368776478</v>
      </c>
      <c r="DB198" s="9">
        <f t="shared" si="159"/>
        <v>368776478</v>
      </c>
      <c r="DC198" s="8">
        <v>5321216</v>
      </c>
      <c r="DD198" s="8">
        <v>32034708</v>
      </c>
      <c r="DE198" s="8">
        <v>53299357</v>
      </c>
      <c r="DF198" s="8">
        <v>110400639</v>
      </c>
      <c r="DG198" s="8">
        <v>144933597</v>
      </c>
      <c r="DH198" s="8">
        <v>194937179</v>
      </c>
      <c r="DI198" s="8">
        <v>248298409</v>
      </c>
      <c r="DJ198" s="8">
        <v>304415589</v>
      </c>
      <c r="DK198" s="8">
        <v>340222200</v>
      </c>
      <c r="DL198" s="8">
        <v>372076317</v>
      </c>
      <c r="DM198" s="8">
        <v>395326660</v>
      </c>
      <c r="DN198" s="8">
        <v>518521152</v>
      </c>
      <c r="DO198" s="9">
        <f t="shared" si="160"/>
        <v>518521152</v>
      </c>
      <c r="DP198" s="8">
        <v>23536968</v>
      </c>
      <c r="DQ198" s="8">
        <v>58588353</v>
      </c>
      <c r="DR198" s="8">
        <v>108641563</v>
      </c>
      <c r="DS198" s="8">
        <v>156712075</v>
      </c>
      <c r="DT198" s="8">
        <v>222554942</v>
      </c>
      <c r="DU198" s="8">
        <v>276864718</v>
      </c>
      <c r="DV198" s="8">
        <v>316170380</v>
      </c>
      <c r="DW198" s="8">
        <v>347383885</v>
      </c>
      <c r="DX198" s="8">
        <v>385674138</v>
      </c>
      <c r="DY198" s="8">
        <v>403922336</v>
      </c>
      <c r="DZ198" s="8">
        <v>420391932</v>
      </c>
      <c r="EA198" s="8">
        <v>477314595</v>
      </c>
      <c r="EB198" s="9">
        <f t="shared" si="161"/>
        <v>477314595</v>
      </c>
      <c r="EC198" s="8">
        <v>13932050</v>
      </c>
      <c r="ED198" s="8">
        <v>69714036</v>
      </c>
      <c r="EE198" s="8">
        <v>165822295</v>
      </c>
      <c r="EF198" s="8">
        <v>189254443</v>
      </c>
      <c r="EG198" s="8">
        <v>213392117</v>
      </c>
      <c r="EH198" s="8">
        <v>239297490</v>
      </c>
      <c r="EI198" s="8">
        <v>270768946</v>
      </c>
      <c r="EJ198" s="8">
        <v>315032346</v>
      </c>
      <c r="EK198" s="8">
        <v>341395094</v>
      </c>
      <c r="EL198" s="8">
        <v>373247210</v>
      </c>
      <c r="EM198" s="8">
        <v>440732281</v>
      </c>
      <c r="EN198" s="8">
        <v>535781681</v>
      </c>
      <c r="EO198" s="9">
        <f t="shared" si="162"/>
        <v>535781681</v>
      </c>
      <c r="EP198" s="8">
        <v>33709746</v>
      </c>
      <c r="EQ198" s="8">
        <v>69484470</v>
      </c>
      <c r="ER198" s="8">
        <v>103309466</v>
      </c>
      <c r="ES198" s="8">
        <v>130144586</v>
      </c>
      <c r="ET198" s="8">
        <v>170634351</v>
      </c>
      <c r="EU198" s="8">
        <v>193140413</v>
      </c>
      <c r="EV198" s="8">
        <v>232936581</v>
      </c>
      <c r="EW198" s="8">
        <v>244416829</v>
      </c>
      <c r="EX198" s="8">
        <v>252509558</v>
      </c>
      <c r="EY198" s="8">
        <v>429677080</v>
      </c>
      <c r="EZ198" s="8">
        <v>441369162</v>
      </c>
      <c r="FA198" s="8">
        <v>523505059</v>
      </c>
      <c r="FB198" s="9">
        <f t="shared" si="163"/>
        <v>523505059</v>
      </c>
      <c r="FC198" s="8">
        <v>22797644</v>
      </c>
      <c r="FD198" s="8">
        <v>55194134</v>
      </c>
      <c r="FE198" s="8">
        <v>104351099</v>
      </c>
      <c r="FF198" s="8">
        <v>231507617</v>
      </c>
      <c r="FG198" s="8">
        <v>359592895</v>
      </c>
      <c r="FH198" s="8">
        <v>406681052</v>
      </c>
      <c r="FI198" s="8">
        <v>458549946</v>
      </c>
      <c r="FJ198" s="8"/>
      <c r="FK198" s="8"/>
      <c r="FL198" s="8"/>
      <c r="FM198" s="8"/>
      <c r="FN198" s="8"/>
      <c r="FO198" s="9">
        <f t="shared" si="164"/>
        <v>458549946</v>
      </c>
    </row>
    <row r="199" spans="2:171" ht="14.25" customHeight="1" x14ac:dyDescent="0.3">
      <c r="B199" s="7" t="s">
        <v>52</v>
      </c>
      <c r="C199" s="8">
        <v>8419368</v>
      </c>
      <c r="D199" s="8">
        <v>15733129</v>
      </c>
      <c r="E199" s="8">
        <v>21393022</v>
      </c>
      <c r="F199" s="8">
        <v>30024242</v>
      </c>
      <c r="G199" s="8">
        <v>36349366</v>
      </c>
      <c r="H199" s="8">
        <v>42861725</v>
      </c>
      <c r="I199" s="8">
        <v>49017672</v>
      </c>
      <c r="J199" s="8">
        <v>56232005</v>
      </c>
      <c r="K199" s="8">
        <v>62722446</v>
      </c>
      <c r="L199" s="8">
        <v>69523879</v>
      </c>
      <c r="M199" s="8">
        <v>75701498</v>
      </c>
      <c r="N199" s="8">
        <v>85897244</v>
      </c>
      <c r="O199" s="9">
        <f t="shared" si="152"/>
        <v>85897244</v>
      </c>
      <c r="P199" s="8">
        <v>2735359</v>
      </c>
      <c r="Q199" s="8">
        <v>8071788</v>
      </c>
      <c r="R199" s="8">
        <v>13308685</v>
      </c>
      <c r="S199" s="8">
        <v>18978008</v>
      </c>
      <c r="T199" s="8">
        <v>25823342</v>
      </c>
      <c r="U199" s="8">
        <v>35763722</v>
      </c>
      <c r="V199" s="8">
        <v>40827943</v>
      </c>
      <c r="W199" s="8">
        <v>45366317</v>
      </c>
      <c r="X199" s="8">
        <v>49816231</v>
      </c>
      <c r="Y199" s="8">
        <v>55297091</v>
      </c>
      <c r="Z199" s="8">
        <v>64271555</v>
      </c>
      <c r="AA199" s="8">
        <v>68689437</v>
      </c>
      <c r="AB199" s="9">
        <f t="shared" si="153"/>
        <v>68689437</v>
      </c>
      <c r="AC199" s="8">
        <v>4045916</v>
      </c>
      <c r="AD199" s="8">
        <v>10744869</v>
      </c>
      <c r="AE199" s="8">
        <v>17378760</v>
      </c>
      <c r="AF199" s="8">
        <v>23562001</v>
      </c>
      <c r="AG199" s="8">
        <v>28900589</v>
      </c>
      <c r="AH199" s="8">
        <v>33747809</v>
      </c>
      <c r="AI199" s="8">
        <v>40322884</v>
      </c>
      <c r="AJ199" s="8">
        <v>45576063</v>
      </c>
      <c r="AK199" s="8">
        <v>51813050</v>
      </c>
      <c r="AL199" s="8">
        <v>58536741</v>
      </c>
      <c r="AM199" s="8">
        <v>66169277</v>
      </c>
      <c r="AN199" s="8">
        <v>74060094</v>
      </c>
      <c r="AO199" s="9">
        <f t="shared" si="154"/>
        <v>74060094</v>
      </c>
      <c r="AP199" s="8">
        <v>3841423</v>
      </c>
      <c r="AQ199" s="8">
        <v>8703529</v>
      </c>
      <c r="AR199" s="8">
        <v>14075283</v>
      </c>
      <c r="AS199" s="8">
        <v>19870036</v>
      </c>
      <c r="AT199" s="8">
        <v>28126361</v>
      </c>
      <c r="AU199" s="8">
        <v>37505692</v>
      </c>
      <c r="AV199" s="8">
        <v>45260416</v>
      </c>
      <c r="AW199" s="8">
        <v>50506287</v>
      </c>
      <c r="AX199" s="8">
        <v>58211426</v>
      </c>
      <c r="AY199" s="8">
        <v>61822797</v>
      </c>
      <c r="AZ199" s="8">
        <v>71843810</v>
      </c>
      <c r="BA199" s="8">
        <v>74523631</v>
      </c>
      <c r="BB199" s="9">
        <f t="shared" si="155"/>
        <v>74523631</v>
      </c>
      <c r="BC199" s="8">
        <v>7875887</v>
      </c>
      <c r="BD199" s="8">
        <v>19185133</v>
      </c>
      <c r="BE199" s="8">
        <v>24666117</v>
      </c>
      <c r="BF199" s="8">
        <v>30083430</v>
      </c>
      <c r="BG199" s="8">
        <v>36036196</v>
      </c>
      <c r="BH199" s="8">
        <v>40187445</v>
      </c>
      <c r="BI199" s="8">
        <v>43705702</v>
      </c>
      <c r="BJ199" s="8">
        <v>50305705</v>
      </c>
      <c r="BK199" s="8">
        <v>57212027</v>
      </c>
      <c r="BL199" s="8">
        <v>61577500</v>
      </c>
      <c r="BM199" s="8">
        <v>66370331</v>
      </c>
      <c r="BN199" s="8">
        <v>68679127</v>
      </c>
      <c r="BO199" s="9">
        <f t="shared" si="156"/>
        <v>68679127</v>
      </c>
      <c r="BP199" s="8">
        <v>11797571</v>
      </c>
      <c r="BQ199" s="8">
        <v>19661722</v>
      </c>
      <c r="BR199" s="8">
        <v>23630175</v>
      </c>
      <c r="BS199" s="8">
        <v>32123282</v>
      </c>
      <c r="BT199" s="8">
        <v>39257151</v>
      </c>
      <c r="BU199" s="8">
        <v>45183394</v>
      </c>
      <c r="BV199" s="8">
        <v>54895052</v>
      </c>
      <c r="BW199" s="8">
        <v>58105529</v>
      </c>
      <c r="BX199" s="8">
        <v>63820582</v>
      </c>
      <c r="BY199" s="8">
        <v>70049017</v>
      </c>
      <c r="BZ199" s="8">
        <v>76807311</v>
      </c>
      <c r="CA199" s="8">
        <v>82684745</v>
      </c>
      <c r="CB199" s="9">
        <f t="shared" si="157"/>
        <v>82684745</v>
      </c>
      <c r="CC199" s="8">
        <v>5666083</v>
      </c>
      <c r="CD199" s="8">
        <v>13317257</v>
      </c>
      <c r="CE199" s="8">
        <v>17212724</v>
      </c>
      <c r="CF199" s="8">
        <v>20332459</v>
      </c>
      <c r="CG199" s="8">
        <v>23438752</v>
      </c>
      <c r="CH199" s="8">
        <v>27281265</v>
      </c>
      <c r="CI199" s="8">
        <v>30908961</v>
      </c>
      <c r="CJ199" s="8">
        <v>36389735</v>
      </c>
      <c r="CK199" s="8">
        <v>44449196</v>
      </c>
      <c r="CL199" s="8">
        <v>52167178</v>
      </c>
      <c r="CM199" s="8">
        <v>53167974</v>
      </c>
      <c r="CN199" s="8">
        <v>57883555</v>
      </c>
      <c r="CO199" s="9">
        <f t="shared" si="158"/>
        <v>57883555</v>
      </c>
      <c r="CP199" s="8">
        <v>1509785</v>
      </c>
      <c r="CQ199" s="8">
        <v>7883527</v>
      </c>
      <c r="CR199" s="8">
        <v>27437963</v>
      </c>
      <c r="CS199" s="8">
        <v>28612703</v>
      </c>
      <c r="CT199" s="8">
        <v>37728982</v>
      </c>
      <c r="CU199" s="8">
        <v>51838624</v>
      </c>
      <c r="CV199" s="8">
        <v>58287841</v>
      </c>
      <c r="CW199" s="8">
        <v>60643805</v>
      </c>
      <c r="CX199" s="8">
        <v>63948911</v>
      </c>
      <c r="CY199" s="8">
        <v>87545391</v>
      </c>
      <c r="CZ199" s="8">
        <v>90508984</v>
      </c>
      <c r="DA199" s="8">
        <v>117182564</v>
      </c>
      <c r="DB199" s="9">
        <f t="shared" si="159"/>
        <v>117182564</v>
      </c>
      <c r="DC199" s="8">
        <v>5267940</v>
      </c>
      <c r="DD199" s="8">
        <v>16368591</v>
      </c>
      <c r="DE199" s="8">
        <v>24633064</v>
      </c>
      <c r="DF199" s="8">
        <v>32649098</v>
      </c>
      <c r="DG199" s="8">
        <v>40095026</v>
      </c>
      <c r="DH199" s="8">
        <v>46667333</v>
      </c>
      <c r="DI199" s="8">
        <v>53816061</v>
      </c>
      <c r="DJ199" s="8">
        <v>58941241</v>
      </c>
      <c r="DK199" s="8">
        <v>66511428</v>
      </c>
      <c r="DL199" s="8">
        <v>71555661</v>
      </c>
      <c r="DM199" s="8">
        <v>79141347</v>
      </c>
      <c r="DN199" s="8">
        <v>98418441</v>
      </c>
      <c r="DO199" s="9">
        <f t="shared" si="160"/>
        <v>98418441</v>
      </c>
      <c r="DP199" s="8">
        <v>4619488</v>
      </c>
      <c r="DQ199" s="8">
        <v>13392603</v>
      </c>
      <c r="DR199" s="8">
        <v>21717523</v>
      </c>
      <c r="DS199" s="8">
        <v>27845262</v>
      </c>
      <c r="DT199" s="8">
        <v>38754611</v>
      </c>
      <c r="DU199" s="8">
        <v>46995036</v>
      </c>
      <c r="DV199" s="8">
        <v>56689660</v>
      </c>
      <c r="DW199" s="8">
        <v>68763033</v>
      </c>
      <c r="DX199" s="8">
        <v>80799759</v>
      </c>
      <c r="DY199" s="8">
        <v>97919803</v>
      </c>
      <c r="DZ199" s="8">
        <v>101485485</v>
      </c>
      <c r="EA199" s="8">
        <v>115441003</v>
      </c>
      <c r="EB199" s="9">
        <f t="shared" si="161"/>
        <v>115441003</v>
      </c>
      <c r="EC199" s="8">
        <v>2077256</v>
      </c>
      <c r="ED199" s="8">
        <v>17758152</v>
      </c>
      <c r="EE199" s="8">
        <v>33675330</v>
      </c>
      <c r="EF199" s="8">
        <v>50489959</v>
      </c>
      <c r="EG199" s="8">
        <v>64323146</v>
      </c>
      <c r="EH199" s="8">
        <v>79364680</v>
      </c>
      <c r="EI199" s="8">
        <v>92846687</v>
      </c>
      <c r="EJ199" s="8">
        <v>107293597</v>
      </c>
      <c r="EK199" s="8">
        <v>123138744</v>
      </c>
      <c r="EL199" s="8">
        <v>136296607</v>
      </c>
      <c r="EM199" s="8">
        <v>149041494</v>
      </c>
      <c r="EN199" s="8">
        <v>172843913</v>
      </c>
      <c r="EO199" s="9">
        <f t="shared" si="162"/>
        <v>172843913</v>
      </c>
      <c r="EP199" s="8">
        <v>7470658</v>
      </c>
      <c r="EQ199" s="8">
        <v>22720400</v>
      </c>
      <c r="ER199" s="8">
        <v>39708542</v>
      </c>
      <c r="ES199" s="8">
        <v>44738825</v>
      </c>
      <c r="ET199" s="8">
        <v>59192286</v>
      </c>
      <c r="EU199" s="8">
        <v>71701052</v>
      </c>
      <c r="EV199" s="8">
        <v>87762174</v>
      </c>
      <c r="EW199" s="8">
        <v>99403113</v>
      </c>
      <c r="EX199" s="8">
        <v>111336525</v>
      </c>
      <c r="EY199" s="8">
        <v>123533240</v>
      </c>
      <c r="EZ199" s="8">
        <v>134927511</v>
      </c>
      <c r="FA199" s="8">
        <v>162493297</v>
      </c>
      <c r="FB199" s="9">
        <f t="shared" si="163"/>
        <v>162493297</v>
      </c>
      <c r="FC199" s="8">
        <v>496731</v>
      </c>
      <c r="FD199" s="8">
        <v>14554000</v>
      </c>
      <c r="FE199" s="8">
        <v>24028231</v>
      </c>
      <c r="FF199" s="8">
        <v>42818307</v>
      </c>
      <c r="FG199" s="8">
        <v>70937938</v>
      </c>
      <c r="FH199" s="8">
        <v>85576238</v>
      </c>
      <c r="FI199" s="8">
        <v>93401575</v>
      </c>
      <c r="FJ199" s="8"/>
      <c r="FK199" s="8"/>
      <c r="FL199" s="8"/>
      <c r="FM199" s="8"/>
      <c r="FN199" s="8"/>
      <c r="FO199" s="9">
        <f t="shared" si="164"/>
        <v>93401575</v>
      </c>
    </row>
    <row r="200" spans="2:171" ht="14.25" customHeight="1" x14ac:dyDescent="0.3">
      <c r="B200" s="7" t="s">
        <v>53</v>
      </c>
      <c r="C200" s="8">
        <v>11556691</v>
      </c>
      <c r="D200" s="8">
        <v>22848950</v>
      </c>
      <c r="E200" s="8">
        <v>33742193</v>
      </c>
      <c r="F200" s="8">
        <v>48450779</v>
      </c>
      <c r="G200" s="8">
        <v>58198503</v>
      </c>
      <c r="H200" s="8">
        <v>68963982</v>
      </c>
      <c r="I200" s="8">
        <v>77861352</v>
      </c>
      <c r="J200" s="8">
        <v>89644698</v>
      </c>
      <c r="K200" s="8">
        <v>99174547</v>
      </c>
      <c r="L200" s="8">
        <v>112253643</v>
      </c>
      <c r="M200" s="8">
        <v>121910174</v>
      </c>
      <c r="N200" s="8">
        <v>129298729</v>
      </c>
      <c r="O200" s="9">
        <f t="shared" si="152"/>
        <v>129298729</v>
      </c>
      <c r="P200" s="8">
        <v>9971948</v>
      </c>
      <c r="Q200" s="8">
        <v>21388655</v>
      </c>
      <c r="R200" s="8">
        <v>33339109</v>
      </c>
      <c r="S200" s="8">
        <v>43072246</v>
      </c>
      <c r="T200" s="8">
        <v>56875164</v>
      </c>
      <c r="U200" s="8">
        <v>65919318</v>
      </c>
      <c r="V200" s="8">
        <v>72613663</v>
      </c>
      <c r="W200" s="8">
        <v>81612543</v>
      </c>
      <c r="X200" s="8">
        <v>88340819</v>
      </c>
      <c r="Y200" s="8">
        <v>97253337</v>
      </c>
      <c r="Z200" s="8">
        <v>106419264</v>
      </c>
      <c r="AA200" s="8">
        <v>115785770</v>
      </c>
      <c r="AB200" s="9">
        <f t="shared" si="153"/>
        <v>115785770</v>
      </c>
      <c r="AC200" s="8">
        <v>9160871</v>
      </c>
      <c r="AD200" s="8">
        <v>17009196</v>
      </c>
      <c r="AE200" s="8">
        <v>26819637</v>
      </c>
      <c r="AF200" s="8">
        <v>37271490</v>
      </c>
      <c r="AG200" s="8">
        <v>47355843</v>
      </c>
      <c r="AH200" s="8">
        <v>56684183</v>
      </c>
      <c r="AI200" s="8">
        <v>64292903</v>
      </c>
      <c r="AJ200" s="8">
        <v>73554712</v>
      </c>
      <c r="AK200" s="8">
        <v>84911006</v>
      </c>
      <c r="AL200" s="8">
        <v>94393904</v>
      </c>
      <c r="AM200" s="8">
        <v>102125063</v>
      </c>
      <c r="AN200" s="8">
        <v>120336407</v>
      </c>
      <c r="AO200" s="9">
        <f t="shared" si="154"/>
        <v>120336407</v>
      </c>
      <c r="AP200" s="8">
        <v>9655550</v>
      </c>
      <c r="AQ200" s="8">
        <v>20048643</v>
      </c>
      <c r="AR200" s="8">
        <v>29382742</v>
      </c>
      <c r="AS200" s="8">
        <v>36610020</v>
      </c>
      <c r="AT200" s="8">
        <v>45959387</v>
      </c>
      <c r="AU200" s="8">
        <v>55227352</v>
      </c>
      <c r="AV200" s="8">
        <v>64401719</v>
      </c>
      <c r="AW200" s="8">
        <v>74592476</v>
      </c>
      <c r="AX200" s="8">
        <v>84377516</v>
      </c>
      <c r="AY200" s="8">
        <v>93061082</v>
      </c>
      <c r="AZ200" s="8">
        <v>100771741</v>
      </c>
      <c r="BA200" s="8">
        <v>108711281</v>
      </c>
      <c r="BB200" s="9">
        <f t="shared" si="155"/>
        <v>108711281</v>
      </c>
      <c r="BC200" s="8">
        <v>9248197</v>
      </c>
      <c r="BD200" s="8">
        <v>17205877</v>
      </c>
      <c r="BE200" s="8">
        <v>23288652</v>
      </c>
      <c r="BF200" s="8">
        <v>29530660</v>
      </c>
      <c r="BG200" s="8">
        <v>37657244</v>
      </c>
      <c r="BH200" s="8">
        <v>47956109</v>
      </c>
      <c r="BI200" s="8">
        <v>56328548</v>
      </c>
      <c r="BJ200" s="8">
        <v>64819861</v>
      </c>
      <c r="BK200" s="8">
        <v>72886557</v>
      </c>
      <c r="BL200" s="8">
        <v>80433593</v>
      </c>
      <c r="BM200" s="8">
        <v>90447533</v>
      </c>
      <c r="BN200" s="8">
        <v>95482641</v>
      </c>
      <c r="BO200" s="9">
        <f t="shared" si="156"/>
        <v>95482641</v>
      </c>
      <c r="BP200" s="8">
        <v>8051072</v>
      </c>
      <c r="BQ200" s="8">
        <v>18272170</v>
      </c>
      <c r="BR200" s="8">
        <v>29931223</v>
      </c>
      <c r="BS200" s="8">
        <v>40101711</v>
      </c>
      <c r="BT200" s="8">
        <v>51758742</v>
      </c>
      <c r="BU200" s="8">
        <v>59499597</v>
      </c>
      <c r="BV200" s="8">
        <v>67771204</v>
      </c>
      <c r="BW200" s="8">
        <v>77033345</v>
      </c>
      <c r="BX200" s="8">
        <v>82320839</v>
      </c>
      <c r="BY200" s="8">
        <v>92671354</v>
      </c>
      <c r="BZ200" s="8">
        <v>111212400</v>
      </c>
      <c r="CA200" s="8">
        <v>122255665</v>
      </c>
      <c r="CB200" s="9">
        <f t="shared" si="157"/>
        <v>122255665</v>
      </c>
      <c r="CC200" s="8">
        <v>5038201</v>
      </c>
      <c r="CD200" s="8">
        <v>11067737</v>
      </c>
      <c r="CE200" s="8">
        <v>23660982</v>
      </c>
      <c r="CF200" s="8">
        <v>35389117</v>
      </c>
      <c r="CG200" s="8">
        <v>46633627</v>
      </c>
      <c r="CH200" s="8">
        <v>58481058</v>
      </c>
      <c r="CI200" s="8">
        <v>67197911</v>
      </c>
      <c r="CJ200" s="8">
        <v>74040588</v>
      </c>
      <c r="CK200" s="8">
        <v>84457155</v>
      </c>
      <c r="CL200" s="8">
        <v>103725768</v>
      </c>
      <c r="CM200" s="8">
        <v>119685353</v>
      </c>
      <c r="CN200" s="8">
        <v>133669481</v>
      </c>
      <c r="CO200" s="9">
        <f t="shared" si="158"/>
        <v>133669481</v>
      </c>
      <c r="CP200" s="8">
        <v>4908497</v>
      </c>
      <c r="CQ200" s="8">
        <v>19914372</v>
      </c>
      <c r="CR200" s="8">
        <v>36962317</v>
      </c>
      <c r="CS200" s="8">
        <v>42406187</v>
      </c>
      <c r="CT200" s="8">
        <v>53378375</v>
      </c>
      <c r="CU200" s="8">
        <v>64886915</v>
      </c>
      <c r="CV200" s="8">
        <v>72038953</v>
      </c>
      <c r="CW200" s="8">
        <v>81842896</v>
      </c>
      <c r="CX200" s="8">
        <v>97847611</v>
      </c>
      <c r="CY200" s="8">
        <v>108528906</v>
      </c>
      <c r="CZ200" s="8">
        <v>121174010</v>
      </c>
      <c r="DA200" s="8">
        <v>136022493</v>
      </c>
      <c r="DB200" s="9">
        <f t="shared" si="159"/>
        <v>136022493</v>
      </c>
      <c r="DC200" s="8">
        <v>3888707</v>
      </c>
      <c r="DD200" s="8">
        <v>16500846</v>
      </c>
      <c r="DE200" s="8">
        <v>34479891</v>
      </c>
      <c r="DF200" s="8">
        <v>49536599</v>
      </c>
      <c r="DG200" s="8">
        <v>58303130</v>
      </c>
      <c r="DH200" s="8">
        <v>72988417</v>
      </c>
      <c r="DI200" s="8">
        <v>85887696</v>
      </c>
      <c r="DJ200" s="8">
        <v>96045561</v>
      </c>
      <c r="DK200" s="8">
        <v>117796565</v>
      </c>
      <c r="DL200" s="8">
        <v>133613812</v>
      </c>
      <c r="DM200" s="8">
        <v>150370747</v>
      </c>
      <c r="DN200" s="8">
        <v>167553004</v>
      </c>
      <c r="DO200" s="9">
        <f t="shared" si="160"/>
        <v>167553004</v>
      </c>
      <c r="DP200" s="8">
        <v>9675886</v>
      </c>
      <c r="DQ200" s="8">
        <v>39025370</v>
      </c>
      <c r="DR200" s="8">
        <v>61094829</v>
      </c>
      <c r="DS200" s="8">
        <v>78980646</v>
      </c>
      <c r="DT200" s="8">
        <v>98884750</v>
      </c>
      <c r="DU200" s="8">
        <v>118562390</v>
      </c>
      <c r="DV200" s="8">
        <v>140376626</v>
      </c>
      <c r="DW200" s="8">
        <v>155470001</v>
      </c>
      <c r="DX200" s="8">
        <v>171436025</v>
      </c>
      <c r="DY200" s="8">
        <v>186851186</v>
      </c>
      <c r="DZ200" s="8">
        <v>195956774</v>
      </c>
      <c r="EA200" s="8">
        <v>218584182</v>
      </c>
      <c r="EB200" s="9">
        <f t="shared" si="161"/>
        <v>218584182</v>
      </c>
      <c r="EC200" s="8">
        <v>10414831</v>
      </c>
      <c r="ED200" s="8">
        <v>28448140</v>
      </c>
      <c r="EE200" s="8">
        <v>51895141</v>
      </c>
      <c r="EF200" s="8">
        <v>75798053</v>
      </c>
      <c r="EG200" s="8">
        <v>102215479</v>
      </c>
      <c r="EH200" s="8">
        <v>123016557</v>
      </c>
      <c r="EI200" s="8">
        <v>136203537</v>
      </c>
      <c r="EJ200" s="8">
        <v>154072506</v>
      </c>
      <c r="EK200" s="8">
        <v>163417590</v>
      </c>
      <c r="EL200" s="8">
        <v>174338206</v>
      </c>
      <c r="EM200" s="8">
        <v>186753673</v>
      </c>
      <c r="EN200" s="8">
        <v>213325058</v>
      </c>
      <c r="EO200" s="9">
        <f t="shared" si="162"/>
        <v>213325058</v>
      </c>
      <c r="EP200" s="8">
        <v>10695159</v>
      </c>
      <c r="EQ200" s="8">
        <v>30123853</v>
      </c>
      <c r="ER200" s="8">
        <v>45296845</v>
      </c>
      <c r="ES200" s="8">
        <v>65184548</v>
      </c>
      <c r="ET200" s="8">
        <v>96939362</v>
      </c>
      <c r="EU200" s="8">
        <v>122396923</v>
      </c>
      <c r="EV200" s="8">
        <v>137903047</v>
      </c>
      <c r="EW200" s="8">
        <v>161882567</v>
      </c>
      <c r="EX200" s="8">
        <v>202973225</v>
      </c>
      <c r="EY200" s="8">
        <v>228456187</v>
      </c>
      <c r="EZ200" s="8">
        <v>238079058</v>
      </c>
      <c r="FA200" s="8">
        <v>253423423</v>
      </c>
      <c r="FB200" s="9">
        <f t="shared" si="163"/>
        <v>253423423</v>
      </c>
      <c r="FC200" s="8">
        <v>13535323</v>
      </c>
      <c r="FD200" s="8">
        <v>42286424</v>
      </c>
      <c r="FE200" s="8">
        <v>70763311</v>
      </c>
      <c r="FF200" s="8">
        <v>97625029</v>
      </c>
      <c r="FG200" s="8">
        <v>125291606</v>
      </c>
      <c r="FH200" s="8">
        <v>139948649</v>
      </c>
      <c r="FI200" s="8">
        <v>167840837</v>
      </c>
      <c r="FJ200" s="8"/>
      <c r="FK200" s="8"/>
      <c r="FL200" s="8"/>
      <c r="FM200" s="8"/>
      <c r="FN200" s="8"/>
      <c r="FO200" s="9">
        <f t="shared" si="164"/>
        <v>167840837</v>
      </c>
    </row>
    <row r="201" spans="2:171" ht="14.25" customHeight="1" x14ac:dyDescent="0.3">
      <c r="B201" s="7" t="s">
        <v>54</v>
      </c>
      <c r="C201" s="8">
        <v>0</v>
      </c>
      <c r="D201" s="8">
        <v>0</v>
      </c>
      <c r="E201" s="8">
        <v>0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9">
        <f t="shared" si="152"/>
        <v>0</v>
      </c>
      <c r="P201" s="8">
        <v>0</v>
      </c>
      <c r="Q201" s="8">
        <v>0</v>
      </c>
      <c r="R201" s="8">
        <v>0</v>
      </c>
      <c r="S201" s="8">
        <v>0</v>
      </c>
      <c r="T201" s="8">
        <v>0</v>
      </c>
      <c r="U201" s="8">
        <v>0</v>
      </c>
      <c r="V201" s="8">
        <v>0</v>
      </c>
      <c r="W201" s="8">
        <v>0</v>
      </c>
      <c r="X201" s="8">
        <v>0</v>
      </c>
      <c r="Y201" s="8">
        <v>0</v>
      </c>
      <c r="Z201" s="8">
        <v>0</v>
      </c>
      <c r="AA201" s="8">
        <v>0</v>
      </c>
      <c r="AB201" s="9">
        <f t="shared" si="153"/>
        <v>0</v>
      </c>
      <c r="AC201" s="8">
        <v>0</v>
      </c>
      <c r="AD201" s="8">
        <v>0</v>
      </c>
      <c r="AE201" s="8">
        <v>0</v>
      </c>
      <c r="AF201" s="8">
        <v>0</v>
      </c>
      <c r="AG201" s="8">
        <v>0</v>
      </c>
      <c r="AH201" s="8">
        <v>0</v>
      </c>
      <c r="AI201" s="8">
        <v>0</v>
      </c>
      <c r="AJ201" s="8">
        <v>0</v>
      </c>
      <c r="AK201" s="8">
        <v>0</v>
      </c>
      <c r="AL201" s="8">
        <v>0</v>
      </c>
      <c r="AM201" s="8">
        <v>0</v>
      </c>
      <c r="AN201" s="8">
        <v>0</v>
      </c>
      <c r="AO201" s="9">
        <f t="shared" si="154"/>
        <v>0</v>
      </c>
      <c r="AP201" s="8">
        <v>0</v>
      </c>
      <c r="AQ201" s="8">
        <v>0</v>
      </c>
      <c r="AR201" s="8">
        <v>0</v>
      </c>
      <c r="AS201" s="8">
        <v>0</v>
      </c>
      <c r="AT201" s="8">
        <v>0</v>
      </c>
      <c r="AU201" s="8">
        <v>0</v>
      </c>
      <c r="AV201" s="8">
        <v>0</v>
      </c>
      <c r="AW201" s="8">
        <v>0</v>
      </c>
      <c r="AX201" s="8">
        <v>0</v>
      </c>
      <c r="AY201" s="8">
        <v>0</v>
      </c>
      <c r="AZ201" s="8">
        <v>0</v>
      </c>
      <c r="BA201" s="8">
        <v>0</v>
      </c>
      <c r="BB201" s="9">
        <f t="shared" si="155"/>
        <v>0</v>
      </c>
      <c r="BC201" s="8">
        <v>0</v>
      </c>
      <c r="BD201" s="8">
        <v>0</v>
      </c>
      <c r="BE201" s="8">
        <v>0</v>
      </c>
      <c r="BF201" s="8">
        <v>0</v>
      </c>
      <c r="BG201" s="8">
        <v>0</v>
      </c>
      <c r="BH201" s="8">
        <v>0</v>
      </c>
      <c r="BI201" s="8">
        <v>0</v>
      </c>
      <c r="BJ201" s="8">
        <v>0</v>
      </c>
      <c r="BK201" s="8">
        <v>0</v>
      </c>
      <c r="BL201" s="8">
        <v>0</v>
      </c>
      <c r="BM201" s="8">
        <v>0</v>
      </c>
      <c r="BN201" s="8">
        <v>0</v>
      </c>
      <c r="BO201" s="9">
        <f t="shared" si="156"/>
        <v>0</v>
      </c>
      <c r="BP201" s="8">
        <v>0</v>
      </c>
      <c r="BQ201" s="8">
        <v>0</v>
      </c>
      <c r="BR201" s="8">
        <v>0</v>
      </c>
      <c r="BS201" s="8">
        <v>0</v>
      </c>
      <c r="BT201" s="8">
        <v>3989</v>
      </c>
      <c r="BU201" s="8">
        <v>6415</v>
      </c>
      <c r="BV201" s="8">
        <v>65434</v>
      </c>
      <c r="BW201" s="8">
        <v>71693</v>
      </c>
      <c r="BX201" s="8">
        <v>92886</v>
      </c>
      <c r="BY201" s="8">
        <v>101939</v>
      </c>
      <c r="BZ201" s="8">
        <v>342180</v>
      </c>
      <c r="CA201" s="8">
        <v>920272</v>
      </c>
      <c r="CB201" s="9">
        <f t="shared" si="157"/>
        <v>920272</v>
      </c>
      <c r="CC201" s="8">
        <v>103173</v>
      </c>
      <c r="CD201" s="8">
        <v>332433</v>
      </c>
      <c r="CE201" s="8">
        <v>905554</v>
      </c>
      <c r="CF201" s="8">
        <v>1313230</v>
      </c>
      <c r="CG201" s="8">
        <v>1811659</v>
      </c>
      <c r="CH201" s="8">
        <v>2765371</v>
      </c>
      <c r="CI201" s="8">
        <v>3657515</v>
      </c>
      <c r="CJ201" s="8">
        <v>4966141</v>
      </c>
      <c r="CK201" s="8">
        <v>6498178</v>
      </c>
      <c r="CL201" s="8">
        <v>9108298</v>
      </c>
      <c r="CM201" s="8">
        <v>9474707</v>
      </c>
      <c r="CN201" s="8">
        <v>14848044</v>
      </c>
      <c r="CO201" s="9">
        <f t="shared" si="158"/>
        <v>14848044</v>
      </c>
      <c r="CP201" s="8">
        <v>1112628</v>
      </c>
      <c r="CQ201" s="8">
        <v>1820417</v>
      </c>
      <c r="CR201" s="8">
        <v>3087396</v>
      </c>
      <c r="CS201" s="8">
        <v>4469371</v>
      </c>
      <c r="CT201" s="8">
        <v>6612360</v>
      </c>
      <c r="CU201" s="8">
        <v>11698429</v>
      </c>
      <c r="CV201" s="8">
        <v>18622427</v>
      </c>
      <c r="CW201" s="8">
        <v>23151767</v>
      </c>
      <c r="CX201" s="8">
        <v>27046778</v>
      </c>
      <c r="CY201" s="8">
        <v>31654053</v>
      </c>
      <c r="CZ201" s="8">
        <v>34820803</v>
      </c>
      <c r="DA201" s="8">
        <v>47776157</v>
      </c>
      <c r="DB201" s="9">
        <f t="shared" si="159"/>
        <v>47776157</v>
      </c>
      <c r="DC201" s="8">
        <v>1715775</v>
      </c>
      <c r="DD201" s="8">
        <v>7912951</v>
      </c>
      <c r="DE201" s="8">
        <v>13778168</v>
      </c>
      <c r="DF201" s="8">
        <v>19853925</v>
      </c>
      <c r="DG201" s="8">
        <v>27852128</v>
      </c>
      <c r="DH201" s="8">
        <v>36897811</v>
      </c>
      <c r="DI201" s="8">
        <v>44534198</v>
      </c>
      <c r="DJ201" s="8">
        <v>49731193</v>
      </c>
      <c r="DK201" s="8">
        <v>59397776</v>
      </c>
      <c r="DL201" s="8">
        <v>70700293</v>
      </c>
      <c r="DM201" s="8">
        <v>77013273</v>
      </c>
      <c r="DN201" s="8">
        <v>92051865</v>
      </c>
      <c r="DO201" s="9">
        <f t="shared" si="160"/>
        <v>92051865</v>
      </c>
      <c r="DP201" s="8">
        <v>6893948</v>
      </c>
      <c r="DQ201" s="8">
        <v>14428172</v>
      </c>
      <c r="DR201" s="8">
        <v>27502757</v>
      </c>
      <c r="DS201" s="8">
        <v>41481975</v>
      </c>
      <c r="DT201" s="8">
        <v>55736154</v>
      </c>
      <c r="DU201" s="8">
        <v>65418176</v>
      </c>
      <c r="DV201" s="8">
        <v>74014693</v>
      </c>
      <c r="DW201" s="8">
        <v>83933709</v>
      </c>
      <c r="DX201" s="8">
        <v>96273800</v>
      </c>
      <c r="DY201" s="8">
        <v>107496661</v>
      </c>
      <c r="DZ201" s="8">
        <v>115380881</v>
      </c>
      <c r="EA201" s="8">
        <v>120433341</v>
      </c>
      <c r="EB201" s="9">
        <f t="shared" si="161"/>
        <v>120433341</v>
      </c>
      <c r="EC201" s="8">
        <v>9985644</v>
      </c>
      <c r="ED201" s="8">
        <v>33656386</v>
      </c>
      <c r="EE201" s="8">
        <v>46979681</v>
      </c>
      <c r="EF201" s="8">
        <v>57964879</v>
      </c>
      <c r="EG201" s="8">
        <v>70106580</v>
      </c>
      <c r="EH201" s="8">
        <v>79203980</v>
      </c>
      <c r="EI201" s="8">
        <v>90537468</v>
      </c>
      <c r="EJ201" s="8">
        <v>102254609</v>
      </c>
      <c r="EK201" s="8">
        <v>116064328</v>
      </c>
      <c r="EL201" s="8">
        <v>125794171</v>
      </c>
      <c r="EM201" s="8">
        <v>137543512</v>
      </c>
      <c r="EN201" s="8">
        <v>154664738</v>
      </c>
      <c r="EO201" s="9">
        <f t="shared" si="162"/>
        <v>154664738</v>
      </c>
      <c r="EP201" s="8">
        <v>28611159</v>
      </c>
      <c r="EQ201" s="8">
        <v>39909481</v>
      </c>
      <c r="ER201" s="8">
        <v>52927964</v>
      </c>
      <c r="ES201" s="8">
        <v>65192522</v>
      </c>
      <c r="ET201" s="8">
        <v>86454377</v>
      </c>
      <c r="EU201" s="8">
        <v>98598981</v>
      </c>
      <c r="EV201" s="8">
        <v>113816542</v>
      </c>
      <c r="EW201" s="8">
        <v>127509354</v>
      </c>
      <c r="EX201" s="8">
        <v>140306559</v>
      </c>
      <c r="EY201" s="8">
        <v>158756313</v>
      </c>
      <c r="EZ201" s="8">
        <v>175120543</v>
      </c>
      <c r="FA201" s="8">
        <v>187900119</v>
      </c>
      <c r="FB201" s="9">
        <f t="shared" si="163"/>
        <v>187900119</v>
      </c>
      <c r="FC201" s="8">
        <v>13224552</v>
      </c>
      <c r="FD201" s="8">
        <v>24893159</v>
      </c>
      <c r="FE201" s="8">
        <v>36493871</v>
      </c>
      <c r="FF201" s="8">
        <v>46089523</v>
      </c>
      <c r="FG201" s="8">
        <v>65213454</v>
      </c>
      <c r="FH201" s="8">
        <v>80499873</v>
      </c>
      <c r="FI201" s="8">
        <v>94107030</v>
      </c>
      <c r="FJ201" s="8"/>
      <c r="FK201" s="8"/>
      <c r="FL201" s="8"/>
      <c r="FM201" s="8"/>
      <c r="FN201" s="8"/>
      <c r="FO201" s="9">
        <f t="shared" si="164"/>
        <v>94107030</v>
      </c>
    </row>
    <row r="202" spans="2:171" ht="14.25" customHeight="1" x14ac:dyDescent="0.3">
      <c r="B202" s="7" t="s">
        <v>55</v>
      </c>
      <c r="C202" s="8">
        <v>14337930</v>
      </c>
      <c r="D202" s="8">
        <v>31338286</v>
      </c>
      <c r="E202" s="8">
        <v>47848479</v>
      </c>
      <c r="F202" s="8">
        <v>64787573</v>
      </c>
      <c r="G202" s="8">
        <v>81536091</v>
      </c>
      <c r="H202" s="8">
        <v>100483537</v>
      </c>
      <c r="I202" s="8">
        <v>115930417</v>
      </c>
      <c r="J202" s="8">
        <v>120568256</v>
      </c>
      <c r="K202" s="8">
        <v>137789606</v>
      </c>
      <c r="L202" s="8">
        <v>154850985</v>
      </c>
      <c r="M202" s="8">
        <v>173058555</v>
      </c>
      <c r="N202" s="8">
        <v>179012285</v>
      </c>
      <c r="O202" s="9">
        <f t="shared" si="152"/>
        <v>179012285</v>
      </c>
      <c r="P202" s="8">
        <v>15064668</v>
      </c>
      <c r="Q202" s="8">
        <v>27658690</v>
      </c>
      <c r="R202" s="8">
        <v>40334136</v>
      </c>
      <c r="S202" s="8">
        <v>54979014</v>
      </c>
      <c r="T202" s="8">
        <v>69836534</v>
      </c>
      <c r="U202" s="8">
        <v>85802813</v>
      </c>
      <c r="V202" s="8">
        <v>100618639</v>
      </c>
      <c r="W202" s="8">
        <v>114485255</v>
      </c>
      <c r="X202" s="8">
        <v>128558864</v>
      </c>
      <c r="Y202" s="8">
        <v>142915556</v>
      </c>
      <c r="Z202" s="8">
        <v>159382451</v>
      </c>
      <c r="AA202" s="8">
        <v>173725392</v>
      </c>
      <c r="AB202" s="9">
        <f t="shared" si="153"/>
        <v>173725392</v>
      </c>
      <c r="AC202" s="8">
        <v>11677349</v>
      </c>
      <c r="AD202" s="8">
        <v>25974228</v>
      </c>
      <c r="AE202" s="8">
        <v>42299157</v>
      </c>
      <c r="AF202" s="8">
        <v>59272093</v>
      </c>
      <c r="AG202" s="8">
        <v>76034686</v>
      </c>
      <c r="AH202" s="8">
        <v>92160963</v>
      </c>
      <c r="AI202" s="8">
        <v>107229746</v>
      </c>
      <c r="AJ202" s="8">
        <v>122663337</v>
      </c>
      <c r="AK202" s="8">
        <v>137402225</v>
      </c>
      <c r="AL202" s="8">
        <v>152350409</v>
      </c>
      <c r="AM202" s="8">
        <v>168243709</v>
      </c>
      <c r="AN202" s="8">
        <v>187271547</v>
      </c>
      <c r="AO202" s="9">
        <f t="shared" si="154"/>
        <v>187271547</v>
      </c>
      <c r="AP202" s="8">
        <v>14690364</v>
      </c>
      <c r="AQ202" s="8">
        <v>32794860</v>
      </c>
      <c r="AR202" s="8">
        <v>52326504</v>
      </c>
      <c r="AS202" s="8">
        <v>71449067</v>
      </c>
      <c r="AT202" s="8">
        <v>92081285</v>
      </c>
      <c r="AU202" s="8">
        <v>111832766</v>
      </c>
      <c r="AV202" s="8">
        <v>130107732</v>
      </c>
      <c r="AW202" s="8">
        <v>144518610</v>
      </c>
      <c r="AX202" s="8">
        <v>155902246</v>
      </c>
      <c r="AY202" s="8">
        <v>167016079</v>
      </c>
      <c r="AZ202" s="8">
        <v>177924141</v>
      </c>
      <c r="BA202" s="8">
        <v>185551819</v>
      </c>
      <c r="BB202" s="9">
        <f t="shared" si="155"/>
        <v>185551819</v>
      </c>
      <c r="BC202" s="8">
        <v>38433318</v>
      </c>
      <c r="BD202" s="8">
        <v>56614499</v>
      </c>
      <c r="BE202" s="8">
        <v>76549741</v>
      </c>
      <c r="BF202" s="8">
        <v>92819152</v>
      </c>
      <c r="BG202" s="8">
        <v>110173898</v>
      </c>
      <c r="BH202" s="8">
        <v>128520314</v>
      </c>
      <c r="BI202" s="8">
        <v>148277597</v>
      </c>
      <c r="BJ202" s="8">
        <v>162624958</v>
      </c>
      <c r="BK202" s="8">
        <v>173044504</v>
      </c>
      <c r="BL202" s="8">
        <v>178628642</v>
      </c>
      <c r="BM202" s="8">
        <v>187586467</v>
      </c>
      <c r="BN202" s="8">
        <v>194053390</v>
      </c>
      <c r="BO202" s="9">
        <f t="shared" si="156"/>
        <v>194053390</v>
      </c>
      <c r="BP202" s="8">
        <v>34866037</v>
      </c>
      <c r="BQ202" s="8">
        <v>63335070</v>
      </c>
      <c r="BR202" s="8">
        <v>92527950</v>
      </c>
      <c r="BS202" s="8">
        <v>111242740</v>
      </c>
      <c r="BT202" s="8">
        <v>130791757</v>
      </c>
      <c r="BU202" s="8">
        <v>146772976</v>
      </c>
      <c r="BV202" s="8">
        <v>167877430</v>
      </c>
      <c r="BW202" s="8">
        <v>188088459</v>
      </c>
      <c r="BX202" s="8">
        <v>211744794</v>
      </c>
      <c r="BY202" s="8">
        <v>230139197</v>
      </c>
      <c r="BZ202" s="8">
        <v>240262223</v>
      </c>
      <c r="CA202" s="8">
        <v>267402652</v>
      </c>
      <c r="CB202" s="9">
        <f t="shared" si="157"/>
        <v>267402652</v>
      </c>
      <c r="CC202" s="8">
        <v>12289183</v>
      </c>
      <c r="CD202" s="8">
        <v>29691331</v>
      </c>
      <c r="CE202" s="8">
        <v>51276949</v>
      </c>
      <c r="CF202" s="8">
        <v>69478441</v>
      </c>
      <c r="CG202" s="8">
        <v>86578232</v>
      </c>
      <c r="CH202" s="8">
        <v>110232277</v>
      </c>
      <c r="CI202" s="8">
        <v>128431144</v>
      </c>
      <c r="CJ202" s="8">
        <v>146019772</v>
      </c>
      <c r="CK202" s="8">
        <v>169108692</v>
      </c>
      <c r="CL202" s="8">
        <v>192256402</v>
      </c>
      <c r="CM202" s="8">
        <v>205405334</v>
      </c>
      <c r="CN202" s="8">
        <v>240821363</v>
      </c>
      <c r="CO202" s="9">
        <f t="shared" si="158"/>
        <v>240821363</v>
      </c>
      <c r="CP202" s="8">
        <v>4469726</v>
      </c>
      <c r="CQ202" s="8">
        <v>18288930</v>
      </c>
      <c r="CR202" s="8">
        <v>39451629</v>
      </c>
      <c r="CS202" s="8">
        <v>67134654</v>
      </c>
      <c r="CT202" s="8">
        <v>85038572</v>
      </c>
      <c r="CU202" s="8">
        <v>106403754</v>
      </c>
      <c r="CV202" s="8">
        <v>127989975</v>
      </c>
      <c r="CW202" s="8">
        <v>151991671</v>
      </c>
      <c r="CX202" s="8">
        <v>167316036</v>
      </c>
      <c r="CY202" s="8">
        <v>187035458</v>
      </c>
      <c r="CZ202" s="8">
        <v>210543079</v>
      </c>
      <c r="DA202" s="8">
        <v>245579946</v>
      </c>
      <c r="DB202" s="9">
        <f t="shared" si="159"/>
        <v>245579946</v>
      </c>
      <c r="DC202" s="8">
        <v>5117651</v>
      </c>
      <c r="DD202" s="8">
        <v>17115552</v>
      </c>
      <c r="DE202" s="8">
        <v>31880195</v>
      </c>
      <c r="DF202" s="8">
        <v>48888291</v>
      </c>
      <c r="DG202" s="8">
        <v>69797738</v>
      </c>
      <c r="DH202" s="8">
        <v>88586399</v>
      </c>
      <c r="DI202" s="8">
        <v>109775342</v>
      </c>
      <c r="DJ202" s="8">
        <v>129042835</v>
      </c>
      <c r="DK202" s="8">
        <v>151231000</v>
      </c>
      <c r="DL202" s="8">
        <v>174344358</v>
      </c>
      <c r="DM202" s="8">
        <v>195861382</v>
      </c>
      <c r="DN202" s="8">
        <v>225638317</v>
      </c>
      <c r="DO202" s="9">
        <f t="shared" si="160"/>
        <v>225638317</v>
      </c>
      <c r="DP202" s="8">
        <v>16056194</v>
      </c>
      <c r="DQ202" s="8">
        <v>41222544</v>
      </c>
      <c r="DR202" s="8">
        <v>63366881</v>
      </c>
      <c r="DS202" s="8">
        <v>85671039</v>
      </c>
      <c r="DT202" s="8">
        <v>110685972</v>
      </c>
      <c r="DU202" s="8">
        <v>144009988</v>
      </c>
      <c r="DV202" s="8">
        <v>173154556</v>
      </c>
      <c r="DW202" s="8">
        <v>196743444</v>
      </c>
      <c r="DX202" s="8">
        <v>212546927</v>
      </c>
      <c r="DY202" s="8">
        <v>226090465</v>
      </c>
      <c r="DZ202" s="8">
        <v>240592515</v>
      </c>
      <c r="EA202" s="8">
        <v>254256843</v>
      </c>
      <c r="EB202" s="9">
        <f t="shared" si="161"/>
        <v>254256843</v>
      </c>
      <c r="EC202" s="8">
        <v>16801881</v>
      </c>
      <c r="ED202" s="8">
        <v>39034586</v>
      </c>
      <c r="EE202" s="8">
        <v>63567984</v>
      </c>
      <c r="EF202" s="8">
        <v>83805715</v>
      </c>
      <c r="EG202" s="8">
        <v>111493586</v>
      </c>
      <c r="EH202" s="8">
        <v>143347207</v>
      </c>
      <c r="EI202" s="8">
        <v>170635795</v>
      </c>
      <c r="EJ202" s="8">
        <v>191294342</v>
      </c>
      <c r="EK202" s="8">
        <v>221604059</v>
      </c>
      <c r="EL202" s="8">
        <v>243733124</v>
      </c>
      <c r="EM202" s="8">
        <v>262463351</v>
      </c>
      <c r="EN202" s="8">
        <v>303859023</v>
      </c>
      <c r="EO202" s="9">
        <f t="shared" si="162"/>
        <v>303859023</v>
      </c>
      <c r="EP202" s="8">
        <v>15482508</v>
      </c>
      <c r="EQ202" s="8">
        <v>37606929</v>
      </c>
      <c r="ER202" s="8">
        <v>63297120</v>
      </c>
      <c r="ES202" s="8">
        <v>97215716</v>
      </c>
      <c r="ET202" s="8">
        <v>131803517</v>
      </c>
      <c r="EU202" s="8">
        <v>152713246</v>
      </c>
      <c r="EV202" s="8">
        <v>179971380</v>
      </c>
      <c r="EW202" s="8">
        <v>207004515</v>
      </c>
      <c r="EX202" s="8">
        <v>231834310</v>
      </c>
      <c r="EY202" s="8">
        <v>258252891</v>
      </c>
      <c r="EZ202" s="8">
        <v>294780887</v>
      </c>
      <c r="FA202" s="8">
        <v>326807970</v>
      </c>
      <c r="FB202" s="9">
        <f t="shared" si="163"/>
        <v>326807970</v>
      </c>
      <c r="FC202" s="8">
        <v>42099344</v>
      </c>
      <c r="FD202" s="8">
        <v>72721281</v>
      </c>
      <c r="FE202" s="8">
        <v>97228549</v>
      </c>
      <c r="FF202" s="8">
        <v>117747058</v>
      </c>
      <c r="FG202" s="8">
        <v>144931030</v>
      </c>
      <c r="FH202" s="8">
        <v>167161554</v>
      </c>
      <c r="FI202" s="8">
        <v>188004751</v>
      </c>
      <c r="FJ202" s="8"/>
      <c r="FK202" s="8"/>
      <c r="FL202" s="8"/>
      <c r="FM202" s="8"/>
      <c r="FN202" s="8"/>
      <c r="FO202" s="9">
        <f t="shared" si="164"/>
        <v>188004751</v>
      </c>
    </row>
    <row r="203" spans="2:171" ht="14.25" customHeight="1" x14ac:dyDescent="0.3">
      <c r="B203" s="7" t="s">
        <v>56</v>
      </c>
      <c r="C203" s="8">
        <v>5238083</v>
      </c>
      <c r="D203" s="8">
        <v>10629167</v>
      </c>
      <c r="E203" s="8">
        <v>16038512</v>
      </c>
      <c r="F203" s="8">
        <v>24752155</v>
      </c>
      <c r="G203" s="8">
        <v>32947088</v>
      </c>
      <c r="H203" s="8">
        <v>40078832</v>
      </c>
      <c r="I203" s="8">
        <v>47120054</v>
      </c>
      <c r="J203" s="8">
        <v>53348450</v>
      </c>
      <c r="K203" s="8">
        <v>62701673</v>
      </c>
      <c r="L203" s="8">
        <v>69485183</v>
      </c>
      <c r="M203" s="8">
        <v>75922812</v>
      </c>
      <c r="N203" s="8">
        <v>82768332</v>
      </c>
      <c r="O203" s="9">
        <f t="shared" si="152"/>
        <v>82768332</v>
      </c>
      <c r="P203" s="8">
        <v>5251051</v>
      </c>
      <c r="Q203" s="8">
        <v>11046450</v>
      </c>
      <c r="R203" s="8">
        <v>18826220</v>
      </c>
      <c r="S203" s="8">
        <v>27604039</v>
      </c>
      <c r="T203" s="8">
        <v>34952398</v>
      </c>
      <c r="U203" s="8">
        <v>43191854</v>
      </c>
      <c r="V203" s="8">
        <v>49078899</v>
      </c>
      <c r="W203" s="8">
        <v>55549726</v>
      </c>
      <c r="X203" s="8">
        <v>62629249</v>
      </c>
      <c r="Y203" s="8">
        <v>72407198</v>
      </c>
      <c r="Z203" s="8">
        <v>80783115</v>
      </c>
      <c r="AA203" s="8">
        <v>88223779</v>
      </c>
      <c r="AB203" s="9">
        <f t="shared" si="153"/>
        <v>88223779</v>
      </c>
      <c r="AC203" s="8">
        <v>8278380</v>
      </c>
      <c r="AD203" s="8">
        <v>15713067</v>
      </c>
      <c r="AE203" s="8">
        <v>24865640</v>
      </c>
      <c r="AF203" s="8">
        <v>33583416</v>
      </c>
      <c r="AG203" s="8">
        <v>41655192</v>
      </c>
      <c r="AH203" s="8">
        <v>51137348</v>
      </c>
      <c r="AI203" s="8">
        <v>60336984</v>
      </c>
      <c r="AJ203" s="8">
        <v>69820306</v>
      </c>
      <c r="AK203" s="8">
        <v>79719891</v>
      </c>
      <c r="AL203" s="8">
        <v>90680282</v>
      </c>
      <c r="AM203" s="8">
        <v>99958449</v>
      </c>
      <c r="AN203" s="8">
        <v>108275708</v>
      </c>
      <c r="AO203" s="9">
        <f t="shared" si="154"/>
        <v>108275708</v>
      </c>
      <c r="AP203" s="8">
        <v>10532379</v>
      </c>
      <c r="AQ203" s="8">
        <v>19816994</v>
      </c>
      <c r="AR203" s="8">
        <v>32874769</v>
      </c>
      <c r="AS203" s="8">
        <v>46509376</v>
      </c>
      <c r="AT203" s="8">
        <v>59919877</v>
      </c>
      <c r="AU203" s="8">
        <v>70449181</v>
      </c>
      <c r="AV203" s="8">
        <v>82000819</v>
      </c>
      <c r="AW203" s="8">
        <v>92489515</v>
      </c>
      <c r="AX203" s="8">
        <v>103530525</v>
      </c>
      <c r="AY203" s="8">
        <v>114037224</v>
      </c>
      <c r="AZ203" s="8">
        <v>125506138</v>
      </c>
      <c r="BA203" s="8">
        <v>128314767</v>
      </c>
      <c r="BB203" s="9">
        <f t="shared" si="155"/>
        <v>128314767</v>
      </c>
      <c r="BC203" s="8">
        <v>13139145</v>
      </c>
      <c r="BD203" s="8">
        <v>20153147</v>
      </c>
      <c r="BE203" s="8">
        <v>31167452</v>
      </c>
      <c r="BF203" s="8">
        <v>44616533</v>
      </c>
      <c r="BG203" s="8">
        <v>61113264</v>
      </c>
      <c r="BH203" s="8">
        <v>72317262</v>
      </c>
      <c r="BI203" s="8">
        <v>83616285</v>
      </c>
      <c r="BJ203" s="8">
        <v>93996750</v>
      </c>
      <c r="BK203" s="8">
        <v>103483397</v>
      </c>
      <c r="BL203" s="8">
        <v>113029179</v>
      </c>
      <c r="BM203" s="8">
        <v>123137515</v>
      </c>
      <c r="BN203" s="8">
        <v>129541267</v>
      </c>
      <c r="BO203" s="9">
        <f t="shared" si="156"/>
        <v>129541267</v>
      </c>
      <c r="BP203" s="8">
        <v>15383334</v>
      </c>
      <c r="BQ203" s="8">
        <v>26707743</v>
      </c>
      <c r="BR203" s="8">
        <v>35358503</v>
      </c>
      <c r="BS203" s="8">
        <v>44797849</v>
      </c>
      <c r="BT203" s="8">
        <v>54008784</v>
      </c>
      <c r="BU203" s="8">
        <v>63959205</v>
      </c>
      <c r="BV203" s="8">
        <v>76531084</v>
      </c>
      <c r="BW203" s="8">
        <v>94397439</v>
      </c>
      <c r="BX203" s="8">
        <v>106821946</v>
      </c>
      <c r="BY203" s="8">
        <v>119816999</v>
      </c>
      <c r="BZ203" s="8">
        <v>148146350</v>
      </c>
      <c r="CA203" s="8">
        <v>159798349</v>
      </c>
      <c r="CB203" s="9">
        <f t="shared" si="157"/>
        <v>159798349</v>
      </c>
      <c r="CC203" s="8">
        <v>5628897</v>
      </c>
      <c r="CD203" s="8">
        <v>17832413</v>
      </c>
      <c r="CE203" s="8">
        <v>31826871</v>
      </c>
      <c r="CF203" s="8">
        <v>40571432</v>
      </c>
      <c r="CG203" s="8">
        <v>47615482</v>
      </c>
      <c r="CH203" s="8">
        <v>55213267</v>
      </c>
      <c r="CI203" s="8">
        <v>64276504</v>
      </c>
      <c r="CJ203" s="8">
        <v>72795882</v>
      </c>
      <c r="CK203" s="8">
        <v>79350534</v>
      </c>
      <c r="CL203" s="8">
        <v>114059769</v>
      </c>
      <c r="CM203" s="8">
        <v>122554279</v>
      </c>
      <c r="CN203" s="8">
        <v>146086902</v>
      </c>
      <c r="CO203" s="9">
        <f t="shared" si="158"/>
        <v>146086902</v>
      </c>
      <c r="CP203" s="8">
        <v>2340494</v>
      </c>
      <c r="CQ203" s="8">
        <v>9045481</v>
      </c>
      <c r="CR203" s="8">
        <v>19458527</v>
      </c>
      <c r="CS203" s="8">
        <v>27984067</v>
      </c>
      <c r="CT203" s="8">
        <v>37145644</v>
      </c>
      <c r="CU203" s="8">
        <v>49894552</v>
      </c>
      <c r="CV203" s="8">
        <v>60347283</v>
      </c>
      <c r="CW203" s="8">
        <v>70574700</v>
      </c>
      <c r="CX203" s="8">
        <v>85319734</v>
      </c>
      <c r="CY203" s="8">
        <v>94333308</v>
      </c>
      <c r="CZ203" s="8">
        <v>104865659</v>
      </c>
      <c r="DA203" s="8">
        <v>129295070</v>
      </c>
      <c r="DB203" s="9">
        <f t="shared" si="159"/>
        <v>129295070</v>
      </c>
      <c r="DC203" s="8">
        <v>2285449</v>
      </c>
      <c r="DD203" s="8">
        <v>11633690</v>
      </c>
      <c r="DE203" s="8">
        <v>25725792</v>
      </c>
      <c r="DF203" s="8">
        <v>35450068</v>
      </c>
      <c r="DG203" s="8">
        <v>45575902</v>
      </c>
      <c r="DH203" s="8">
        <v>55779612</v>
      </c>
      <c r="DI203" s="8">
        <v>66690010</v>
      </c>
      <c r="DJ203" s="8">
        <v>79787195</v>
      </c>
      <c r="DK203" s="8">
        <v>93335265</v>
      </c>
      <c r="DL203" s="8">
        <v>117521803</v>
      </c>
      <c r="DM203" s="8">
        <v>131464930</v>
      </c>
      <c r="DN203" s="8">
        <v>157535899</v>
      </c>
      <c r="DO203" s="9">
        <f t="shared" si="160"/>
        <v>157535899</v>
      </c>
      <c r="DP203" s="8">
        <v>18467792</v>
      </c>
      <c r="DQ203" s="8">
        <v>29046120</v>
      </c>
      <c r="DR203" s="8">
        <v>42073518</v>
      </c>
      <c r="DS203" s="8">
        <v>57658678</v>
      </c>
      <c r="DT203" s="8">
        <v>72901834</v>
      </c>
      <c r="DU203" s="8">
        <v>93794032</v>
      </c>
      <c r="DV203" s="8">
        <v>109969868</v>
      </c>
      <c r="DW203" s="8">
        <v>125420876</v>
      </c>
      <c r="DX203" s="8">
        <v>138411021</v>
      </c>
      <c r="DY203" s="8">
        <v>162718437</v>
      </c>
      <c r="DZ203" s="8">
        <v>182769232</v>
      </c>
      <c r="EA203" s="8">
        <v>203570573</v>
      </c>
      <c r="EB203" s="9">
        <f t="shared" si="161"/>
        <v>203570573</v>
      </c>
      <c r="EC203" s="8">
        <v>14035225</v>
      </c>
      <c r="ED203" s="8">
        <v>29300658</v>
      </c>
      <c r="EE203" s="8">
        <v>43671242</v>
      </c>
      <c r="EF203" s="8">
        <v>71151546</v>
      </c>
      <c r="EG203" s="8">
        <v>95182502</v>
      </c>
      <c r="EH203" s="8">
        <v>119487356</v>
      </c>
      <c r="EI203" s="8">
        <v>147752497</v>
      </c>
      <c r="EJ203" s="8">
        <v>173615266</v>
      </c>
      <c r="EK203" s="8">
        <v>202342446</v>
      </c>
      <c r="EL203" s="8">
        <v>223908095</v>
      </c>
      <c r="EM203" s="8">
        <v>238933037</v>
      </c>
      <c r="EN203" s="8">
        <v>265754901</v>
      </c>
      <c r="EO203" s="9">
        <f t="shared" si="162"/>
        <v>265754901</v>
      </c>
      <c r="EP203" s="8">
        <v>16895290</v>
      </c>
      <c r="EQ203" s="8">
        <v>30452354</v>
      </c>
      <c r="ER203" s="8">
        <v>54449602</v>
      </c>
      <c r="ES203" s="8">
        <v>84978148</v>
      </c>
      <c r="ET203" s="8">
        <v>123274763</v>
      </c>
      <c r="EU203" s="8">
        <v>145553759</v>
      </c>
      <c r="EV203" s="8">
        <v>160017443</v>
      </c>
      <c r="EW203" s="8">
        <v>181643029</v>
      </c>
      <c r="EX203" s="8">
        <v>197691207</v>
      </c>
      <c r="EY203" s="8">
        <v>221568676</v>
      </c>
      <c r="EZ203" s="8">
        <v>250863655</v>
      </c>
      <c r="FA203" s="8">
        <v>281747040</v>
      </c>
      <c r="FB203" s="9">
        <f t="shared" si="163"/>
        <v>281747040</v>
      </c>
      <c r="FC203" s="8">
        <v>13736465</v>
      </c>
      <c r="FD203" s="8">
        <v>31655446</v>
      </c>
      <c r="FE203" s="8">
        <v>54735404</v>
      </c>
      <c r="FF203" s="8">
        <v>73769159</v>
      </c>
      <c r="FG203" s="8">
        <v>90414953</v>
      </c>
      <c r="FH203" s="8">
        <v>125785512</v>
      </c>
      <c r="FI203" s="8">
        <v>159252866</v>
      </c>
      <c r="FJ203" s="8"/>
      <c r="FK203" s="8"/>
      <c r="FL203" s="8"/>
      <c r="FM203" s="8"/>
      <c r="FN203" s="8"/>
      <c r="FO203" s="9">
        <f t="shared" si="164"/>
        <v>159252866</v>
      </c>
    </row>
    <row r="204" spans="2:171" ht="14.25" customHeight="1" x14ac:dyDescent="0.3">
      <c r="B204" s="7" t="s">
        <v>57</v>
      </c>
      <c r="C204" s="8">
        <v>1458507</v>
      </c>
      <c r="D204" s="8">
        <v>3485247</v>
      </c>
      <c r="E204" s="8">
        <v>5262886</v>
      </c>
      <c r="F204" s="8">
        <v>6622212</v>
      </c>
      <c r="G204" s="8">
        <v>8511483</v>
      </c>
      <c r="H204" s="8">
        <v>10280774</v>
      </c>
      <c r="I204" s="8">
        <v>12448661</v>
      </c>
      <c r="J204" s="8">
        <v>14550943</v>
      </c>
      <c r="K204" s="8">
        <v>17050845</v>
      </c>
      <c r="L204" s="8">
        <v>19083116</v>
      </c>
      <c r="M204" s="8">
        <v>21688748</v>
      </c>
      <c r="N204" s="8">
        <v>23528244</v>
      </c>
      <c r="O204" s="9">
        <f t="shared" si="152"/>
        <v>23528244</v>
      </c>
      <c r="P204" s="8">
        <v>1175511</v>
      </c>
      <c r="Q204" s="8">
        <v>2910449</v>
      </c>
      <c r="R204" s="8">
        <v>4383211</v>
      </c>
      <c r="S204" s="8">
        <v>6609427</v>
      </c>
      <c r="T204" s="8">
        <v>8229842</v>
      </c>
      <c r="U204" s="8">
        <v>10395694</v>
      </c>
      <c r="V204" s="8">
        <v>12952798</v>
      </c>
      <c r="W204" s="8">
        <v>14836706</v>
      </c>
      <c r="X204" s="8">
        <v>17074814</v>
      </c>
      <c r="Y204" s="8">
        <v>18754258</v>
      </c>
      <c r="Z204" s="8">
        <v>21438436</v>
      </c>
      <c r="AA204" s="8">
        <v>23168481</v>
      </c>
      <c r="AB204" s="9">
        <f t="shared" si="153"/>
        <v>23168481</v>
      </c>
      <c r="AC204" s="8">
        <v>488396</v>
      </c>
      <c r="AD204" s="8">
        <v>1768366</v>
      </c>
      <c r="AE204" s="8">
        <v>3504004</v>
      </c>
      <c r="AF204" s="8">
        <v>4884731</v>
      </c>
      <c r="AG204" s="8">
        <v>7214836</v>
      </c>
      <c r="AH204" s="8">
        <v>10228773</v>
      </c>
      <c r="AI204" s="8">
        <v>12970080</v>
      </c>
      <c r="AJ204" s="8">
        <v>15742636</v>
      </c>
      <c r="AK204" s="8">
        <v>18553946</v>
      </c>
      <c r="AL204" s="8">
        <v>20278023</v>
      </c>
      <c r="AM204" s="8">
        <v>23535173</v>
      </c>
      <c r="AN204" s="8">
        <v>29490343</v>
      </c>
      <c r="AO204" s="9">
        <f t="shared" si="154"/>
        <v>29490343</v>
      </c>
      <c r="AP204" s="8">
        <v>656749</v>
      </c>
      <c r="AQ204" s="8">
        <v>3193192</v>
      </c>
      <c r="AR204" s="8">
        <v>6178741</v>
      </c>
      <c r="AS204" s="8">
        <v>8905824</v>
      </c>
      <c r="AT204" s="8">
        <v>11718340</v>
      </c>
      <c r="AU204" s="8">
        <v>15069067</v>
      </c>
      <c r="AV204" s="8">
        <v>18467998</v>
      </c>
      <c r="AW204" s="8">
        <v>22055538</v>
      </c>
      <c r="AX204" s="8">
        <v>25305045</v>
      </c>
      <c r="AY204" s="8">
        <v>27368450</v>
      </c>
      <c r="AZ204" s="8">
        <v>31065114</v>
      </c>
      <c r="BA204" s="8">
        <v>33154954</v>
      </c>
      <c r="BB204" s="9">
        <f t="shared" si="155"/>
        <v>33154954</v>
      </c>
      <c r="BC204" s="8">
        <v>2685098</v>
      </c>
      <c r="BD204" s="8">
        <v>5701843</v>
      </c>
      <c r="BE204" s="8">
        <v>8004167</v>
      </c>
      <c r="BF204" s="8">
        <v>13680724</v>
      </c>
      <c r="BG204" s="8">
        <v>17034865</v>
      </c>
      <c r="BH204" s="8">
        <v>19626249</v>
      </c>
      <c r="BI204" s="8">
        <v>22167930</v>
      </c>
      <c r="BJ204" s="8">
        <v>24968225</v>
      </c>
      <c r="BK204" s="8">
        <v>27477600</v>
      </c>
      <c r="BL204" s="8">
        <v>30602982</v>
      </c>
      <c r="BM204" s="8">
        <v>33127953</v>
      </c>
      <c r="BN204" s="8">
        <v>34630142</v>
      </c>
      <c r="BO204" s="9">
        <f t="shared" si="156"/>
        <v>34630142</v>
      </c>
      <c r="BP204" s="8">
        <v>2688881</v>
      </c>
      <c r="BQ204" s="8">
        <v>4600313</v>
      </c>
      <c r="BR204" s="8">
        <v>6412010</v>
      </c>
      <c r="BS204" s="8">
        <v>9015486</v>
      </c>
      <c r="BT204" s="8">
        <v>13762822</v>
      </c>
      <c r="BU204" s="8">
        <v>20481218</v>
      </c>
      <c r="BV204" s="8">
        <v>27119968</v>
      </c>
      <c r="BW204" s="8">
        <v>30643178</v>
      </c>
      <c r="BX204" s="8">
        <v>33038805</v>
      </c>
      <c r="BY204" s="8">
        <v>35944883</v>
      </c>
      <c r="BZ204" s="8">
        <v>41532586</v>
      </c>
      <c r="CA204" s="8">
        <v>47021077</v>
      </c>
      <c r="CB204" s="9">
        <f t="shared" si="157"/>
        <v>47021077</v>
      </c>
      <c r="CC204" s="8">
        <v>2010026</v>
      </c>
      <c r="CD204" s="8">
        <v>5504113</v>
      </c>
      <c r="CE204" s="8">
        <v>10670497</v>
      </c>
      <c r="CF204" s="8">
        <v>13881508</v>
      </c>
      <c r="CG204" s="8">
        <v>17560433</v>
      </c>
      <c r="CH204" s="8">
        <v>20707704</v>
      </c>
      <c r="CI204" s="8">
        <v>24528170</v>
      </c>
      <c r="CJ204" s="8">
        <v>28136548</v>
      </c>
      <c r="CK204" s="8">
        <v>30788198</v>
      </c>
      <c r="CL204" s="8">
        <v>36812692</v>
      </c>
      <c r="CM204" s="8">
        <v>43755820</v>
      </c>
      <c r="CN204" s="8">
        <v>47624901</v>
      </c>
      <c r="CO204" s="9">
        <f t="shared" si="158"/>
        <v>47624901</v>
      </c>
      <c r="CP204" s="8">
        <v>424307</v>
      </c>
      <c r="CQ204" s="8">
        <v>4631562</v>
      </c>
      <c r="CR204" s="8">
        <v>8734266</v>
      </c>
      <c r="CS204" s="8">
        <v>11750141</v>
      </c>
      <c r="CT204" s="8">
        <v>14774327</v>
      </c>
      <c r="CU204" s="8">
        <v>17226636</v>
      </c>
      <c r="CV204" s="8">
        <v>22037943</v>
      </c>
      <c r="CW204" s="8">
        <v>25523572</v>
      </c>
      <c r="CX204" s="8">
        <v>29861438</v>
      </c>
      <c r="CY204" s="8">
        <v>34645750</v>
      </c>
      <c r="CZ204" s="8">
        <v>38545628</v>
      </c>
      <c r="DA204" s="8">
        <v>46132129</v>
      </c>
      <c r="DB204" s="9">
        <f t="shared" si="159"/>
        <v>46132129</v>
      </c>
      <c r="DC204" s="8">
        <v>1943912</v>
      </c>
      <c r="DD204" s="8">
        <v>4304359</v>
      </c>
      <c r="DE204" s="8">
        <v>8833471</v>
      </c>
      <c r="DF204" s="8">
        <v>12245057</v>
      </c>
      <c r="DG204" s="8">
        <v>18174448</v>
      </c>
      <c r="DH204" s="8">
        <v>20977173</v>
      </c>
      <c r="DI204" s="8">
        <v>25091294</v>
      </c>
      <c r="DJ204" s="8">
        <v>30163947</v>
      </c>
      <c r="DK204" s="8">
        <v>33477759</v>
      </c>
      <c r="DL204" s="8">
        <v>36598545</v>
      </c>
      <c r="DM204" s="8">
        <v>41216929</v>
      </c>
      <c r="DN204" s="8">
        <v>51905066</v>
      </c>
      <c r="DO204" s="9">
        <f t="shared" si="160"/>
        <v>51905066</v>
      </c>
      <c r="DP204" s="8">
        <v>3213985</v>
      </c>
      <c r="DQ204" s="8">
        <v>6828524</v>
      </c>
      <c r="DR204" s="8">
        <v>12892202</v>
      </c>
      <c r="DS204" s="8">
        <v>16055831</v>
      </c>
      <c r="DT204" s="8">
        <v>20964726</v>
      </c>
      <c r="DU204" s="8">
        <v>27769798</v>
      </c>
      <c r="DV204" s="8">
        <v>30545497</v>
      </c>
      <c r="DW204" s="8">
        <v>36345551</v>
      </c>
      <c r="DX204" s="8">
        <v>40826470</v>
      </c>
      <c r="DY204" s="8">
        <v>46706866</v>
      </c>
      <c r="DZ204" s="8">
        <v>52752197</v>
      </c>
      <c r="EA204" s="8">
        <v>59772426</v>
      </c>
      <c r="EB204" s="9">
        <f t="shared" si="161"/>
        <v>59772426</v>
      </c>
      <c r="EC204" s="8">
        <v>2819597</v>
      </c>
      <c r="ED204" s="8">
        <v>12177556</v>
      </c>
      <c r="EE204" s="8">
        <v>17970251</v>
      </c>
      <c r="EF204" s="8">
        <v>23770092</v>
      </c>
      <c r="EG204" s="8">
        <v>29826161</v>
      </c>
      <c r="EH204" s="8">
        <v>33285638</v>
      </c>
      <c r="EI204" s="8">
        <v>39629889</v>
      </c>
      <c r="EJ204" s="8">
        <v>42727317</v>
      </c>
      <c r="EK204" s="8">
        <v>47914823</v>
      </c>
      <c r="EL204" s="8">
        <v>53345356</v>
      </c>
      <c r="EM204" s="8">
        <v>57469049</v>
      </c>
      <c r="EN204" s="8">
        <v>72195760</v>
      </c>
      <c r="EO204" s="9">
        <f t="shared" si="162"/>
        <v>72195760</v>
      </c>
      <c r="EP204" s="8">
        <v>2773961</v>
      </c>
      <c r="EQ204" s="8">
        <v>5538186</v>
      </c>
      <c r="ER204" s="8">
        <v>9662146</v>
      </c>
      <c r="ES204" s="8">
        <v>12837102</v>
      </c>
      <c r="ET204" s="8">
        <v>18479193</v>
      </c>
      <c r="EU204" s="8">
        <v>20063802</v>
      </c>
      <c r="EV204" s="8">
        <v>22661415</v>
      </c>
      <c r="EW204" s="8">
        <v>29464080</v>
      </c>
      <c r="EX204" s="8">
        <v>31765046</v>
      </c>
      <c r="EY204" s="8">
        <v>42221342</v>
      </c>
      <c r="EZ204" s="8">
        <v>47090031</v>
      </c>
      <c r="FA204" s="8">
        <v>64975445</v>
      </c>
      <c r="FB204" s="9">
        <f t="shared" si="163"/>
        <v>64975445</v>
      </c>
      <c r="FC204" s="8">
        <v>2332360</v>
      </c>
      <c r="FD204" s="8">
        <v>6325878</v>
      </c>
      <c r="FE204" s="8">
        <v>11440218</v>
      </c>
      <c r="FF204" s="8">
        <v>16337153</v>
      </c>
      <c r="FG204" s="8">
        <v>19007467</v>
      </c>
      <c r="FH204" s="8">
        <v>24168176</v>
      </c>
      <c r="FI204" s="8">
        <v>28151398</v>
      </c>
      <c r="FJ204" s="8"/>
      <c r="FK204" s="8"/>
      <c r="FL204" s="8"/>
      <c r="FM204" s="8"/>
      <c r="FN204" s="8"/>
      <c r="FO204" s="9">
        <f t="shared" si="164"/>
        <v>28151398</v>
      </c>
    </row>
    <row r="205" spans="2:171" ht="14.25" customHeight="1" x14ac:dyDescent="0.3">
      <c r="B205" s="7" t="s">
        <v>58</v>
      </c>
      <c r="C205" s="8">
        <v>6435868</v>
      </c>
      <c r="D205" s="8">
        <v>9554340</v>
      </c>
      <c r="E205" s="8">
        <v>13226773</v>
      </c>
      <c r="F205" s="8">
        <v>17096394</v>
      </c>
      <c r="G205" s="8">
        <v>23421066</v>
      </c>
      <c r="H205" s="8">
        <v>28545812</v>
      </c>
      <c r="I205" s="8">
        <v>33377700</v>
      </c>
      <c r="J205" s="8">
        <v>38174042</v>
      </c>
      <c r="K205" s="8">
        <v>43111155</v>
      </c>
      <c r="L205" s="8">
        <v>47504205</v>
      </c>
      <c r="M205" s="8">
        <v>53244341</v>
      </c>
      <c r="N205" s="8">
        <v>55953572</v>
      </c>
      <c r="O205" s="9">
        <f t="shared" si="152"/>
        <v>55953572</v>
      </c>
      <c r="P205" s="8">
        <v>5867155</v>
      </c>
      <c r="Q205" s="8">
        <v>10439393</v>
      </c>
      <c r="R205" s="8">
        <v>13780468</v>
      </c>
      <c r="S205" s="8">
        <v>19850053</v>
      </c>
      <c r="T205" s="8">
        <v>24207184</v>
      </c>
      <c r="U205" s="8">
        <v>29720255</v>
      </c>
      <c r="V205" s="8">
        <v>34485286</v>
      </c>
      <c r="W205" s="8">
        <v>40252182</v>
      </c>
      <c r="X205" s="8">
        <v>46085594</v>
      </c>
      <c r="Y205" s="8">
        <v>50024362</v>
      </c>
      <c r="Z205" s="8">
        <v>57370952</v>
      </c>
      <c r="AA205" s="8">
        <v>61279899</v>
      </c>
      <c r="AB205" s="9">
        <f t="shared" si="153"/>
        <v>61279899</v>
      </c>
      <c r="AC205" s="8">
        <v>7294358</v>
      </c>
      <c r="AD205" s="8">
        <v>10720093</v>
      </c>
      <c r="AE205" s="8">
        <v>15163431</v>
      </c>
      <c r="AF205" s="8">
        <v>20595131</v>
      </c>
      <c r="AG205" s="8">
        <v>25575916</v>
      </c>
      <c r="AH205" s="8">
        <v>29973722</v>
      </c>
      <c r="AI205" s="8">
        <v>35644400</v>
      </c>
      <c r="AJ205" s="8">
        <v>41322757</v>
      </c>
      <c r="AK205" s="8">
        <v>49349131</v>
      </c>
      <c r="AL205" s="8">
        <v>56482883</v>
      </c>
      <c r="AM205" s="8">
        <v>63720712</v>
      </c>
      <c r="AN205" s="8">
        <v>69320404</v>
      </c>
      <c r="AO205" s="9">
        <f t="shared" si="154"/>
        <v>69320404</v>
      </c>
      <c r="AP205" s="8">
        <v>5627746</v>
      </c>
      <c r="AQ205" s="8">
        <v>11595902</v>
      </c>
      <c r="AR205" s="8">
        <v>18296025</v>
      </c>
      <c r="AS205" s="8">
        <v>25972692</v>
      </c>
      <c r="AT205" s="8">
        <v>34628872</v>
      </c>
      <c r="AU205" s="8">
        <v>42584574</v>
      </c>
      <c r="AV205" s="8">
        <v>51912031</v>
      </c>
      <c r="AW205" s="8">
        <v>60364241</v>
      </c>
      <c r="AX205" s="8">
        <v>67081582</v>
      </c>
      <c r="AY205" s="8">
        <v>74466448</v>
      </c>
      <c r="AZ205" s="8">
        <v>81217771</v>
      </c>
      <c r="BA205" s="8">
        <v>85509895</v>
      </c>
      <c r="BB205" s="9">
        <f t="shared" si="155"/>
        <v>85509895</v>
      </c>
      <c r="BC205" s="8">
        <v>6920210</v>
      </c>
      <c r="BD205" s="8">
        <v>11567201</v>
      </c>
      <c r="BE205" s="8">
        <v>17240068</v>
      </c>
      <c r="BF205" s="8">
        <v>25267299</v>
      </c>
      <c r="BG205" s="8">
        <v>36877787</v>
      </c>
      <c r="BH205" s="8">
        <v>44812220</v>
      </c>
      <c r="BI205" s="8">
        <v>50526068</v>
      </c>
      <c r="BJ205" s="8">
        <v>55759499</v>
      </c>
      <c r="BK205" s="8">
        <v>60580461</v>
      </c>
      <c r="BL205" s="8">
        <v>67053210</v>
      </c>
      <c r="BM205" s="8">
        <v>71509567</v>
      </c>
      <c r="BN205" s="8">
        <v>72917754</v>
      </c>
      <c r="BO205" s="9">
        <f t="shared" si="156"/>
        <v>72917754</v>
      </c>
      <c r="BP205" s="8">
        <v>11855699</v>
      </c>
      <c r="BQ205" s="8">
        <v>20384324</v>
      </c>
      <c r="BR205" s="8">
        <v>27972773</v>
      </c>
      <c r="BS205" s="8">
        <v>36400575</v>
      </c>
      <c r="BT205" s="8">
        <v>42224781</v>
      </c>
      <c r="BU205" s="8">
        <v>49256964</v>
      </c>
      <c r="BV205" s="8">
        <v>60123400</v>
      </c>
      <c r="BW205" s="8">
        <v>67015877</v>
      </c>
      <c r="BX205" s="8">
        <v>76922968</v>
      </c>
      <c r="BY205" s="8">
        <v>82783828</v>
      </c>
      <c r="BZ205" s="8">
        <v>94202068</v>
      </c>
      <c r="CA205" s="8">
        <v>102760587</v>
      </c>
      <c r="CB205" s="9">
        <f t="shared" si="157"/>
        <v>102760587</v>
      </c>
      <c r="CC205" s="8">
        <v>4545604</v>
      </c>
      <c r="CD205" s="8">
        <v>9252838</v>
      </c>
      <c r="CE205" s="8">
        <v>17134360</v>
      </c>
      <c r="CF205" s="8">
        <v>27620270</v>
      </c>
      <c r="CG205" s="8">
        <v>36217943</v>
      </c>
      <c r="CH205" s="8">
        <v>46195312</v>
      </c>
      <c r="CI205" s="8">
        <v>55129884</v>
      </c>
      <c r="CJ205" s="8">
        <v>65518560</v>
      </c>
      <c r="CK205" s="8">
        <v>74692773</v>
      </c>
      <c r="CL205" s="8">
        <v>83432716</v>
      </c>
      <c r="CM205" s="8">
        <v>108811244</v>
      </c>
      <c r="CN205" s="8">
        <v>116577734</v>
      </c>
      <c r="CO205" s="9">
        <f t="shared" si="158"/>
        <v>116577734</v>
      </c>
      <c r="CP205" s="8">
        <v>5180431</v>
      </c>
      <c r="CQ205" s="8">
        <v>9505995</v>
      </c>
      <c r="CR205" s="8">
        <v>19294964</v>
      </c>
      <c r="CS205" s="8">
        <v>37060323</v>
      </c>
      <c r="CT205" s="8">
        <v>46483205</v>
      </c>
      <c r="CU205" s="8">
        <v>61069443</v>
      </c>
      <c r="CV205" s="8">
        <v>68011566</v>
      </c>
      <c r="CW205" s="8">
        <v>77835468</v>
      </c>
      <c r="CX205" s="8">
        <v>87126418</v>
      </c>
      <c r="CY205" s="8">
        <v>94096132</v>
      </c>
      <c r="CZ205" s="8">
        <v>103163269</v>
      </c>
      <c r="DA205" s="8">
        <v>113006493</v>
      </c>
      <c r="DB205" s="9">
        <f t="shared" si="159"/>
        <v>113006493</v>
      </c>
      <c r="DC205" s="8">
        <v>8189170</v>
      </c>
      <c r="DD205" s="8">
        <v>14166513</v>
      </c>
      <c r="DE205" s="8">
        <v>22587300</v>
      </c>
      <c r="DF205" s="8">
        <v>32346214</v>
      </c>
      <c r="DG205" s="8">
        <v>44895149</v>
      </c>
      <c r="DH205" s="8">
        <v>57528946</v>
      </c>
      <c r="DI205" s="8">
        <v>69217038</v>
      </c>
      <c r="DJ205" s="8">
        <v>80038075</v>
      </c>
      <c r="DK205" s="8">
        <v>88496051</v>
      </c>
      <c r="DL205" s="8">
        <v>100095643</v>
      </c>
      <c r="DM205" s="8">
        <v>106418833</v>
      </c>
      <c r="DN205" s="8">
        <v>118382436</v>
      </c>
      <c r="DO205" s="9">
        <f t="shared" si="160"/>
        <v>118382436</v>
      </c>
      <c r="DP205" s="8">
        <v>11374875</v>
      </c>
      <c r="DQ205" s="8">
        <v>24741884</v>
      </c>
      <c r="DR205" s="8">
        <v>37838261</v>
      </c>
      <c r="DS205" s="8">
        <v>61820040</v>
      </c>
      <c r="DT205" s="8">
        <v>70491150</v>
      </c>
      <c r="DU205" s="8">
        <v>88988817</v>
      </c>
      <c r="DV205" s="8">
        <v>101226948</v>
      </c>
      <c r="DW205" s="8">
        <v>115503364</v>
      </c>
      <c r="DX205" s="8">
        <v>124365005</v>
      </c>
      <c r="DY205" s="8">
        <v>130648318</v>
      </c>
      <c r="DZ205" s="8">
        <v>136860964</v>
      </c>
      <c r="EA205" s="8">
        <v>146834929</v>
      </c>
      <c r="EB205" s="9">
        <f t="shared" si="161"/>
        <v>146834929</v>
      </c>
      <c r="EC205" s="8">
        <v>22538677</v>
      </c>
      <c r="ED205" s="8">
        <v>41804727</v>
      </c>
      <c r="EE205" s="8">
        <v>60202426</v>
      </c>
      <c r="EF205" s="8">
        <v>72651068</v>
      </c>
      <c r="EG205" s="8">
        <v>108965112</v>
      </c>
      <c r="EH205" s="8">
        <v>121685891</v>
      </c>
      <c r="EI205" s="8">
        <v>132758566</v>
      </c>
      <c r="EJ205" s="8">
        <v>145373990</v>
      </c>
      <c r="EK205" s="8">
        <v>148986590</v>
      </c>
      <c r="EL205" s="8">
        <v>161664278</v>
      </c>
      <c r="EM205" s="8">
        <v>172285110</v>
      </c>
      <c r="EN205" s="8">
        <v>209043392</v>
      </c>
      <c r="EO205" s="9">
        <f t="shared" si="162"/>
        <v>209043392</v>
      </c>
      <c r="EP205" s="8">
        <v>23604674</v>
      </c>
      <c r="EQ205" s="8">
        <v>59677134</v>
      </c>
      <c r="ER205" s="8">
        <v>76618911</v>
      </c>
      <c r="ES205" s="8">
        <v>91680844</v>
      </c>
      <c r="ET205" s="8">
        <v>112332249</v>
      </c>
      <c r="EU205" s="8">
        <v>140911345</v>
      </c>
      <c r="EV205" s="8">
        <v>168734716</v>
      </c>
      <c r="EW205" s="8">
        <v>179348082</v>
      </c>
      <c r="EX205" s="8">
        <v>193278850</v>
      </c>
      <c r="EY205" s="8">
        <v>227668824</v>
      </c>
      <c r="EZ205" s="8">
        <v>235434079</v>
      </c>
      <c r="FA205" s="8">
        <v>256667592</v>
      </c>
      <c r="FB205" s="9">
        <f t="shared" si="163"/>
        <v>256667592</v>
      </c>
      <c r="FC205" s="8">
        <v>48052626</v>
      </c>
      <c r="FD205" s="8">
        <v>67828812</v>
      </c>
      <c r="FE205" s="8">
        <v>88161628</v>
      </c>
      <c r="FF205" s="8">
        <v>101252491</v>
      </c>
      <c r="FG205" s="8">
        <v>112593638</v>
      </c>
      <c r="FH205" s="8">
        <v>134540956</v>
      </c>
      <c r="FI205" s="8">
        <v>152096621</v>
      </c>
      <c r="FJ205" s="8"/>
      <c r="FK205" s="8"/>
      <c r="FL205" s="8"/>
      <c r="FM205" s="8"/>
      <c r="FN205" s="8"/>
      <c r="FO205" s="9">
        <f t="shared" si="164"/>
        <v>152096621</v>
      </c>
    </row>
    <row r="206" spans="2:171" ht="14.25" customHeight="1" x14ac:dyDescent="0.3">
      <c r="B206" s="7" t="s">
        <v>59</v>
      </c>
      <c r="C206" s="8">
        <v>1305630</v>
      </c>
      <c r="D206" s="8">
        <v>2099387</v>
      </c>
      <c r="E206" s="8">
        <v>3066764</v>
      </c>
      <c r="F206" s="8">
        <v>3960240</v>
      </c>
      <c r="G206" s="8">
        <v>4732339</v>
      </c>
      <c r="H206" s="8">
        <v>5925206</v>
      </c>
      <c r="I206" s="8">
        <v>6745243</v>
      </c>
      <c r="J206" s="8">
        <v>7673173</v>
      </c>
      <c r="K206" s="8">
        <v>9028559</v>
      </c>
      <c r="L206" s="8">
        <v>10304860</v>
      </c>
      <c r="M206" s="8">
        <v>11676289</v>
      </c>
      <c r="N206" s="8">
        <v>13450906</v>
      </c>
      <c r="O206" s="9">
        <f t="shared" si="152"/>
        <v>13450906</v>
      </c>
      <c r="P206" s="8">
        <v>664938</v>
      </c>
      <c r="Q206" s="8">
        <v>1408057</v>
      </c>
      <c r="R206" s="8">
        <v>2566894</v>
      </c>
      <c r="S206" s="8">
        <v>4534503</v>
      </c>
      <c r="T206" s="8">
        <v>5911645</v>
      </c>
      <c r="U206" s="8">
        <v>6937209</v>
      </c>
      <c r="V206" s="8">
        <v>8813145</v>
      </c>
      <c r="W206" s="8">
        <v>9410742</v>
      </c>
      <c r="X206" s="8">
        <v>10689199</v>
      </c>
      <c r="Y206" s="8">
        <v>13844827</v>
      </c>
      <c r="Z206" s="8">
        <v>14986243</v>
      </c>
      <c r="AA206" s="8">
        <v>17651758</v>
      </c>
      <c r="AB206" s="9">
        <f t="shared" si="153"/>
        <v>17651758</v>
      </c>
      <c r="AC206" s="8">
        <v>751705</v>
      </c>
      <c r="AD206" s="8">
        <v>1693678</v>
      </c>
      <c r="AE206" s="8">
        <v>4614567</v>
      </c>
      <c r="AF206" s="8">
        <v>5405409</v>
      </c>
      <c r="AG206" s="8">
        <v>6848094</v>
      </c>
      <c r="AH206" s="8">
        <v>9151671</v>
      </c>
      <c r="AI206" s="8">
        <v>11187547</v>
      </c>
      <c r="AJ206" s="8">
        <v>13709209</v>
      </c>
      <c r="AK206" s="8">
        <v>15794985</v>
      </c>
      <c r="AL206" s="8">
        <v>17834477</v>
      </c>
      <c r="AM206" s="8">
        <v>19486786</v>
      </c>
      <c r="AN206" s="8">
        <v>23547582</v>
      </c>
      <c r="AO206" s="9">
        <f t="shared" si="154"/>
        <v>23547582</v>
      </c>
      <c r="AP206" s="8">
        <v>1091667</v>
      </c>
      <c r="AQ206" s="8">
        <v>4105784</v>
      </c>
      <c r="AR206" s="8">
        <v>6534262</v>
      </c>
      <c r="AS206" s="8">
        <v>8472536</v>
      </c>
      <c r="AT206" s="8">
        <v>11670461</v>
      </c>
      <c r="AU206" s="8">
        <v>14391724</v>
      </c>
      <c r="AV206" s="8">
        <v>16463840</v>
      </c>
      <c r="AW206" s="8">
        <v>19363219</v>
      </c>
      <c r="AX206" s="8">
        <v>20646872</v>
      </c>
      <c r="AY206" s="8">
        <v>22377943</v>
      </c>
      <c r="AZ206" s="8">
        <v>24689088</v>
      </c>
      <c r="BA206" s="8">
        <v>26907731</v>
      </c>
      <c r="BB206" s="9">
        <f t="shared" si="155"/>
        <v>26907731</v>
      </c>
      <c r="BC206" s="8">
        <v>562901</v>
      </c>
      <c r="BD206" s="8">
        <v>1543101</v>
      </c>
      <c r="BE206" s="8">
        <v>2358733</v>
      </c>
      <c r="BF206" s="8">
        <v>3342956</v>
      </c>
      <c r="BG206" s="8">
        <v>4749909</v>
      </c>
      <c r="BH206" s="8">
        <v>6209721</v>
      </c>
      <c r="BI206" s="8">
        <v>7153575</v>
      </c>
      <c r="BJ206" s="8">
        <v>8461066</v>
      </c>
      <c r="BK206" s="8">
        <v>9348758</v>
      </c>
      <c r="BL206" s="8">
        <v>10668781</v>
      </c>
      <c r="BM206" s="8">
        <v>11875594</v>
      </c>
      <c r="BN206" s="8">
        <v>13490039</v>
      </c>
      <c r="BO206" s="9">
        <f t="shared" si="156"/>
        <v>13490039</v>
      </c>
      <c r="BP206" s="8">
        <v>1352825</v>
      </c>
      <c r="BQ206" s="8">
        <v>2625888</v>
      </c>
      <c r="BR206" s="8">
        <v>4193317</v>
      </c>
      <c r="BS206" s="8">
        <v>5973325</v>
      </c>
      <c r="BT206" s="8">
        <v>7608733</v>
      </c>
      <c r="BU206" s="8">
        <v>8915332</v>
      </c>
      <c r="BV206" s="8">
        <v>10237505</v>
      </c>
      <c r="BW206" s="8">
        <v>10237505</v>
      </c>
      <c r="BX206" s="8">
        <v>14292594</v>
      </c>
      <c r="BY206" s="8">
        <v>15903374</v>
      </c>
      <c r="BZ206" s="8">
        <v>19764888</v>
      </c>
      <c r="CA206" s="8">
        <v>22245013</v>
      </c>
      <c r="CB206" s="9">
        <f t="shared" si="157"/>
        <v>22245013</v>
      </c>
      <c r="CC206" s="8">
        <v>2025750</v>
      </c>
      <c r="CD206" s="8">
        <v>3635738</v>
      </c>
      <c r="CE206" s="8">
        <v>5454222</v>
      </c>
      <c r="CF206" s="8">
        <v>7935736</v>
      </c>
      <c r="CG206" s="8">
        <v>9870262</v>
      </c>
      <c r="CH206" s="8">
        <v>11357457</v>
      </c>
      <c r="CI206" s="8">
        <v>13130387</v>
      </c>
      <c r="CJ206" s="8">
        <v>14106222</v>
      </c>
      <c r="CK206" s="8">
        <v>15624780</v>
      </c>
      <c r="CL206" s="8">
        <v>20554730</v>
      </c>
      <c r="CM206" s="8">
        <v>29237408</v>
      </c>
      <c r="CN206" s="8">
        <v>32856174</v>
      </c>
      <c r="CO206" s="9">
        <f t="shared" si="158"/>
        <v>32856174</v>
      </c>
      <c r="CP206" s="8">
        <v>20381</v>
      </c>
      <c r="CQ206" s="8">
        <v>3884651</v>
      </c>
      <c r="CR206" s="8">
        <v>7210132</v>
      </c>
      <c r="CS206" s="8">
        <v>9798446</v>
      </c>
      <c r="CT206" s="8">
        <v>14696071</v>
      </c>
      <c r="CU206" s="8">
        <v>16709800</v>
      </c>
      <c r="CV206" s="8">
        <v>18261522</v>
      </c>
      <c r="CW206" s="8">
        <v>19879998</v>
      </c>
      <c r="CX206" s="8">
        <v>21881786</v>
      </c>
      <c r="CY206" s="8">
        <v>23524612</v>
      </c>
      <c r="CZ206" s="8">
        <v>25256220</v>
      </c>
      <c r="DA206" s="8">
        <v>28897046</v>
      </c>
      <c r="DB206" s="9">
        <f t="shared" si="159"/>
        <v>28897046</v>
      </c>
      <c r="DC206" s="8">
        <v>585094</v>
      </c>
      <c r="DD206" s="8">
        <v>4629351</v>
      </c>
      <c r="DE206" s="8">
        <v>7993222</v>
      </c>
      <c r="DF206" s="8">
        <v>9906215</v>
      </c>
      <c r="DG206" s="8">
        <v>12406386</v>
      </c>
      <c r="DH206" s="8">
        <v>15821025</v>
      </c>
      <c r="DI206" s="8">
        <v>20990222</v>
      </c>
      <c r="DJ206" s="8">
        <v>23740012</v>
      </c>
      <c r="DK206" s="8">
        <v>27038382</v>
      </c>
      <c r="DL206" s="8">
        <v>29993298</v>
      </c>
      <c r="DM206" s="8">
        <v>32810442</v>
      </c>
      <c r="DN206" s="8">
        <v>39538532</v>
      </c>
      <c r="DO206" s="9">
        <f t="shared" si="160"/>
        <v>39538532</v>
      </c>
      <c r="DP206" s="8">
        <v>1057298</v>
      </c>
      <c r="DQ206" s="8">
        <v>3840849</v>
      </c>
      <c r="DR206" s="8">
        <v>6667886</v>
      </c>
      <c r="DS206" s="8">
        <v>8536838</v>
      </c>
      <c r="DT206" s="8">
        <v>10441447</v>
      </c>
      <c r="DU206" s="8">
        <v>13355762</v>
      </c>
      <c r="DV206" s="8">
        <v>15873762</v>
      </c>
      <c r="DW206" s="8">
        <v>19843737</v>
      </c>
      <c r="DX206" s="8">
        <v>24509706</v>
      </c>
      <c r="DY206" s="8">
        <v>26698806</v>
      </c>
      <c r="DZ206" s="8">
        <v>37610027</v>
      </c>
      <c r="EA206" s="8">
        <v>51404884</v>
      </c>
      <c r="EB206" s="9">
        <f t="shared" si="161"/>
        <v>51404884</v>
      </c>
      <c r="EC206" s="8">
        <v>2553647</v>
      </c>
      <c r="ED206" s="8">
        <v>5314108</v>
      </c>
      <c r="EE206" s="8">
        <v>7804124</v>
      </c>
      <c r="EF206" s="8">
        <v>9933333</v>
      </c>
      <c r="EG206" s="8">
        <v>12723904</v>
      </c>
      <c r="EH206" s="8">
        <v>15623521</v>
      </c>
      <c r="EI206" s="8">
        <v>17973882</v>
      </c>
      <c r="EJ206" s="8">
        <v>21179484</v>
      </c>
      <c r="EK206" s="8">
        <v>23416485</v>
      </c>
      <c r="EL206" s="8">
        <v>26233346</v>
      </c>
      <c r="EM206" s="8">
        <v>29925270</v>
      </c>
      <c r="EN206" s="8">
        <v>40629172</v>
      </c>
      <c r="EO206" s="9">
        <f t="shared" si="162"/>
        <v>40629172</v>
      </c>
      <c r="EP206" s="8">
        <v>1502066</v>
      </c>
      <c r="EQ206" s="8">
        <v>3141424</v>
      </c>
      <c r="ER206" s="8">
        <v>5424813</v>
      </c>
      <c r="ES206" s="8">
        <v>8635636</v>
      </c>
      <c r="ET206" s="8">
        <v>10539066</v>
      </c>
      <c r="EU206" s="8">
        <v>23615826</v>
      </c>
      <c r="EV206" s="8">
        <v>25551878</v>
      </c>
      <c r="EW206" s="8">
        <v>27867890</v>
      </c>
      <c r="EX206" s="8">
        <v>31455323</v>
      </c>
      <c r="EY206" s="8">
        <v>41450059</v>
      </c>
      <c r="EZ206" s="8">
        <v>44040457</v>
      </c>
      <c r="FA206" s="8">
        <v>49928043</v>
      </c>
      <c r="FB206" s="9">
        <f t="shared" si="163"/>
        <v>49928043</v>
      </c>
      <c r="FC206" s="8">
        <v>9915414</v>
      </c>
      <c r="FD206" s="8">
        <v>16192369</v>
      </c>
      <c r="FE206" s="8">
        <v>19730338</v>
      </c>
      <c r="FF206" s="8">
        <v>24443967</v>
      </c>
      <c r="FG206" s="8">
        <v>29917306</v>
      </c>
      <c r="FH206" s="8">
        <v>37520057</v>
      </c>
      <c r="FI206" s="8">
        <v>39532590</v>
      </c>
      <c r="FJ206" s="8"/>
      <c r="FK206" s="8"/>
      <c r="FL206" s="8"/>
      <c r="FM206" s="8"/>
      <c r="FN206" s="8"/>
      <c r="FO206" s="9">
        <f t="shared" si="164"/>
        <v>39532590</v>
      </c>
    </row>
    <row r="207" spans="2:171" ht="14.25" customHeight="1" x14ac:dyDescent="0.3">
      <c r="B207" s="7" t="s">
        <v>60</v>
      </c>
      <c r="C207" s="8">
        <v>802349</v>
      </c>
      <c r="D207" s="8">
        <v>1936575</v>
      </c>
      <c r="E207" s="8">
        <v>3311278</v>
      </c>
      <c r="F207" s="8">
        <v>4806432</v>
      </c>
      <c r="G207" s="8">
        <v>5721064</v>
      </c>
      <c r="H207" s="8">
        <v>7248810</v>
      </c>
      <c r="I207" s="8">
        <v>8374392</v>
      </c>
      <c r="J207" s="8">
        <v>10180229</v>
      </c>
      <c r="K207" s="8">
        <v>11376394</v>
      </c>
      <c r="L207" s="8">
        <v>12297687</v>
      </c>
      <c r="M207" s="8">
        <v>13709673</v>
      </c>
      <c r="N207" s="8">
        <v>14706027</v>
      </c>
      <c r="O207" s="9">
        <f t="shared" si="152"/>
        <v>14706027</v>
      </c>
      <c r="P207" s="8">
        <v>1769102</v>
      </c>
      <c r="Q207" s="8">
        <v>3042103</v>
      </c>
      <c r="R207" s="8">
        <v>5562930</v>
      </c>
      <c r="S207" s="8">
        <v>8115437</v>
      </c>
      <c r="T207" s="8">
        <v>9225780</v>
      </c>
      <c r="U207" s="8">
        <v>10742252</v>
      </c>
      <c r="V207" s="8">
        <v>11869548</v>
      </c>
      <c r="W207" s="8">
        <v>13199481</v>
      </c>
      <c r="X207" s="8">
        <v>15547988</v>
      </c>
      <c r="Y207" s="8">
        <v>16665450</v>
      </c>
      <c r="Z207" s="8">
        <v>18773295</v>
      </c>
      <c r="AA207" s="8">
        <v>20289086</v>
      </c>
      <c r="AB207" s="9">
        <f t="shared" si="153"/>
        <v>20289086</v>
      </c>
      <c r="AC207" s="8">
        <v>1345722</v>
      </c>
      <c r="AD207" s="8">
        <v>2007623</v>
      </c>
      <c r="AE207" s="8">
        <v>3705598</v>
      </c>
      <c r="AF207" s="8">
        <v>5745808</v>
      </c>
      <c r="AG207" s="8">
        <v>7101367</v>
      </c>
      <c r="AH207" s="8">
        <v>9197381</v>
      </c>
      <c r="AI207" s="8">
        <v>11237003</v>
      </c>
      <c r="AJ207" s="8">
        <v>12741294</v>
      </c>
      <c r="AK207" s="8">
        <v>14009679</v>
      </c>
      <c r="AL207" s="8">
        <v>14874983</v>
      </c>
      <c r="AM207" s="8">
        <v>17801272</v>
      </c>
      <c r="AN207" s="8">
        <v>19948498</v>
      </c>
      <c r="AO207" s="9">
        <f t="shared" si="154"/>
        <v>19948498</v>
      </c>
      <c r="AP207" s="8">
        <v>486264</v>
      </c>
      <c r="AQ207" s="8">
        <v>2715594</v>
      </c>
      <c r="AR207" s="8">
        <v>4485479</v>
      </c>
      <c r="AS207" s="8">
        <v>6605004</v>
      </c>
      <c r="AT207" s="8">
        <v>8346772</v>
      </c>
      <c r="AU207" s="8">
        <v>9744251</v>
      </c>
      <c r="AV207" s="8">
        <v>11365205</v>
      </c>
      <c r="AW207" s="8">
        <v>13231381</v>
      </c>
      <c r="AX207" s="8">
        <v>13694455</v>
      </c>
      <c r="AY207" s="8">
        <v>14722630</v>
      </c>
      <c r="AZ207" s="8">
        <v>16005015</v>
      </c>
      <c r="BA207" s="8">
        <v>17671923</v>
      </c>
      <c r="BB207" s="9">
        <f t="shared" si="155"/>
        <v>17671923</v>
      </c>
      <c r="BC207" s="8">
        <v>509042</v>
      </c>
      <c r="BD207" s="8">
        <v>860678</v>
      </c>
      <c r="BE207" s="8">
        <v>3429354</v>
      </c>
      <c r="BF207" s="8">
        <v>4219736</v>
      </c>
      <c r="BG207" s="8">
        <v>7798119</v>
      </c>
      <c r="BH207" s="8">
        <v>10937345</v>
      </c>
      <c r="BI207" s="8">
        <v>14743099</v>
      </c>
      <c r="BJ207" s="8">
        <v>16350534</v>
      </c>
      <c r="BK207" s="8">
        <v>16910774</v>
      </c>
      <c r="BL207" s="8">
        <v>17627563</v>
      </c>
      <c r="BM207" s="8">
        <v>18540472</v>
      </c>
      <c r="BN207" s="8">
        <v>19847474</v>
      </c>
      <c r="BO207" s="9">
        <f t="shared" si="156"/>
        <v>19847474</v>
      </c>
      <c r="BP207" s="8">
        <v>485322</v>
      </c>
      <c r="BQ207" s="8">
        <v>1084690</v>
      </c>
      <c r="BR207" s="8">
        <v>1329857</v>
      </c>
      <c r="BS207" s="8">
        <v>1793528</v>
      </c>
      <c r="BT207" s="8">
        <v>2329775</v>
      </c>
      <c r="BU207" s="8">
        <v>2937339</v>
      </c>
      <c r="BV207" s="8">
        <v>3270475</v>
      </c>
      <c r="BW207" s="8">
        <v>3270475</v>
      </c>
      <c r="BX207" s="8">
        <v>7760714</v>
      </c>
      <c r="BY207" s="8">
        <v>10670655</v>
      </c>
      <c r="BZ207" s="8">
        <v>16946541</v>
      </c>
      <c r="CA207" s="8">
        <v>21063717</v>
      </c>
      <c r="CB207" s="9">
        <f t="shared" si="157"/>
        <v>21063717</v>
      </c>
      <c r="CC207" s="8">
        <v>1262092</v>
      </c>
      <c r="CD207" s="8">
        <v>5250766</v>
      </c>
      <c r="CE207" s="8">
        <v>6682337</v>
      </c>
      <c r="CF207" s="8">
        <v>7072568</v>
      </c>
      <c r="CG207" s="8">
        <v>7291526</v>
      </c>
      <c r="CH207" s="8">
        <v>7502963</v>
      </c>
      <c r="CI207" s="8">
        <v>7784552</v>
      </c>
      <c r="CJ207" s="8">
        <v>10862438</v>
      </c>
      <c r="CK207" s="8">
        <v>13854323</v>
      </c>
      <c r="CL207" s="8">
        <v>19752321</v>
      </c>
      <c r="CM207" s="8">
        <v>26142325</v>
      </c>
      <c r="CN207" s="8">
        <v>30788417</v>
      </c>
      <c r="CO207" s="9">
        <f t="shared" si="158"/>
        <v>30788417</v>
      </c>
      <c r="CP207" s="8">
        <v>2144004</v>
      </c>
      <c r="CQ207" s="8">
        <v>7458529</v>
      </c>
      <c r="CR207" s="8">
        <v>11689372</v>
      </c>
      <c r="CS207" s="8">
        <v>12872356</v>
      </c>
      <c r="CT207" s="8">
        <v>14624744</v>
      </c>
      <c r="CU207" s="8">
        <v>17119843</v>
      </c>
      <c r="CV207" s="8">
        <v>18123312</v>
      </c>
      <c r="CW207" s="8">
        <v>18694686</v>
      </c>
      <c r="CX207" s="8">
        <v>25050342</v>
      </c>
      <c r="CY207" s="8">
        <v>34772367</v>
      </c>
      <c r="CZ207" s="8">
        <v>36052944</v>
      </c>
      <c r="DA207" s="8">
        <v>51830763</v>
      </c>
      <c r="DB207" s="9">
        <f t="shared" si="159"/>
        <v>51830763</v>
      </c>
      <c r="DC207" s="8">
        <v>105467</v>
      </c>
      <c r="DD207" s="8">
        <v>434883</v>
      </c>
      <c r="DE207" s="8">
        <v>767826</v>
      </c>
      <c r="DF207" s="8">
        <v>1107860</v>
      </c>
      <c r="DG207" s="8">
        <v>1760790</v>
      </c>
      <c r="DH207" s="8">
        <v>5827984</v>
      </c>
      <c r="DI207" s="8">
        <v>8162251</v>
      </c>
      <c r="DJ207" s="8">
        <v>14438284</v>
      </c>
      <c r="DK207" s="8">
        <v>22649037</v>
      </c>
      <c r="DL207" s="8">
        <v>35357887</v>
      </c>
      <c r="DM207" s="8">
        <v>41970766</v>
      </c>
      <c r="DN207" s="8">
        <v>59466476</v>
      </c>
      <c r="DO207" s="9">
        <f t="shared" si="160"/>
        <v>59466476</v>
      </c>
      <c r="DP207" s="8">
        <v>399218</v>
      </c>
      <c r="DQ207" s="8">
        <v>622391</v>
      </c>
      <c r="DR207" s="8">
        <v>925635</v>
      </c>
      <c r="DS207" s="8">
        <v>9023856</v>
      </c>
      <c r="DT207" s="8">
        <v>9794146</v>
      </c>
      <c r="DU207" s="8">
        <v>18945374</v>
      </c>
      <c r="DV207" s="8">
        <v>22835743</v>
      </c>
      <c r="DW207" s="8">
        <v>23754081</v>
      </c>
      <c r="DX207" s="8">
        <v>28673026</v>
      </c>
      <c r="DY207" s="8">
        <v>29703345</v>
      </c>
      <c r="DZ207" s="8">
        <v>35135081</v>
      </c>
      <c r="EA207" s="8">
        <v>48847267</v>
      </c>
      <c r="EB207" s="9">
        <f t="shared" si="161"/>
        <v>48847267</v>
      </c>
      <c r="EC207" s="8">
        <v>1271183</v>
      </c>
      <c r="ED207" s="8">
        <v>1494991</v>
      </c>
      <c r="EE207" s="8">
        <v>1958696</v>
      </c>
      <c r="EF207" s="8">
        <v>11688839</v>
      </c>
      <c r="EG207" s="8">
        <v>16971260</v>
      </c>
      <c r="EH207" s="8">
        <v>23042370</v>
      </c>
      <c r="EI207" s="8">
        <v>32366137</v>
      </c>
      <c r="EJ207" s="8">
        <v>38702931</v>
      </c>
      <c r="EK207" s="8">
        <v>40706210</v>
      </c>
      <c r="EL207" s="8">
        <v>50327847</v>
      </c>
      <c r="EM207" s="8">
        <v>63842140</v>
      </c>
      <c r="EN207" s="8">
        <v>66459701</v>
      </c>
      <c r="EO207" s="9">
        <f t="shared" si="162"/>
        <v>66459701</v>
      </c>
      <c r="EP207" s="8">
        <v>1551358</v>
      </c>
      <c r="EQ207" s="8">
        <v>7621277</v>
      </c>
      <c r="ER207" s="8">
        <v>10746706</v>
      </c>
      <c r="ES207" s="8">
        <v>12210044</v>
      </c>
      <c r="ET207" s="8">
        <v>19558996</v>
      </c>
      <c r="EU207" s="8">
        <v>20758374</v>
      </c>
      <c r="EV207" s="8">
        <v>25629922</v>
      </c>
      <c r="EW207" s="8">
        <v>32407596</v>
      </c>
      <c r="EX207" s="8">
        <v>33859870</v>
      </c>
      <c r="EY207" s="8">
        <v>43167141</v>
      </c>
      <c r="EZ207" s="8">
        <v>50220084</v>
      </c>
      <c r="FA207" s="8">
        <v>54657622</v>
      </c>
      <c r="FB207" s="9">
        <f t="shared" si="163"/>
        <v>54657622</v>
      </c>
      <c r="FC207" s="8">
        <v>231133</v>
      </c>
      <c r="FD207" s="8">
        <v>460737</v>
      </c>
      <c r="FE207" s="8">
        <v>2148468</v>
      </c>
      <c r="FF207" s="8">
        <v>2602862</v>
      </c>
      <c r="FG207" s="8">
        <v>3361892</v>
      </c>
      <c r="FH207" s="8">
        <v>3846615</v>
      </c>
      <c r="FI207" s="8">
        <v>23634743</v>
      </c>
      <c r="FJ207" s="8"/>
      <c r="FK207" s="8"/>
      <c r="FL207" s="8"/>
      <c r="FM207" s="8"/>
      <c r="FN207" s="8"/>
      <c r="FO207" s="9">
        <f t="shared" si="164"/>
        <v>23634743</v>
      </c>
    </row>
    <row r="208" spans="2:171" ht="14.25" customHeight="1" x14ac:dyDescent="0.3">
      <c r="B208" s="14" t="s">
        <v>79</v>
      </c>
      <c r="C208" s="16">
        <f t="shared" ref="C208:AH208" si="165">SUM(C190:C207)</f>
        <v>86554667</v>
      </c>
      <c r="D208" s="16">
        <f t="shared" si="165"/>
        <v>167171037</v>
      </c>
      <c r="E208" s="16">
        <f t="shared" si="165"/>
        <v>258900332</v>
      </c>
      <c r="F208" s="16">
        <f t="shared" si="165"/>
        <v>355293324</v>
      </c>
      <c r="G208" s="16">
        <f t="shared" si="165"/>
        <v>444572349</v>
      </c>
      <c r="H208" s="16">
        <f t="shared" si="165"/>
        <v>538868963</v>
      </c>
      <c r="I208" s="16">
        <f t="shared" si="165"/>
        <v>624570243</v>
      </c>
      <c r="J208" s="16">
        <f t="shared" si="165"/>
        <v>704960444</v>
      </c>
      <c r="K208" s="16">
        <f t="shared" si="165"/>
        <v>797050894</v>
      </c>
      <c r="L208" s="16">
        <f t="shared" si="165"/>
        <v>893352551</v>
      </c>
      <c r="M208" s="16">
        <f t="shared" si="165"/>
        <v>995101562</v>
      </c>
      <c r="N208" s="16">
        <f t="shared" si="165"/>
        <v>1085721232</v>
      </c>
      <c r="O208" s="16">
        <f t="shared" si="165"/>
        <v>1085721232</v>
      </c>
      <c r="P208" s="16">
        <f t="shared" si="165"/>
        <v>78813013</v>
      </c>
      <c r="Q208" s="16">
        <f t="shared" si="165"/>
        <v>159045427</v>
      </c>
      <c r="R208" s="16">
        <f t="shared" si="165"/>
        <v>250985326</v>
      </c>
      <c r="S208" s="16">
        <f t="shared" si="165"/>
        <v>343662389</v>
      </c>
      <c r="T208" s="16">
        <f t="shared" si="165"/>
        <v>443047745</v>
      </c>
      <c r="U208" s="16">
        <f t="shared" si="165"/>
        <v>547110012</v>
      </c>
      <c r="V208" s="16">
        <f t="shared" si="165"/>
        <v>646543263</v>
      </c>
      <c r="W208" s="16">
        <f t="shared" si="165"/>
        <v>737401504</v>
      </c>
      <c r="X208" s="16">
        <f t="shared" si="165"/>
        <v>822853665</v>
      </c>
      <c r="Y208" s="16">
        <f t="shared" si="165"/>
        <v>925712731</v>
      </c>
      <c r="Z208" s="16">
        <f t="shared" si="165"/>
        <v>1033726837</v>
      </c>
      <c r="AA208" s="16">
        <f t="shared" si="165"/>
        <v>1150737563</v>
      </c>
      <c r="AB208" s="16">
        <f t="shared" si="165"/>
        <v>1150737563</v>
      </c>
      <c r="AC208" s="16">
        <f t="shared" si="165"/>
        <v>81563889</v>
      </c>
      <c r="AD208" s="16">
        <f t="shared" si="165"/>
        <v>175788132</v>
      </c>
      <c r="AE208" s="16">
        <f t="shared" si="165"/>
        <v>279744051</v>
      </c>
      <c r="AF208" s="16">
        <f t="shared" si="165"/>
        <v>387286450</v>
      </c>
      <c r="AG208" s="16">
        <f t="shared" si="165"/>
        <v>489990481</v>
      </c>
      <c r="AH208" s="16">
        <f t="shared" si="165"/>
        <v>595704504</v>
      </c>
      <c r="AI208" s="16">
        <f t="shared" ref="AI208:BN208" si="166">SUM(AI190:AI207)</f>
        <v>709465787</v>
      </c>
      <c r="AJ208" s="16">
        <f t="shared" si="166"/>
        <v>812114157</v>
      </c>
      <c r="AK208" s="16">
        <f t="shared" si="166"/>
        <v>922855055</v>
      </c>
      <c r="AL208" s="16">
        <f t="shared" si="166"/>
        <v>1032238764</v>
      </c>
      <c r="AM208" s="16">
        <f t="shared" si="166"/>
        <v>1148416438</v>
      </c>
      <c r="AN208" s="16">
        <f t="shared" si="166"/>
        <v>1299284931</v>
      </c>
      <c r="AO208" s="16">
        <f t="shared" si="166"/>
        <v>1299284931</v>
      </c>
      <c r="AP208" s="16">
        <f t="shared" si="166"/>
        <v>98433680</v>
      </c>
      <c r="AQ208" s="16">
        <f t="shared" si="166"/>
        <v>206719076</v>
      </c>
      <c r="AR208" s="16">
        <f t="shared" si="166"/>
        <v>329934502</v>
      </c>
      <c r="AS208" s="16">
        <f t="shared" si="166"/>
        <v>449766532</v>
      </c>
      <c r="AT208" s="16">
        <f t="shared" si="166"/>
        <v>574737862</v>
      </c>
      <c r="AU208" s="16">
        <f t="shared" si="166"/>
        <v>692640608</v>
      </c>
      <c r="AV208" s="16">
        <f t="shared" si="166"/>
        <v>814889457</v>
      </c>
      <c r="AW208" s="16">
        <f t="shared" si="166"/>
        <v>933216267</v>
      </c>
      <c r="AX208" s="16">
        <f t="shared" si="166"/>
        <v>1038112247</v>
      </c>
      <c r="AY208" s="16">
        <f t="shared" si="166"/>
        <v>1138221122</v>
      </c>
      <c r="AZ208" s="16">
        <f t="shared" si="166"/>
        <v>1226225213</v>
      </c>
      <c r="BA208" s="16">
        <f t="shared" si="166"/>
        <v>1310085801</v>
      </c>
      <c r="BB208" s="16">
        <f t="shared" si="166"/>
        <v>1310085801</v>
      </c>
      <c r="BC208" s="16">
        <f t="shared" si="166"/>
        <v>149693828</v>
      </c>
      <c r="BD208" s="16">
        <f t="shared" si="166"/>
        <v>254201036</v>
      </c>
      <c r="BE208" s="16">
        <f t="shared" si="166"/>
        <v>371879898</v>
      </c>
      <c r="BF208" s="16">
        <f t="shared" si="166"/>
        <v>486347358</v>
      </c>
      <c r="BG208" s="16">
        <f t="shared" si="166"/>
        <v>618949565</v>
      </c>
      <c r="BH208" s="16">
        <f t="shared" si="166"/>
        <v>742846026</v>
      </c>
      <c r="BI208" s="16">
        <f t="shared" si="166"/>
        <v>866396000</v>
      </c>
      <c r="BJ208" s="16">
        <f t="shared" si="166"/>
        <v>980839776</v>
      </c>
      <c r="BK208" s="16">
        <f t="shared" si="166"/>
        <v>1065756557</v>
      </c>
      <c r="BL208" s="16">
        <f t="shared" si="166"/>
        <v>1155201253</v>
      </c>
      <c r="BM208" s="16">
        <f t="shared" si="166"/>
        <v>1261564816</v>
      </c>
      <c r="BN208" s="16">
        <f t="shared" si="166"/>
        <v>1318913882</v>
      </c>
      <c r="BO208" s="16">
        <f t="shared" ref="BO208:CT208" si="167">SUM(BO190:BO207)</f>
        <v>1318913882</v>
      </c>
      <c r="BP208" s="16">
        <f t="shared" si="167"/>
        <v>163213470</v>
      </c>
      <c r="BQ208" s="16">
        <f t="shared" si="167"/>
        <v>286068843</v>
      </c>
      <c r="BR208" s="16">
        <f t="shared" si="167"/>
        <v>400464842</v>
      </c>
      <c r="BS208" s="16">
        <f t="shared" si="167"/>
        <v>517806085</v>
      </c>
      <c r="BT208" s="16">
        <f t="shared" si="167"/>
        <v>636574856</v>
      </c>
      <c r="BU208" s="16">
        <f t="shared" si="167"/>
        <v>742730093</v>
      </c>
      <c r="BV208" s="16">
        <f t="shared" si="167"/>
        <v>870794143</v>
      </c>
      <c r="BW208" s="16">
        <f t="shared" si="167"/>
        <v>985728520</v>
      </c>
      <c r="BX208" s="16">
        <f t="shared" si="167"/>
        <v>1100660285</v>
      </c>
      <c r="BY208" s="16">
        <f t="shared" si="167"/>
        <v>1248450785</v>
      </c>
      <c r="BZ208" s="16">
        <f t="shared" si="167"/>
        <v>1442887589</v>
      </c>
      <c r="CA208" s="16">
        <f t="shared" si="167"/>
        <v>1622749787</v>
      </c>
      <c r="CB208" s="16">
        <f t="shared" si="167"/>
        <v>1622749787</v>
      </c>
      <c r="CC208" s="16">
        <f t="shared" si="167"/>
        <v>70915819</v>
      </c>
      <c r="CD208" s="16">
        <f t="shared" si="167"/>
        <v>185741863</v>
      </c>
      <c r="CE208" s="16">
        <f t="shared" si="167"/>
        <v>317528262</v>
      </c>
      <c r="CF208" s="16">
        <f t="shared" si="167"/>
        <v>436167327</v>
      </c>
      <c r="CG208" s="16">
        <f t="shared" si="167"/>
        <v>546240981</v>
      </c>
      <c r="CH208" s="16">
        <f t="shared" si="167"/>
        <v>677019268</v>
      </c>
      <c r="CI208" s="16">
        <f t="shared" si="167"/>
        <v>790673746</v>
      </c>
      <c r="CJ208" s="16">
        <f t="shared" si="167"/>
        <v>913632729</v>
      </c>
      <c r="CK208" s="16">
        <f t="shared" si="167"/>
        <v>1049207795</v>
      </c>
      <c r="CL208" s="16">
        <f t="shared" si="167"/>
        <v>1280046226</v>
      </c>
      <c r="CM208" s="16">
        <f t="shared" si="167"/>
        <v>1472417788</v>
      </c>
      <c r="CN208" s="16">
        <f t="shared" si="167"/>
        <v>1661286314</v>
      </c>
      <c r="CO208" s="16">
        <f t="shared" si="167"/>
        <v>1661286314</v>
      </c>
      <c r="CP208" s="16">
        <f t="shared" si="167"/>
        <v>58778523</v>
      </c>
      <c r="CQ208" s="16">
        <f t="shared" si="167"/>
        <v>163922358</v>
      </c>
      <c r="CR208" s="16">
        <f t="shared" si="167"/>
        <v>302370134</v>
      </c>
      <c r="CS208" s="16">
        <f t="shared" si="167"/>
        <v>454143851</v>
      </c>
      <c r="CT208" s="16">
        <f t="shared" si="167"/>
        <v>615222044</v>
      </c>
      <c r="CU208" s="16">
        <f t="shared" ref="CU208:DZ208" si="168">SUM(CU190:CU207)</f>
        <v>805153592</v>
      </c>
      <c r="CV208" s="16">
        <f t="shared" si="168"/>
        <v>956193870</v>
      </c>
      <c r="CW208" s="16">
        <f t="shared" si="168"/>
        <v>1099385423</v>
      </c>
      <c r="CX208" s="16">
        <f t="shared" si="168"/>
        <v>1279672517</v>
      </c>
      <c r="CY208" s="16">
        <f t="shared" si="168"/>
        <v>1433637273</v>
      </c>
      <c r="CZ208" s="16">
        <f t="shared" si="168"/>
        <v>1572223288</v>
      </c>
      <c r="DA208" s="16">
        <f t="shared" si="168"/>
        <v>1858447408</v>
      </c>
      <c r="DB208" s="16">
        <f t="shared" si="168"/>
        <v>1858447408</v>
      </c>
      <c r="DC208" s="16">
        <f t="shared" si="168"/>
        <v>63485098</v>
      </c>
      <c r="DD208" s="16">
        <f t="shared" si="168"/>
        <v>195811242</v>
      </c>
      <c r="DE208" s="16">
        <f t="shared" si="168"/>
        <v>342933396</v>
      </c>
      <c r="DF208" s="16">
        <f t="shared" si="168"/>
        <v>515863325</v>
      </c>
      <c r="DG208" s="16">
        <f t="shared" si="168"/>
        <v>685185958</v>
      </c>
      <c r="DH208" s="16">
        <f t="shared" si="168"/>
        <v>881500819</v>
      </c>
      <c r="DI208" s="16">
        <f t="shared" si="168"/>
        <v>1067262025</v>
      </c>
      <c r="DJ208" s="16">
        <f t="shared" si="168"/>
        <v>1263131984</v>
      </c>
      <c r="DK208" s="16">
        <f t="shared" si="168"/>
        <v>1462296838</v>
      </c>
      <c r="DL208" s="16">
        <f t="shared" si="168"/>
        <v>1667789221</v>
      </c>
      <c r="DM208" s="16">
        <f t="shared" si="168"/>
        <v>1835506537</v>
      </c>
      <c r="DN208" s="16">
        <f t="shared" si="168"/>
        <v>2206880084</v>
      </c>
      <c r="DO208" s="16">
        <f t="shared" si="168"/>
        <v>2206880084</v>
      </c>
      <c r="DP208" s="16">
        <f t="shared" si="168"/>
        <v>135929969</v>
      </c>
      <c r="DQ208" s="16">
        <f t="shared" si="168"/>
        <v>327888911</v>
      </c>
      <c r="DR208" s="16">
        <f t="shared" si="168"/>
        <v>558132312</v>
      </c>
      <c r="DS208" s="16">
        <f t="shared" si="168"/>
        <v>784705734</v>
      </c>
      <c r="DT208" s="16">
        <f t="shared" si="168"/>
        <v>1022603759</v>
      </c>
      <c r="DU208" s="16">
        <f t="shared" si="168"/>
        <v>1272654481</v>
      </c>
      <c r="DV208" s="16">
        <f t="shared" si="168"/>
        <v>1469477554</v>
      </c>
      <c r="DW208" s="16">
        <f t="shared" si="168"/>
        <v>1661952215</v>
      </c>
      <c r="DX208" s="16">
        <f t="shared" si="168"/>
        <v>1843355801</v>
      </c>
      <c r="DY208" s="16">
        <f t="shared" si="168"/>
        <v>2024875725</v>
      </c>
      <c r="DZ208" s="16">
        <f t="shared" si="168"/>
        <v>2180998519</v>
      </c>
      <c r="EA208" s="16">
        <f t="shared" ref="EA208:FF208" si="169">SUM(EA190:EA207)</f>
        <v>2503718466</v>
      </c>
      <c r="EB208" s="16">
        <f t="shared" si="169"/>
        <v>2503718466</v>
      </c>
      <c r="EC208" s="16">
        <f t="shared" si="169"/>
        <v>143432234</v>
      </c>
      <c r="ED208" s="16">
        <f t="shared" si="169"/>
        <v>380548366</v>
      </c>
      <c r="EE208" s="16">
        <f t="shared" si="169"/>
        <v>667273724</v>
      </c>
      <c r="EF208" s="16">
        <f t="shared" si="169"/>
        <v>886345579</v>
      </c>
      <c r="EG208" s="16">
        <f t="shared" si="169"/>
        <v>1147255775</v>
      </c>
      <c r="EH208" s="16">
        <f t="shared" si="169"/>
        <v>1364398810</v>
      </c>
      <c r="EI208" s="16">
        <f t="shared" si="169"/>
        <v>1581765302</v>
      </c>
      <c r="EJ208" s="16">
        <f t="shared" si="169"/>
        <v>1810956654</v>
      </c>
      <c r="EK208" s="16">
        <f t="shared" si="169"/>
        <v>2012607115</v>
      </c>
      <c r="EL208" s="16">
        <f t="shared" si="169"/>
        <v>2239926629</v>
      </c>
      <c r="EM208" s="16">
        <f t="shared" si="169"/>
        <v>2478165977</v>
      </c>
      <c r="EN208" s="16">
        <f t="shared" si="169"/>
        <v>2904924599</v>
      </c>
      <c r="EO208" s="16">
        <f t="shared" si="169"/>
        <v>2904924599</v>
      </c>
      <c r="EP208" s="16">
        <f t="shared" si="169"/>
        <v>213300383</v>
      </c>
      <c r="EQ208" s="16">
        <f t="shared" si="169"/>
        <v>453983080</v>
      </c>
      <c r="ER208" s="16">
        <f t="shared" si="169"/>
        <v>689388375</v>
      </c>
      <c r="ES208" s="16">
        <f t="shared" si="169"/>
        <v>920829125</v>
      </c>
      <c r="ET208" s="16">
        <f t="shared" si="169"/>
        <v>1229744183</v>
      </c>
      <c r="EU208" s="16">
        <f t="shared" si="169"/>
        <v>1475648050</v>
      </c>
      <c r="EV208" s="16">
        <f t="shared" si="169"/>
        <v>1745241889</v>
      </c>
      <c r="EW208" s="16">
        <f t="shared" si="169"/>
        <v>1957247889</v>
      </c>
      <c r="EX208" s="16">
        <f t="shared" si="169"/>
        <v>2185264240</v>
      </c>
      <c r="EY208" s="16">
        <f t="shared" si="169"/>
        <v>2629761403</v>
      </c>
      <c r="EZ208" s="16">
        <f t="shared" si="169"/>
        <v>2837014266</v>
      </c>
      <c r="FA208" s="16">
        <f t="shared" si="169"/>
        <v>3231678980</v>
      </c>
      <c r="FB208" s="16">
        <f t="shared" si="169"/>
        <v>3231678980</v>
      </c>
      <c r="FC208" s="16">
        <f t="shared" si="169"/>
        <v>211076989</v>
      </c>
      <c r="FD208" s="16">
        <f t="shared" si="169"/>
        <v>464025149</v>
      </c>
      <c r="FE208" s="16">
        <f t="shared" si="169"/>
        <v>725828517</v>
      </c>
      <c r="FF208" s="16">
        <f t="shared" si="169"/>
        <v>1056464664</v>
      </c>
      <c r="FG208" s="16">
        <f t="shared" ref="FG208:GL208" si="170">SUM(FG190:FG207)</f>
        <v>1399206532</v>
      </c>
      <c r="FH208" s="16">
        <f t="shared" si="170"/>
        <v>1669006843</v>
      </c>
      <c r="FI208" s="16">
        <f t="shared" si="170"/>
        <v>1984699429</v>
      </c>
      <c r="FJ208" s="16">
        <f t="shared" si="170"/>
        <v>0</v>
      </c>
      <c r="FK208" s="16">
        <f t="shared" si="170"/>
        <v>0</v>
      </c>
      <c r="FL208" s="16">
        <f t="shared" si="170"/>
        <v>0</v>
      </c>
      <c r="FM208" s="16">
        <f t="shared" si="170"/>
        <v>0</v>
      </c>
      <c r="FN208" s="16">
        <f t="shared" si="170"/>
        <v>0</v>
      </c>
      <c r="FO208" s="16">
        <f t="shared" si="170"/>
        <v>1984699429</v>
      </c>
    </row>
  </sheetData>
  <mergeCells count="117">
    <mergeCell ref="C75:O75"/>
    <mergeCell ref="EP166:FB166"/>
    <mergeCell ref="P75:AB75"/>
    <mergeCell ref="P28:AB28"/>
    <mergeCell ref="BP28:CB28"/>
    <mergeCell ref="FC144:FO144"/>
    <mergeCell ref="EC75:EO75"/>
    <mergeCell ref="FC119:FO119"/>
    <mergeCell ref="DP75:EB75"/>
    <mergeCell ref="AP166:BB166"/>
    <mergeCell ref="AC188:AO188"/>
    <mergeCell ref="EC28:EO28"/>
    <mergeCell ref="AP28:BB28"/>
    <mergeCell ref="CP28:DB28"/>
    <mergeCell ref="FC75:FO75"/>
    <mergeCell ref="BP188:CB188"/>
    <mergeCell ref="EP50:FB50"/>
    <mergeCell ref="P119:AB119"/>
    <mergeCell ref="BP97:CB97"/>
    <mergeCell ref="DP166:EB166"/>
    <mergeCell ref="AP144:BB144"/>
    <mergeCell ref="AC166:AO166"/>
    <mergeCell ref="CP144:DB144"/>
    <mergeCell ref="AP119:BB119"/>
    <mergeCell ref="DC97:DO97"/>
    <mergeCell ref="AC97:AO97"/>
    <mergeCell ref="CC166:CO166"/>
    <mergeCell ref="FC50:FO50"/>
    <mergeCell ref="CC119:CO119"/>
    <mergeCell ref="EP97:FB97"/>
    <mergeCell ref="EC119:EO119"/>
    <mergeCell ref="CC75:CO75"/>
    <mergeCell ref="BC144:BO144"/>
    <mergeCell ref="DC28:DO28"/>
    <mergeCell ref="FC166:FO166"/>
    <mergeCell ref="EC144:EO144"/>
    <mergeCell ref="AP188:BB188"/>
    <mergeCell ref="CP75:DB75"/>
    <mergeCell ref="FC6:FO6"/>
    <mergeCell ref="P166:AB166"/>
    <mergeCell ref="C188:O188"/>
    <mergeCell ref="EP28:FB28"/>
    <mergeCell ref="AP6:BB6"/>
    <mergeCell ref="AC50:AO50"/>
    <mergeCell ref="P97:AB97"/>
    <mergeCell ref="C119:O119"/>
    <mergeCell ref="DP50:EB50"/>
    <mergeCell ref="BP6:CB6"/>
    <mergeCell ref="EP188:FB188"/>
    <mergeCell ref="AP97:BB97"/>
    <mergeCell ref="CP166:DB166"/>
    <mergeCell ref="FC97:FO97"/>
    <mergeCell ref="EP119:FB119"/>
    <mergeCell ref="EP6:FB6"/>
    <mergeCell ref="C166:O166"/>
    <mergeCell ref="P144:AB144"/>
    <mergeCell ref="BP144:CB144"/>
    <mergeCell ref="BC166:BO166"/>
    <mergeCell ref="C28:O28"/>
    <mergeCell ref="BC28:BO28"/>
    <mergeCell ref="EP144:FB144"/>
    <mergeCell ref="CP119:DB119"/>
    <mergeCell ref="AC144:AO144"/>
    <mergeCell ref="CC97:CO97"/>
    <mergeCell ref="C6:O6"/>
    <mergeCell ref="BC6:BO6"/>
    <mergeCell ref="DC188:DO188"/>
    <mergeCell ref="EC50:EO50"/>
    <mergeCell ref="BC119:BO119"/>
    <mergeCell ref="DP97:EB97"/>
    <mergeCell ref="DC119:DO119"/>
    <mergeCell ref="BP50:CB50"/>
    <mergeCell ref="CC6:CO6"/>
    <mergeCell ref="AC75:AO75"/>
    <mergeCell ref="AC28:AO28"/>
    <mergeCell ref="P50:AB50"/>
    <mergeCell ref="CC28:CO28"/>
    <mergeCell ref="C97:O97"/>
    <mergeCell ref="BC75:BO75"/>
    <mergeCell ref="BC50:BO50"/>
    <mergeCell ref="EC188:EO188"/>
    <mergeCell ref="AP50:BB50"/>
    <mergeCell ref="DP6:EB6"/>
    <mergeCell ref="CP97:DB97"/>
    <mergeCell ref="DP188:EB188"/>
    <mergeCell ref="BP166:CB166"/>
    <mergeCell ref="BC188:BO188"/>
    <mergeCell ref="BP119:CB119"/>
    <mergeCell ref="EC97:EO97"/>
    <mergeCell ref="DP119:EB119"/>
    <mergeCell ref="CC188:CO188"/>
    <mergeCell ref="DC6:DO6"/>
    <mergeCell ref="CP6:DB6"/>
    <mergeCell ref="DP144:EB144"/>
    <mergeCell ref="CC50:CO50"/>
    <mergeCell ref="C144:O144"/>
    <mergeCell ref="FC188:FO188"/>
    <mergeCell ref="BC97:BO97"/>
    <mergeCell ref="AC6:AO6"/>
    <mergeCell ref="DC166:DO166"/>
    <mergeCell ref="DC75:DO75"/>
    <mergeCell ref="CC144:CO144"/>
    <mergeCell ref="DC50:DO50"/>
    <mergeCell ref="AC119:AO119"/>
    <mergeCell ref="AP75:BB75"/>
    <mergeCell ref="EC166:EO166"/>
    <mergeCell ref="DC144:DO144"/>
    <mergeCell ref="P188:AB188"/>
    <mergeCell ref="FC28:FO28"/>
    <mergeCell ref="BP75:CB75"/>
    <mergeCell ref="EC6:EO6"/>
    <mergeCell ref="DP28:EB28"/>
    <mergeCell ref="P6:AB6"/>
    <mergeCell ref="CP188:DB188"/>
    <mergeCell ref="C50:O50"/>
    <mergeCell ref="EP75:FB75"/>
    <mergeCell ref="CP50:DB50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C3E50"/>
  </sheetPr>
  <dimension ref="B1:FO208"/>
  <sheetViews>
    <sheetView tabSelected="1" topLeftCell="A166" workbookViewId="0">
      <selection activeCell="D195" sqref="D195"/>
    </sheetView>
  </sheetViews>
  <sheetFormatPr baseColWidth="10" defaultColWidth="14.44140625" defaultRowHeight="15" customHeight="1" x14ac:dyDescent="0.3"/>
  <cols>
    <col min="1" max="1" width="3" style="31" customWidth="1"/>
    <col min="2" max="2" width="38" style="31" customWidth="1"/>
    <col min="3" max="171" width="15" style="31" customWidth="1"/>
    <col min="172" max="172" width="14.44140625" style="31" customWidth="1"/>
    <col min="173" max="16384" width="14.44140625" style="31"/>
  </cols>
  <sheetData>
    <row r="1" spans="2:171" ht="14.25" customHeight="1" x14ac:dyDescent="0.4">
      <c r="B1" s="1" t="s">
        <v>0</v>
      </c>
      <c r="C1">
        <v>1.620347026546048</v>
      </c>
      <c r="D1">
        <v>1.620347026546048</v>
      </c>
      <c r="E1">
        <v>1.620347026546048</v>
      </c>
      <c r="F1">
        <v>1.620347026546048</v>
      </c>
      <c r="G1">
        <v>1.620347026546048</v>
      </c>
      <c r="H1">
        <v>1.620347026546048</v>
      </c>
      <c r="I1">
        <v>1.620347026546048</v>
      </c>
      <c r="J1">
        <v>1.620347026546048</v>
      </c>
      <c r="K1">
        <v>1.620347026546048</v>
      </c>
      <c r="L1">
        <v>1.620347026546048</v>
      </c>
      <c r="M1">
        <v>1.620347026546048</v>
      </c>
      <c r="N1">
        <v>1.620347026546048</v>
      </c>
      <c r="P1">
        <v>1.552209120613723</v>
      </c>
      <c r="Q1">
        <v>1.552209120613723</v>
      </c>
      <c r="R1">
        <v>1.552209120613723</v>
      </c>
      <c r="S1">
        <v>1.552209120613723</v>
      </c>
      <c r="T1">
        <v>1.552209120613723</v>
      </c>
      <c r="U1">
        <v>1.552209120613723</v>
      </c>
      <c r="V1">
        <v>1.552209120613723</v>
      </c>
      <c r="W1">
        <v>1.552209120613723</v>
      </c>
      <c r="X1">
        <v>1.552209120613723</v>
      </c>
      <c r="Y1">
        <v>1.552209120613723</v>
      </c>
      <c r="Z1">
        <v>1.552209120613723</v>
      </c>
      <c r="AA1">
        <v>1.552209120613723</v>
      </c>
      <c r="AC1">
        <v>1.51141236685572</v>
      </c>
      <c r="AD1">
        <v>1.51141236685572</v>
      </c>
      <c r="AE1">
        <v>1.51141236685572</v>
      </c>
      <c r="AF1">
        <v>1.51141236685572</v>
      </c>
      <c r="AG1">
        <v>1.51141236685572</v>
      </c>
      <c r="AH1">
        <v>1.51141236685572</v>
      </c>
      <c r="AI1">
        <v>1.51141236685572</v>
      </c>
      <c r="AJ1">
        <v>1.51141236685572</v>
      </c>
      <c r="AK1">
        <v>1.51141236685572</v>
      </c>
      <c r="AL1">
        <v>1.51141236685572</v>
      </c>
      <c r="AM1">
        <v>1.51141236685572</v>
      </c>
      <c r="AN1">
        <v>1.51141236685572</v>
      </c>
      <c r="AP1">
        <v>1.477884485323955</v>
      </c>
      <c r="AQ1">
        <v>1.477884485323955</v>
      </c>
      <c r="AR1">
        <v>1.477884485323955</v>
      </c>
      <c r="AS1">
        <v>1.477884485323955</v>
      </c>
      <c r="AT1">
        <v>1.477884485323955</v>
      </c>
      <c r="AU1">
        <v>1.477884485323955</v>
      </c>
      <c r="AV1">
        <v>1.477884485323955</v>
      </c>
      <c r="AW1">
        <v>1.477884485323955</v>
      </c>
      <c r="AX1">
        <v>1.477884485323955</v>
      </c>
      <c r="AY1">
        <v>1.477884485323955</v>
      </c>
      <c r="AZ1">
        <v>1.477884485323955</v>
      </c>
      <c r="BA1">
        <v>1.477884485323955</v>
      </c>
      <c r="BC1">
        <v>1.440854543056838</v>
      </c>
      <c r="BD1">
        <v>1.440854543056838</v>
      </c>
      <c r="BE1">
        <v>1.440854543056838</v>
      </c>
      <c r="BF1">
        <v>1.440854543056838</v>
      </c>
      <c r="BG1">
        <v>1.440854543056838</v>
      </c>
      <c r="BH1">
        <v>1.440854543056838</v>
      </c>
      <c r="BI1">
        <v>1.440854543056838</v>
      </c>
      <c r="BJ1">
        <v>1.440854543056838</v>
      </c>
      <c r="BK1">
        <v>1.440854543056838</v>
      </c>
      <c r="BL1">
        <v>1.440854543056838</v>
      </c>
      <c r="BM1">
        <v>1.440854543056838</v>
      </c>
      <c r="BN1">
        <v>1.440854543056838</v>
      </c>
      <c r="BP1">
        <v>1.398975672215109</v>
      </c>
      <c r="BQ1">
        <v>1.398975672215109</v>
      </c>
      <c r="BR1">
        <v>1.398975672215109</v>
      </c>
      <c r="BS1">
        <v>1.398975672215109</v>
      </c>
      <c r="BT1">
        <v>1.398975672215109</v>
      </c>
      <c r="BU1">
        <v>1.398975672215109</v>
      </c>
      <c r="BV1">
        <v>1.398975672215109</v>
      </c>
      <c r="BW1">
        <v>1.398975672215109</v>
      </c>
      <c r="BX1">
        <v>1.398975672215109</v>
      </c>
      <c r="BY1">
        <v>1.398975672215109</v>
      </c>
      <c r="BZ1">
        <v>1.398975672215109</v>
      </c>
      <c r="CA1">
        <v>1.398975672215109</v>
      </c>
      <c r="CC1">
        <v>1.3584483401715779</v>
      </c>
      <c r="CD1">
        <v>1.3584483401715779</v>
      </c>
      <c r="CE1">
        <v>1.3584483401715779</v>
      </c>
      <c r="CF1">
        <v>1.3584483401715779</v>
      </c>
      <c r="CG1">
        <v>1.3584483401715779</v>
      </c>
      <c r="CH1">
        <v>1.3584483401715779</v>
      </c>
      <c r="CI1">
        <v>1.3584483401715779</v>
      </c>
      <c r="CJ1">
        <v>1.3584483401715779</v>
      </c>
      <c r="CK1">
        <v>1.3584483401715779</v>
      </c>
      <c r="CL1">
        <v>1.3584483401715779</v>
      </c>
      <c r="CM1">
        <v>1.3584483401715779</v>
      </c>
      <c r="CN1">
        <v>1.3584483401715779</v>
      </c>
      <c r="CP1">
        <v>1.2675174013921111</v>
      </c>
      <c r="CQ1">
        <v>1.2675174013921111</v>
      </c>
      <c r="CR1">
        <v>1.2675174013921111</v>
      </c>
      <c r="CS1">
        <v>1.2675174013921111</v>
      </c>
      <c r="CT1">
        <v>1.2675174013921111</v>
      </c>
      <c r="CU1">
        <v>1.2675174013921111</v>
      </c>
      <c r="CV1">
        <v>1.2675174013921111</v>
      </c>
      <c r="CW1">
        <v>1.2675174013921111</v>
      </c>
      <c r="CX1">
        <v>1.2675174013921111</v>
      </c>
      <c r="CY1">
        <v>1.2675174013921111</v>
      </c>
      <c r="CZ1">
        <v>1.2675174013921111</v>
      </c>
      <c r="DA1">
        <v>1.2675174013921111</v>
      </c>
      <c r="DC1">
        <v>1.1239584404896621</v>
      </c>
      <c r="DD1">
        <v>1.1239584404896621</v>
      </c>
      <c r="DE1">
        <v>1.1239584404896621</v>
      </c>
      <c r="DF1">
        <v>1.1239584404896621</v>
      </c>
      <c r="DG1">
        <v>1.1239584404896621</v>
      </c>
      <c r="DH1">
        <v>1.1239584404896621</v>
      </c>
      <c r="DI1">
        <v>1.1239584404896621</v>
      </c>
      <c r="DJ1">
        <v>1.1239584404896621</v>
      </c>
      <c r="DK1">
        <v>1.1239584404896621</v>
      </c>
      <c r="DL1">
        <v>1.1239584404896621</v>
      </c>
      <c r="DM1">
        <v>1.1239584404896621</v>
      </c>
      <c r="DN1">
        <v>1.1239584404896621</v>
      </c>
      <c r="DP1">
        <v>1.0813539192399051</v>
      </c>
      <c r="DQ1">
        <v>1.0813539192399051</v>
      </c>
      <c r="DR1">
        <v>1.0813539192399051</v>
      </c>
      <c r="DS1">
        <v>1.0813539192399051</v>
      </c>
      <c r="DT1">
        <v>1.0813539192399051</v>
      </c>
      <c r="DU1">
        <v>1.0813539192399051</v>
      </c>
      <c r="DV1">
        <v>1.0813539192399051</v>
      </c>
      <c r="DW1">
        <v>1.0813539192399051</v>
      </c>
      <c r="DX1">
        <v>1.0813539192399051</v>
      </c>
      <c r="DY1">
        <v>1.0813539192399051</v>
      </c>
      <c r="DZ1">
        <v>1.0813539192399051</v>
      </c>
      <c r="EA1">
        <v>1.0813539192399051</v>
      </c>
      <c r="EC1">
        <v>1.034463169854194</v>
      </c>
      <c r="ED1">
        <v>1.034463169854194</v>
      </c>
      <c r="EE1">
        <v>1.034463169854194</v>
      </c>
      <c r="EF1">
        <v>1.034463169854194</v>
      </c>
      <c r="EG1">
        <v>1.034463169854194</v>
      </c>
      <c r="EH1">
        <v>1.034463169854194</v>
      </c>
      <c r="EI1">
        <v>1.034463169854194</v>
      </c>
      <c r="EJ1">
        <v>1.034463169854194</v>
      </c>
      <c r="EK1">
        <v>1.034463169854194</v>
      </c>
      <c r="EL1">
        <v>1.034463169854194</v>
      </c>
      <c r="EM1">
        <v>1.034463169854194</v>
      </c>
      <c r="EN1">
        <v>1.034463169854194</v>
      </c>
      <c r="EP1">
        <v>1</v>
      </c>
      <c r="EQ1">
        <v>1</v>
      </c>
      <c r="ER1">
        <v>1</v>
      </c>
      <c r="ES1">
        <v>1</v>
      </c>
      <c r="ET1">
        <v>1</v>
      </c>
      <c r="EU1">
        <v>1</v>
      </c>
      <c r="EV1">
        <v>1</v>
      </c>
      <c r="EW1">
        <v>1</v>
      </c>
      <c r="EX1">
        <v>1</v>
      </c>
      <c r="EY1">
        <v>1</v>
      </c>
      <c r="EZ1">
        <v>1</v>
      </c>
      <c r="FA1">
        <v>1</v>
      </c>
      <c r="FC1">
        <v>1</v>
      </c>
      <c r="FD1">
        <v>1</v>
      </c>
      <c r="FE1">
        <v>1</v>
      </c>
      <c r="FF1">
        <v>1</v>
      </c>
      <c r="FG1">
        <v>1</v>
      </c>
      <c r="FH1">
        <v>1</v>
      </c>
      <c r="FI1">
        <v>1</v>
      </c>
      <c r="FJ1">
        <v>1</v>
      </c>
      <c r="FK1">
        <v>1</v>
      </c>
      <c r="FL1">
        <v>1</v>
      </c>
      <c r="FM1">
        <v>1</v>
      </c>
      <c r="FN1">
        <v>1</v>
      </c>
    </row>
    <row r="2" spans="2:171" ht="14.25" customHeight="1" x14ac:dyDescent="0.3">
      <c r="B2" s="2" t="s">
        <v>80</v>
      </c>
    </row>
    <row r="3" spans="2:171" ht="14.25" customHeight="1" x14ac:dyDescent="0.3"/>
    <row r="4" spans="2:171" ht="14.25" customHeight="1" x14ac:dyDescent="0.35">
      <c r="B4" s="3" t="s">
        <v>2</v>
      </c>
    </row>
    <row r="5" spans="2:171" ht="14.25" customHeight="1" x14ac:dyDescent="0.3">
      <c r="B5" s="4" t="s">
        <v>3</v>
      </c>
    </row>
    <row r="6" spans="2:171" ht="14.25" customHeight="1" x14ac:dyDescent="0.3">
      <c r="C6" s="33" t="s">
        <v>4</v>
      </c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3" t="s">
        <v>5</v>
      </c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3" t="s">
        <v>6</v>
      </c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3" t="s">
        <v>7</v>
      </c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3" t="s">
        <v>8</v>
      </c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3" t="s">
        <v>9</v>
      </c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3" t="s">
        <v>10</v>
      </c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3" t="s">
        <v>11</v>
      </c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3" t="s">
        <v>12</v>
      </c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3" t="s">
        <v>13</v>
      </c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3" t="s">
        <v>14</v>
      </c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3" t="s">
        <v>15</v>
      </c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3" t="s">
        <v>16</v>
      </c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</row>
    <row r="7" spans="2:171" ht="14.25" customHeight="1" x14ac:dyDescent="0.3">
      <c r="B7" s="5" t="s">
        <v>17</v>
      </c>
      <c r="C7" s="6" t="s">
        <v>18</v>
      </c>
      <c r="D7" s="6" t="s">
        <v>19</v>
      </c>
      <c r="E7" s="6" t="s">
        <v>20</v>
      </c>
      <c r="F7" s="6" t="s">
        <v>21</v>
      </c>
      <c r="G7" s="6" t="s">
        <v>22</v>
      </c>
      <c r="H7" s="6" t="s">
        <v>23</v>
      </c>
      <c r="I7" s="6" t="s">
        <v>24</v>
      </c>
      <c r="J7" s="6" t="s">
        <v>25</v>
      </c>
      <c r="K7" s="6" t="s">
        <v>26</v>
      </c>
      <c r="L7" s="6" t="s">
        <v>27</v>
      </c>
      <c r="M7" s="6" t="s">
        <v>28</v>
      </c>
      <c r="N7" s="6" t="s">
        <v>29</v>
      </c>
      <c r="O7" s="6" t="s">
        <v>30</v>
      </c>
      <c r="P7" s="6" t="s">
        <v>18</v>
      </c>
      <c r="Q7" s="6" t="s">
        <v>19</v>
      </c>
      <c r="R7" s="6" t="s">
        <v>20</v>
      </c>
      <c r="S7" s="6" t="s">
        <v>21</v>
      </c>
      <c r="T7" s="6" t="s">
        <v>22</v>
      </c>
      <c r="U7" s="6" t="s">
        <v>23</v>
      </c>
      <c r="V7" s="6" t="s">
        <v>24</v>
      </c>
      <c r="W7" s="6" t="s">
        <v>25</v>
      </c>
      <c r="X7" s="6" t="s">
        <v>26</v>
      </c>
      <c r="Y7" s="6" t="s">
        <v>27</v>
      </c>
      <c r="Z7" s="6" t="s">
        <v>28</v>
      </c>
      <c r="AA7" s="6" t="s">
        <v>29</v>
      </c>
      <c r="AB7" s="6" t="s">
        <v>31</v>
      </c>
      <c r="AC7" s="6" t="s">
        <v>18</v>
      </c>
      <c r="AD7" s="6" t="s">
        <v>19</v>
      </c>
      <c r="AE7" s="6" t="s">
        <v>20</v>
      </c>
      <c r="AF7" s="6" t="s">
        <v>21</v>
      </c>
      <c r="AG7" s="6" t="s">
        <v>22</v>
      </c>
      <c r="AH7" s="6" t="s">
        <v>23</v>
      </c>
      <c r="AI7" s="6" t="s">
        <v>24</v>
      </c>
      <c r="AJ7" s="6" t="s">
        <v>25</v>
      </c>
      <c r="AK7" s="6" t="s">
        <v>26</v>
      </c>
      <c r="AL7" s="6" t="s">
        <v>27</v>
      </c>
      <c r="AM7" s="6" t="s">
        <v>28</v>
      </c>
      <c r="AN7" s="6" t="s">
        <v>29</v>
      </c>
      <c r="AO7" s="6" t="s">
        <v>32</v>
      </c>
      <c r="AP7" s="6" t="s">
        <v>18</v>
      </c>
      <c r="AQ7" s="6" t="s">
        <v>19</v>
      </c>
      <c r="AR7" s="6" t="s">
        <v>20</v>
      </c>
      <c r="AS7" s="6" t="s">
        <v>21</v>
      </c>
      <c r="AT7" s="6" t="s">
        <v>22</v>
      </c>
      <c r="AU7" s="6" t="s">
        <v>23</v>
      </c>
      <c r="AV7" s="6" t="s">
        <v>24</v>
      </c>
      <c r="AW7" s="6" t="s">
        <v>25</v>
      </c>
      <c r="AX7" s="6" t="s">
        <v>26</v>
      </c>
      <c r="AY7" s="6" t="s">
        <v>27</v>
      </c>
      <c r="AZ7" s="6" t="s">
        <v>28</v>
      </c>
      <c r="BA7" s="6" t="s">
        <v>29</v>
      </c>
      <c r="BB7" s="6" t="s">
        <v>33</v>
      </c>
      <c r="BC7" s="6" t="s">
        <v>18</v>
      </c>
      <c r="BD7" s="6" t="s">
        <v>19</v>
      </c>
      <c r="BE7" s="6" t="s">
        <v>20</v>
      </c>
      <c r="BF7" s="6" t="s">
        <v>21</v>
      </c>
      <c r="BG7" s="6" t="s">
        <v>22</v>
      </c>
      <c r="BH7" s="6" t="s">
        <v>23</v>
      </c>
      <c r="BI7" s="6" t="s">
        <v>24</v>
      </c>
      <c r="BJ7" s="6" t="s">
        <v>25</v>
      </c>
      <c r="BK7" s="6" t="s">
        <v>26</v>
      </c>
      <c r="BL7" s="6" t="s">
        <v>27</v>
      </c>
      <c r="BM7" s="6" t="s">
        <v>28</v>
      </c>
      <c r="BN7" s="6" t="s">
        <v>29</v>
      </c>
      <c r="BO7" s="6" t="s">
        <v>34</v>
      </c>
      <c r="BP7" s="6" t="s">
        <v>18</v>
      </c>
      <c r="BQ7" s="6" t="s">
        <v>19</v>
      </c>
      <c r="BR7" s="6" t="s">
        <v>20</v>
      </c>
      <c r="BS7" s="6" t="s">
        <v>21</v>
      </c>
      <c r="BT7" s="6" t="s">
        <v>22</v>
      </c>
      <c r="BU7" s="6" t="s">
        <v>23</v>
      </c>
      <c r="BV7" s="6" t="s">
        <v>24</v>
      </c>
      <c r="BW7" s="6" t="s">
        <v>25</v>
      </c>
      <c r="BX7" s="6" t="s">
        <v>26</v>
      </c>
      <c r="BY7" s="6" t="s">
        <v>27</v>
      </c>
      <c r="BZ7" s="6" t="s">
        <v>28</v>
      </c>
      <c r="CA7" s="6" t="s">
        <v>29</v>
      </c>
      <c r="CB7" s="6" t="s">
        <v>35</v>
      </c>
      <c r="CC7" s="6" t="s">
        <v>18</v>
      </c>
      <c r="CD7" s="6" t="s">
        <v>19</v>
      </c>
      <c r="CE7" s="6" t="s">
        <v>20</v>
      </c>
      <c r="CF7" s="6" t="s">
        <v>21</v>
      </c>
      <c r="CG7" s="6" t="s">
        <v>22</v>
      </c>
      <c r="CH7" s="6" t="s">
        <v>23</v>
      </c>
      <c r="CI7" s="6" t="s">
        <v>24</v>
      </c>
      <c r="CJ7" s="6" t="s">
        <v>25</v>
      </c>
      <c r="CK7" s="6" t="s">
        <v>26</v>
      </c>
      <c r="CL7" s="6" t="s">
        <v>27</v>
      </c>
      <c r="CM7" s="6" t="s">
        <v>28</v>
      </c>
      <c r="CN7" s="6" t="s">
        <v>29</v>
      </c>
      <c r="CO7" s="6" t="s">
        <v>36</v>
      </c>
      <c r="CP7" s="6" t="s">
        <v>18</v>
      </c>
      <c r="CQ7" s="6" t="s">
        <v>19</v>
      </c>
      <c r="CR7" s="6" t="s">
        <v>20</v>
      </c>
      <c r="CS7" s="6" t="s">
        <v>21</v>
      </c>
      <c r="CT7" s="6" t="s">
        <v>22</v>
      </c>
      <c r="CU7" s="6" t="s">
        <v>23</v>
      </c>
      <c r="CV7" s="6" t="s">
        <v>24</v>
      </c>
      <c r="CW7" s="6" t="s">
        <v>25</v>
      </c>
      <c r="CX7" s="6" t="s">
        <v>26</v>
      </c>
      <c r="CY7" s="6" t="s">
        <v>27</v>
      </c>
      <c r="CZ7" s="6" t="s">
        <v>28</v>
      </c>
      <c r="DA7" s="6" t="s">
        <v>29</v>
      </c>
      <c r="DB7" s="6" t="s">
        <v>37</v>
      </c>
      <c r="DC7" s="6" t="s">
        <v>18</v>
      </c>
      <c r="DD7" s="6" t="s">
        <v>19</v>
      </c>
      <c r="DE7" s="6" t="s">
        <v>20</v>
      </c>
      <c r="DF7" s="6" t="s">
        <v>21</v>
      </c>
      <c r="DG7" s="6" t="s">
        <v>22</v>
      </c>
      <c r="DH7" s="6" t="s">
        <v>23</v>
      </c>
      <c r="DI7" s="6" t="s">
        <v>24</v>
      </c>
      <c r="DJ7" s="6" t="s">
        <v>25</v>
      </c>
      <c r="DK7" s="6" t="s">
        <v>26</v>
      </c>
      <c r="DL7" s="6" t="s">
        <v>27</v>
      </c>
      <c r="DM7" s="6" t="s">
        <v>28</v>
      </c>
      <c r="DN7" s="6" t="s">
        <v>29</v>
      </c>
      <c r="DO7" s="6" t="s">
        <v>38</v>
      </c>
      <c r="DP7" s="6" t="s">
        <v>18</v>
      </c>
      <c r="DQ7" s="6" t="s">
        <v>19</v>
      </c>
      <c r="DR7" s="6" t="s">
        <v>20</v>
      </c>
      <c r="DS7" s="6" t="s">
        <v>21</v>
      </c>
      <c r="DT7" s="6" t="s">
        <v>22</v>
      </c>
      <c r="DU7" s="6" t="s">
        <v>23</v>
      </c>
      <c r="DV7" s="6" t="s">
        <v>24</v>
      </c>
      <c r="DW7" s="6" t="s">
        <v>25</v>
      </c>
      <c r="DX7" s="6" t="s">
        <v>26</v>
      </c>
      <c r="DY7" s="6" t="s">
        <v>27</v>
      </c>
      <c r="DZ7" s="6" t="s">
        <v>28</v>
      </c>
      <c r="EA7" s="6" t="s">
        <v>29</v>
      </c>
      <c r="EB7" s="6" t="s">
        <v>39</v>
      </c>
      <c r="EC7" s="6" t="s">
        <v>18</v>
      </c>
      <c r="ED7" s="6" t="s">
        <v>19</v>
      </c>
      <c r="EE7" s="6" t="s">
        <v>20</v>
      </c>
      <c r="EF7" s="6" t="s">
        <v>21</v>
      </c>
      <c r="EG7" s="6" t="s">
        <v>22</v>
      </c>
      <c r="EH7" s="6" t="s">
        <v>23</v>
      </c>
      <c r="EI7" s="6" t="s">
        <v>24</v>
      </c>
      <c r="EJ7" s="6" t="s">
        <v>25</v>
      </c>
      <c r="EK7" s="6" t="s">
        <v>26</v>
      </c>
      <c r="EL7" s="6" t="s">
        <v>27</v>
      </c>
      <c r="EM7" s="6" t="s">
        <v>28</v>
      </c>
      <c r="EN7" s="6" t="s">
        <v>29</v>
      </c>
      <c r="EO7" s="6" t="s">
        <v>40</v>
      </c>
      <c r="EP7" s="6" t="s">
        <v>18</v>
      </c>
      <c r="EQ7" s="6" t="s">
        <v>19</v>
      </c>
      <c r="ER7" s="6" t="s">
        <v>20</v>
      </c>
      <c r="ES7" s="6" t="s">
        <v>21</v>
      </c>
      <c r="ET7" s="6" t="s">
        <v>22</v>
      </c>
      <c r="EU7" s="6" t="s">
        <v>23</v>
      </c>
      <c r="EV7" s="6" t="s">
        <v>24</v>
      </c>
      <c r="EW7" s="6" t="s">
        <v>25</v>
      </c>
      <c r="EX7" s="6" t="s">
        <v>26</v>
      </c>
      <c r="EY7" s="6" t="s">
        <v>27</v>
      </c>
      <c r="EZ7" s="6" t="s">
        <v>28</v>
      </c>
      <c r="FA7" s="6" t="s">
        <v>29</v>
      </c>
      <c r="FB7" s="6" t="s">
        <v>41</v>
      </c>
      <c r="FC7" s="6" t="s">
        <v>18</v>
      </c>
      <c r="FD7" s="6" t="s">
        <v>19</v>
      </c>
      <c r="FE7" s="6" t="s">
        <v>20</v>
      </c>
      <c r="FF7" s="6" t="s">
        <v>21</v>
      </c>
      <c r="FG7" s="6" t="s">
        <v>22</v>
      </c>
      <c r="FH7" s="6" t="s">
        <v>23</v>
      </c>
      <c r="FI7" s="6" t="s">
        <v>24</v>
      </c>
      <c r="FJ7" s="6" t="s">
        <v>25</v>
      </c>
      <c r="FK7" s="6" t="s">
        <v>26</v>
      </c>
      <c r="FL7" s="6" t="s">
        <v>27</v>
      </c>
      <c r="FM7" s="6" t="s">
        <v>28</v>
      </c>
      <c r="FN7" s="6" t="s">
        <v>29</v>
      </c>
      <c r="FO7" s="6" t="s">
        <v>42</v>
      </c>
    </row>
    <row r="8" spans="2:171" ht="14.25" customHeight="1" x14ac:dyDescent="0.3">
      <c r="B8" s="7" t="s">
        <v>43</v>
      </c>
      <c r="C8" s="8">
        <f>+MINVU_Mes_Corriente!C8*MINVU_Mes_Constante!$C$1</f>
        <v>75653647.813436165</v>
      </c>
      <c r="D8" s="8">
        <f>+MINVU_Mes_Corriente!D8*MINVU_Mes_Constante!$C$1</f>
        <v>75653647.813436165</v>
      </c>
      <c r="E8" s="8">
        <f>+MINVU_Mes_Corriente!E8*MINVU_Mes_Constante!$C$1</f>
        <v>77745389.437639043</v>
      </c>
      <c r="F8" s="8">
        <f>+MINVU_Mes_Corriente!F8*MINVU_Mes_Constante!$C$1</f>
        <v>77745389.437639043</v>
      </c>
      <c r="G8" s="8">
        <f>+MINVU_Mes_Corriente!G8*MINVU_Mes_Constante!$C$1</f>
        <v>77745389.437639043</v>
      </c>
      <c r="H8" s="8">
        <f>+MINVU_Mes_Corriente!H8*MINVU_Mes_Constante!$C$1</f>
        <v>77745389.437639043</v>
      </c>
      <c r="I8" s="8">
        <f>+MINVU_Mes_Corriente!I8*MINVU_Mes_Constante!$C$1</f>
        <v>77745389.437639043</v>
      </c>
      <c r="J8" s="8">
        <f>+MINVU_Mes_Corriente!J8*MINVU_Mes_Constante!$C$1</f>
        <v>77745389.437639043</v>
      </c>
      <c r="K8" s="8">
        <f>+MINVU_Mes_Corriente!K8*MINVU_Mes_Constante!$C$1</f>
        <v>77745389.437639043</v>
      </c>
      <c r="L8" s="8">
        <f>+MINVU_Mes_Corriente!L8*MINVU_Mes_Constante!$C$1</f>
        <v>77745389.437639043</v>
      </c>
      <c r="M8" s="8">
        <f>+MINVU_Mes_Corriente!M8*MINVU_Mes_Constante!$C$1</f>
        <v>77745389.437639043</v>
      </c>
      <c r="N8" s="8">
        <f>+MINVU_Mes_Corriente!N8*MINVU_Mes_Constante!$C$1</f>
        <v>77745389.437639043</v>
      </c>
      <c r="O8" s="9">
        <f t="shared" ref="O8:O25" si="0">N8</f>
        <v>77745389.437639043</v>
      </c>
      <c r="P8" s="8">
        <f>+MINVU_Mes_Corriente!P8*MINVU_Mes_Constante!$P$1</f>
        <v>81409503.375479445</v>
      </c>
      <c r="Q8" s="8">
        <f>+MINVU_Mes_Corriente!Q8*MINVU_Mes_Constante!$P$1</f>
        <v>81409503.375479445</v>
      </c>
      <c r="R8" s="8">
        <f>+MINVU_Mes_Corriente!R8*MINVU_Mes_Constante!$P$1</f>
        <v>81409503.375479445</v>
      </c>
      <c r="S8" s="8">
        <f>+MINVU_Mes_Corriente!S8*MINVU_Mes_Constante!$P$1</f>
        <v>81409503.375479445</v>
      </c>
      <c r="T8" s="8">
        <f>+MINVU_Mes_Corriente!T8*MINVU_Mes_Constante!$P$1</f>
        <v>81409503.375479445</v>
      </c>
      <c r="U8" s="8">
        <f>+MINVU_Mes_Corriente!U8*MINVU_Mes_Constante!$P$1</f>
        <v>81409503.375479445</v>
      </c>
      <c r="V8" s="8">
        <f>+MINVU_Mes_Corriente!V8*MINVU_Mes_Constante!$P$1</f>
        <v>81409503.375479445</v>
      </c>
      <c r="W8" s="8">
        <f>+MINVU_Mes_Corriente!W8*MINVU_Mes_Constante!$P$1</f>
        <v>81409503.375479445</v>
      </c>
      <c r="X8" s="8">
        <f>+MINVU_Mes_Corriente!X8*MINVU_Mes_Constante!$P$1</f>
        <v>81409503.375479445</v>
      </c>
      <c r="Y8" s="8">
        <f>+MINVU_Mes_Corriente!Y8*MINVU_Mes_Constante!$P$1</f>
        <v>81409503.375479445</v>
      </c>
      <c r="Z8" s="8">
        <f>+MINVU_Mes_Corriente!Z8*MINVU_Mes_Constante!$P$1</f>
        <v>81409503.375479445</v>
      </c>
      <c r="AA8" s="8">
        <f>+MINVU_Mes_Corriente!AA8*MINVU_Mes_Constante!$P$1</f>
        <v>81409503.375479445</v>
      </c>
      <c r="AB8" s="9">
        <f t="shared" ref="AB8:AB25" si="1">AA8</f>
        <v>81409503.375479445</v>
      </c>
      <c r="AC8" s="8">
        <f>+MINVU_Mes_Corriente!AC8*MINVU_Mes_Constante!$AC$1</f>
        <v>75118110.548623592</v>
      </c>
      <c r="AD8" s="8">
        <f>+MINVU_Mes_Corriente!AD8*MINVU_Mes_Constante!$AC$1</f>
        <v>75118110.548623592</v>
      </c>
      <c r="AE8" s="8">
        <f>+MINVU_Mes_Corriente!AE8*MINVU_Mes_Constante!$AC$1</f>
        <v>75118110.548623592</v>
      </c>
      <c r="AF8" s="8">
        <f>+MINVU_Mes_Corriente!AF8*MINVU_Mes_Constante!$AC$1</f>
        <v>75118110.548623592</v>
      </c>
      <c r="AG8" s="8">
        <f>+MINVU_Mes_Corriente!AG8*MINVU_Mes_Constante!$AC$1</f>
        <v>75118110.548623592</v>
      </c>
      <c r="AH8" s="8">
        <f>+MINVU_Mes_Corriente!AH8*MINVU_Mes_Constante!$AC$1</f>
        <v>75118110.548623592</v>
      </c>
      <c r="AI8" s="8">
        <f>+MINVU_Mes_Corriente!AI8*MINVU_Mes_Constante!$AC$1</f>
        <v>75118110.548623592</v>
      </c>
      <c r="AJ8" s="8">
        <f>+MINVU_Mes_Corriente!AJ8*MINVU_Mes_Constante!$AC$1</f>
        <v>75118110.548623592</v>
      </c>
      <c r="AK8" s="8">
        <f>+MINVU_Mes_Corriente!AK8*MINVU_Mes_Constante!$AC$1</f>
        <v>75118110.548623592</v>
      </c>
      <c r="AL8" s="8">
        <f>+MINVU_Mes_Corriente!AL8*MINVU_Mes_Constante!$AC$1</f>
        <v>75118110.548623592</v>
      </c>
      <c r="AM8" s="8">
        <f>+MINVU_Mes_Corriente!AM8*MINVU_Mes_Constante!$AC$1</f>
        <v>75118110.548623592</v>
      </c>
      <c r="AN8" s="8">
        <f>+MINVU_Mes_Corriente!AN8*MINVU_Mes_Constante!$AC$1</f>
        <v>75118110.548623592</v>
      </c>
      <c r="AO8" s="9">
        <f t="shared" ref="AO8:AO25" si="2">AN8</f>
        <v>75118110.548623592</v>
      </c>
      <c r="AP8" s="8">
        <f>+MINVU_Mes_Corriente!AP8*MINVU_Mes_Constante!$AP$1</f>
        <v>67954356.757202759</v>
      </c>
      <c r="AQ8" s="8">
        <f>+MINVU_Mes_Corriente!AQ8*MINVU_Mes_Constante!$AP$1</f>
        <v>67954356.757202759</v>
      </c>
      <c r="AR8" s="8">
        <f>+MINVU_Mes_Corriente!AR8*MINVU_Mes_Constante!$AP$1</f>
        <v>67954356.757202759</v>
      </c>
      <c r="AS8" s="8">
        <f>+MINVU_Mes_Corriente!AS8*MINVU_Mes_Constante!$AP$1</f>
        <v>67954356.757202759</v>
      </c>
      <c r="AT8" s="8">
        <f>+MINVU_Mes_Corriente!AT8*MINVU_Mes_Constante!$AP$1</f>
        <v>67954356.757202759</v>
      </c>
      <c r="AU8" s="8">
        <f>+MINVU_Mes_Corriente!AU8*MINVU_Mes_Constante!$AP$1</f>
        <v>67954356.757202759</v>
      </c>
      <c r="AV8" s="8">
        <f>+MINVU_Mes_Corriente!AV8*MINVU_Mes_Constante!$AP$1</f>
        <v>67954356.757202759</v>
      </c>
      <c r="AW8" s="8">
        <f>+MINVU_Mes_Corriente!AW8*MINVU_Mes_Constante!$AP$1</f>
        <v>67954356.757202759</v>
      </c>
      <c r="AX8" s="8">
        <f>+MINVU_Mes_Corriente!AX8*MINVU_Mes_Constante!$AP$1</f>
        <v>67954356.757202759</v>
      </c>
      <c r="AY8" s="8">
        <f>+MINVU_Mes_Corriente!AY8*MINVU_Mes_Constante!$AP$1</f>
        <v>67954356.757202759</v>
      </c>
      <c r="AZ8" s="8">
        <f>+MINVU_Mes_Corriente!AZ8*MINVU_Mes_Constante!$AP$1</f>
        <v>67954356.757202759</v>
      </c>
      <c r="BA8" s="8">
        <f>+MINVU_Mes_Corriente!BA8*MINVU_Mes_Constante!$AP$1</f>
        <v>67954356.757202759</v>
      </c>
      <c r="BB8" s="9">
        <f t="shared" ref="BB8:BB25" si="3">BA8</f>
        <v>67954356.757202759</v>
      </c>
      <c r="BC8" s="8">
        <f>+MINVU_Mes_Corriente!BC8*MINVU_Mes_Constante!$BC$1</f>
        <v>65477804.823948324</v>
      </c>
      <c r="BD8" s="8">
        <f>+MINVU_Mes_Corriente!BD8*MINVU_Mes_Constante!$BC$1</f>
        <v>65477804.823948324</v>
      </c>
      <c r="BE8" s="8">
        <f>+MINVU_Mes_Corriente!BE8*MINVU_Mes_Constante!$BC$1</f>
        <v>65477804.823948324</v>
      </c>
      <c r="BF8" s="8">
        <f>+MINVU_Mes_Corriente!BF8*MINVU_Mes_Constante!$BC$1</f>
        <v>65477804.823948324</v>
      </c>
      <c r="BG8" s="8">
        <f>+MINVU_Mes_Corriente!BG8*MINVU_Mes_Constante!$BC$1</f>
        <v>65477804.823948324</v>
      </c>
      <c r="BH8" s="8">
        <f>+MINVU_Mes_Corriente!BH8*MINVU_Mes_Constante!$BC$1</f>
        <v>65477804.823948324</v>
      </c>
      <c r="BI8" s="8">
        <f>+MINVU_Mes_Corriente!BI8*MINVU_Mes_Constante!$BC$1</f>
        <v>65477804.823948324</v>
      </c>
      <c r="BJ8" s="8">
        <f>+MINVU_Mes_Corriente!BJ8*MINVU_Mes_Constante!$BC$1</f>
        <v>65477804.823948324</v>
      </c>
      <c r="BK8" s="8">
        <f>+MINVU_Mes_Corriente!BK8*MINVU_Mes_Constante!$BC$1</f>
        <v>65477804.823948324</v>
      </c>
      <c r="BL8" s="8">
        <f>+MINVU_Mes_Corriente!BL8*MINVU_Mes_Constante!$BC$1</f>
        <v>65477804.823948324</v>
      </c>
      <c r="BM8" s="8">
        <f>+MINVU_Mes_Corriente!BM8*MINVU_Mes_Constante!$BC$1</f>
        <v>65477804.823948324</v>
      </c>
      <c r="BN8" s="8">
        <f>+MINVU_Mes_Corriente!BN8*MINVU_Mes_Constante!$BC$1</f>
        <v>65477804.823948324</v>
      </c>
      <c r="BO8" s="9">
        <f t="shared" ref="BO8:BO25" si="4">BN8</f>
        <v>65477804.823948324</v>
      </c>
      <c r="BP8" s="8">
        <f>+MINVU_Mes_Corriente!BP8*MINVU_Mes_Constante!$BP$1</f>
        <v>71656797.205889896</v>
      </c>
      <c r="BQ8" s="8">
        <f>+MINVU_Mes_Corriente!BQ8*MINVU_Mes_Constante!$BP$1</f>
        <v>71656797.205889896</v>
      </c>
      <c r="BR8" s="8">
        <f>+MINVU_Mes_Corriente!BR8*MINVU_Mes_Constante!$BP$1</f>
        <v>71656797.205889896</v>
      </c>
      <c r="BS8" s="8">
        <f>+MINVU_Mes_Corriente!BS8*MINVU_Mes_Constante!$BP$1</f>
        <v>71656797.205889896</v>
      </c>
      <c r="BT8" s="8">
        <f>+MINVU_Mes_Corriente!BT8*MINVU_Mes_Constante!$BP$1</f>
        <v>71656797.205889896</v>
      </c>
      <c r="BU8" s="8">
        <f>+MINVU_Mes_Corriente!BU8*MINVU_Mes_Constante!$BP$1</f>
        <v>71656797.205889896</v>
      </c>
      <c r="BV8" s="8">
        <f>+MINVU_Mes_Corriente!BV8*MINVU_Mes_Constante!$BP$1</f>
        <v>71656797.205889896</v>
      </c>
      <c r="BW8" s="8">
        <f>+MINVU_Mes_Corriente!BW8*MINVU_Mes_Constante!$BP$1</f>
        <v>71656797.205889896</v>
      </c>
      <c r="BX8" s="8">
        <f>+MINVU_Mes_Corriente!BX8*MINVU_Mes_Constante!$BP$1</f>
        <v>71656797.205889896</v>
      </c>
      <c r="BY8" s="8">
        <f>+MINVU_Mes_Corriente!BY8*MINVU_Mes_Constante!$BP$1</f>
        <v>71656797.205889896</v>
      </c>
      <c r="BZ8" s="8">
        <f>+MINVU_Mes_Corriente!BZ8*MINVU_Mes_Constante!$BP$1</f>
        <v>71656797.205889896</v>
      </c>
      <c r="CA8" s="8">
        <f>+MINVU_Mes_Corriente!CA8*MINVU_Mes_Constante!$BP$1</f>
        <v>71656797.205889896</v>
      </c>
      <c r="CB8" s="9">
        <f t="shared" ref="CB8:CB25" si="5">CA8</f>
        <v>71656797.205889896</v>
      </c>
      <c r="CC8" s="8">
        <f>+MINVU_Mes_Corriente!CC8*MINVU_Mes_Constante!$CC$1</f>
        <v>70079383.018276766</v>
      </c>
      <c r="CD8" s="8">
        <f>+MINVU_Mes_Corriente!CD8*MINVU_Mes_Constante!$CC$1</f>
        <v>70079383.018276766</v>
      </c>
      <c r="CE8" s="8">
        <f>+MINVU_Mes_Corriente!CE8*MINVU_Mes_Constante!$CC$1</f>
        <v>70079383.018276766</v>
      </c>
      <c r="CF8" s="8">
        <f>+MINVU_Mes_Corriente!CF8*MINVU_Mes_Constante!$CC$1</f>
        <v>70079383.018276766</v>
      </c>
      <c r="CG8" s="8">
        <f>+MINVU_Mes_Corriente!CG8*MINVU_Mes_Constante!$CC$1</f>
        <v>70079383.018276766</v>
      </c>
      <c r="CH8" s="8">
        <f>+MINVU_Mes_Corriente!CH8*MINVU_Mes_Constante!$CC$1</f>
        <v>70079383.018276766</v>
      </c>
      <c r="CI8" s="8">
        <f>+MINVU_Mes_Corriente!CI8*MINVU_Mes_Constante!$CC$1</f>
        <v>70079383.018276766</v>
      </c>
      <c r="CJ8" s="8">
        <f>+MINVU_Mes_Corriente!CJ8*MINVU_Mes_Constante!$CC$1</f>
        <v>70079383.018276766</v>
      </c>
      <c r="CK8" s="8">
        <f>+MINVU_Mes_Corriente!CK8*MINVU_Mes_Constante!$CC$1</f>
        <v>70079383.018276766</v>
      </c>
      <c r="CL8" s="8">
        <f>+MINVU_Mes_Corriente!CL8*MINVU_Mes_Constante!$CC$1</f>
        <v>70079383.018276766</v>
      </c>
      <c r="CM8" s="8">
        <f>+MINVU_Mes_Corriente!CM8*MINVU_Mes_Constante!$CC$1</f>
        <v>70079383.018276766</v>
      </c>
      <c r="CN8" s="8">
        <f>+MINVU_Mes_Corriente!CN8*MINVU_Mes_Constante!$CC$1</f>
        <v>70079383.018276766</v>
      </c>
      <c r="CO8" s="9">
        <f t="shared" ref="CO8:CO25" si="6">CN8</f>
        <v>70079383.018276766</v>
      </c>
      <c r="CP8" s="8">
        <f>+MINVU_Mes_Corriente!CP8*MINVU_Mes_Constante!$CP$1</f>
        <v>44793187.843155444</v>
      </c>
      <c r="CQ8" s="8">
        <f>+MINVU_Mes_Corriente!CQ8*MINVU_Mes_Constante!$CP$1</f>
        <v>44793187.843155444</v>
      </c>
      <c r="CR8" s="8">
        <f>+MINVU_Mes_Corriente!CR8*MINVU_Mes_Constante!$CP$1</f>
        <v>44793187.843155444</v>
      </c>
      <c r="CS8" s="8">
        <f>+MINVU_Mes_Corriente!CS8*MINVU_Mes_Constante!$CP$1</f>
        <v>44793187.843155444</v>
      </c>
      <c r="CT8" s="8">
        <f>+MINVU_Mes_Corriente!CT8*MINVU_Mes_Constante!$CP$1</f>
        <v>44793187.843155444</v>
      </c>
      <c r="CU8" s="8">
        <f>+MINVU_Mes_Corriente!CU8*MINVU_Mes_Constante!$CP$1</f>
        <v>44793187.843155444</v>
      </c>
      <c r="CV8" s="8">
        <f>+MINVU_Mes_Corriente!CV8*MINVU_Mes_Constante!$CP$1</f>
        <v>44793187.843155444</v>
      </c>
      <c r="CW8" s="8">
        <f>+MINVU_Mes_Corriente!CW8*MINVU_Mes_Constante!$CP$1</f>
        <v>44793187.843155444</v>
      </c>
      <c r="CX8" s="8">
        <f>+MINVU_Mes_Corriente!CX8*MINVU_Mes_Constante!$CP$1</f>
        <v>44793187.843155444</v>
      </c>
      <c r="CY8" s="8">
        <f>+MINVU_Mes_Corriente!CY8*MINVU_Mes_Constante!$CP$1</f>
        <v>44793187.843155444</v>
      </c>
      <c r="CZ8" s="8">
        <f>+MINVU_Mes_Corriente!CZ8*MINVU_Mes_Constante!$CP$1</f>
        <v>44793187.843155444</v>
      </c>
      <c r="DA8" s="8">
        <f>+MINVU_Mes_Corriente!DA8*MINVU_Mes_Constante!$CP$1</f>
        <v>44793187.843155444</v>
      </c>
      <c r="DB8" s="9">
        <f t="shared" ref="DB8:DB25" si="7">DA8</f>
        <v>44793187.843155444</v>
      </c>
      <c r="DC8" s="8">
        <f>+MINVU_Mes_Corriente!DC8*MINVU_Mes_Constante!$DC$1</f>
        <v>25572101.249459945</v>
      </c>
      <c r="DD8" s="8">
        <f>+MINVU_Mes_Corriente!DD8*MINVU_Mes_Constante!$DC$1</f>
        <v>25572101.249459945</v>
      </c>
      <c r="DE8" s="8">
        <f>+MINVU_Mes_Corriente!DE8*MINVU_Mes_Constante!$DC$1</f>
        <v>25572101.249459945</v>
      </c>
      <c r="DF8" s="8">
        <f>+MINVU_Mes_Corriente!DF8*MINVU_Mes_Constante!$DC$1</f>
        <v>25572101.249459945</v>
      </c>
      <c r="DG8" s="8">
        <f>+MINVU_Mes_Corriente!DG8*MINVU_Mes_Constante!$DC$1</f>
        <v>25572101.249459945</v>
      </c>
      <c r="DH8" s="8">
        <f>+MINVU_Mes_Corriente!DH8*MINVU_Mes_Constante!$DC$1</f>
        <v>25572101.249459945</v>
      </c>
      <c r="DI8" s="8">
        <f>+MINVU_Mes_Corriente!DI8*MINVU_Mes_Constante!$DC$1</f>
        <v>25572101.249459945</v>
      </c>
      <c r="DJ8" s="8">
        <f>+MINVU_Mes_Corriente!DJ8*MINVU_Mes_Constante!$DC$1</f>
        <v>25572101.249459945</v>
      </c>
      <c r="DK8" s="8">
        <f>+MINVU_Mes_Corriente!DK8*MINVU_Mes_Constante!$DC$1</f>
        <v>25572101.249459945</v>
      </c>
      <c r="DL8" s="8">
        <f>+MINVU_Mes_Corriente!DL8*MINVU_Mes_Constante!$DC$1</f>
        <v>25572101.249459945</v>
      </c>
      <c r="DM8" s="8">
        <f>+MINVU_Mes_Corriente!DM8*MINVU_Mes_Constante!$DC$1</f>
        <v>25572101.249459945</v>
      </c>
      <c r="DN8" s="8">
        <f>+MINVU_Mes_Corriente!DN8*MINVU_Mes_Constante!$DC$1</f>
        <v>25572101.249459945</v>
      </c>
      <c r="DO8" s="9">
        <f t="shared" ref="DO8:DO25" si="8">DN8</f>
        <v>25572101.249459945</v>
      </c>
      <c r="DP8" s="8">
        <f>+MINVU_Mes_Corriente!DP8*MINVU_Mes_Constante!$DP$1</f>
        <v>24143126.185866985</v>
      </c>
      <c r="DQ8" s="8">
        <f>+MINVU_Mes_Corriente!DQ8*MINVU_Mes_Constante!$DP$1</f>
        <v>24143126.185866985</v>
      </c>
      <c r="DR8" s="8">
        <f>+MINVU_Mes_Corriente!DR8*MINVU_Mes_Constante!$DP$1</f>
        <v>24143126.185866985</v>
      </c>
      <c r="DS8" s="8">
        <f>+MINVU_Mes_Corriente!DS8*MINVU_Mes_Constante!$DP$1</f>
        <v>24143126.185866985</v>
      </c>
      <c r="DT8" s="8">
        <f>+MINVU_Mes_Corriente!DT8*MINVU_Mes_Constante!$DP$1</f>
        <v>24143126.185866985</v>
      </c>
      <c r="DU8" s="8">
        <f>+MINVU_Mes_Corriente!DU8*MINVU_Mes_Constante!$DP$1</f>
        <v>24143126.185866985</v>
      </c>
      <c r="DV8" s="8">
        <f>+MINVU_Mes_Corriente!DV8*MINVU_Mes_Constante!$DP$1</f>
        <v>24143126.185866985</v>
      </c>
      <c r="DW8" s="8">
        <f>+MINVU_Mes_Corriente!DW8*MINVU_Mes_Constante!$DP$1</f>
        <v>24143126.185866985</v>
      </c>
      <c r="DX8" s="8">
        <f>+MINVU_Mes_Corriente!DX8*MINVU_Mes_Constante!$DP$1</f>
        <v>24143126.185866985</v>
      </c>
      <c r="DY8" s="8">
        <f>+MINVU_Mes_Corriente!DY8*MINVU_Mes_Constante!$DP$1</f>
        <v>24143126.185866985</v>
      </c>
      <c r="DZ8" s="8">
        <f>+MINVU_Mes_Corriente!DZ8*MINVU_Mes_Constante!$DP$1</f>
        <v>24143126.185866985</v>
      </c>
      <c r="EA8" s="8">
        <f>+MINVU_Mes_Corriente!EA8*MINVU_Mes_Constante!$DP$1</f>
        <v>24143126.185866985</v>
      </c>
      <c r="EB8" s="9">
        <f t="shared" ref="EB8:EB25" si="9">EA8</f>
        <v>24143126.185866985</v>
      </c>
      <c r="EC8" s="8">
        <f>+MINVU_Mes_Corriente!EC8*MINVU_Mes_Constante!$EC$1</f>
        <v>68156330.070062473</v>
      </c>
      <c r="ED8" s="8">
        <f>+MINVU_Mes_Corriente!ED8*MINVU_Mes_Constante!$EC$1</f>
        <v>68156330.070062473</v>
      </c>
      <c r="EE8" s="8">
        <f>+MINVU_Mes_Corriente!EE8*MINVU_Mes_Constante!$EC$1</f>
        <v>68156330.070062473</v>
      </c>
      <c r="EF8" s="8">
        <f>+MINVU_Mes_Corriente!EF8*MINVU_Mes_Constante!$EC$1</f>
        <v>68156330.070062473</v>
      </c>
      <c r="EG8" s="8">
        <f>+MINVU_Mes_Corriente!EG8*MINVU_Mes_Constante!$EC$1</f>
        <v>68156330.070062473</v>
      </c>
      <c r="EH8" s="8">
        <f>+MINVU_Mes_Corriente!EH8*MINVU_Mes_Constante!$EC$1</f>
        <v>68156330.070062473</v>
      </c>
      <c r="EI8" s="8">
        <f>+MINVU_Mes_Corriente!EI8*MINVU_Mes_Constante!$EC$1</f>
        <v>68156330.070062473</v>
      </c>
      <c r="EJ8" s="8">
        <f>+MINVU_Mes_Corriente!EJ8*MINVU_Mes_Constante!$EC$1</f>
        <v>68156330.070062473</v>
      </c>
      <c r="EK8" s="8">
        <f>+MINVU_Mes_Corriente!EK8*MINVU_Mes_Constante!$EC$1</f>
        <v>68156330.070062473</v>
      </c>
      <c r="EL8" s="8">
        <f>+MINVU_Mes_Corriente!EL8*MINVU_Mes_Constante!$EC$1</f>
        <v>68156330.070062473</v>
      </c>
      <c r="EM8" s="8">
        <f>+MINVU_Mes_Corriente!EM8*MINVU_Mes_Constante!$EC$1</f>
        <v>68156330.070062473</v>
      </c>
      <c r="EN8" s="8">
        <f>+MINVU_Mes_Corriente!EN8*MINVU_Mes_Constante!$EC$1</f>
        <v>68156330.070062473</v>
      </c>
      <c r="EO8" s="9">
        <f t="shared" ref="EO8:EO25" si="10">EN8</f>
        <v>68156330.070062473</v>
      </c>
      <c r="EP8" s="8">
        <f>+MINVU_Mes_Corriente!EP8*MINVU_Mes_Constante!$EP$1</f>
        <v>31496963</v>
      </c>
      <c r="EQ8" s="8">
        <f>+MINVU_Mes_Corriente!EQ8*MINVU_Mes_Constante!$EP$1</f>
        <v>31496963</v>
      </c>
      <c r="ER8" s="8">
        <f>+MINVU_Mes_Corriente!ER8*MINVU_Mes_Constante!$EP$1</f>
        <v>31496963</v>
      </c>
      <c r="ES8" s="8">
        <f>+MINVU_Mes_Corriente!ES8*MINVU_Mes_Constante!$EP$1</f>
        <v>31496963</v>
      </c>
      <c r="ET8" s="8">
        <f>+MINVU_Mes_Corriente!ET8*MINVU_Mes_Constante!$EP$1</f>
        <v>31496963</v>
      </c>
      <c r="EU8" s="8">
        <f>+MINVU_Mes_Corriente!EU8*MINVU_Mes_Constante!$EP$1</f>
        <v>31496963</v>
      </c>
      <c r="EV8" s="8">
        <f>+MINVU_Mes_Corriente!EV8*MINVU_Mes_Constante!$EP$1</f>
        <v>31496963</v>
      </c>
      <c r="EW8" s="8">
        <f>+MINVU_Mes_Corriente!EW8*MINVU_Mes_Constante!$EP$1</f>
        <v>31496963</v>
      </c>
      <c r="EX8" s="8">
        <f>+MINVU_Mes_Corriente!EX8*MINVU_Mes_Constante!$EP$1</f>
        <v>31496963</v>
      </c>
      <c r="EY8" s="8">
        <f>+MINVU_Mes_Corriente!EY8*MINVU_Mes_Constante!$EP$1</f>
        <v>31496963</v>
      </c>
      <c r="EZ8" s="8">
        <f>+MINVU_Mes_Corriente!EZ8*MINVU_Mes_Constante!$EP$1</f>
        <v>31496963</v>
      </c>
      <c r="FA8" s="8">
        <f>+MINVU_Mes_Corriente!FA8*MINVU_Mes_Constante!$EP$1</f>
        <v>31496963</v>
      </c>
      <c r="FB8" s="9">
        <f t="shared" ref="FB8:FB25" si="11">FA8</f>
        <v>31496963</v>
      </c>
      <c r="FC8" s="8">
        <f>+MINVU_Mes_Corriente!FC8*MINVU_Mes_Constante!$FC$1</f>
        <v>15772873</v>
      </c>
      <c r="FD8" s="8">
        <f>+MINVU_Mes_Corriente!FD8*MINVU_Mes_Constante!$FC$1</f>
        <v>15772873</v>
      </c>
      <c r="FE8" s="8">
        <f>+MINVU_Mes_Corriente!FE8*MINVU_Mes_Constante!$FC$1</f>
        <v>15772873</v>
      </c>
      <c r="FF8" s="8">
        <f>+MINVU_Mes_Corriente!FF8*MINVU_Mes_Constante!$FC$1</f>
        <v>15772873</v>
      </c>
      <c r="FG8" s="8">
        <f>+MINVU_Mes_Corriente!FG8*MINVU_Mes_Constante!$FC$1</f>
        <v>15772873</v>
      </c>
      <c r="FH8" s="8">
        <f>+MINVU_Mes_Corriente!FH8*MINVU_Mes_Constante!$FC$1</f>
        <v>15772873</v>
      </c>
      <c r="FI8" s="8">
        <f>+MINVU_Mes_Corriente!FI8*MINVU_Mes_Constante!$FC$1</f>
        <v>15772873</v>
      </c>
      <c r="FJ8" s="8"/>
      <c r="FK8" s="8"/>
      <c r="FL8" s="8"/>
      <c r="FM8" s="8"/>
      <c r="FN8" s="8"/>
      <c r="FO8" s="9">
        <f t="shared" ref="FO8:FO25" si="12">FI8</f>
        <v>15772873</v>
      </c>
    </row>
    <row r="9" spans="2:171" ht="14.25" customHeight="1" x14ac:dyDescent="0.3">
      <c r="B9" s="7" t="s">
        <v>44</v>
      </c>
      <c r="C9" s="8">
        <f>+MINVU_Mes_Corriente!C9*MINVU_Mes_Constante!$C$1</f>
        <v>19205697.846655793</v>
      </c>
      <c r="D9" s="8">
        <f>+MINVU_Mes_Corriente!D9*MINVU_Mes_Constante!$C$1</f>
        <v>19205697.846655793</v>
      </c>
      <c r="E9" s="8">
        <f>+MINVU_Mes_Corriente!E9*MINVU_Mes_Constante!$C$1</f>
        <v>19205697.846655793</v>
      </c>
      <c r="F9" s="8">
        <f>+MINVU_Mes_Corriente!F9*MINVU_Mes_Constante!$C$1</f>
        <v>19205697.846655793</v>
      </c>
      <c r="G9" s="8">
        <f>+MINVU_Mes_Corriente!G9*MINVU_Mes_Constante!$C$1</f>
        <v>19205697.846655793</v>
      </c>
      <c r="H9" s="8">
        <f>+MINVU_Mes_Corriente!H9*MINVU_Mes_Constante!$C$1</f>
        <v>19205697.846655793</v>
      </c>
      <c r="I9" s="8">
        <f>+MINVU_Mes_Corriente!I9*MINVU_Mes_Constante!$C$1</f>
        <v>19205697.846655793</v>
      </c>
      <c r="J9" s="8">
        <f>+MINVU_Mes_Corriente!J9*MINVU_Mes_Constante!$C$1</f>
        <v>19205697.846655793</v>
      </c>
      <c r="K9" s="8">
        <f>+MINVU_Mes_Corriente!K9*MINVU_Mes_Constante!$C$1</f>
        <v>19205697.846655793</v>
      </c>
      <c r="L9" s="8">
        <f>+MINVU_Mes_Corriente!L9*MINVU_Mes_Constante!$C$1</f>
        <v>19205697.846655793</v>
      </c>
      <c r="M9" s="8">
        <f>+MINVU_Mes_Corriente!M9*MINVU_Mes_Constante!$C$1</f>
        <v>19205697.846655793</v>
      </c>
      <c r="N9" s="8">
        <f>+MINVU_Mes_Corriente!N9*MINVU_Mes_Constante!$C$1</f>
        <v>19205697.846655793</v>
      </c>
      <c r="O9" s="9">
        <f t="shared" si="0"/>
        <v>19205697.846655793</v>
      </c>
      <c r="P9" s="8">
        <f>+MINVU_Mes_Corriente!P9*MINVU_Mes_Constante!$P$1</f>
        <v>19297548.076715436</v>
      </c>
      <c r="Q9" s="8">
        <f>+MINVU_Mes_Corriente!Q9*MINVU_Mes_Constante!$P$1</f>
        <v>19297548.076715436</v>
      </c>
      <c r="R9" s="8">
        <f>+MINVU_Mes_Corriente!R9*MINVU_Mes_Constante!$P$1</f>
        <v>19297548.076715436</v>
      </c>
      <c r="S9" s="8">
        <f>+MINVU_Mes_Corriente!S9*MINVU_Mes_Constante!$P$1</f>
        <v>19297548.076715436</v>
      </c>
      <c r="T9" s="8">
        <f>+MINVU_Mes_Corriente!T9*MINVU_Mes_Constante!$P$1</f>
        <v>19297548.076715436</v>
      </c>
      <c r="U9" s="8">
        <f>+MINVU_Mes_Corriente!U9*MINVU_Mes_Constante!$P$1</f>
        <v>19297548.076715436</v>
      </c>
      <c r="V9" s="8">
        <f>+MINVU_Mes_Corriente!V9*MINVU_Mes_Constante!$P$1</f>
        <v>19297548.076715436</v>
      </c>
      <c r="W9" s="8">
        <f>+MINVU_Mes_Corriente!W9*MINVU_Mes_Constante!$P$1</f>
        <v>19297548.076715436</v>
      </c>
      <c r="X9" s="8">
        <f>+MINVU_Mes_Corriente!X9*MINVU_Mes_Constante!$P$1</f>
        <v>19297548.076715436</v>
      </c>
      <c r="Y9" s="8">
        <f>+MINVU_Mes_Corriente!Y9*MINVU_Mes_Constante!$P$1</f>
        <v>19297548.076715436</v>
      </c>
      <c r="Z9" s="8">
        <f>+MINVU_Mes_Corriente!Z9*MINVU_Mes_Constante!$P$1</f>
        <v>19297548.076715436</v>
      </c>
      <c r="AA9" s="8">
        <f>+MINVU_Mes_Corriente!AA9*MINVU_Mes_Constante!$P$1</f>
        <v>19297548.076715436</v>
      </c>
      <c r="AB9" s="9">
        <f t="shared" si="1"/>
        <v>19297548.076715436</v>
      </c>
      <c r="AC9" s="8">
        <f>+MINVU_Mes_Corriente!AC9*MINVU_Mes_Constante!$AC$1</f>
        <v>23240711.376677271</v>
      </c>
      <c r="AD9" s="8">
        <f>+MINVU_Mes_Corriente!AD9*MINVU_Mes_Constante!$AC$1</f>
        <v>23240711.376677271</v>
      </c>
      <c r="AE9" s="8">
        <f>+MINVU_Mes_Corriente!AE9*MINVU_Mes_Constante!$AC$1</f>
        <v>23240711.376677271</v>
      </c>
      <c r="AF9" s="8">
        <f>+MINVU_Mes_Corriente!AF9*MINVU_Mes_Constante!$AC$1</f>
        <v>23240711.376677271</v>
      </c>
      <c r="AG9" s="8">
        <f>+MINVU_Mes_Corriente!AG9*MINVU_Mes_Constante!$AC$1</f>
        <v>23240711.376677271</v>
      </c>
      <c r="AH9" s="8">
        <f>+MINVU_Mes_Corriente!AH9*MINVU_Mes_Constante!$AC$1</f>
        <v>23240711.376677271</v>
      </c>
      <c r="AI9" s="8">
        <f>+MINVU_Mes_Corriente!AI9*MINVU_Mes_Constante!$AC$1</f>
        <v>23240711.376677271</v>
      </c>
      <c r="AJ9" s="8">
        <f>+MINVU_Mes_Corriente!AJ9*MINVU_Mes_Constante!$AC$1</f>
        <v>23240711.376677271</v>
      </c>
      <c r="AK9" s="8">
        <f>+MINVU_Mes_Corriente!AK9*MINVU_Mes_Constante!$AC$1</f>
        <v>23240711.376677271</v>
      </c>
      <c r="AL9" s="8">
        <f>+MINVU_Mes_Corriente!AL9*MINVU_Mes_Constante!$AC$1</f>
        <v>23240711.376677271</v>
      </c>
      <c r="AM9" s="8">
        <f>+MINVU_Mes_Corriente!AM9*MINVU_Mes_Constante!$AC$1</f>
        <v>23240711.376677271</v>
      </c>
      <c r="AN9" s="8">
        <f>+MINVU_Mes_Corriente!AN9*MINVU_Mes_Constante!$AC$1</f>
        <v>23240711.376677271</v>
      </c>
      <c r="AO9" s="9">
        <f t="shared" si="2"/>
        <v>23240711.376677271</v>
      </c>
      <c r="AP9" s="8">
        <f>+MINVU_Mes_Corriente!AP9*MINVU_Mes_Constante!$AP$1</f>
        <v>28264729.951034762</v>
      </c>
      <c r="AQ9" s="8">
        <f>+MINVU_Mes_Corriente!AQ9*MINVU_Mes_Constante!$AP$1</f>
        <v>28264729.951034762</v>
      </c>
      <c r="AR9" s="8">
        <f>+MINVU_Mes_Corriente!AR9*MINVU_Mes_Constante!$AP$1</f>
        <v>28264729.951034762</v>
      </c>
      <c r="AS9" s="8">
        <f>+MINVU_Mes_Corriente!AS9*MINVU_Mes_Constante!$AP$1</f>
        <v>28264729.951034762</v>
      </c>
      <c r="AT9" s="8">
        <f>+MINVU_Mes_Corriente!AT9*MINVU_Mes_Constante!$AP$1</f>
        <v>28264729.951034762</v>
      </c>
      <c r="AU9" s="8">
        <f>+MINVU_Mes_Corriente!AU9*MINVU_Mes_Constante!$AP$1</f>
        <v>28264729.951034762</v>
      </c>
      <c r="AV9" s="8">
        <f>+MINVU_Mes_Corriente!AV9*MINVU_Mes_Constante!$AP$1</f>
        <v>28264729.951034762</v>
      </c>
      <c r="AW9" s="8">
        <f>+MINVU_Mes_Corriente!AW9*MINVU_Mes_Constante!$AP$1</f>
        <v>28264729.951034762</v>
      </c>
      <c r="AX9" s="8">
        <f>+MINVU_Mes_Corriente!AX9*MINVU_Mes_Constante!$AP$1</f>
        <v>28264729.951034762</v>
      </c>
      <c r="AY9" s="8">
        <f>+MINVU_Mes_Corriente!AY9*MINVU_Mes_Constante!$AP$1</f>
        <v>28264729.951034762</v>
      </c>
      <c r="AZ9" s="8">
        <f>+MINVU_Mes_Corriente!AZ9*MINVU_Mes_Constante!$AP$1</f>
        <v>28264729.951034762</v>
      </c>
      <c r="BA9" s="8">
        <f>+MINVU_Mes_Corriente!BA9*MINVU_Mes_Constante!$AP$1</f>
        <v>28264729.951034762</v>
      </c>
      <c r="BB9" s="9">
        <f t="shared" si="3"/>
        <v>28264729.951034762</v>
      </c>
      <c r="BC9" s="8">
        <f>+MINVU_Mes_Corriente!BC9*MINVU_Mes_Constante!$BC$1</f>
        <v>32959763.800606627</v>
      </c>
      <c r="BD9" s="8">
        <f>+MINVU_Mes_Corriente!BD9*MINVU_Mes_Constante!$BC$1</f>
        <v>32959763.800606627</v>
      </c>
      <c r="BE9" s="8">
        <f>+MINVU_Mes_Corriente!BE9*MINVU_Mes_Constante!$BC$1</f>
        <v>32959763.800606627</v>
      </c>
      <c r="BF9" s="8">
        <f>+MINVU_Mes_Corriente!BF9*MINVU_Mes_Constante!$BC$1</f>
        <v>32959763.800606627</v>
      </c>
      <c r="BG9" s="8">
        <f>+MINVU_Mes_Corriente!BG9*MINVU_Mes_Constante!$BC$1</f>
        <v>32959763.800606627</v>
      </c>
      <c r="BH9" s="8">
        <f>+MINVU_Mes_Corriente!BH9*MINVU_Mes_Constante!$BC$1</f>
        <v>32959763.800606627</v>
      </c>
      <c r="BI9" s="8">
        <f>+MINVU_Mes_Corriente!BI9*MINVU_Mes_Constante!$BC$1</f>
        <v>32959763.800606627</v>
      </c>
      <c r="BJ9" s="8">
        <f>+MINVU_Mes_Corriente!BJ9*MINVU_Mes_Constante!$BC$1</f>
        <v>32959763.800606627</v>
      </c>
      <c r="BK9" s="8">
        <f>+MINVU_Mes_Corriente!BK9*MINVU_Mes_Constante!$BC$1</f>
        <v>32959763.800606627</v>
      </c>
      <c r="BL9" s="8">
        <f>+MINVU_Mes_Corriente!BL9*MINVU_Mes_Constante!$BC$1</f>
        <v>32959763.800606627</v>
      </c>
      <c r="BM9" s="8">
        <f>+MINVU_Mes_Corriente!BM9*MINVU_Mes_Constante!$BC$1</f>
        <v>32959763.800606627</v>
      </c>
      <c r="BN9" s="8">
        <f>+MINVU_Mes_Corriente!BN9*MINVU_Mes_Constante!$BC$1</f>
        <v>32959763.800606627</v>
      </c>
      <c r="BO9" s="9">
        <f t="shared" si="4"/>
        <v>32959763.800606627</v>
      </c>
      <c r="BP9" s="8">
        <f>+MINVU_Mes_Corriente!BP9*MINVU_Mes_Constante!$BP$1</f>
        <v>33303084.53393086</v>
      </c>
      <c r="BQ9" s="8">
        <f>+MINVU_Mes_Corriente!BQ9*MINVU_Mes_Constante!$BP$1</f>
        <v>33303084.53393086</v>
      </c>
      <c r="BR9" s="8">
        <f>+MINVU_Mes_Corriente!BR9*MINVU_Mes_Constante!$BP$1</f>
        <v>33303084.53393086</v>
      </c>
      <c r="BS9" s="8">
        <f>+MINVU_Mes_Corriente!BS9*MINVU_Mes_Constante!$BP$1</f>
        <v>33303084.53393086</v>
      </c>
      <c r="BT9" s="8">
        <f>+MINVU_Mes_Corriente!BT9*MINVU_Mes_Constante!$BP$1</f>
        <v>33303084.53393086</v>
      </c>
      <c r="BU9" s="8">
        <f>+MINVU_Mes_Corriente!BU9*MINVU_Mes_Constante!$BP$1</f>
        <v>33303084.53393086</v>
      </c>
      <c r="BV9" s="8">
        <f>+MINVU_Mes_Corriente!BV9*MINVU_Mes_Constante!$BP$1</f>
        <v>33303084.53393086</v>
      </c>
      <c r="BW9" s="8">
        <f>+MINVU_Mes_Corriente!BW9*MINVU_Mes_Constante!$BP$1</f>
        <v>33303084.53393086</v>
      </c>
      <c r="BX9" s="8">
        <f>+MINVU_Mes_Corriente!BX9*MINVU_Mes_Constante!$BP$1</f>
        <v>33303084.53393086</v>
      </c>
      <c r="BY9" s="8">
        <f>+MINVU_Mes_Corriente!BY9*MINVU_Mes_Constante!$BP$1</f>
        <v>33303084.53393086</v>
      </c>
      <c r="BZ9" s="8">
        <f>+MINVU_Mes_Corriente!BZ9*MINVU_Mes_Constante!$BP$1</f>
        <v>33303084.53393086</v>
      </c>
      <c r="CA9" s="8">
        <f>+MINVU_Mes_Corriente!CA9*MINVU_Mes_Constante!$BP$1</f>
        <v>33303084.53393086</v>
      </c>
      <c r="CB9" s="9">
        <f t="shared" si="5"/>
        <v>33303084.53393086</v>
      </c>
      <c r="CC9" s="8">
        <f>+MINVU_Mes_Corriente!CC9*MINVU_Mes_Constante!$CC$1</f>
        <v>40761208.303618059</v>
      </c>
      <c r="CD9" s="8">
        <f>+MINVU_Mes_Corriente!CD9*MINVU_Mes_Constante!$CC$1</f>
        <v>40761208.303618059</v>
      </c>
      <c r="CE9" s="8">
        <f>+MINVU_Mes_Corriente!CE9*MINVU_Mes_Constante!$CC$1</f>
        <v>40761208.303618059</v>
      </c>
      <c r="CF9" s="8">
        <f>+MINVU_Mes_Corriente!CF9*MINVU_Mes_Constante!$CC$1</f>
        <v>40761208.303618059</v>
      </c>
      <c r="CG9" s="8">
        <f>+MINVU_Mes_Corriente!CG9*MINVU_Mes_Constante!$CC$1</f>
        <v>40761208.303618059</v>
      </c>
      <c r="CH9" s="8">
        <f>+MINVU_Mes_Corriente!CH9*MINVU_Mes_Constante!$CC$1</f>
        <v>40761208.303618059</v>
      </c>
      <c r="CI9" s="8">
        <f>+MINVU_Mes_Corriente!CI9*MINVU_Mes_Constante!$CC$1</f>
        <v>40761208.303618059</v>
      </c>
      <c r="CJ9" s="8">
        <f>+MINVU_Mes_Corriente!CJ9*MINVU_Mes_Constante!$CC$1</f>
        <v>40761208.303618059</v>
      </c>
      <c r="CK9" s="8">
        <f>+MINVU_Mes_Corriente!CK9*MINVU_Mes_Constante!$CC$1</f>
        <v>40761208.303618059</v>
      </c>
      <c r="CL9" s="8">
        <f>+MINVU_Mes_Corriente!CL9*MINVU_Mes_Constante!$CC$1</f>
        <v>40761208.303618059</v>
      </c>
      <c r="CM9" s="8">
        <f>+MINVU_Mes_Corriente!CM9*MINVU_Mes_Constante!$CC$1</f>
        <v>40761208.303618059</v>
      </c>
      <c r="CN9" s="8">
        <f>+MINVU_Mes_Corriente!CN9*MINVU_Mes_Constante!$CC$1</f>
        <v>40761208.303618059</v>
      </c>
      <c r="CO9" s="9">
        <f t="shared" si="6"/>
        <v>40761208.303618059</v>
      </c>
      <c r="CP9" s="8">
        <f>+MINVU_Mes_Corriente!CP9*MINVU_Mes_Constante!$CP$1</f>
        <v>35887478.759164728</v>
      </c>
      <c r="CQ9" s="8">
        <f>+MINVU_Mes_Corriente!CQ9*MINVU_Mes_Constante!$CP$1</f>
        <v>35887478.759164728</v>
      </c>
      <c r="CR9" s="8">
        <f>+MINVU_Mes_Corriente!CR9*MINVU_Mes_Constante!$CP$1</f>
        <v>35887478.759164728</v>
      </c>
      <c r="CS9" s="8">
        <f>+MINVU_Mes_Corriente!CS9*MINVU_Mes_Constante!$CP$1</f>
        <v>35887478.759164728</v>
      </c>
      <c r="CT9" s="8">
        <f>+MINVU_Mes_Corriente!CT9*MINVU_Mes_Constante!$CP$1</f>
        <v>35887478.759164728</v>
      </c>
      <c r="CU9" s="8">
        <f>+MINVU_Mes_Corriente!CU9*MINVU_Mes_Constante!$CP$1</f>
        <v>35887478.759164728</v>
      </c>
      <c r="CV9" s="8">
        <f>+MINVU_Mes_Corriente!CV9*MINVU_Mes_Constante!$CP$1</f>
        <v>35887478.759164728</v>
      </c>
      <c r="CW9" s="8">
        <f>+MINVU_Mes_Corriente!CW9*MINVU_Mes_Constante!$CP$1</f>
        <v>35887478.759164728</v>
      </c>
      <c r="CX9" s="8">
        <f>+MINVU_Mes_Corriente!CX9*MINVU_Mes_Constante!$CP$1</f>
        <v>35887478.759164728</v>
      </c>
      <c r="CY9" s="8">
        <f>+MINVU_Mes_Corriente!CY9*MINVU_Mes_Constante!$CP$1</f>
        <v>35887478.759164728</v>
      </c>
      <c r="CZ9" s="8">
        <f>+MINVU_Mes_Corriente!CZ9*MINVU_Mes_Constante!$CP$1</f>
        <v>35887478.759164728</v>
      </c>
      <c r="DA9" s="8">
        <f>+MINVU_Mes_Corriente!DA9*MINVU_Mes_Constante!$CP$1</f>
        <v>35887478.759164728</v>
      </c>
      <c r="DB9" s="9">
        <f t="shared" si="7"/>
        <v>35887478.759164728</v>
      </c>
      <c r="DC9" s="8">
        <f>+MINVU_Mes_Corriente!DC9*MINVU_Mes_Constante!$DC$1</f>
        <v>29537080.448307801</v>
      </c>
      <c r="DD9" s="8">
        <f>+MINVU_Mes_Corriente!DD9*MINVU_Mes_Constante!$DC$1</f>
        <v>29537080.448307801</v>
      </c>
      <c r="DE9" s="8">
        <f>+MINVU_Mes_Corriente!DE9*MINVU_Mes_Constante!$DC$1</f>
        <v>29537080.448307801</v>
      </c>
      <c r="DF9" s="8">
        <f>+MINVU_Mes_Corriente!DF9*MINVU_Mes_Constante!$DC$1</f>
        <v>29537080.448307801</v>
      </c>
      <c r="DG9" s="8">
        <f>+MINVU_Mes_Corriente!DG9*MINVU_Mes_Constante!$DC$1</f>
        <v>29537080.448307801</v>
      </c>
      <c r="DH9" s="8">
        <f>+MINVU_Mes_Corriente!DH9*MINVU_Mes_Constante!$DC$1</f>
        <v>29537080.448307801</v>
      </c>
      <c r="DI9" s="8">
        <f>+MINVU_Mes_Corriente!DI9*MINVU_Mes_Constante!$DC$1</f>
        <v>29537080.448307801</v>
      </c>
      <c r="DJ9" s="8">
        <f>+MINVU_Mes_Corriente!DJ9*MINVU_Mes_Constante!$DC$1</f>
        <v>29537080.448307801</v>
      </c>
      <c r="DK9" s="8">
        <f>+MINVU_Mes_Corriente!DK9*MINVU_Mes_Constante!$DC$1</f>
        <v>29537080.448307801</v>
      </c>
      <c r="DL9" s="8">
        <f>+MINVU_Mes_Corriente!DL9*MINVU_Mes_Constante!$DC$1</f>
        <v>29537080.448307801</v>
      </c>
      <c r="DM9" s="8">
        <f>+MINVU_Mes_Corriente!DM9*MINVU_Mes_Constante!$DC$1</f>
        <v>29537080.448307801</v>
      </c>
      <c r="DN9" s="8">
        <f>+MINVU_Mes_Corriente!DN9*MINVU_Mes_Constante!$DC$1</f>
        <v>29537080.448307801</v>
      </c>
      <c r="DO9" s="9">
        <f t="shared" si="8"/>
        <v>29537080.448307801</v>
      </c>
      <c r="DP9" s="8">
        <f>+MINVU_Mes_Corriente!DP9*MINVU_Mes_Constante!$DP$1</f>
        <v>25867166.586698338</v>
      </c>
      <c r="DQ9" s="8">
        <f>+MINVU_Mes_Corriente!DQ9*MINVU_Mes_Constante!$DP$1</f>
        <v>25867166.586698338</v>
      </c>
      <c r="DR9" s="8">
        <f>+MINVU_Mes_Corriente!DR9*MINVU_Mes_Constante!$DP$1</f>
        <v>25867166.586698338</v>
      </c>
      <c r="DS9" s="8">
        <f>+MINVU_Mes_Corriente!DS9*MINVU_Mes_Constante!$DP$1</f>
        <v>25867166.586698338</v>
      </c>
      <c r="DT9" s="8">
        <f>+MINVU_Mes_Corriente!DT9*MINVU_Mes_Constante!$DP$1</f>
        <v>25867166.586698338</v>
      </c>
      <c r="DU9" s="8">
        <f>+MINVU_Mes_Corriente!DU9*MINVU_Mes_Constante!$DP$1</f>
        <v>25867166.586698338</v>
      </c>
      <c r="DV9" s="8">
        <f>+MINVU_Mes_Corriente!DV9*MINVU_Mes_Constante!$DP$1</f>
        <v>25867166.586698338</v>
      </c>
      <c r="DW9" s="8">
        <f>+MINVU_Mes_Corriente!DW9*MINVU_Mes_Constante!$DP$1</f>
        <v>25867166.586698338</v>
      </c>
      <c r="DX9" s="8">
        <f>+MINVU_Mes_Corriente!DX9*MINVU_Mes_Constante!$DP$1</f>
        <v>25867166.586698338</v>
      </c>
      <c r="DY9" s="8">
        <f>+MINVU_Mes_Corriente!DY9*MINVU_Mes_Constante!$DP$1</f>
        <v>25867166.586698338</v>
      </c>
      <c r="DZ9" s="8">
        <f>+MINVU_Mes_Corriente!DZ9*MINVU_Mes_Constante!$DP$1</f>
        <v>25867166.586698338</v>
      </c>
      <c r="EA9" s="8">
        <f>+MINVU_Mes_Corriente!EA9*MINVU_Mes_Constante!$DP$1</f>
        <v>25867166.586698338</v>
      </c>
      <c r="EB9" s="9">
        <f t="shared" si="9"/>
        <v>25867166.586698338</v>
      </c>
      <c r="EC9" s="8">
        <f>+MINVU_Mes_Corriente!EC9*MINVU_Mes_Constante!$EC$1</f>
        <v>33747414.056807414</v>
      </c>
      <c r="ED9" s="8">
        <f>+MINVU_Mes_Corriente!ED9*MINVU_Mes_Constante!$EC$1</f>
        <v>33747414.056807414</v>
      </c>
      <c r="EE9" s="8">
        <f>+MINVU_Mes_Corriente!EE9*MINVU_Mes_Constante!$EC$1</f>
        <v>33747414.056807414</v>
      </c>
      <c r="EF9" s="8">
        <f>+MINVU_Mes_Corriente!EF9*MINVU_Mes_Constante!$EC$1</f>
        <v>33747414.056807414</v>
      </c>
      <c r="EG9" s="8">
        <f>+MINVU_Mes_Corriente!EG9*MINVU_Mes_Constante!$EC$1</f>
        <v>33747414.056807414</v>
      </c>
      <c r="EH9" s="8">
        <f>+MINVU_Mes_Corriente!EH9*MINVU_Mes_Constante!$EC$1</f>
        <v>33747414.056807414</v>
      </c>
      <c r="EI9" s="8">
        <f>+MINVU_Mes_Corriente!EI9*MINVU_Mes_Constante!$EC$1</f>
        <v>33747414.056807414</v>
      </c>
      <c r="EJ9" s="8">
        <f>+MINVU_Mes_Corriente!EJ9*MINVU_Mes_Constante!$EC$1</f>
        <v>33747414.056807414</v>
      </c>
      <c r="EK9" s="8">
        <f>+MINVU_Mes_Corriente!EK9*MINVU_Mes_Constante!$EC$1</f>
        <v>33747414.056807414</v>
      </c>
      <c r="EL9" s="8">
        <f>+MINVU_Mes_Corriente!EL9*MINVU_Mes_Constante!$EC$1</f>
        <v>33747414.056807414</v>
      </c>
      <c r="EM9" s="8">
        <f>+MINVU_Mes_Corriente!EM9*MINVU_Mes_Constante!$EC$1</f>
        <v>33747414.056807414</v>
      </c>
      <c r="EN9" s="8">
        <f>+MINVU_Mes_Corriente!EN9*MINVU_Mes_Constante!$EC$1</f>
        <v>33747414.056807414</v>
      </c>
      <c r="EO9" s="9">
        <f t="shared" si="10"/>
        <v>33747414.056807414</v>
      </c>
      <c r="EP9" s="8">
        <f>+MINVU_Mes_Corriente!EP9*MINVU_Mes_Constante!$EP$1</f>
        <v>31388552</v>
      </c>
      <c r="EQ9" s="8">
        <f>+MINVU_Mes_Corriente!EQ9*MINVU_Mes_Constante!$EP$1</f>
        <v>31388552</v>
      </c>
      <c r="ER9" s="8">
        <f>+MINVU_Mes_Corriente!ER9*MINVU_Mes_Constante!$EP$1</f>
        <v>31388552</v>
      </c>
      <c r="ES9" s="8">
        <f>+MINVU_Mes_Corriente!ES9*MINVU_Mes_Constante!$EP$1</f>
        <v>31388552</v>
      </c>
      <c r="ET9" s="8">
        <f>+MINVU_Mes_Corriente!ET9*MINVU_Mes_Constante!$EP$1</f>
        <v>31388552</v>
      </c>
      <c r="EU9" s="8">
        <f>+MINVU_Mes_Corriente!EU9*MINVU_Mes_Constante!$EP$1</f>
        <v>31388552</v>
      </c>
      <c r="EV9" s="8">
        <f>+MINVU_Mes_Corriente!EV9*MINVU_Mes_Constante!$EP$1</f>
        <v>31388552</v>
      </c>
      <c r="EW9" s="8">
        <f>+MINVU_Mes_Corriente!EW9*MINVU_Mes_Constante!$EP$1</f>
        <v>31388552</v>
      </c>
      <c r="EX9" s="8">
        <f>+MINVU_Mes_Corriente!EX9*MINVU_Mes_Constante!$EP$1</f>
        <v>31388552</v>
      </c>
      <c r="EY9" s="8">
        <f>+MINVU_Mes_Corriente!EY9*MINVU_Mes_Constante!$EP$1</f>
        <v>31388552</v>
      </c>
      <c r="EZ9" s="8">
        <f>+MINVU_Mes_Corriente!EZ9*MINVU_Mes_Constante!$EP$1</f>
        <v>31388552</v>
      </c>
      <c r="FA9" s="8">
        <f>+MINVU_Mes_Corriente!FA9*MINVU_Mes_Constante!$EP$1</f>
        <v>31388552</v>
      </c>
      <c r="FB9" s="9">
        <f t="shared" si="11"/>
        <v>31388552</v>
      </c>
      <c r="FC9" s="8">
        <f>+MINVU_Mes_Corriente!FC9*MINVU_Mes_Constante!$FC$1</f>
        <v>32099544</v>
      </c>
      <c r="FD9" s="8">
        <f>+MINVU_Mes_Corriente!FD9*MINVU_Mes_Constante!$FC$1</f>
        <v>32099544</v>
      </c>
      <c r="FE9" s="8">
        <f>+MINVU_Mes_Corriente!FE9*MINVU_Mes_Constante!$FC$1</f>
        <v>32099544</v>
      </c>
      <c r="FF9" s="8">
        <f>+MINVU_Mes_Corriente!FF9*MINVU_Mes_Constante!$FC$1</f>
        <v>32099544</v>
      </c>
      <c r="FG9" s="8">
        <f>+MINVU_Mes_Corriente!FG9*MINVU_Mes_Constante!$FC$1</f>
        <v>32099544</v>
      </c>
      <c r="FH9" s="8">
        <f>+MINVU_Mes_Corriente!FH9*MINVU_Mes_Constante!$FC$1</f>
        <v>32099544</v>
      </c>
      <c r="FI9" s="8">
        <f>+MINVU_Mes_Corriente!FI9*MINVU_Mes_Constante!$FC$1</f>
        <v>32099544</v>
      </c>
      <c r="FJ9" s="8"/>
      <c r="FK9" s="8"/>
      <c r="FL9" s="8"/>
      <c r="FM9" s="8"/>
      <c r="FN9" s="8"/>
      <c r="FO9" s="9">
        <f t="shared" si="12"/>
        <v>32099544</v>
      </c>
    </row>
    <row r="10" spans="2:171" ht="14.25" customHeight="1" x14ac:dyDescent="0.3">
      <c r="B10" s="7" t="s">
        <v>45</v>
      </c>
      <c r="C10" s="8">
        <f>+MINVU_Mes_Corriente!C10*MINVU_Mes_Constante!$C$1</f>
        <v>8915658.1290226914</v>
      </c>
      <c r="D10" s="8">
        <f>+MINVU_Mes_Corriente!D10*MINVU_Mes_Constante!$C$1</f>
        <v>8915658.1290226914</v>
      </c>
      <c r="E10" s="8">
        <f>+MINVU_Mes_Corriente!E10*MINVU_Mes_Constante!$C$1</f>
        <v>8915658.1290226914</v>
      </c>
      <c r="F10" s="8">
        <f>+MINVU_Mes_Corriente!F10*MINVU_Mes_Constante!$C$1</f>
        <v>8915658.1290226914</v>
      </c>
      <c r="G10" s="8">
        <f>+MINVU_Mes_Corriente!G10*MINVU_Mes_Constante!$C$1</f>
        <v>8915658.1290226914</v>
      </c>
      <c r="H10" s="8">
        <f>+MINVU_Mes_Corriente!H10*MINVU_Mes_Constante!$C$1</f>
        <v>8915658.1290226914</v>
      </c>
      <c r="I10" s="8">
        <f>+MINVU_Mes_Corriente!I10*MINVU_Mes_Constante!$C$1</f>
        <v>8915658.1290226914</v>
      </c>
      <c r="J10" s="8">
        <f>+MINVU_Mes_Corriente!J10*MINVU_Mes_Constante!$C$1</f>
        <v>8915658.1290226914</v>
      </c>
      <c r="K10" s="8">
        <f>+MINVU_Mes_Corriente!K10*MINVU_Mes_Constante!$C$1</f>
        <v>8915658.1290226914</v>
      </c>
      <c r="L10" s="8">
        <f>+MINVU_Mes_Corriente!L10*MINVU_Mes_Constante!$C$1</f>
        <v>8915658.1290226914</v>
      </c>
      <c r="M10" s="8">
        <f>+MINVU_Mes_Corriente!M10*MINVU_Mes_Constante!$C$1</f>
        <v>8915658.1290226914</v>
      </c>
      <c r="N10" s="8">
        <f>+MINVU_Mes_Corriente!N10*MINVU_Mes_Constante!$C$1</f>
        <v>8915658.1290226914</v>
      </c>
      <c r="O10" s="9">
        <f t="shared" si="0"/>
        <v>8915658.1290226914</v>
      </c>
      <c r="P10" s="8">
        <f>+MINVU_Mes_Corriente!P10*MINVU_Mes_Constante!$P$1</f>
        <v>11046289.998011077</v>
      </c>
      <c r="Q10" s="8">
        <f>+MINVU_Mes_Corriente!Q10*MINVU_Mes_Constante!$P$1</f>
        <v>11046289.998011077</v>
      </c>
      <c r="R10" s="8">
        <f>+MINVU_Mes_Corriente!R10*MINVU_Mes_Constante!$P$1</f>
        <v>11046289.998011077</v>
      </c>
      <c r="S10" s="8">
        <f>+MINVU_Mes_Corriente!S10*MINVU_Mes_Constante!$P$1</f>
        <v>11046289.998011077</v>
      </c>
      <c r="T10" s="8">
        <f>+MINVU_Mes_Corriente!T10*MINVU_Mes_Constante!$P$1</f>
        <v>11046289.998011077</v>
      </c>
      <c r="U10" s="8">
        <f>+MINVU_Mes_Corriente!U10*MINVU_Mes_Constante!$P$1</f>
        <v>11046289.998011077</v>
      </c>
      <c r="V10" s="8">
        <f>+MINVU_Mes_Corriente!V10*MINVU_Mes_Constante!$P$1</f>
        <v>11046289.998011077</v>
      </c>
      <c r="W10" s="8">
        <f>+MINVU_Mes_Corriente!W10*MINVU_Mes_Constante!$P$1</f>
        <v>11046289.998011077</v>
      </c>
      <c r="X10" s="8">
        <f>+MINVU_Mes_Corriente!X10*MINVU_Mes_Constante!$P$1</f>
        <v>11046289.998011077</v>
      </c>
      <c r="Y10" s="8">
        <f>+MINVU_Mes_Corriente!Y10*MINVU_Mes_Constante!$P$1</f>
        <v>11046289.998011077</v>
      </c>
      <c r="Z10" s="8">
        <f>+MINVU_Mes_Corriente!Z10*MINVU_Mes_Constante!$P$1</f>
        <v>11046289.998011077</v>
      </c>
      <c r="AA10" s="8">
        <f>+MINVU_Mes_Corriente!AA10*MINVU_Mes_Constante!$P$1</f>
        <v>11046289.998011077</v>
      </c>
      <c r="AB10" s="9">
        <f t="shared" si="1"/>
        <v>11046289.998011077</v>
      </c>
      <c r="AC10" s="8">
        <f>+MINVU_Mes_Corriente!AC10*MINVU_Mes_Constante!$AC$1</f>
        <v>10758600.500484161</v>
      </c>
      <c r="AD10" s="8">
        <f>+MINVU_Mes_Corriente!AD10*MINVU_Mes_Constante!$AC$1</f>
        <v>10758600.500484161</v>
      </c>
      <c r="AE10" s="8">
        <f>+MINVU_Mes_Corriente!AE10*MINVU_Mes_Constante!$AC$1</f>
        <v>10758600.500484161</v>
      </c>
      <c r="AF10" s="8">
        <f>+MINVU_Mes_Corriente!AF10*MINVU_Mes_Constante!$AC$1</f>
        <v>10758600.500484161</v>
      </c>
      <c r="AG10" s="8">
        <f>+MINVU_Mes_Corriente!AG10*MINVU_Mes_Constante!$AC$1</f>
        <v>10758600.500484161</v>
      </c>
      <c r="AH10" s="8">
        <f>+MINVU_Mes_Corriente!AH10*MINVU_Mes_Constante!$AC$1</f>
        <v>10758600.500484161</v>
      </c>
      <c r="AI10" s="8">
        <f>+MINVU_Mes_Corriente!AI10*MINVU_Mes_Constante!$AC$1</f>
        <v>10758600.500484161</v>
      </c>
      <c r="AJ10" s="8">
        <f>+MINVU_Mes_Corriente!AJ10*MINVU_Mes_Constante!$AC$1</f>
        <v>10758600.500484161</v>
      </c>
      <c r="AK10" s="8">
        <f>+MINVU_Mes_Corriente!AK10*MINVU_Mes_Constante!$AC$1</f>
        <v>10758600.500484161</v>
      </c>
      <c r="AL10" s="8">
        <f>+MINVU_Mes_Corriente!AL10*MINVU_Mes_Constante!$AC$1</f>
        <v>10758600.500484161</v>
      </c>
      <c r="AM10" s="8">
        <f>+MINVU_Mes_Corriente!AM10*MINVU_Mes_Constante!$AC$1</f>
        <v>10758600.500484161</v>
      </c>
      <c r="AN10" s="8">
        <f>+MINVU_Mes_Corriente!AN10*MINVU_Mes_Constante!$AC$1</f>
        <v>10758600.500484161</v>
      </c>
      <c r="AO10" s="9">
        <f t="shared" si="2"/>
        <v>10758600.500484161</v>
      </c>
      <c r="AP10" s="8">
        <f>+MINVU_Mes_Corriente!AP10*MINVU_Mes_Constante!$AP$1</f>
        <v>9400059.1448667645</v>
      </c>
      <c r="AQ10" s="8">
        <f>+MINVU_Mes_Corriente!AQ10*MINVU_Mes_Constante!$AP$1</f>
        <v>9400059.1448667645</v>
      </c>
      <c r="AR10" s="8">
        <f>+MINVU_Mes_Corriente!AR10*MINVU_Mes_Constante!$AP$1</f>
        <v>9400059.1448667645</v>
      </c>
      <c r="AS10" s="8">
        <f>+MINVU_Mes_Corriente!AS10*MINVU_Mes_Constante!$AP$1</f>
        <v>9400059.1448667645</v>
      </c>
      <c r="AT10" s="8">
        <f>+MINVU_Mes_Corriente!AT10*MINVU_Mes_Constante!$AP$1</f>
        <v>9400059.1448667645</v>
      </c>
      <c r="AU10" s="8">
        <f>+MINVU_Mes_Corriente!AU10*MINVU_Mes_Constante!$AP$1</f>
        <v>9400059.1448667645</v>
      </c>
      <c r="AV10" s="8">
        <f>+MINVU_Mes_Corriente!AV10*MINVU_Mes_Constante!$AP$1</f>
        <v>9400059.1448667645</v>
      </c>
      <c r="AW10" s="8">
        <f>+MINVU_Mes_Corriente!AW10*MINVU_Mes_Constante!$AP$1</f>
        <v>9400059.1448667645</v>
      </c>
      <c r="AX10" s="8">
        <f>+MINVU_Mes_Corriente!AX10*MINVU_Mes_Constante!$AP$1</f>
        <v>9400059.1448667645</v>
      </c>
      <c r="AY10" s="8">
        <f>+MINVU_Mes_Corriente!AY10*MINVU_Mes_Constante!$AP$1</f>
        <v>9400059.1448667645</v>
      </c>
      <c r="AZ10" s="8">
        <f>+MINVU_Mes_Corriente!AZ10*MINVU_Mes_Constante!$AP$1</f>
        <v>9400059.1448667645</v>
      </c>
      <c r="BA10" s="8">
        <f>+MINVU_Mes_Corriente!BA10*MINVU_Mes_Constante!$AP$1</f>
        <v>9400059.1448667645</v>
      </c>
      <c r="BB10" s="9">
        <f t="shared" si="3"/>
        <v>9400059.1448667645</v>
      </c>
      <c r="BC10" s="8">
        <f>+MINVU_Mes_Corriente!BC10*MINVU_Mes_Constante!$BC$1</f>
        <v>12831123.812211528</v>
      </c>
      <c r="BD10" s="8">
        <f>+MINVU_Mes_Corriente!BD10*MINVU_Mes_Constante!$BC$1</f>
        <v>12831123.812211528</v>
      </c>
      <c r="BE10" s="8">
        <f>+MINVU_Mes_Corriente!BE10*MINVU_Mes_Constante!$BC$1</f>
        <v>12831123.812211528</v>
      </c>
      <c r="BF10" s="8">
        <f>+MINVU_Mes_Corriente!BF10*MINVU_Mes_Constante!$BC$1</f>
        <v>12831123.812211528</v>
      </c>
      <c r="BG10" s="8">
        <f>+MINVU_Mes_Corriente!BG10*MINVU_Mes_Constante!$BC$1</f>
        <v>12831123.812211528</v>
      </c>
      <c r="BH10" s="8">
        <f>+MINVU_Mes_Corriente!BH10*MINVU_Mes_Constante!$BC$1</f>
        <v>12831123.812211528</v>
      </c>
      <c r="BI10" s="8">
        <f>+MINVU_Mes_Corriente!BI10*MINVU_Mes_Constante!$BC$1</f>
        <v>12831123.812211528</v>
      </c>
      <c r="BJ10" s="8">
        <f>+MINVU_Mes_Corriente!BJ10*MINVU_Mes_Constante!$BC$1</f>
        <v>12831123.812211528</v>
      </c>
      <c r="BK10" s="8">
        <f>+MINVU_Mes_Corriente!BK10*MINVU_Mes_Constante!$BC$1</f>
        <v>12831123.812211528</v>
      </c>
      <c r="BL10" s="8">
        <f>+MINVU_Mes_Corriente!BL10*MINVU_Mes_Constante!$BC$1</f>
        <v>12831123.812211528</v>
      </c>
      <c r="BM10" s="8">
        <f>+MINVU_Mes_Corriente!BM10*MINVU_Mes_Constante!$BC$1</f>
        <v>12831123.812211528</v>
      </c>
      <c r="BN10" s="8">
        <f>+MINVU_Mes_Corriente!BN10*MINVU_Mes_Constante!$BC$1</f>
        <v>12831123.812211528</v>
      </c>
      <c r="BO10" s="9">
        <f t="shared" si="4"/>
        <v>12831123.812211528</v>
      </c>
      <c r="BP10" s="8">
        <f>+MINVU_Mes_Corriente!BP10*MINVU_Mes_Constante!$BP$1</f>
        <v>7914973.4688860448</v>
      </c>
      <c r="BQ10" s="8">
        <f>+MINVU_Mes_Corriente!BQ10*MINVU_Mes_Constante!$BP$1</f>
        <v>7914973.4688860448</v>
      </c>
      <c r="BR10" s="8">
        <f>+MINVU_Mes_Corriente!BR10*MINVU_Mes_Constante!$BP$1</f>
        <v>7914973.4688860448</v>
      </c>
      <c r="BS10" s="8">
        <f>+MINVU_Mes_Corriente!BS10*MINVU_Mes_Constante!$BP$1</f>
        <v>7914973.4688860448</v>
      </c>
      <c r="BT10" s="8">
        <f>+MINVU_Mes_Corriente!BT10*MINVU_Mes_Constante!$BP$1</f>
        <v>7914973.4688860448</v>
      </c>
      <c r="BU10" s="8">
        <f>+MINVU_Mes_Corriente!BU10*MINVU_Mes_Constante!$BP$1</f>
        <v>7914973.4688860448</v>
      </c>
      <c r="BV10" s="8">
        <f>+MINVU_Mes_Corriente!BV10*MINVU_Mes_Constante!$BP$1</f>
        <v>7914973.4688860448</v>
      </c>
      <c r="BW10" s="8">
        <f>+MINVU_Mes_Corriente!BW10*MINVU_Mes_Constante!$BP$1</f>
        <v>7914973.4688860448</v>
      </c>
      <c r="BX10" s="8">
        <f>+MINVU_Mes_Corriente!BX10*MINVU_Mes_Constante!$BP$1</f>
        <v>7914973.4688860448</v>
      </c>
      <c r="BY10" s="8">
        <f>+MINVU_Mes_Corriente!BY10*MINVU_Mes_Constante!$BP$1</f>
        <v>7914973.4688860448</v>
      </c>
      <c r="BZ10" s="8">
        <f>+MINVU_Mes_Corriente!BZ10*MINVU_Mes_Constante!$BP$1</f>
        <v>7914973.4688860448</v>
      </c>
      <c r="CA10" s="8">
        <f>+MINVU_Mes_Corriente!CA10*MINVU_Mes_Constante!$BP$1</f>
        <v>7914973.4688860448</v>
      </c>
      <c r="CB10" s="9">
        <f t="shared" si="5"/>
        <v>7914973.4688860448</v>
      </c>
      <c r="CC10" s="8">
        <f>+MINVU_Mes_Corriente!CC10*MINVU_Mes_Constante!$CC$1</f>
        <v>11475793.929130923</v>
      </c>
      <c r="CD10" s="8">
        <f>+MINVU_Mes_Corriente!CD10*MINVU_Mes_Constante!$CC$1</f>
        <v>11475793.929130923</v>
      </c>
      <c r="CE10" s="8">
        <f>+MINVU_Mes_Corriente!CE10*MINVU_Mes_Constante!$CC$1</f>
        <v>11475793.929130923</v>
      </c>
      <c r="CF10" s="8">
        <f>+MINVU_Mes_Corriente!CF10*MINVU_Mes_Constante!$CC$1</f>
        <v>11475793.929130923</v>
      </c>
      <c r="CG10" s="8">
        <f>+MINVU_Mes_Corriente!CG10*MINVU_Mes_Constante!$CC$1</f>
        <v>11475793.929130923</v>
      </c>
      <c r="CH10" s="8">
        <f>+MINVU_Mes_Corriente!CH10*MINVU_Mes_Constante!$CC$1</f>
        <v>11475793.929130923</v>
      </c>
      <c r="CI10" s="8">
        <f>+MINVU_Mes_Corriente!CI10*MINVU_Mes_Constante!$CC$1</f>
        <v>11475793.929130923</v>
      </c>
      <c r="CJ10" s="8">
        <f>+MINVU_Mes_Corriente!CJ10*MINVU_Mes_Constante!$CC$1</f>
        <v>11475793.929130923</v>
      </c>
      <c r="CK10" s="8">
        <f>+MINVU_Mes_Corriente!CK10*MINVU_Mes_Constante!$CC$1</f>
        <v>11475793.929130923</v>
      </c>
      <c r="CL10" s="8">
        <f>+MINVU_Mes_Corriente!CL10*MINVU_Mes_Constante!$CC$1</f>
        <v>11475793.929130923</v>
      </c>
      <c r="CM10" s="8">
        <f>+MINVU_Mes_Corriente!CM10*MINVU_Mes_Constante!$CC$1</f>
        <v>11475793.929130923</v>
      </c>
      <c r="CN10" s="8">
        <f>+MINVU_Mes_Corriente!CN10*MINVU_Mes_Constante!$CC$1</f>
        <v>11475793.929130923</v>
      </c>
      <c r="CO10" s="9">
        <f t="shared" si="6"/>
        <v>11475793.929130923</v>
      </c>
      <c r="CP10" s="8">
        <f>+MINVU_Mes_Corriente!CP10*MINVU_Mes_Constante!$CP$1</f>
        <v>12338450.411136888</v>
      </c>
      <c r="CQ10" s="8">
        <f>+MINVU_Mes_Corriente!CQ10*MINVU_Mes_Constante!$CP$1</f>
        <v>12338450.411136888</v>
      </c>
      <c r="CR10" s="8">
        <f>+MINVU_Mes_Corriente!CR10*MINVU_Mes_Constante!$CP$1</f>
        <v>12338450.411136888</v>
      </c>
      <c r="CS10" s="8">
        <f>+MINVU_Mes_Corriente!CS10*MINVU_Mes_Constante!$CP$1</f>
        <v>12338450.411136888</v>
      </c>
      <c r="CT10" s="8">
        <f>+MINVU_Mes_Corriente!CT10*MINVU_Mes_Constante!$CP$1</f>
        <v>12338450.411136888</v>
      </c>
      <c r="CU10" s="8">
        <f>+MINVU_Mes_Corriente!CU10*MINVU_Mes_Constante!$CP$1</f>
        <v>12338450.411136888</v>
      </c>
      <c r="CV10" s="8">
        <f>+MINVU_Mes_Corriente!CV10*MINVU_Mes_Constante!$CP$1</f>
        <v>12338450.411136888</v>
      </c>
      <c r="CW10" s="8">
        <f>+MINVU_Mes_Corriente!CW10*MINVU_Mes_Constante!$CP$1</f>
        <v>12338450.411136888</v>
      </c>
      <c r="CX10" s="8">
        <f>+MINVU_Mes_Corriente!CX10*MINVU_Mes_Constante!$CP$1</f>
        <v>12338450.411136888</v>
      </c>
      <c r="CY10" s="8">
        <f>+MINVU_Mes_Corriente!CY10*MINVU_Mes_Constante!$CP$1</f>
        <v>12338450.411136888</v>
      </c>
      <c r="CZ10" s="8">
        <f>+MINVU_Mes_Corriente!CZ10*MINVU_Mes_Constante!$CP$1</f>
        <v>12338450.411136888</v>
      </c>
      <c r="DA10" s="8">
        <f>+MINVU_Mes_Corriente!DA10*MINVU_Mes_Constante!$CP$1</f>
        <v>12338450.411136888</v>
      </c>
      <c r="DB10" s="9">
        <f t="shared" si="7"/>
        <v>12338450.411136888</v>
      </c>
      <c r="DC10" s="8">
        <f>+MINVU_Mes_Corriente!DC10*MINVU_Mes_Constante!$DC$1</f>
        <v>9022603.3560333345</v>
      </c>
      <c r="DD10" s="8">
        <f>+MINVU_Mes_Corriente!DD10*MINVU_Mes_Constante!$DC$1</f>
        <v>9022603.3560333345</v>
      </c>
      <c r="DE10" s="8">
        <f>+MINVU_Mes_Corriente!DE10*MINVU_Mes_Constante!$DC$1</f>
        <v>9022603.3560333345</v>
      </c>
      <c r="DF10" s="8">
        <f>+MINVU_Mes_Corriente!DF10*MINVU_Mes_Constante!$DC$1</f>
        <v>9022603.3560333345</v>
      </c>
      <c r="DG10" s="8">
        <f>+MINVU_Mes_Corriente!DG10*MINVU_Mes_Constante!$DC$1</f>
        <v>9022603.3560333345</v>
      </c>
      <c r="DH10" s="8">
        <f>+MINVU_Mes_Corriente!DH10*MINVU_Mes_Constante!$DC$1</f>
        <v>9022603.3560333345</v>
      </c>
      <c r="DI10" s="8">
        <f>+MINVU_Mes_Corriente!DI10*MINVU_Mes_Constante!$DC$1</f>
        <v>9022603.3560333345</v>
      </c>
      <c r="DJ10" s="8">
        <f>+MINVU_Mes_Corriente!DJ10*MINVU_Mes_Constante!$DC$1</f>
        <v>9022603.3560333345</v>
      </c>
      <c r="DK10" s="8">
        <f>+MINVU_Mes_Corriente!DK10*MINVU_Mes_Constante!$DC$1</f>
        <v>9022603.3560333345</v>
      </c>
      <c r="DL10" s="8">
        <f>+MINVU_Mes_Corriente!DL10*MINVU_Mes_Constante!$DC$1</f>
        <v>9022603.3560333345</v>
      </c>
      <c r="DM10" s="8">
        <f>+MINVU_Mes_Corriente!DM10*MINVU_Mes_Constante!$DC$1</f>
        <v>9022603.3560333345</v>
      </c>
      <c r="DN10" s="8">
        <f>+MINVU_Mes_Corriente!DN10*MINVU_Mes_Constante!$DC$1</f>
        <v>9022603.3560333345</v>
      </c>
      <c r="DO10" s="9">
        <f t="shared" si="8"/>
        <v>9022603.3560333345</v>
      </c>
      <c r="DP10" s="8">
        <f>+MINVU_Mes_Corriente!DP10*MINVU_Mes_Constante!$DP$1</f>
        <v>10406621.387173397</v>
      </c>
      <c r="DQ10" s="8">
        <f>+MINVU_Mes_Corriente!DQ10*MINVU_Mes_Constante!$DP$1</f>
        <v>10406621.387173397</v>
      </c>
      <c r="DR10" s="8">
        <f>+MINVU_Mes_Corriente!DR10*MINVU_Mes_Constante!$DP$1</f>
        <v>10406621.387173397</v>
      </c>
      <c r="DS10" s="8">
        <f>+MINVU_Mes_Corriente!DS10*MINVU_Mes_Constante!$DP$1</f>
        <v>10406621.387173397</v>
      </c>
      <c r="DT10" s="8">
        <f>+MINVU_Mes_Corriente!DT10*MINVU_Mes_Constante!$DP$1</f>
        <v>10406621.387173397</v>
      </c>
      <c r="DU10" s="8">
        <f>+MINVU_Mes_Corriente!DU10*MINVU_Mes_Constante!$DP$1</f>
        <v>10406621.387173397</v>
      </c>
      <c r="DV10" s="8">
        <f>+MINVU_Mes_Corriente!DV10*MINVU_Mes_Constante!$DP$1</f>
        <v>10406621.387173397</v>
      </c>
      <c r="DW10" s="8">
        <f>+MINVU_Mes_Corriente!DW10*MINVU_Mes_Constante!$DP$1</f>
        <v>10406621.387173397</v>
      </c>
      <c r="DX10" s="8">
        <f>+MINVU_Mes_Corriente!DX10*MINVU_Mes_Constante!$DP$1</f>
        <v>10406621.387173397</v>
      </c>
      <c r="DY10" s="8">
        <f>+MINVU_Mes_Corriente!DY10*MINVU_Mes_Constante!$DP$1</f>
        <v>10406621.387173397</v>
      </c>
      <c r="DZ10" s="8">
        <f>+MINVU_Mes_Corriente!DZ10*MINVU_Mes_Constante!$DP$1</f>
        <v>10406621.387173397</v>
      </c>
      <c r="EA10" s="8">
        <f>+MINVU_Mes_Corriente!EA10*MINVU_Mes_Constante!$DP$1</f>
        <v>10406621.387173397</v>
      </c>
      <c r="EB10" s="9">
        <f t="shared" si="9"/>
        <v>10406621.387173397</v>
      </c>
      <c r="EC10" s="8">
        <f>+MINVU_Mes_Corriente!EC10*MINVU_Mes_Constante!$EC$1</f>
        <v>7243344.2181405015</v>
      </c>
      <c r="ED10" s="8">
        <f>+MINVU_Mes_Corriente!ED10*MINVU_Mes_Constante!$EC$1</f>
        <v>7243344.2181405015</v>
      </c>
      <c r="EE10" s="8">
        <f>+MINVU_Mes_Corriente!EE10*MINVU_Mes_Constante!$EC$1</f>
        <v>7243344.2181405015</v>
      </c>
      <c r="EF10" s="8">
        <f>+MINVU_Mes_Corriente!EF10*MINVU_Mes_Constante!$EC$1</f>
        <v>7243344.2181405015</v>
      </c>
      <c r="EG10" s="8">
        <f>+MINVU_Mes_Corriente!EG10*MINVU_Mes_Constante!$EC$1</f>
        <v>7243344.2181405015</v>
      </c>
      <c r="EH10" s="8">
        <f>+MINVU_Mes_Corriente!EH10*MINVU_Mes_Constante!$EC$1</f>
        <v>7243344.2181405015</v>
      </c>
      <c r="EI10" s="8">
        <f>+MINVU_Mes_Corriente!EI10*MINVU_Mes_Constante!$EC$1</f>
        <v>7243344.2181405015</v>
      </c>
      <c r="EJ10" s="8">
        <f>+MINVU_Mes_Corriente!EJ10*MINVU_Mes_Constante!$EC$1</f>
        <v>7243344.2181405015</v>
      </c>
      <c r="EK10" s="8">
        <f>+MINVU_Mes_Corriente!EK10*MINVU_Mes_Constante!$EC$1</f>
        <v>7243344.2181405015</v>
      </c>
      <c r="EL10" s="8">
        <f>+MINVU_Mes_Corriente!EL10*MINVU_Mes_Constante!$EC$1</f>
        <v>7243344.2181405015</v>
      </c>
      <c r="EM10" s="8">
        <f>+MINVU_Mes_Corriente!EM10*MINVU_Mes_Constante!$EC$1</f>
        <v>7243344.2181405015</v>
      </c>
      <c r="EN10" s="8">
        <f>+MINVU_Mes_Corriente!EN10*MINVU_Mes_Constante!$EC$1</f>
        <v>7243344.2181405015</v>
      </c>
      <c r="EO10" s="9">
        <f t="shared" si="10"/>
        <v>7243344.2181405015</v>
      </c>
      <c r="EP10" s="8">
        <f>+MINVU_Mes_Corriente!EP10*MINVU_Mes_Constante!$EP$1</f>
        <v>7819491</v>
      </c>
      <c r="EQ10" s="8">
        <f>+MINVU_Mes_Corriente!EQ10*MINVU_Mes_Constante!$EP$1</f>
        <v>7819491</v>
      </c>
      <c r="ER10" s="8">
        <f>+MINVU_Mes_Corriente!ER10*MINVU_Mes_Constante!$EP$1</f>
        <v>7819491</v>
      </c>
      <c r="ES10" s="8">
        <f>+MINVU_Mes_Corriente!ES10*MINVU_Mes_Constante!$EP$1</f>
        <v>7819491</v>
      </c>
      <c r="ET10" s="8">
        <f>+MINVU_Mes_Corriente!ET10*MINVU_Mes_Constante!$EP$1</f>
        <v>7819491</v>
      </c>
      <c r="EU10" s="8">
        <f>+MINVU_Mes_Corriente!EU10*MINVU_Mes_Constante!$EP$1</f>
        <v>7819491</v>
      </c>
      <c r="EV10" s="8">
        <f>+MINVU_Mes_Corriente!EV10*MINVU_Mes_Constante!$EP$1</f>
        <v>7819491</v>
      </c>
      <c r="EW10" s="8">
        <f>+MINVU_Mes_Corriente!EW10*MINVU_Mes_Constante!$EP$1</f>
        <v>7819491</v>
      </c>
      <c r="EX10" s="8">
        <f>+MINVU_Mes_Corriente!EX10*MINVU_Mes_Constante!$EP$1</f>
        <v>7819491</v>
      </c>
      <c r="EY10" s="8">
        <f>+MINVU_Mes_Corriente!EY10*MINVU_Mes_Constante!$EP$1</f>
        <v>7819491</v>
      </c>
      <c r="EZ10" s="8">
        <f>+MINVU_Mes_Corriente!EZ10*MINVU_Mes_Constante!$EP$1</f>
        <v>7819491</v>
      </c>
      <c r="FA10" s="8">
        <f>+MINVU_Mes_Corriente!FA10*MINVU_Mes_Constante!$EP$1</f>
        <v>7819491</v>
      </c>
      <c r="FB10" s="9">
        <f t="shared" si="11"/>
        <v>7819491</v>
      </c>
      <c r="FC10" s="8">
        <f>+MINVU_Mes_Corriente!FC10*MINVU_Mes_Constante!$FC$1</f>
        <v>2323330</v>
      </c>
      <c r="FD10" s="8">
        <f>+MINVU_Mes_Corriente!FD10*MINVU_Mes_Constante!$FC$1</f>
        <v>2323330</v>
      </c>
      <c r="FE10" s="8">
        <f>+MINVU_Mes_Corriente!FE10*MINVU_Mes_Constante!$FC$1</f>
        <v>2323330</v>
      </c>
      <c r="FF10" s="8">
        <f>+MINVU_Mes_Corriente!FF10*MINVU_Mes_Constante!$FC$1</f>
        <v>2323330</v>
      </c>
      <c r="FG10" s="8">
        <f>+MINVU_Mes_Corriente!FG10*MINVU_Mes_Constante!$FC$1</f>
        <v>2323330</v>
      </c>
      <c r="FH10" s="8">
        <f>+MINVU_Mes_Corriente!FH10*MINVU_Mes_Constante!$FC$1</f>
        <v>2323330</v>
      </c>
      <c r="FI10" s="8">
        <f>+MINVU_Mes_Corriente!FI10*MINVU_Mes_Constante!$FC$1</f>
        <v>2323330</v>
      </c>
      <c r="FJ10" s="8"/>
      <c r="FK10" s="8"/>
      <c r="FL10" s="8"/>
      <c r="FM10" s="8"/>
      <c r="FN10" s="8"/>
      <c r="FO10" s="9">
        <f t="shared" si="12"/>
        <v>2323330</v>
      </c>
    </row>
    <row r="11" spans="2:171" ht="14.25" customHeight="1" x14ac:dyDescent="0.3">
      <c r="B11" s="7" t="s">
        <v>46</v>
      </c>
      <c r="C11" s="8">
        <f>+MINVU_Mes_Corriente!C11*MINVU_Mes_Constante!$C$1</f>
        <v>28781018.694349699</v>
      </c>
      <c r="D11" s="8">
        <f>+MINVU_Mes_Corriente!D11*MINVU_Mes_Constante!$C$1</f>
        <v>28781018.694349699</v>
      </c>
      <c r="E11" s="8">
        <f>+MINVU_Mes_Corriente!E11*MINVU_Mes_Constante!$C$1</f>
        <v>28781018.694349699</v>
      </c>
      <c r="F11" s="8">
        <f>+MINVU_Mes_Corriente!F11*MINVU_Mes_Constante!$C$1</f>
        <v>28781018.694349699</v>
      </c>
      <c r="G11" s="8">
        <f>+MINVU_Mes_Corriente!G11*MINVU_Mes_Constante!$C$1</f>
        <v>28781018.694349699</v>
      </c>
      <c r="H11" s="8">
        <f>+MINVU_Mes_Corriente!H11*MINVU_Mes_Constante!$C$1</f>
        <v>28781018.694349699</v>
      </c>
      <c r="I11" s="8">
        <f>+MINVU_Mes_Corriente!I11*MINVU_Mes_Constante!$C$1</f>
        <v>28781018.694349699</v>
      </c>
      <c r="J11" s="8">
        <f>+MINVU_Mes_Corriente!J11*MINVU_Mes_Constante!$C$1</f>
        <v>28781018.694349699</v>
      </c>
      <c r="K11" s="8">
        <f>+MINVU_Mes_Corriente!K11*MINVU_Mes_Constante!$C$1</f>
        <v>28781018.694349699</v>
      </c>
      <c r="L11" s="8">
        <f>+MINVU_Mes_Corriente!L11*MINVU_Mes_Constante!$C$1</f>
        <v>28781018.694349699</v>
      </c>
      <c r="M11" s="8">
        <f>+MINVU_Mes_Corriente!M11*MINVU_Mes_Constante!$C$1</f>
        <v>28781018.694349699</v>
      </c>
      <c r="N11" s="8">
        <f>+MINVU_Mes_Corriente!N11*MINVU_Mes_Constante!$C$1</f>
        <v>28781018.694349699</v>
      </c>
      <c r="O11" s="9">
        <f t="shared" si="0"/>
        <v>28781018.694349699</v>
      </c>
      <c r="P11" s="8">
        <f>+MINVU_Mes_Corriente!P11*MINVU_Mes_Constante!$P$1</f>
        <v>33844189.161812745</v>
      </c>
      <c r="Q11" s="8">
        <f>+MINVU_Mes_Corriente!Q11*MINVU_Mes_Constante!$P$1</f>
        <v>33844189.161812745</v>
      </c>
      <c r="R11" s="8">
        <f>+MINVU_Mes_Corriente!R11*MINVU_Mes_Constante!$P$1</f>
        <v>33844189.161812745</v>
      </c>
      <c r="S11" s="8">
        <f>+MINVU_Mes_Corriente!S11*MINVU_Mes_Constante!$P$1</f>
        <v>33844189.161812745</v>
      </c>
      <c r="T11" s="8">
        <f>+MINVU_Mes_Corriente!T11*MINVU_Mes_Constante!$P$1</f>
        <v>33844189.161812745</v>
      </c>
      <c r="U11" s="8">
        <f>+MINVU_Mes_Corriente!U11*MINVU_Mes_Constante!$P$1</f>
        <v>33844189.161812745</v>
      </c>
      <c r="V11" s="8">
        <f>+MINVU_Mes_Corriente!V11*MINVU_Mes_Constante!$P$1</f>
        <v>33844189.161812745</v>
      </c>
      <c r="W11" s="8">
        <f>+MINVU_Mes_Corriente!W11*MINVU_Mes_Constante!$P$1</f>
        <v>33844189.161812745</v>
      </c>
      <c r="X11" s="8">
        <f>+MINVU_Mes_Corriente!X11*MINVU_Mes_Constante!$P$1</f>
        <v>33844189.161812745</v>
      </c>
      <c r="Y11" s="8">
        <f>+MINVU_Mes_Corriente!Y11*MINVU_Mes_Constante!$P$1</f>
        <v>33844189.161812745</v>
      </c>
      <c r="Z11" s="8">
        <f>+MINVU_Mes_Corriente!Z11*MINVU_Mes_Constante!$P$1</f>
        <v>33844189.161812745</v>
      </c>
      <c r="AA11" s="8">
        <f>+MINVU_Mes_Corriente!AA11*MINVU_Mes_Constante!$P$1</f>
        <v>33844189.161812745</v>
      </c>
      <c r="AB11" s="9">
        <f t="shared" si="1"/>
        <v>33844189.161812745</v>
      </c>
      <c r="AC11" s="8">
        <f>+MINVU_Mes_Corriente!AC11*MINVU_Mes_Constante!$AC$1</f>
        <v>31367589.275971781</v>
      </c>
      <c r="AD11" s="8">
        <f>+MINVU_Mes_Corriente!AD11*MINVU_Mes_Constante!$AC$1</f>
        <v>31367589.275971781</v>
      </c>
      <c r="AE11" s="8">
        <f>+MINVU_Mes_Corriente!AE11*MINVU_Mes_Constante!$AC$1</f>
        <v>31367589.275971781</v>
      </c>
      <c r="AF11" s="8">
        <f>+MINVU_Mes_Corriente!AF11*MINVU_Mes_Constante!$AC$1</f>
        <v>31367589.275971781</v>
      </c>
      <c r="AG11" s="8">
        <f>+MINVU_Mes_Corriente!AG11*MINVU_Mes_Constante!$AC$1</f>
        <v>31367589.275971781</v>
      </c>
      <c r="AH11" s="8">
        <f>+MINVU_Mes_Corriente!AH11*MINVU_Mes_Constante!$AC$1</f>
        <v>31367589.275971781</v>
      </c>
      <c r="AI11" s="8">
        <f>+MINVU_Mes_Corriente!AI11*MINVU_Mes_Constante!$AC$1</f>
        <v>31367589.275971781</v>
      </c>
      <c r="AJ11" s="8">
        <f>+MINVU_Mes_Corriente!AJ11*MINVU_Mes_Constante!$AC$1</f>
        <v>31367589.275971781</v>
      </c>
      <c r="AK11" s="8">
        <f>+MINVU_Mes_Corriente!AK11*MINVU_Mes_Constante!$AC$1</f>
        <v>31367589.275971781</v>
      </c>
      <c r="AL11" s="8">
        <f>+MINVU_Mes_Corriente!AL11*MINVU_Mes_Constante!$AC$1</f>
        <v>31367589.275971781</v>
      </c>
      <c r="AM11" s="8">
        <f>+MINVU_Mes_Corriente!AM11*MINVU_Mes_Constante!$AC$1</f>
        <v>31367589.275971781</v>
      </c>
      <c r="AN11" s="8">
        <f>+MINVU_Mes_Corriente!AN11*MINVU_Mes_Constante!$AC$1</f>
        <v>31367589.275971781</v>
      </c>
      <c r="AO11" s="9">
        <f t="shared" si="2"/>
        <v>31367589.275971781</v>
      </c>
      <c r="AP11" s="8">
        <f>+MINVU_Mes_Corriente!AP11*MINVU_Mes_Constante!$AP$1</f>
        <v>29122406.911132149</v>
      </c>
      <c r="AQ11" s="8">
        <f>+MINVU_Mes_Corriente!AQ11*MINVU_Mes_Constante!$AP$1</f>
        <v>29122406.911132149</v>
      </c>
      <c r="AR11" s="8">
        <f>+MINVU_Mes_Corriente!AR11*MINVU_Mes_Constante!$AP$1</f>
        <v>29122406.911132149</v>
      </c>
      <c r="AS11" s="8">
        <f>+MINVU_Mes_Corriente!AS11*MINVU_Mes_Constante!$AP$1</f>
        <v>29122406.911132149</v>
      </c>
      <c r="AT11" s="8">
        <f>+MINVU_Mes_Corriente!AT11*MINVU_Mes_Constante!$AP$1</f>
        <v>29122406.911132149</v>
      </c>
      <c r="AU11" s="8">
        <f>+MINVU_Mes_Corriente!AU11*MINVU_Mes_Constante!$AP$1</f>
        <v>29122406.911132149</v>
      </c>
      <c r="AV11" s="8">
        <f>+MINVU_Mes_Corriente!AV11*MINVU_Mes_Constante!$AP$1</f>
        <v>29122406.911132149</v>
      </c>
      <c r="AW11" s="8">
        <f>+MINVU_Mes_Corriente!AW11*MINVU_Mes_Constante!$AP$1</f>
        <v>29122406.911132149</v>
      </c>
      <c r="AX11" s="8">
        <f>+MINVU_Mes_Corriente!AX11*MINVU_Mes_Constante!$AP$1</f>
        <v>29122406.911132149</v>
      </c>
      <c r="AY11" s="8">
        <f>+MINVU_Mes_Corriente!AY11*MINVU_Mes_Constante!$AP$1</f>
        <v>29122406.911132149</v>
      </c>
      <c r="AZ11" s="8">
        <f>+MINVU_Mes_Corriente!AZ11*MINVU_Mes_Constante!$AP$1</f>
        <v>29122406.911132149</v>
      </c>
      <c r="BA11" s="8">
        <f>+MINVU_Mes_Corriente!BA11*MINVU_Mes_Constante!$AP$1</f>
        <v>29122406.911132149</v>
      </c>
      <c r="BB11" s="9">
        <f t="shared" si="3"/>
        <v>29122406.911132149</v>
      </c>
      <c r="BC11" s="8">
        <f>+MINVU_Mes_Corriente!BC11*MINVU_Mes_Constante!$BC$1</f>
        <v>29822493.225900047</v>
      </c>
      <c r="BD11" s="8">
        <f>+MINVU_Mes_Corriente!BD11*MINVU_Mes_Constante!$BC$1</f>
        <v>29822493.225900047</v>
      </c>
      <c r="BE11" s="8">
        <f>+MINVU_Mes_Corriente!BE11*MINVU_Mes_Constante!$BC$1</f>
        <v>29822493.225900047</v>
      </c>
      <c r="BF11" s="8">
        <f>+MINVU_Mes_Corriente!BF11*MINVU_Mes_Constante!$BC$1</f>
        <v>29822493.225900047</v>
      </c>
      <c r="BG11" s="8">
        <f>+MINVU_Mes_Corriente!BG11*MINVU_Mes_Constante!$BC$1</f>
        <v>29822493.225900047</v>
      </c>
      <c r="BH11" s="8">
        <f>+MINVU_Mes_Corriente!BH11*MINVU_Mes_Constante!$BC$1</f>
        <v>29822493.225900047</v>
      </c>
      <c r="BI11" s="8">
        <f>+MINVU_Mes_Corriente!BI11*MINVU_Mes_Constante!$BC$1</f>
        <v>29822493.225900047</v>
      </c>
      <c r="BJ11" s="8">
        <f>+MINVU_Mes_Corriente!BJ11*MINVU_Mes_Constante!$BC$1</f>
        <v>29822493.225900047</v>
      </c>
      <c r="BK11" s="8">
        <f>+MINVU_Mes_Corriente!BK11*MINVU_Mes_Constante!$BC$1</f>
        <v>29822493.225900047</v>
      </c>
      <c r="BL11" s="8">
        <f>+MINVU_Mes_Corriente!BL11*MINVU_Mes_Constante!$BC$1</f>
        <v>29822493.225900047</v>
      </c>
      <c r="BM11" s="8">
        <f>+MINVU_Mes_Corriente!BM11*MINVU_Mes_Constante!$BC$1</f>
        <v>29822493.225900047</v>
      </c>
      <c r="BN11" s="8">
        <f>+MINVU_Mes_Corriente!BN11*MINVU_Mes_Constante!$BC$1</f>
        <v>29822493.225900047</v>
      </c>
      <c r="BO11" s="9">
        <f t="shared" si="4"/>
        <v>29822493.225900047</v>
      </c>
      <c r="BP11" s="8">
        <f>+MINVU_Mes_Corriente!BP11*MINVU_Mes_Constante!$BP$1</f>
        <v>17640020.005121641</v>
      </c>
      <c r="BQ11" s="8">
        <f>+MINVU_Mes_Corriente!BQ11*MINVU_Mes_Constante!$BP$1</f>
        <v>17640020.005121641</v>
      </c>
      <c r="BR11" s="8">
        <f>+MINVU_Mes_Corriente!BR11*MINVU_Mes_Constante!$BP$1</f>
        <v>17640020.005121641</v>
      </c>
      <c r="BS11" s="8">
        <f>+MINVU_Mes_Corriente!BS11*MINVU_Mes_Constante!$BP$1</f>
        <v>17640020.005121641</v>
      </c>
      <c r="BT11" s="8">
        <f>+MINVU_Mes_Corriente!BT11*MINVU_Mes_Constante!$BP$1</f>
        <v>17640020.005121641</v>
      </c>
      <c r="BU11" s="8">
        <f>+MINVU_Mes_Corriente!BU11*MINVU_Mes_Constante!$BP$1</f>
        <v>17640020.005121641</v>
      </c>
      <c r="BV11" s="8">
        <f>+MINVU_Mes_Corriente!BV11*MINVU_Mes_Constante!$BP$1</f>
        <v>17640020.005121641</v>
      </c>
      <c r="BW11" s="8">
        <f>+MINVU_Mes_Corriente!BW11*MINVU_Mes_Constante!$BP$1</f>
        <v>17640020.005121641</v>
      </c>
      <c r="BX11" s="8">
        <f>+MINVU_Mes_Corriente!BX11*MINVU_Mes_Constante!$BP$1</f>
        <v>17640020.005121641</v>
      </c>
      <c r="BY11" s="8">
        <f>+MINVU_Mes_Corriente!BY11*MINVU_Mes_Constante!$BP$1</f>
        <v>17640020.005121641</v>
      </c>
      <c r="BZ11" s="8">
        <f>+MINVU_Mes_Corriente!BZ11*MINVU_Mes_Constante!$BP$1</f>
        <v>17640020.005121641</v>
      </c>
      <c r="CA11" s="8">
        <f>+MINVU_Mes_Corriente!CA11*MINVU_Mes_Constante!$BP$1</f>
        <v>17640020.005121641</v>
      </c>
      <c r="CB11" s="9">
        <f t="shared" si="5"/>
        <v>17640020.005121641</v>
      </c>
      <c r="CC11" s="8">
        <f>+MINVU_Mes_Corriente!CC11*MINVU_Mes_Constante!$CC$1</f>
        <v>11825103.976874301</v>
      </c>
      <c r="CD11" s="8">
        <f>+MINVU_Mes_Corriente!CD11*MINVU_Mes_Constante!$CC$1</f>
        <v>11825103.976874301</v>
      </c>
      <c r="CE11" s="8">
        <f>+MINVU_Mes_Corriente!CE11*MINVU_Mes_Constante!$CC$1</f>
        <v>11825103.976874301</v>
      </c>
      <c r="CF11" s="8">
        <f>+MINVU_Mes_Corriente!CF11*MINVU_Mes_Constante!$CC$1</f>
        <v>11825103.976874301</v>
      </c>
      <c r="CG11" s="8">
        <f>+MINVU_Mes_Corriente!CG11*MINVU_Mes_Constante!$CC$1</f>
        <v>11825103.976874301</v>
      </c>
      <c r="CH11" s="8">
        <f>+MINVU_Mes_Corriente!CH11*MINVU_Mes_Constante!$CC$1</f>
        <v>11825103.976874301</v>
      </c>
      <c r="CI11" s="8">
        <f>+MINVU_Mes_Corriente!CI11*MINVU_Mes_Constante!$CC$1</f>
        <v>11825103.976874301</v>
      </c>
      <c r="CJ11" s="8">
        <f>+MINVU_Mes_Corriente!CJ11*MINVU_Mes_Constante!$CC$1</f>
        <v>11825103.976874301</v>
      </c>
      <c r="CK11" s="8">
        <f>+MINVU_Mes_Corriente!CK11*MINVU_Mes_Constante!$CC$1</f>
        <v>11825103.976874301</v>
      </c>
      <c r="CL11" s="8">
        <f>+MINVU_Mes_Corriente!CL11*MINVU_Mes_Constante!$CC$1</f>
        <v>11825103.976874301</v>
      </c>
      <c r="CM11" s="8">
        <f>+MINVU_Mes_Corriente!CM11*MINVU_Mes_Constante!$CC$1</f>
        <v>11825103.976874301</v>
      </c>
      <c r="CN11" s="8">
        <f>+MINVU_Mes_Corriente!CN11*MINVU_Mes_Constante!$CC$1</f>
        <v>11825103.976874301</v>
      </c>
      <c r="CO11" s="9">
        <f t="shared" si="6"/>
        <v>11825103.976874301</v>
      </c>
      <c r="CP11" s="8">
        <f>+MINVU_Mes_Corriente!CP11*MINVU_Mes_Constante!$CP$1</f>
        <v>8879435.9832946621</v>
      </c>
      <c r="CQ11" s="8">
        <f>+MINVU_Mes_Corriente!CQ11*MINVU_Mes_Constante!$CP$1</f>
        <v>8879435.9832946621</v>
      </c>
      <c r="CR11" s="8">
        <f>+MINVU_Mes_Corriente!CR11*MINVU_Mes_Constante!$CP$1</f>
        <v>8879435.9832946621</v>
      </c>
      <c r="CS11" s="8">
        <f>+MINVU_Mes_Corriente!CS11*MINVU_Mes_Constante!$CP$1</f>
        <v>8879435.9832946621</v>
      </c>
      <c r="CT11" s="8">
        <f>+MINVU_Mes_Corriente!CT11*MINVU_Mes_Constante!$CP$1</f>
        <v>8879435.9832946621</v>
      </c>
      <c r="CU11" s="8">
        <f>+MINVU_Mes_Corriente!CU11*MINVU_Mes_Constante!$CP$1</f>
        <v>8879435.9832946621</v>
      </c>
      <c r="CV11" s="8">
        <f>+MINVU_Mes_Corriente!CV11*MINVU_Mes_Constante!$CP$1</f>
        <v>8879435.9832946621</v>
      </c>
      <c r="CW11" s="8">
        <f>+MINVU_Mes_Corriente!CW11*MINVU_Mes_Constante!$CP$1</f>
        <v>8879435.9832946621</v>
      </c>
      <c r="CX11" s="8">
        <f>+MINVU_Mes_Corriente!CX11*MINVU_Mes_Constante!$CP$1</f>
        <v>8879435.9832946621</v>
      </c>
      <c r="CY11" s="8">
        <f>+MINVU_Mes_Corriente!CY11*MINVU_Mes_Constante!$CP$1</f>
        <v>8879435.9832946621</v>
      </c>
      <c r="CZ11" s="8">
        <f>+MINVU_Mes_Corriente!CZ11*MINVU_Mes_Constante!$CP$1</f>
        <v>8879435.9832946621</v>
      </c>
      <c r="DA11" s="8">
        <f>+MINVU_Mes_Corriente!DA11*MINVU_Mes_Constante!$CP$1</f>
        <v>8879435.9832946621</v>
      </c>
      <c r="DB11" s="9">
        <f t="shared" si="7"/>
        <v>8879435.9832946621</v>
      </c>
      <c r="DC11" s="8">
        <f>+MINVU_Mes_Corriente!DC11*MINVU_Mes_Constante!$DC$1</f>
        <v>5236840.4544799943</v>
      </c>
      <c r="DD11" s="8">
        <f>+MINVU_Mes_Corriente!DD11*MINVU_Mes_Constante!$DC$1</f>
        <v>5236840.4544799943</v>
      </c>
      <c r="DE11" s="8">
        <f>+MINVU_Mes_Corriente!DE11*MINVU_Mes_Constante!$DC$1</f>
        <v>5236840.4544799943</v>
      </c>
      <c r="DF11" s="8">
        <f>+MINVU_Mes_Corriente!DF11*MINVU_Mes_Constante!$DC$1</f>
        <v>5236840.4544799943</v>
      </c>
      <c r="DG11" s="8">
        <f>+MINVU_Mes_Corriente!DG11*MINVU_Mes_Constante!$DC$1</f>
        <v>5236840.4544799943</v>
      </c>
      <c r="DH11" s="8">
        <f>+MINVU_Mes_Corriente!DH11*MINVU_Mes_Constante!$DC$1</f>
        <v>5236840.4544799943</v>
      </c>
      <c r="DI11" s="8">
        <f>+MINVU_Mes_Corriente!DI11*MINVU_Mes_Constante!$DC$1</f>
        <v>5236840.4544799943</v>
      </c>
      <c r="DJ11" s="8">
        <f>+MINVU_Mes_Corriente!DJ11*MINVU_Mes_Constante!$DC$1</f>
        <v>5236840.4544799943</v>
      </c>
      <c r="DK11" s="8">
        <f>+MINVU_Mes_Corriente!DK11*MINVU_Mes_Constante!$DC$1</f>
        <v>5236840.4544799943</v>
      </c>
      <c r="DL11" s="8">
        <f>+MINVU_Mes_Corriente!DL11*MINVU_Mes_Constante!$DC$1</f>
        <v>5236840.4544799943</v>
      </c>
      <c r="DM11" s="8">
        <f>+MINVU_Mes_Corriente!DM11*MINVU_Mes_Constante!$DC$1</f>
        <v>5236840.4544799943</v>
      </c>
      <c r="DN11" s="8">
        <f>+MINVU_Mes_Corriente!DN11*MINVU_Mes_Constante!$DC$1</f>
        <v>5236840.4544799943</v>
      </c>
      <c r="DO11" s="9">
        <f t="shared" si="8"/>
        <v>5236840.4544799943</v>
      </c>
      <c r="DP11" s="8">
        <f>+MINVU_Mes_Corriente!DP11*MINVU_Mes_Constante!$DP$1</f>
        <v>9746573.7684085518</v>
      </c>
      <c r="DQ11" s="8">
        <f>+MINVU_Mes_Corriente!DQ11*MINVU_Mes_Constante!$DP$1</f>
        <v>9746573.7684085518</v>
      </c>
      <c r="DR11" s="8">
        <f>+MINVU_Mes_Corriente!DR11*MINVU_Mes_Constante!$DP$1</f>
        <v>9746573.7684085518</v>
      </c>
      <c r="DS11" s="8">
        <f>+MINVU_Mes_Corriente!DS11*MINVU_Mes_Constante!$DP$1</f>
        <v>9746573.7684085518</v>
      </c>
      <c r="DT11" s="8">
        <f>+MINVU_Mes_Corriente!DT11*MINVU_Mes_Constante!$DP$1</f>
        <v>9746573.7684085518</v>
      </c>
      <c r="DU11" s="8">
        <f>+MINVU_Mes_Corriente!DU11*MINVU_Mes_Constante!$DP$1</f>
        <v>9746573.7684085518</v>
      </c>
      <c r="DV11" s="8">
        <f>+MINVU_Mes_Corriente!DV11*MINVU_Mes_Constante!$DP$1</f>
        <v>9746573.7684085518</v>
      </c>
      <c r="DW11" s="8">
        <f>+MINVU_Mes_Corriente!DW11*MINVU_Mes_Constante!$DP$1</f>
        <v>9746573.7684085518</v>
      </c>
      <c r="DX11" s="8">
        <f>+MINVU_Mes_Corriente!DX11*MINVU_Mes_Constante!$DP$1</f>
        <v>9746573.7684085518</v>
      </c>
      <c r="DY11" s="8">
        <f>+MINVU_Mes_Corriente!DY11*MINVU_Mes_Constante!$DP$1</f>
        <v>9746573.7684085518</v>
      </c>
      <c r="DZ11" s="8">
        <f>+MINVU_Mes_Corriente!DZ11*MINVU_Mes_Constante!$DP$1</f>
        <v>9746573.7684085518</v>
      </c>
      <c r="EA11" s="8">
        <f>+MINVU_Mes_Corriente!EA11*MINVU_Mes_Constante!$DP$1</f>
        <v>9746573.7684085518</v>
      </c>
      <c r="EB11" s="9">
        <f t="shared" si="9"/>
        <v>9746573.7684085518</v>
      </c>
      <c r="EC11" s="8">
        <f>+MINVU_Mes_Corriente!EC11*MINVU_Mes_Constante!$EC$1</f>
        <v>12255115.52130278</v>
      </c>
      <c r="ED11" s="8">
        <f>+MINVU_Mes_Corriente!ED11*MINVU_Mes_Constante!$EC$1</f>
        <v>12255115.52130278</v>
      </c>
      <c r="EE11" s="8">
        <f>+MINVU_Mes_Corriente!EE11*MINVU_Mes_Constante!$EC$1</f>
        <v>12255115.52130278</v>
      </c>
      <c r="EF11" s="8">
        <f>+MINVU_Mes_Corriente!EF11*MINVU_Mes_Constante!$EC$1</f>
        <v>12255115.52130278</v>
      </c>
      <c r="EG11" s="8">
        <f>+MINVU_Mes_Corriente!EG11*MINVU_Mes_Constante!$EC$1</f>
        <v>12255115.52130278</v>
      </c>
      <c r="EH11" s="8">
        <f>+MINVU_Mes_Corriente!EH11*MINVU_Mes_Constante!$EC$1</f>
        <v>12255115.52130278</v>
      </c>
      <c r="EI11" s="8">
        <f>+MINVU_Mes_Corriente!EI11*MINVU_Mes_Constante!$EC$1</f>
        <v>12255115.52130278</v>
      </c>
      <c r="EJ11" s="8">
        <f>+MINVU_Mes_Corriente!EJ11*MINVU_Mes_Constante!$EC$1</f>
        <v>12255115.52130278</v>
      </c>
      <c r="EK11" s="8">
        <f>+MINVU_Mes_Corriente!EK11*MINVU_Mes_Constante!$EC$1</f>
        <v>12255115.52130278</v>
      </c>
      <c r="EL11" s="8">
        <f>+MINVU_Mes_Corriente!EL11*MINVU_Mes_Constante!$EC$1</f>
        <v>12255115.52130278</v>
      </c>
      <c r="EM11" s="8">
        <f>+MINVU_Mes_Corriente!EM11*MINVU_Mes_Constante!$EC$1</f>
        <v>12255115.52130278</v>
      </c>
      <c r="EN11" s="8">
        <f>+MINVU_Mes_Corriente!EN11*MINVU_Mes_Constante!$EC$1</f>
        <v>12255115.52130278</v>
      </c>
      <c r="EO11" s="9">
        <f t="shared" si="10"/>
        <v>12255115.52130278</v>
      </c>
      <c r="EP11" s="8">
        <f>+MINVU_Mes_Corriente!EP11*MINVU_Mes_Constante!$EP$1</f>
        <v>9956278</v>
      </c>
      <c r="EQ11" s="8">
        <f>+MINVU_Mes_Corriente!EQ11*MINVU_Mes_Constante!$EP$1</f>
        <v>9956278</v>
      </c>
      <c r="ER11" s="8">
        <f>+MINVU_Mes_Corriente!ER11*MINVU_Mes_Constante!$EP$1</f>
        <v>9956278</v>
      </c>
      <c r="ES11" s="8">
        <f>+MINVU_Mes_Corriente!ES11*MINVU_Mes_Constante!$EP$1</f>
        <v>9956278</v>
      </c>
      <c r="ET11" s="8">
        <f>+MINVU_Mes_Corriente!ET11*MINVU_Mes_Constante!$EP$1</f>
        <v>9956278</v>
      </c>
      <c r="EU11" s="8">
        <f>+MINVU_Mes_Corriente!EU11*MINVU_Mes_Constante!$EP$1</f>
        <v>9956278</v>
      </c>
      <c r="EV11" s="8">
        <f>+MINVU_Mes_Corriente!EV11*MINVU_Mes_Constante!$EP$1</f>
        <v>9956278</v>
      </c>
      <c r="EW11" s="8">
        <f>+MINVU_Mes_Corriente!EW11*MINVU_Mes_Constante!$EP$1</f>
        <v>9956278</v>
      </c>
      <c r="EX11" s="8">
        <f>+MINVU_Mes_Corriente!EX11*MINVU_Mes_Constante!$EP$1</f>
        <v>9956278</v>
      </c>
      <c r="EY11" s="8">
        <f>+MINVU_Mes_Corriente!EY11*MINVU_Mes_Constante!$EP$1</f>
        <v>9956278</v>
      </c>
      <c r="EZ11" s="8">
        <f>+MINVU_Mes_Corriente!EZ11*MINVU_Mes_Constante!$EP$1</f>
        <v>9956278</v>
      </c>
      <c r="FA11" s="8">
        <f>+MINVU_Mes_Corriente!FA11*MINVU_Mes_Constante!$EP$1</f>
        <v>9956278</v>
      </c>
      <c r="FB11" s="9">
        <f t="shared" si="11"/>
        <v>9956278</v>
      </c>
      <c r="FC11" s="8">
        <f>+MINVU_Mes_Corriente!FC11*MINVU_Mes_Constante!$FC$1</f>
        <v>8706346</v>
      </c>
      <c r="FD11" s="8">
        <f>+MINVU_Mes_Corriente!FD11*MINVU_Mes_Constante!$FC$1</f>
        <v>8706346</v>
      </c>
      <c r="FE11" s="8">
        <f>+MINVU_Mes_Corriente!FE11*MINVU_Mes_Constante!$FC$1</f>
        <v>8706346</v>
      </c>
      <c r="FF11" s="8">
        <f>+MINVU_Mes_Corriente!FF11*MINVU_Mes_Constante!$FC$1</f>
        <v>8706346</v>
      </c>
      <c r="FG11" s="8">
        <f>+MINVU_Mes_Corriente!FG11*MINVU_Mes_Constante!$FC$1</f>
        <v>8706346</v>
      </c>
      <c r="FH11" s="8">
        <f>+MINVU_Mes_Corriente!FH11*MINVU_Mes_Constante!$FC$1</f>
        <v>8706346</v>
      </c>
      <c r="FI11" s="8">
        <f>+MINVU_Mes_Corriente!FI11*MINVU_Mes_Constante!$FC$1</f>
        <v>8706346</v>
      </c>
      <c r="FJ11" s="8"/>
      <c r="FK11" s="8"/>
      <c r="FL11" s="8"/>
      <c r="FM11" s="8"/>
      <c r="FN11" s="8"/>
      <c r="FO11" s="9">
        <f t="shared" si="12"/>
        <v>8706346</v>
      </c>
    </row>
    <row r="12" spans="2:171" ht="14.25" customHeight="1" x14ac:dyDescent="0.3">
      <c r="B12" s="7" t="s">
        <v>47</v>
      </c>
      <c r="C12" s="8">
        <f>+MINVU_Mes_Corriente!C12*MINVU_Mes_Constante!$C$1</f>
        <v>14296404.452914136</v>
      </c>
      <c r="D12" s="8">
        <f>+MINVU_Mes_Corriente!D12*MINVU_Mes_Constante!$C$1</f>
        <v>14296404.452914136</v>
      </c>
      <c r="E12" s="8">
        <f>+MINVU_Mes_Corriente!E12*MINVU_Mes_Constante!$C$1</f>
        <v>14296404.452914136</v>
      </c>
      <c r="F12" s="8">
        <f>+MINVU_Mes_Corriente!F12*MINVU_Mes_Constante!$C$1</f>
        <v>14296404.452914136</v>
      </c>
      <c r="G12" s="8">
        <f>+MINVU_Mes_Corriente!G12*MINVU_Mes_Constante!$C$1</f>
        <v>14296404.452914136</v>
      </c>
      <c r="H12" s="8">
        <f>+MINVU_Mes_Corriente!H12*MINVU_Mes_Constante!$C$1</f>
        <v>14296404.452914136</v>
      </c>
      <c r="I12" s="8">
        <f>+MINVU_Mes_Corriente!I12*MINVU_Mes_Constante!$C$1</f>
        <v>14296404.452914136</v>
      </c>
      <c r="J12" s="8">
        <f>+MINVU_Mes_Corriente!J12*MINVU_Mes_Constante!$C$1</f>
        <v>14296404.452914136</v>
      </c>
      <c r="K12" s="8">
        <f>+MINVU_Mes_Corriente!K12*MINVU_Mes_Constante!$C$1</f>
        <v>14296404.452914136</v>
      </c>
      <c r="L12" s="8">
        <f>+MINVU_Mes_Corriente!L12*MINVU_Mes_Constante!$C$1</f>
        <v>14296404.452914136</v>
      </c>
      <c r="M12" s="8">
        <f>+MINVU_Mes_Corriente!M12*MINVU_Mes_Constante!$C$1</f>
        <v>14296404.452914136</v>
      </c>
      <c r="N12" s="8">
        <f>+MINVU_Mes_Corriente!N12*MINVU_Mes_Constante!$C$1</f>
        <v>14296404.452914136</v>
      </c>
      <c r="O12" s="9">
        <f t="shared" si="0"/>
        <v>14296404.452914136</v>
      </c>
      <c r="P12" s="8">
        <f>+MINVU_Mes_Corriente!P12*MINVU_Mes_Constante!$P$1</f>
        <v>14382015.337974139</v>
      </c>
      <c r="Q12" s="8">
        <f>+MINVU_Mes_Corriente!Q12*MINVU_Mes_Constante!$P$1</f>
        <v>14382015.337974139</v>
      </c>
      <c r="R12" s="8">
        <f>+MINVU_Mes_Corriente!R12*MINVU_Mes_Constante!$P$1</f>
        <v>14382015.337974139</v>
      </c>
      <c r="S12" s="8">
        <f>+MINVU_Mes_Corriente!S12*MINVU_Mes_Constante!$P$1</f>
        <v>14382015.337974139</v>
      </c>
      <c r="T12" s="8">
        <f>+MINVU_Mes_Corriente!T12*MINVU_Mes_Constante!$P$1</f>
        <v>14382015.337974139</v>
      </c>
      <c r="U12" s="8">
        <f>+MINVU_Mes_Corriente!U12*MINVU_Mes_Constante!$P$1</f>
        <v>14382015.337974139</v>
      </c>
      <c r="V12" s="8">
        <f>+MINVU_Mes_Corriente!V12*MINVU_Mes_Constante!$P$1</f>
        <v>14382015.337974139</v>
      </c>
      <c r="W12" s="8">
        <f>+MINVU_Mes_Corriente!W12*MINVU_Mes_Constante!$P$1</f>
        <v>14382015.337974139</v>
      </c>
      <c r="X12" s="8">
        <f>+MINVU_Mes_Corriente!X12*MINVU_Mes_Constante!$P$1</f>
        <v>14382015.337974139</v>
      </c>
      <c r="Y12" s="8">
        <f>+MINVU_Mes_Corriente!Y12*MINVU_Mes_Constante!$P$1</f>
        <v>14382015.337974139</v>
      </c>
      <c r="Z12" s="8">
        <f>+MINVU_Mes_Corriente!Z12*MINVU_Mes_Constante!$P$1</f>
        <v>14382015.337974139</v>
      </c>
      <c r="AA12" s="8">
        <f>+MINVU_Mes_Corriente!AA12*MINVU_Mes_Constante!$P$1</f>
        <v>14382015.337974139</v>
      </c>
      <c r="AB12" s="9">
        <f t="shared" si="1"/>
        <v>14382015.337974139</v>
      </c>
      <c r="AC12" s="8">
        <f>+MINVU_Mes_Corriente!AC12*MINVU_Mes_Constante!$AC$1</f>
        <v>26829718.740074698</v>
      </c>
      <c r="AD12" s="8">
        <f>+MINVU_Mes_Corriente!AD12*MINVU_Mes_Constante!$AC$1</f>
        <v>26829718.740074698</v>
      </c>
      <c r="AE12" s="8">
        <f>+MINVU_Mes_Corriente!AE12*MINVU_Mes_Constante!$AC$1</f>
        <v>26829718.740074698</v>
      </c>
      <c r="AF12" s="8">
        <f>+MINVU_Mes_Corriente!AF12*MINVU_Mes_Constante!$AC$1</f>
        <v>26829718.740074698</v>
      </c>
      <c r="AG12" s="8">
        <f>+MINVU_Mes_Corriente!AG12*MINVU_Mes_Constante!$AC$1</f>
        <v>26829718.740074698</v>
      </c>
      <c r="AH12" s="8">
        <f>+MINVU_Mes_Corriente!AH12*MINVU_Mes_Constante!$AC$1</f>
        <v>26829718.740074698</v>
      </c>
      <c r="AI12" s="8">
        <f>+MINVU_Mes_Corriente!AI12*MINVU_Mes_Constante!$AC$1</f>
        <v>26829718.740074698</v>
      </c>
      <c r="AJ12" s="8">
        <f>+MINVU_Mes_Corriente!AJ12*MINVU_Mes_Constante!$AC$1</f>
        <v>26829718.740074698</v>
      </c>
      <c r="AK12" s="8">
        <f>+MINVU_Mes_Corriente!AK12*MINVU_Mes_Constante!$AC$1</f>
        <v>26829718.740074698</v>
      </c>
      <c r="AL12" s="8">
        <f>+MINVU_Mes_Corriente!AL12*MINVU_Mes_Constante!$AC$1</f>
        <v>26829718.740074698</v>
      </c>
      <c r="AM12" s="8">
        <f>+MINVU_Mes_Corriente!AM12*MINVU_Mes_Constante!$AC$1</f>
        <v>26829718.740074698</v>
      </c>
      <c r="AN12" s="8">
        <f>+MINVU_Mes_Corriente!AN12*MINVU_Mes_Constante!$AC$1</f>
        <v>26829718.740074698</v>
      </c>
      <c r="AO12" s="9">
        <f t="shared" si="2"/>
        <v>26829718.740074698</v>
      </c>
      <c r="AP12" s="8">
        <f>+MINVU_Mes_Corriente!AP12*MINVU_Mes_Constante!$AP$1</f>
        <v>34603781.448938183</v>
      </c>
      <c r="AQ12" s="8">
        <f>+MINVU_Mes_Corriente!AQ12*MINVU_Mes_Constante!$AP$1</f>
        <v>34603781.448938183</v>
      </c>
      <c r="AR12" s="8">
        <f>+MINVU_Mes_Corriente!AR12*MINVU_Mes_Constante!$AP$1</f>
        <v>34603781.448938183</v>
      </c>
      <c r="AS12" s="8">
        <f>+MINVU_Mes_Corriente!AS12*MINVU_Mes_Constante!$AP$1</f>
        <v>34603781.448938183</v>
      </c>
      <c r="AT12" s="8">
        <f>+MINVU_Mes_Corriente!AT12*MINVU_Mes_Constante!$AP$1</f>
        <v>34603781.448938183</v>
      </c>
      <c r="AU12" s="8">
        <f>+MINVU_Mes_Corriente!AU12*MINVU_Mes_Constante!$AP$1</f>
        <v>34603781.448938183</v>
      </c>
      <c r="AV12" s="8">
        <f>+MINVU_Mes_Corriente!AV12*MINVU_Mes_Constante!$AP$1</f>
        <v>34603781.448938183</v>
      </c>
      <c r="AW12" s="8">
        <f>+MINVU_Mes_Corriente!AW12*MINVU_Mes_Constante!$AP$1</f>
        <v>34603781.448938183</v>
      </c>
      <c r="AX12" s="8">
        <f>+MINVU_Mes_Corriente!AX12*MINVU_Mes_Constante!$AP$1</f>
        <v>34603781.448938183</v>
      </c>
      <c r="AY12" s="8">
        <f>+MINVU_Mes_Corriente!AY12*MINVU_Mes_Constante!$AP$1</f>
        <v>34603781.448938183</v>
      </c>
      <c r="AZ12" s="8">
        <f>+MINVU_Mes_Corriente!AZ12*MINVU_Mes_Constante!$AP$1</f>
        <v>34603781.448938183</v>
      </c>
      <c r="BA12" s="8">
        <f>+MINVU_Mes_Corriente!BA12*MINVU_Mes_Constante!$AP$1</f>
        <v>34603781.448938183</v>
      </c>
      <c r="BB12" s="9">
        <f t="shared" si="3"/>
        <v>34603781.448938183</v>
      </c>
      <c r="BC12" s="8">
        <f>+MINVU_Mes_Corriente!BC12*MINVU_Mes_Constante!$BC$1</f>
        <v>23800226.975867078</v>
      </c>
      <c r="BD12" s="8">
        <f>+MINVU_Mes_Corriente!BD12*MINVU_Mes_Constante!$BC$1</f>
        <v>23800226.975867078</v>
      </c>
      <c r="BE12" s="8">
        <f>+MINVU_Mes_Corriente!BE12*MINVU_Mes_Constante!$BC$1</f>
        <v>23800226.975867078</v>
      </c>
      <c r="BF12" s="8">
        <f>+MINVU_Mes_Corriente!BF12*MINVU_Mes_Constante!$BC$1</f>
        <v>23800226.975867078</v>
      </c>
      <c r="BG12" s="8">
        <f>+MINVU_Mes_Corriente!BG12*MINVU_Mes_Constante!$BC$1</f>
        <v>23800226.975867078</v>
      </c>
      <c r="BH12" s="8">
        <f>+MINVU_Mes_Corriente!BH12*MINVU_Mes_Constante!$BC$1</f>
        <v>23800226.975867078</v>
      </c>
      <c r="BI12" s="8">
        <f>+MINVU_Mes_Corriente!BI12*MINVU_Mes_Constante!$BC$1</f>
        <v>23800226.975867078</v>
      </c>
      <c r="BJ12" s="8">
        <f>+MINVU_Mes_Corriente!BJ12*MINVU_Mes_Constante!$BC$1</f>
        <v>23800226.975867078</v>
      </c>
      <c r="BK12" s="8">
        <f>+MINVU_Mes_Corriente!BK12*MINVU_Mes_Constante!$BC$1</f>
        <v>23800226.975867078</v>
      </c>
      <c r="BL12" s="8">
        <f>+MINVU_Mes_Corriente!BL12*MINVU_Mes_Constante!$BC$1</f>
        <v>23800226.975867078</v>
      </c>
      <c r="BM12" s="8">
        <f>+MINVU_Mes_Corriente!BM12*MINVU_Mes_Constante!$BC$1</f>
        <v>23800226.975867078</v>
      </c>
      <c r="BN12" s="8">
        <f>+MINVU_Mes_Corriente!BN12*MINVU_Mes_Constante!$BC$1</f>
        <v>23800226.975867078</v>
      </c>
      <c r="BO12" s="9">
        <f t="shared" si="4"/>
        <v>23800226.975867078</v>
      </c>
      <c r="BP12" s="8">
        <f>+MINVU_Mes_Corriente!BP12*MINVU_Mes_Constante!$BP$1</f>
        <v>13464572.860947505</v>
      </c>
      <c r="BQ12" s="8">
        <f>+MINVU_Mes_Corriente!BQ12*MINVU_Mes_Constante!$BP$1</f>
        <v>13464572.860947505</v>
      </c>
      <c r="BR12" s="8">
        <f>+MINVU_Mes_Corriente!BR12*MINVU_Mes_Constante!$BP$1</f>
        <v>13464572.860947505</v>
      </c>
      <c r="BS12" s="8">
        <f>+MINVU_Mes_Corriente!BS12*MINVU_Mes_Constante!$BP$1</f>
        <v>13464572.860947505</v>
      </c>
      <c r="BT12" s="8">
        <f>+MINVU_Mes_Corriente!BT12*MINVU_Mes_Constante!$BP$1</f>
        <v>13464572.860947505</v>
      </c>
      <c r="BU12" s="8">
        <f>+MINVU_Mes_Corriente!BU12*MINVU_Mes_Constante!$BP$1</f>
        <v>13464572.860947505</v>
      </c>
      <c r="BV12" s="8">
        <f>+MINVU_Mes_Corriente!BV12*MINVU_Mes_Constante!$BP$1</f>
        <v>13464572.860947505</v>
      </c>
      <c r="BW12" s="8">
        <f>+MINVU_Mes_Corriente!BW12*MINVU_Mes_Constante!$BP$1</f>
        <v>13464572.860947505</v>
      </c>
      <c r="BX12" s="8">
        <f>+MINVU_Mes_Corriente!BX12*MINVU_Mes_Constante!$BP$1</f>
        <v>13464572.860947505</v>
      </c>
      <c r="BY12" s="8">
        <f>+MINVU_Mes_Corriente!BY12*MINVU_Mes_Constante!$BP$1</f>
        <v>13464572.860947505</v>
      </c>
      <c r="BZ12" s="8">
        <f>+MINVU_Mes_Corriente!BZ12*MINVU_Mes_Constante!$BP$1</f>
        <v>13464572.860947505</v>
      </c>
      <c r="CA12" s="8">
        <f>+MINVU_Mes_Corriente!CA12*MINVU_Mes_Constante!$BP$1</f>
        <v>13464572.860947505</v>
      </c>
      <c r="CB12" s="9">
        <f t="shared" si="5"/>
        <v>13464572.860947505</v>
      </c>
      <c r="CC12" s="8">
        <f>+MINVU_Mes_Corriente!CC12*MINVU_Mes_Constante!$CC$1</f>
        <v>34464118.305856027</v>
      </c>
      <c r="CD12" s="8">
        <f>+MINVU_Mes_Corriente!CD12*MINVU_Mes_Constante!$CC$1</f>
        <v>34464118.305856027</v>
      </c>
      <c r="CE12" s="8">
        <f>+MINVU_Mes_Corriente!CE12*MINVU_Mes_Constante!$CC$1</f>
        <v>34464118.305856027</v>
      </c>
      <c r="CF12" s="8">
        <f>+MINVU_Mes_Corriente!CF12*MINVU_Mes_Constante!$CC$1</f>
        <v>34464118.305856027</v>
      </c>
      <c r="CG12" s="8">
        <f>+MINVU_Mes_Corriente!CG12*MINVU_Mes_Constante!$CC$1</f>
        <v>34464118.305856027</v>
      </c>
      <c r="CH12" s="8">
        <f>+MINVU_Mes_Corriente!CH12*MINVU_Mes_Constante!$CC$1</f>
        <v>34464118.305856027</v>
      </c>
      <c r="CI12" s="8">
        <f>+MINVU_Mes_Corriente!CI12*MINVU_Mes_Constante!$CC$1</f>
        <v>34464118.305856027</v>
      </c>
      <c r="CJ12" s="8">
        <f>+MINVU_Mes_Corriente!CJ12*MINVU_Mes_Constante!$CC$1</f>
        <v>34464118.305856027</v>
      </c>
      <c r="CK12" s="8">
        <f>+MINVU_Mes_Corriente!CK12*MINVU_Mes_Constante!$CC$1</f>
        <v>34464118.305856027</v>
      </c>
      <c r="CL12" s="8">
        <f>+MINVU_Mes_Corriente!CL12*MINVU_Mes_Constante!$CC$1</f>
        <v>34464118.305856027</v>
      </c>
      <c r="CM12" s="8">
        <f>+MINVU_Mes_Corriente!CM12*MINVU_Mes_Constante!$CC$1</f>
        <v>34464118.305856027</v>
      </c>
      <c r="CN12" s="8">
        <f>+MINVU_Mes_Corriente!CN12*MINVU_Mes_Constante!$CC$1</f>
        <v>34464118.305856027</v>
      </c>
      <c r="CO12" s="9">
        <f t="shared" si="6"/>
        <v>34464118.305856027</v>
      </c>
      <c r="CP12" s="8">
        <f>+MINVU_Mes_Corriente!CP12*MINVU_Mes_Constante!$CP$1</f>
        <v>44593457.521113679</v>
      </c>
      <c r="CQ12" s="8">
        <f>+MINVU_Mes_Corriente!CQ12*MINVU_Mes_Constante!$CP$1</f>
        <v>44593457.521113679</v>
      </c>
      <c r="CR12" s="8">
        <f>+MINVU_Mes_Corriente!CR12*MINVU_Mes_Constante!$CP$1</f>
        <v>44593457.521113679</v>
      </c>
      <c r="CS12" s="8">
        <f>+MINVU_Mes_Corriente!CS12*MINVU_Mes_Constante!$CP$1</f>
        <v>44593457.521113679</v>
      </c>
      <c r="CT12" s="8">
        <f>+MINVU_Mes_Corriente!CT12*MINVU_Mes_Constante!$CP$1</f>
        <v>44593457.521113679</v>
      </c>
      <c r="CU12" s="8">
        <f>+MINVU_Mes_Corriente!CU12*MINVU_Mes_Constante!$CP$1</f>
        <v>44593457.521113679</v>
      </c>
      <c r="CV12" s="8">
        <f>+MINVU_Mes_Corriente!CV12*MINVU_Mes_Constante!$CP$1</f>
        <v>44593457.521113679</v>
      </c>
      <c r="CW12" s="8">
        <f>+MINVU_Mes_Corriente!CW12*MINVU_Mes_Constante!$CP$1</f>
        <v>44593457.521113679</v>
      </c>
      <c r="CX12" s="8">
        <f>+MINVU_Mes_Corriente!CX12*MINVU_Mes_Constante!$CP$1</f>
        <v>44593457.521113679</v>
      </c>
      <c r="CY12" s="8">
        <f>+MINVU_Mes_Corriente!CY12*MINVU_Mes_Constante!$CP$1</f>
        <v>44593457.521113679</v>
      </c>
      <c r="CZ12" s="8">
        <f>+MINVU_Mes_Corriente!CZ12*MINVU_Mes_Constante!$CP$1</f>
        <v>44593457.521113679</v>
      </c>
      <c r="DA12" s="8">
        <f>+MINVU_Mes_Corriente!DA12*MINVU_Mes_Constante!$CP$1</f>
        <v>44593457.521113679</v>
      </c>
      <c r="DB12" s="9">
        <f t="shared" si="7"/>
        <v>44593457.521113679</v>
      </c>
      <c r="DC12" s="8">
        <f>+MINVU_Mes_Corriente!DC12*MINVU_Mes_Constante!$DC$1</f>
        <v>39954918.606110498</v>
      </c>
      <c r="DD12" s="8">
        <f>+MINVU_Mes_Corriente!DD12*MINVU_Mes_Constante!$DC$1</f>
        <v>39954918.606110498</v>
      </c>
      <c r="DE12" s="8">
        <f>+MINVU_Mes_Corriente!DE12*MINVU_Mes_Constante!$DC$1</f>
        <v>39954918.606110498</v>
      </c>
      <c r="DF12" s="8">
        <f>+MINVU_Mes_Corriente!DF12*MINVU_Mes_Constante!$DC$1</f>
        <v>39954918.606110498</v>
      </c>
      <c r="DG12" s="8">
        <f>+MINVU_Mes_Corriente!DG12*MINVU_Mes_Constante!$DC$1</f>
        <v>39954918.606110498</v>
      </c>
      <c r="DH12" s="8">
        <f>+MINVU_Mes_Corriente!DH12*MINVU_Mes_Constante!$DC$1</f>
        <v>39954918.606110498</v>
      </c>
      <c r="DI12" s="8">
        <f>+MINVU_Mes_Corriente!DI12*MINVU_Mes_Constante!$DC$1</f>
        <v>39954918.606110498</v>
      </c>
      <c r="DJ12" s="8">
        <f>+MINVU_Mes_Corriente!DJ12*MINVU_Mes_Constante!$DC$1</f>
        <v>39954918.606110498</v>
      </c>
      <c r="DK12" s="8">
        <f>+MINVU_Mes_Corriente!DK12*MINVU_Mes_Constante!$DC$1</f>
        <v>39954918.606110498</v>
      </c>
      <c r="DL12" s="8">
        <f>+MINVU_Mes_Corriente!DL12*MINVU_Mes_Constante!$DC$1</f>
        <v>39954918.606110498</v>
      </c>
      <c r="DM12" s="8">
        <f>+MINVU_Mes_Corriente!DM12*MINVU_Mes_Constante!$DC$1</f>
        <v>39954918.606110498</v>
      </c>
      <c r="DN12" s="8">
        <f>+MINVU_Mes_Corriente!DN12*MINVU_Mes_Constante!$DC$1</f>
        <v>39954918.606110498</v>
      </c>
      <c r="DO12" s="9">
        <f t="shared" si="8"/>
        <v>39954918.606110498</v>
      </c>
      <c r="DP12" s="8">
        <f>+MINVU_Mes_Corriente!DP12*MINVU_Mes_Constante!$DP$1</f>
        <v>32725089.352731593</v>
      </c>
      <c r="DQ12" s="8">
        <f>+MINVU_Mes_Corriente!DQ12*MINVU_Mes_Constante!$DP$1</f>
        <v>32725089.352731593</v>
      </c>
      <c r="DR12" s="8">
        <f>+MINVU_Mes_Corriente!DR12*MINVU_Mes_Constante!$DP$1</f>
        <v>32725089.352731593</v>
      </c>
      <c r="DS12" s="8">
        <f>+MINVU_Mes_Corriente!DS12*MINVU_Mes_Constante!$DP$1</f>
        <v>32725089.352731593</v>
      </c>
      <c r="DT12" s="8">
        <f>+MINVU_Mes_Corriente!DT12*MINVU_Mes_Constante!$DP$1</f>
        <v>32725089.352731593</v>
      </c>
      <c r="DU12" s="8">
        <f>+MINVU_Mes_Corriente!DU12*MINVU_Mes_Constante!$DP$1</f>
        <v>32725089.352731593</v>
      </c>
      <c r="DV12" s="8">
        <f>+MINVU_Mes_Corriente!DV12*MINVU_Mes_Constante!$DP$1</f>
        <v>32725089.352731593</v>
      </c>
      <c r="DW12" s="8">
        <f>+MINVU_Mes_Corriente!DW12*MINVU_Mes_Constante!$DP$1</f>
        <v>32725089.352731593</v>
      </c>
      <c r="DX12" s="8">
        <f>+MINVU_Mes_Corriente!DX12*MINVU_Mes_Constante!$DP$1</f>
        <v>32725089.352731593</v>
      </c>
      <c r="DY12" s="8">
        <f>+MINVU_Mes_Corriente!DY12*MINVU_Mes_Constante!$DP$1</f>
        <v>32725089.352731593</v>
      </c>
      <c r="DZ12" s="8">
        <f>+MINVU_Mes_Corriente!DZ12*MINVU_Mes_Constante!$DP$1</f>
        <v>32725089.352731593</v>
      </c>
      <c r="EA12" s="8">
        <f>+MINVU_Mes_Corriente!EA12*MINVU_Mes_Constante!$DP$1</f>
        <v>32725089.352731593</v>
      </c>
      <c r="EB12" s="9">
        <f t="shared" si="9"/>
        <v>32725089.352731593</v>
      </c>
      <c r="EC12" s="8">
        <f>+MINVU_Mes_Corriente!EC12*MINVU_Mes_Constante!$EC$1</f>
        <v>11253722.070062485</v>
      </c>
      <c r="ED12" s="8">
        <f>+MINVU_Mes_Corriente!ED12*MINVU_Mes_Constante!$EC$1</f>
        <v>11253722.070062485</v>
      </c>
      <c r="EE12" s="8">
        <f>+MINVU_Mes_Corriente!EE12*MINVU_Mes_Constante!$EC$1</f>
        <v>11253722.070062485</v>
      </c>
      <c r="EF12" s="8">
        <f>+MINVU_Mes_Corriente!EF12*MINVU_Mes_Constante!$EC$1</f>
        <v>11253722.070062485</v>
      </c>
      <c r="EG12" s="8">
        <f>+MINVU_Mes_Corriente!EG12*MINVU_Mes_Constante!$EC$1</f>
        <v>11253722.070062485</v>
      </c>
      <c r="EH12" s="8">
        <f>+MINVU_Mes_Corriente!EH12*MINVU_Mes_Constante!$EC$1</f>
        <v>11253722.070062485</v>
      </c>
      <c r="EI12" s="8">
        <f>+MINVU_Mes_Corriente!EI12*MINVU_Mes_Constante!$EC$1</f>
        <v>11253722.070062485</v>
      </c>
      <c r="EJ12" s="8">
        <f>+MINVU_Mes_Corriente!EJ12*MINVU_Mes_Constante!$EC$1</f>
        <v>11253722.070062485</v>
      </c>
      <c r="EK12" s="8">
        <f>+MINVU_Mes_Corriente!EK12*MINVU_Mes_Constante!$EC$1</f>
        <v>11253722.070062485</v>
      </c>
      <c r="EL12" s="8">
        <f>+MINVU_Mes_Corriente!EL12*MINVU_Mes_Constante!$EC$1</f>
        <v>11253722.070062485</v>
      </c>
      <c r="EM12" s="8">
        <f>+MINVU_Mes_Corriente!EM12*MINVU_Mes_Constante!$EC$1</f>
        <v>11253722.070062485</v>
      </c>
      <c r="EN12" s="8">
        <f>+MINVU_Mes_Corriente!EN12*MINVU_Mes_Constante!$EC$1</f>
        <v>11253722.070062485</v>
      </c>
      <c r="EO12" s="9">
        <f t="shared" si="10"/>
        <v>11253722.070062485</v>
      </c>
      <c r="EP12" s="8">
        <f>+MINVU_Mes_Corriente!EP12*MINVU_Mes_Constante!$EP$1</f>
        <v>13585888</v>
      </c>
      <c r="EQ12" s="8">
        <f>+MINVU_Mes_Corriente!EQ12*MINVU_Mes_Constante!$EP$1</f>
        <v>13585888</v>
      </c>
      <c r="ER12" s="8">
        <f>+MINVU_Mes_Corriente!ER12*MINVU_Mes_Constante!$EP$1</f>
        <v>13585888</v>
      </c>
      <c r="ES12" s="8">
        <f>+MINVU_Mes_Corriente!ES12*MINVU_Mes_Constante!$EP$1</f>
        <v>13585888</v>
      </c>
      <c r="ET12" s="8">
        <f>+MINVU_Mes_Corriente!ET12*MINVU_Mes_Constante!$EP$1</f>
        <v>13585888</v>
      </c>
      <c r="EU12" s="8">
        <f>+MINVU_Mes_Corriente!EU12*MINVU_Mes_Constante!$EP$1</f>
        <v>13585888</v>
      </c>
      <c r="EV12" s="8">
        <f>+MINVU_Mes_Corriente!EV12*MINVU_Mes_Constante!$EP$1</f>
        <v>13585888</v>
      </c>
      <c r="EW12" s="8">
        <f>+MINVU_Mes_Corriente!EW12*MINVU_Mes_Constante!$EP$1</f>
        <v>13585888</v>
      </c>
      <c r="EX12" s="8">
        <f>+MINVU_Mes_Corriente!EX12*MINVU_Mes_Constante!$EP$1</f>
        <v>13585888</v>
      </c>
      <c r="EY12" s="8">
        <f>+MINVU_Mes_Corriente!EY12*MINVU_Mes_Constante!$EP$1</f>
        <v>13585888</v>
      </c>
      <c r="EZ12" s="8">
        <f>+MINVU_Mes_Corriente!EZ12*MINVU_Mes_Constante!$EP$1</f>
        <v>13585888</v>
      </c>
      <c r="FA12" s="8">
        <f>+MINVU_Mes_Corriente!FA12*MINVU_Mes_Constante!$EP$1</f>
        <v>13585888</v>
      </c>
      <c r="FB12" s="9">
        <f t="shared" si="11"/>
        <v>13585888</v>
      </c>
      <c r="FC12" s="8">
        <f>+MINVU_Mes_Corriente!FC12*MINVU_Mes_Constante!$FC$1</f>
        <v>13197867</v>
      </c>
      <c r="FD12" s="8">
        <f>+MINVU_Mes_Corriente!FD12*MINVU_Mes_Constante!$FC$1</f>
        <v>13197867</v>
      </c>
      <c r="FE12" s="8">
        <f>+MINVU_Mes_Corriente!FE12*MINVU_Mes_Constante!$FC$1</f>
        <v>13197867</v>
      </c>
      <c r="FF12" s="8">
        <f>+MINVU_Mes_Corriente!FF12*MINVU_Mes_Constante!$FC$1</f>
        <v>13197867</v>
      </c>
      <c r="FG12" s="8">
        <f>+MINVU_Mes_Corriente!FG12*MINVU_Mes_Constante!$FC$1</f>
        <v>13197867</v>
      </c>
      <c r="FH12" s="8">
        <f>+MINVU_Mes_Corriente!FH12*MINVU_Mes_Constante!$FC$1</f>
        <v>13197867</v>
      </c>
      <c r="FI12" s="8">
        <f>+MINVU_Mes_Corriente!FI12*MINVU_Mes_Constante!$FC$1</f>
        <v>13197867</v>
      </c>
      <c r="FJ12" s="8"/>
      <c r="FK12" s="8"/>
      <c r="FL12" s="8"/>
      <c r="FM12" s="8"/>
      <c r="FN12" s="8"/>
      <c r="FO12" s="9">
        <f t="shared" si="12"/>
        <v>13197867</v>
      </c>
    </row>
    <row r="13" spans="2:171" ht="14.25" customHeight="1" x14ac:dyDescent="0.3">
      <c r="B13" s="7" t="s">
        <v>48</v>
      </c>
      <c r="C13" s="8">
        <f>+MINVU_Mes_Corriente!C13*MINVU_Mes_Constante!$C$1</f>
        <v>8593303.0508675668</v>
      </c>
      <c r="D13" s="8">
        <f>+MINVU_Mes_Corriente!D13*MINVU_Mes_Constante!$C$1</f>
        <v>8593303.0508675668</v>
      </c>
      <c r="E13" s="8">
        <f>+MINVU_Mes_Corriente!E13*MINVU_Mes_Constante!$C$1</f>
        <v>8593303.0508675668</v>
      </c>
      <c r="F13" s="8">
        <f>+MINVU_Mes_Corriente!F13*MINVU_Mes_Constante!$C$1</f>
        <v>8593303.0508675668</v>
      </c>
      <c r="G13" s="8">
        <f>+MINVU_Mes_Corriente!G13*MINVU_Mes_Constante!$C$1</f>
        <v>8593303.0508675668</v>
      </c>
      <c r="H13" s="8">
        <f>+MINVU_Mes_Corriente!H13*MINVU_Mes_Constante!$C$1</f>
        <v>8593303.0508675668</v>
      </c>
      <c r="I13" s="8">
        <f>+MINVU_Mes_Corriente!I13*MINVU_Mes_Constante!$C$1</f>
        <v>8593303.0508675668</v>
      </c>
      <c r="J13" s="8">
        <f>+MINVU_Mes_Corriente!J13*MINVU_Mes_Constante!$C$1</f>
        <v>8593303.0508675668</v>
      </c>
      <c r="K13" s="8">
        <f>+MINVU_Mes_Corriente!K13*MINVU_Mes_Constante!$C$1</f>
        <v>8593303.0508675668</v>
      </c>
      <c r="L13" s="8">
        <f>+MINVU_Mes_Corriente!L13*MINVU_Mes_Constante!$C$1</f>
        <v>8593303.0508675668</v>
      </c>
      <c r="M13" s="8">
        <f>+MINVU_Mes_Corriente!M13*MINVU_Mes_Constante!$C$1</f>
        <v>8593303.0508675668</v>
      </c>
      <c r="N13" s="8">
        <f>+MINVU_Mes_Corriente!N13*MINVU_Mes_Constante!$C$1</f>
        <v>8593303.0508675668</v>
      </c>
      <c r="O13" s="9">
        <f t="shared" si="0"/>
        <v>8593303.0508675668</v>
      </c>
      <c r="P13" s="8">
        <f>+MINVU_Mes_Corriente!P13*MINVU_Mes_Constante!$P$1</f>
        <v>16272857.504759192</v>
      </c>
      <c r="Q13" s="8">
        <f>+MINVU_Mes_Corriente!Q13*MINVU_Mes_Constante!$P$1</f>
        <v>16272857.504759192</v>
      </c>
      <c r="R13" s="8">
        <f>+MINVU_Mes_Corriente!R13*MINVU_Mes_Constante!$P$1</f>
        <v>16272857.504759192</v>
      </c>
      <c r="S13" s="8">
        <f>+MINVU_Mes_Corriente!S13*MINVU_Mes_Constante!$P$1</f>
        <v>16272857.504759192</v>
      </c>
      <c r="T13" s="8">
        <f>+MINVU_Mes_Corriente!T13*MINVU_Mes_Constante!$P$1</f>
        <v>16272857.504759192</v>
      </c>
      <c r="U13" s="8">
        <f>+MINVU_Mes_Corriente!U13*MINVU_Mes_Constante!$P$1</f>
        <v>16272857.504759192</v>
      </c>
      <c r="V13" s="8">
        <f>+MINVU_Mes_Corriente!V13*MINVU_Mes_Constante!$P$1</f>
        <v>16272857.504759192</v>
      </c>
      <c r="W13" s="8">
        <f>+MINVU_Mes_Corriente!W13*MINVU_Mes_Constante!$P$1</f>
        <v>16272857.504759192</v>
      </c>
      <c r="X13" s="8">
        <f>+MINVU_Mes_Corriente!X13*MINVU_Mes_Constante!$P$1</f>
        <v>16272857.504759192</v>
      </c>
      <c r="Y13" s="8">
        <f>+MINVU_Mes_Corriente!Y13*MINVU_Mes_Constante!$P$1</f>
        <v>16272857.504759192</v>
      </c>
      <c r="Z13" s="8">
        <f>+MINVU_Mes_Corriente!Z13*MINVU_Mes_Constante!$P$1</f>
        <v>16272857.504759192</v>
      </c>
      <c r="AA13" s="8">
        <f>+MINVU_Mes_Corriente!AA13*MINVU_Mes_Constante!$P$1</f>
        <v>16272857.504759192</v>
      </c>
      <c r="AB13" s="9">
        <f t="shared" si="1"/>
        <v>16272857.504759192</v>
      </c>
      <c r="AC13" s="8">
        <f>+MINVU_Mes_Corriente!AC13*MINVU_Mes_Constante!$AC$1</f>
        <v>12026247.746576291</v>
      </c>
      <c r="AD13" s="8">
        <f>+MINVU_Mes_Corriente!AD13*MINVU_Mes_Constante!$AC$1</f>
        <v>12026247.746576291</v>
      </c>
      <c r="AE13" s="8">
        <f>+MINVU_Mes_Corriente!AE13*MINVU_Mes_Constante!$AC$1</f>
        <v>12026247.746576291</v>
      </c>
      <c r="AF13" s="8">
        <f>+MINVU_Mes_Corriente!AF13*MINVU_Mes_Constante!$AC$1</f>
        <v>12026247.746576291</v>
      </c>
      <c r="AG13" s="8">
        <f>+MINVU_Mes_Corriente!AG13*MINVU_Mes_Constante!$AC$1</f>
        <v>12026247.746576291</v>
      </c>
      <c r="AH13" s="8">
        <f>+MINVU_Mes_Corriente!AH13*MINVU_Mes_Constante!$AC$1</f>
        <v>12026247.746576291</v>
      </c>
      <c r="AI13" s="8">
        <f>+MINVU_Mes_Corriente!AI13*MINVU_Mes_Constante!$AC$1</f>
        <v>12026247.746576291</v>
      </c>
      <c r="AJ13" s="8">
        <f>+MINVU_Mes_Corriente!AJ13*MINVU_Mes_Constante!$AC$1</f>
        <v>12026247.746576291</v>
      </c>
      <c r="AK13" s="8">
        <f>+MINVU_Mes_Corriente!AK13*MINVU_Mes_Constante!$AC$1</f>
        <v>12026247.746576291</v>
      </c>
      <c r="AL13" s="8">
        <f>+MINVU_Mes_Corriente!AL13*MINVU_Mes_Constante!$AC$1</f>
        <v>12026247.746576291</v>
      </c>
      <c r="AM13" s="8">
        <f>+MINVU_Mes_Corriente!AM13*MINVU_Mes_Constante!$AC$1</f>
        <v>12026247.746576291</v>
      </c>
      <c r="AN13" s="8">
        <f>+MINVU_Mes_Corriente!AN13*MINVU_Mes_Constante!$AC$1</f>
        <v>12026247.746576291</v>
      </c>
      <c r="AO13" s="9">
        <f t="shared" si="2"/>
        <v>12026247.746576291</v>
      </c>
      <c r="AP13" s="8">
        <f>+MINVU_Mes_Corriente!AP13*MINVU_Mes_Constante!$AP$1</f>
        <v>33339173.429460298</v>
      </c>
      <c r="AQ13" s="8">
        <f>+MINVU_Mes_Corriente!AQ13*MINVU_Mes_Constante!$AP$1</f>
        <v>33339173.429460298</v>
      </c>
      <c r="AR13" s="8">
        <f>+MINVU_Mes_Corriente!AR13*MINVU_Mes_Constante!$AP$1</f>
        <v>33339173.429460298</v>
      </c>
      <c r="AS13" s="8">
        <f>+MINVU_Mes_Corriente!AS13*MINVU_Mes_Constante!$AP$1</f>
        <v>33339173.429460298</v>
      </c>
      <c r="AT13" s="8">
        <f>+MINVU_Mes_Corriente!AT13*MINVU_Mes_Constante!$AP$1</f>
        <v>33339173.429460298</v>
      </c>
      <c r="AU13" s="8">
        <f>+MINVU_Mes_Corriente!AU13*MINVU_Mes_Constante!$AP$1</f>
        <v>33339173.429460298</v>
      </c>
      <c r="AV13" s="8">
        <f>+MINVU_Mes_Corriente!AV13*MINVU_Mes_Constante!$AP$1</f>
        <v>33339173.429460298</v>
      </c>
      <c r="AW13" s="8">
        <f>+MINVU_Mes_Corriente!AW13*MINVU_Mes_Constante!$AP$1</f>
        <v>33339173.429460298</v>
      </c>
      <c r="AX13" s="8">
        <f>+MINVU_Mes_Corriente!AX13*MINVU_Mes_Constante!$AP$1</f>
        <v>33339173.429460298</v>
      </c>
      <c r="AY13" s="8">
        <f>+MINVU_Mes_Corriente!AY13*MINVU_Mes_Constante!$AP$1</f>
        <v>33339173.429460298</v>
      </c>
      <c r="AZ13" s="8">
        <f>+MINVU_Mes_Corriente!AZ13*MINVU_Mes_Constante!$AP$1</f>
        <v>33339173.429460298</v>
      </c>
      <c r="BA13" s="8">
        <f>+MINVU_Mes_Corriente!BA13*MINVU_Mes_Constante!$AP$1</f>
        <v>33339173.429460298</v>
      </c>
      <c r="BB13" s="9">
        <f t="shared" si="3"/>
        <v>33339173.429460298</v>
      </c>
      <c r="BC13" s="8">
        <f>+MINVU_Mes_Corriente!BC13*MINVU_Mes_Constante!$BC$1</f>
        <v>37555359.279704615</v>
      </c>
      <c r="BD13" s="8">
        <f>+MINVU_Mes_Corriente!BD13*MINVU_Mes_Constante!$BC$1</f>
        <v>37555359.279704615</v>
      </c>
      <c r="BE13" s="8">
        <f>+MINVU_Mes_Corriente!BE13*MINVU_Mes_Constante!$BC$1</f>
        <v>37555359.279704615</v>
      </c>
      <c r="BF13" s="8">
        <f>+MINVU_Mes_Corriente!BF13*MINVU_Mes_Constante!$BC$1</f>
        <v>37555359.279704615</v>
      </c>
      <c r="BG13" s="8">
        <f>+MINVU_Mes_Corriente!BG13*MINVU_Mes_Constante!$BC$1</f>
        <v>37555359.279704615</v>
      </c>
      <c r="BH13" s="8">
        <f>+MINVU_Mes_Corriente!BH13*MINVU_Mes_Constante!$BC$1</f>
        <v>37555359.279704615</v>
      </c>
      <c r="BI13" s="8">
        <f>+MINVU_Mes_Corriente!BI13*MINVU_Mes_Constante!$BC$1</f>
        <v>37555359.279704615</v>
      </c>
      <c r="BJ13" s="8">
        <f>+MINVU_Mes_Corriente!BJ13*MINVU_Mes_Constante!$BC$1</f>
        <v>37555359.279704615</v>
      </c>
      <c r="BK13" s="8">
        <f>+MINVU_Mes_Corriente!BK13*MINVU_Mes_Constante!$BC$1</f>
        <v>37555359.279704615</v>
      </c>
      <c r="BL13" s="8">
        <f>+MINVU_Mes_Corriente!BL13*MINVU_Mes_Constante!$BC$1</f>
        <v>37555359.279704615</v>
      </c>
      <c r="BM13" s="8">
        <f>+MINVU_Mes_Corriente!BM13*MINVU_Mes_Constante!$BC$1</f>
        <v>37555359.279704615</v>
      </c>
      <c r="BN13" s="8">
        <f>+MINVU_Mes_Corriente!BN13*MINVU_Mes_Constante!$BC$1</f>
        <v>37555359.279704615</v>
      </c>
      <c r="BO13" s="9">
        <f t="shared" si="4"/>
        <v>37555359.279704615</v>
      </c>
      <c r="BP13" s="8">
        <f>+MINVU_Mes_Corriente!BP13*MINVU_Mes_Constante!$BP$1</f>
        <v>23627904.485531371</v>
      </c>
      <c r="BQ13" s="8">
        <f>+MINVU_Mes_Corriente!BQ13*MINVU_Mes_Constante!$BP$1</f>
        <v>23627904.485531371</v>
      </c>
      <c r="BR13" s="8">
        <f>+MINVU_Mes_Corriente!BR13*MINVU_Mes_Constante!$BP$1</f>
        <v>23627904.485531371</v>
      </c>
      <c r="BS13" s="8">
        <f>+MINVU_Mes_Corriente!BS13*MINVU_Mes_Constante!$BP$1</f>
        <v>23627904.485531371</v>
      </c>
      <c r="BT13" s="8">
        <f>+MINVU_Mes_Corriente!BT13*MINVU_Mes_Constante!$BP$1</f>
        <v>23627904.485531371</v>
      </c>
      <c r="BU13" s="8">
        <f>+MINVU_Mes_Corriente!BU13*MINVU_Mes_Constante!$BP$1</f>
        <v>23627904.485531371</v>
      </c>
      <c r="BV13" s="8">
        <f>+MINVU_Mes_Corriente!BV13*MINVU_Mes_Constante!$BP$1</f>
        <v>23627904.485531371</v>
      </c>
      <c r="BW13" s="8">
        <f>+MINVU_Mes_Corriente!BW13*MINVU_Mes_Constante!$BP$1</f>
        <v>23627904.485531371</v>
      </c>
      <c r="BX13" s="8">
        <f>+MINVU_Mes_Corriente!BX13*MINVU_Mes_Constante!$BP$1</f>
        <v>23627904.485531371</v>
      </c>
      <c r="BY13" s="8">
        <f>+MINVU_Mes_Corriente!BY13*MINVU_Mes_Constante!$BP$1</f>
        <v>23627904.485531371</v>
      </c>
      <c r="BZ13" s="8">
        <f>+MINVU_Mes_Corriente!BZ13*MINVU_Mes_Constante!$BP$1</f>
        <v>23627904.485531371</v>
      </c>
      <c r="CA13" s="8">
        <f>+MINVU_Mes_Corriente!CA13*MINVU_Mes_Constante!$BP$1</f>
        <v>23627904.485531371</v>
      </c>
      <c r="CB13" s="9">
        <f t="shared" si="5"/>
        <v>23627904.485531371</v>
      </c>
      <c r="CC13" s="8">
        <f>+MINVU_Mes_Corriente!CC13*MINVU_Mes_Constante!$CC$1</f>
        <v>23557049.641924657</v>
      </c>
      <c r="CD13" s="8">
        <f>+MINVU_Mes_Corriente!CD13*MINVU_Mes_Constante!$CC$1</f>
        <v>23557049.641924657</v>
      </c>
      <c r="CE13" s="8">
        <f>+MINVU_Mes_Corriente!CE13*MINVU_Mes_Constante!$CC$1</f>
        <v>23557049.641924657</v>
      </c>
      <c r="CF13" s="8">
        <f>+MINVU_Mes_Corriente!CF13*MINVU_Mes_Constante!$CC$1</f>
        <v>23557049.641924657</v>
      </c>
      <c r="CG13" s="8">
        <f>+MINVU_Mes_Corriente!CG13*MINVU_Mes_Constante!$CC$1</f>
        <v>23557049.641924657</v>
      </c>
      <c r="CH13" s="8">
        <f>+MINVU_Mes_Corriente!CH13*MINVU_Mes_Constante!$CC$1</f>
        <v>23557049.641924657</v>
      </c>
      <c r="CI13" s="8">
        <f>+MINVU_Mes_Corriente!CI13*MINVU_Mes_Constante!$CC$1</f>
        <v>23557049.641924657</v>
      </c>
      <c r="CJ13" s="8">
        <f>+MINVU_Mes_Corriente!CJ13*MINVU_Mes_Constante!$CC$1</f>
        <v>23557049.641924657</v>
      </c>
      <c r="CK13" s="8">
        <f>+MINVU_Mes_Corriente!CK13*MINVU_Mes_Constante!$CC$1</f>
        <v>23557049.641924657</v>
      </c>
      <c r="CL13" s="8">
        <f>+MINVU_Mes_Corriente!CL13*MINVU_Mes_Constante!$CC$1</f>
        <v>23557049.641924657</v>
      </c>
      <c r="CM13" s="8">
        <f>+MINVU_Mes_Corriente!CM13*MINVU_Mes_Constante!$CC$1</f>
        <v>23557049.641924657</v>
      </c>
      <c r="CN13" s="8">
        <f>+MINVU_Mes_Corriente!CN13*MINVU_Mes_Constante!$CC$1</f>
        <v>23557049.641924657</v>
      </c>
      <c r="CO13" s="9">
        <f t="shared" si="6"/>
        <v>23557049.641924657</v>
      </c>
      <c r="CP13" s="8">
        <f>+MINVU_Mes_Corriente!CP13*MINVU_Mes_Constante!$CP$1</f>
        <v>23714301.209512755</v>
      </c>
      <c r="CQ13" s="8">
        <f>+MINVU_Mes_Corriente!CQ13*MINVU_Mes_Constante!$CP$1</f>
        <v>23714301.209512755</v>
      </c>
      <c r="CR13" s="8">
        <f>+MINVU_Mes_Corriente!CR13*MINVU_Mes_Constante!$CP$1</f>
        <v>23714301.209512755</v>
      </c>
      <c r="CS13" s="8">
        <f>+MINVU_Mes_Corriente!CS13*MINVU_Mes_Constante!$CP$1</f>
        <v>23714301.209512755</v>
      </c>
      <c r="CT13" s="8">
        <f>+MINVU_Mes_Corriente!CT13*MINVU_Mes_Constante!$CP$1</f>
        <v>23714301.209512755</v>
      </c>
      <c r="CU13" s="8">
        <f>+MINVU_Mes_Corriente!CU13*MINVU_Mes_Constante!$CP$1</f>
        <v>23714301.209512755</v>
      </c>
      <c r="CV13" s="8">
        <f>+MINVU_Mes_Corriente!CV13*MINVU_Mes_Constante!$CP$1</f>
        <v>23714301.209512755</v>
      </c>
      <c r="CW13" s="8">
        <f>+MINVU_Mes_Corriente!CW13*MINVU_Mes_Constante!$CP$1</f>
        <v>23714301.209512755</v>
      </c>
      <c r="CX13" s="8">
        <f>+MINVU_Mes_Corriente!CX13*MINVU_Mes_Constante!$CP$1</f>
        <v>23714301.209512755</v>
      </c>
      <c r="CY13" s="8">
        <f>+MINVU_Mes_Corriente!CY13*MINVU_Mes_Constante!$CP$1</f>
        <v>23714301.209512755</v>
      </c>
      <c r="CZ13" s="8">
        <f>+MINVU_Mes_Corriente!CZ13*MINVU_Mes_Constante!$CP$1</f>
        <v>23714301.209512755</v>
      </c>
      <c r="DA13" s="8">
        <f>+MINVU_Mes_Corriente!DA13*MINVU_Mes_Constante!$CP$1</f>
        <v>23714301.209512755</v>
      </c>
      <c r="DB13" s="9">
        <f t="shared" si="7"/>
        <v>23714301.209512755</v>
      </c>
      <c r="DC13" s="8">
        <f>+MINVU_Mes_Corriente!DC13*MINVU_Mes_Constante!$DC$1</f>
        <v>27958831.493673503</v>
      </c>
      <c r="DD13" s="8">
        <f>+MINVU_Mes_Corriente!DD13*MINVU_Mes_Constante!$DC$1</f>
        <v>27958831.493673503</v>
      </c>
      <c r="DE13" s="8">
        <f>+MINVU_Mes_Corriente!DE13*MINVU_Mes_Constante!$DC$1</f>
        <v>27958831.493673503</v>
      </c>
      <c r="DF13" s="8">
        <f>+MINVU_Mes_Corriente!DF13*MINVU_Mes_Constante!$DC$1</f>
        <v>27958831.493673503</v>
      </c>
      <c r="DG13" s="8">
        <f>+MINVU_Mes_Corriente!DG13*MINVU_Mes_Constante!$DC$1</f>
        <v>27958831.493673503</v>
      </c>
      <c r="DH13" s="8">
        <f>+MINVU_Mes_Corriente!DH13*MINVU_Mes_Constante!$DC$1</f>
        <v>27958831.493673503</v>
      </c>
      <c r="DI13" s="8">
        <f>+MINVU_Mes_Corriente!DI13*MINVU_Mes_Constante!$DC$1</f>
        <v>27958831.493673503</v>
      </c>
      <c r="DJ13" s="8">
        <f>+MINVU_Mes_Corriente!DJ13*MINVU_Mes_Constante!$DC$1</f>
        <v>27958831.493673503</v>
      </c>
      <c r="DK13" s="8">
        <f>+MINVU_Mes_Corriente!DK13*MINVU_Mes_Constante!$DC$1</f>
        <v>27958831.493673503</v>
      </c>
      <c r="DL13" s="8">
        <f>+MINVU_Mes_Corriente!DL13*MINVU_Mes_Constante!$DC$1</f>
        <v>27958831.493673503</v>
      </c>
      <c r="DM13" s="8">
        <f>+MINVU_Mes_Corriente!DM13*MINVU_Mes_Constante!$DC$1</f>
        <v>27958831.493673503</v>
      </c>
      <c r="DN13" s="8">
        <f>+MINVU_Mes_Corriente!DN13*MINVU_Mes_Constante!$DC$1</f>
        <v>27958831.493673503</v>
      </c>
      <c r="DO13" s="9">
        <f t="shared" si="8"/>
        <v>27958831.493673503</v>
      </c>
      <c r="DP13" s="8">
        <f>+MINVU_Mes_Corriente!DP13*MINVU_Mes_Constante!$DP$1</f>
        <v>23049191.795130644</v>
      </c>
      <c r="DQ13" s="8">
        <f>+MINVU_Mes_Corriente!DQ13*MINVU_Mes_Constante!$DP$1</f>
        <v>23049191.795130644</v>
      </c>
      <c r="DR13" s="8">
        <f>+MINVU_Mes_Corriente!DR13*MINVU_Mes_Constante!$DP$1</f>
        <v>23049191.795130644</v>
      </c>
      <c r="DS13" s="8">
        <f>+MINVU_Mes_Corriente!DS13*MINVU_Mes_Constante!$DP$1</f>
        <v>23049191.795130644</v>
      </c>
      <c r="DT13" s="8">
        <f>+MINVU_Mes_Corriente!DT13*MINVU_Mes_Constante!$DP$1</f>
        <v>23049191.795130644</v>
      </c>
      <c r="DU13" s="8">
        <f>+MINVU_Mes_Corriente!DU13*MINVU_Mes_Constante!$DP$1</f>
        <v>23049191.795130644</v>
      </c>
      <c r="DV13" s="8">
        <f>+MINVU_Mes_Corriente!DV13*MINVU_Mes_Constante!$DP$1</f>
        <v>23049191.795130644</v>
      </c>
      <c r="DW13" s="8">
        <f>+MINVU_Mes_Corriente!DW13*MINVU_Mes_Constante!$DP$1</f>
        <v>23049191.795130644</v>
      </c>
      <c r="DX13" s="8">
        <f>+MINVU_Mes_Corriente!DX13*MINVU_Mes_Constante!$DP$1</f>
        <v>23049191.795130644</v>
      </c>
      <c r="DY13" s="8">
        <f>+MINVU_Mes_Corriente!DY13*MINVU_Mes_Constante!$DP$1</f>
        <v>23049191.795130644</v>
      </c>
      <c r="DZ13" s="8">
        <f>+MINVU_Mes_Corriente!DZ13*MINVU_Mes_Constante!$DP$1</f>
        <v>23049191.795130644</v>
      </c>
      <c r="EA13" s="8">
        <f>+MINVU_Mes_Corriente!EA13*MINVU_Mes_Constante!$DP$1</f>
        <v>23049191.795130644</v>
      </c>
      <c r="EB13" s="9">
        <f t="shared" si="9"/>
        <v>23049191.795130644</v>
      </c>
      <c r="EC13" s="8">
        <f>+MINVU_Mes_Corriente!EC13*MINVU_Mes_Constante!$EC$1</f>
        <v>22260037.790569961</v>
      </c>
      <c r="ED13" s="8">
        <f>+MINVU_Mes_Corriente!ED13*MINVU_Mes_Constante!$EC$1</f>
        <v>22260037.790569961</v>
      </c>
      <c r="EE13" s="8">
        <f>+MINVU_Mes_Corriente!EE13*MINVU_Mes_Constante!$EC$1</f>
        <v>22260037.790569961</v>
      </c>
      <c r="EF13" s="8">
        <f>+MINVU_Mes_Corriente!EF13*MINVU_Mes_Constante!$EC$1</f>
        <v>22260037.790569961</v>
      </c>
      <c r="EG13" s="8">
        <f>+MINVU_Mes_Corriente!EG13*MINVU_Mes_Constante!$EC$1</f>
        <v>22260037.790569961</v>
      </c>
      <c r="EH13" s="8">
        <f>+MINVU_Mes_Corriente!EH13*MINVU_Mes_Constante!$EC$1</f>
        <v>22260037.790569961</v>
      </c>
      <c r="EI13" s="8">
        <f>+MINVU_Mes_Corriente!EI13*MINVU_Mes_Constante!$EC$1</f>
        <v>22260037.790569961</v>
      </c>
      <c r="EJ13" s="8">
        <f>+MINVU_Mes_Corriente!EJ13*MINVU_Mes_Constante!$EC$1</f>
        <v>22260037.790569961</v>
      </c>
      <c r="EK13" s="8">
        <f>+MINVU_Mes_Corriente!EK13*MINVU_Mes_Constante!$EC$1</f>
        <v>22260037.790569961</v>
      </c>
      <c r="EL13" s="8">
        <f>+MINVU_Mes_Corriente!EL13*MINVU_Mes_Constante!$EC$1</f>
        <v>22260037.790569961</v>
      </c>
      <c r="EM13" s="8">
        <f>+MINVU_Mes_Corriente!EM13*MINVU_Mes_Constante!$EC$1</f>
        <v>22260037.790569961</v>
      </c>
      <c r="EN13" s="8">
        <f>+MINVU_Mes_Corriente!EN13*MINVU_Mes_Constante!$EC$1</f>
        <v>22260037.790569961</v>
      </c>
      <c r="EO13" s="9">
        <f t="shared" si="10"/>
        <v>22260037.790569961</v>
      </c>
      <c r="EP13" s="8">
        <f>+MINVU_Mes_Corriente!EP13*MINVU_Mes_Constante!$EP$1</f>
        <v>24183340</v>
      </c>
      <c r="EQ13" s="8">
        <f>+MINVU_Mes_Corriente!EQ13*MINVU_Mes_Constante!$EP$1</f>
        <v>24183340</v>
      </c>
      <c r="ER13" s="8">
        <f>+MINVU_Mes_Corriente!ER13*MINVU_Mes_Constante!$EP$1</f>
        <v>24183340</v>
      </c>
      <c r="ES13" s="8">
        <f>+MINVU_Mes_Corriente!ES13*MINVU_Mes_Constante!$EP$1</f>
        <v>24183340</v>
      </c>
      <c r="ET13" s="8">
        <f>+MINVU_Mes_Corriente!ET13*MINVU_Mes_Constante!$EP$1</f>
        <v>24183340</v>
      </c>
      <c r="EU13" s="8">
        <f>+MINVU_Mes_Corriente!EU13*MINVU_Mes_Constante!$EP$1</f>
        <v>24183340</v>
      </c>
      <c r="EV13" s="8">
        <f>+MINVU_Mes_Corriente!EV13*MINVU_Mes_Constante!$EP$1</f>
        <v>24183340</v>
      </c>
      <c r="EW13" s="8">
        <f>+MINVU_Mes_Corriente!EW13*MINVU_Mes_Constante!$EP$1</f>
        <v>24183340</v>
      </c>
      <c r="EX13" s="8">
        <f>+MINVU_Mes_Corriente!EX13*MINVU_Mes_Constante!$EP$1</f>
        <v>24183340</v>
      </c>
      <c r="EY13" s="8">
        <f>+MINVU_Mes_Corriente!EY13*MINVU_Mes_Constante!$EP$1</f>
        <v>24183340</v>
      </c>
      <c r="EZ13" s="8">
        <f>+MINVU_Mes_Corriente!EZ13*MINVU_Mes_Constante!$EP$1</f>
        <v>24183340</v>
      </c>
      <c r="FA13" s="8">
        <f>+MINVU_Mes_Corriente!FA13*MINVU_Mes_Constante!$EP$1</f>
        <v>24183340</v>
      </c>
      <c r="FB13" s="9">
        <f t="shared" si="11"/>
        <v>24183340</v>
      </c>
      <c r="FC13" s="8">
        <f>+MINVU_Mes_Corriente!FC13*MINVU_Mes_Constante!$FC$1</f>
        <v>9416801</v>
      </c>
      <c r="FD13" s="8">
        <f>+MINVU_Mes_Corriente!FD13*MINVU_Mes_Constante!$FC$1</f>
        <v>9416801</v>
      </c>
      <c r="FE13" s="8">
        <f>+MINVU_Mes_Corriente!FE13*MINVU_Mes_Constante!$FC$1</f>
        <v>9416801</v>
      </c>
      <c r="FF13" s="8">
        <f>+MINVU_Mes_Corriente!FF13*MINVU_Mes_Constante!$FC$1</f>
        <v>9416801</v>
      </c>
      <c r="FG13" s="8">
        <f>+MINVU_Mes_Corriente!FG13*MINVU_Mes_Constante!$FC$1</f>
        <v>9416801</v>
      </c>
      <c r="FH13" s="8">
        <f>+MINVU_Mes_Corriente!FH13*MINVU_Mes_Constante!$FC$1</f>
        <v>9416801</v>
      </c>
      <c r="FI13" s="8">
        <f>+MINVU_Mes_Corriente!FI13*MINVU_Mes_Constante!$FC$1</f>
        <v>9416801</v>
      </c>
      <c r="FJ13" s="8"/>
      <c r="FK13" s="8"/>
      <c r="FL13" s="8"/>
      <c r="FM13" s="8"/>
      <c r="FN13" s="8"/>
      <c r="FO13" s="9">
        <f t="shared" si="12"/>
        <v>9416801</v>
      </c>
    </row>
    <row r="14" spans="2:171" ht="14.25" customHeight="1" x14ac:dyDescent="0.3">
      <c r="B14" s="7" t="s">
        <v>49</v>
      </c>
      <c r="C14" s="8">
        <f>+MINVU_Mes_Corriente!C14*MINVU_Mes_Constante!$C$1</f>
        <v>26029828.237283114</v>
      </c>
      <c r="D14" s="8">
        <f>+MINVU_Mes_Corriente!D14*MINVU_Mes_Constante!$C$1</f>
        <v>26029828.237283114</v>
      </c>
      <c r="E14" s="8">
        <f>+MINVU_Mes_Corriente!E14*MINVU_Mes_Constante!$C$1</f>
        <v>26029828.237283114</v>
      </c>
      <c r="F14" s="8">
        <f>+MINVU_Mes_Corriente!F14*MINVU_Mes_Constante!$C$1</f>
        <v>26029828.237283114</v>
      </c>
      <c r="G14" s="8">
        <f>+MINVU_Mes_Corriente!G14*MINVU_Mes_Constante!$C$1</f>
        <v>26029828.237283114</v>
      </c>
      <c r="H14" s="8">
        <f>+MINVU_Mes_Corriente!H14*MINVU_Mes_Constante!$C$1</f>
        <v>26029828.237283114</v>
      </c>
      <c r="I14" s="8">
        <f>+MINVU_Mes_Corriente!I14*MINVU_Mes_Constante!$C$1</f>
        <v>26029828.237283114</v>
      </c>
      <c r="J14" s="8">
        <f>+MINVU_Mes_Corriente!J14*MINVU_Mes_Constante!$C$1</f>
        <v>26029828.237283114</v>
      </c>
      <c r="K14" s="8">
        <f>+MINVU_Mes_Corriente!K14*MINVU_Mes_Constante!$C$1</f>
        <v>26029828.237283114</v>
      </c>
      <c r="L14" s="8">
        <f>+MINVU_Mes_Corriente!L14*MINVU_Mes_Constante!$C$1</f>
        <v>26029828.237283114</v>
      </c>
      <c r="M14" s="8">
        <f>+MINVU_Mes_Corriente!M14*MINVU_Mes_Constante!$C$1</f>
        <v>26029828.237283114</v>
      </c>
      <c r="N14" s="8">
        <f>+MINVU_Mes_Corriente!N14*MINVU_Mes_Constante!$C$1</f>
        <v>26029828.237283114</v>
      </c>
      <c r="O14" s="9">
        <f t="shared" si="0"/>
        <v>26029828.237283114</v>
      </c>
      <c r="P14" s="8">
        <f>+MINVU_Mes_Corriente!P14*MINVU_Mes_Constante!$P$1</f>
        <v>29932479.374627065</v>
      </c>
      <c r="Q14" s="8">
        <f>+MINVU_Mes_Corriente!Q14*MINVU_Mes_Constante!$P$1</f>
        <v>29932479.374627065</v>
      </c>
      <c r="R14" s="8">
        <f>+MINVU_Mes_Corriente!R14*MINVU_Mes_Constante!$P$1</f>
        <v>29932479.374627065</v>
      </c>
      <c r="S14" s="8">
        <f>+MINVU_Mes_Corriente!S14*MINVU_Mes_Constante!$P$1</f>
        <v>29932479.374627065</v>
      </c>
      <c r="T14" s="8">
        <f>+MINVU_Mes_Corriente!T14*MINVU_Mes_Constante!$P$1</f>
        <v>29932479.374627065</v>
      </c>
      <c r="U14" s="8">
        <f>+MINVU_Mes_Corriente!U14*MINVU_Mes_Constante!$P$1</f>
        <v>29932479.374627065</v>
      </c>
      <c r="V14" s="8">
        <f>+MINVU_Mes_Corriente!V14*MINVU_Mes_Constante!$P$1</f>
        <v>29932479.374627065</v>
      </c>
      <c r="W14" s="8">
        <f>+MINVU_Mes_Corriente!W14*MINVU_Mes_Constante!$P$1</f>
        <v>29932479.374627065</v>
      </c>
      <c r="X14" s="8">
        <f>+MINVU_Mes_Corriente!X14*MINVU_Mes_Constante!$P$1</f>
        <v>29932479.374627065</v>
      </c>
      <c r="Y14" s="8">
        <f>+MINVU_Mes_Corriente!Y14*MINVU_Mes_Constante!$P$1</f>
        <v>29932479.374627065</v>
      </c>
      <c r="Z14" s="8">
        <f>+MINVU_Mes_Corriente!Z14*MINVU_Mes_Constante!$P$1</f>
        <v>29932479.374627065</v>
      </c>
      <c r="AA14" s="8">
        <f>+MINVU_Mes_Corriente!AA14*MINVU_Mes_Constante!$P$1</f>
        <v>29932479.374627065</v>
      </c>
      <c r="AB14" s="9">
        <f t="shared" si="1"/>
        <v>29932479.374627065</v>
      </c>
      <c r="AC14" s="8">
        <f>+MINVU_Mes_Corriente!AC14*MINVU_Mes_Constante!$AC$1</f>
        <v>28067016.825840365</v>
      </c>
      <c r="AD14" s="8">
        <f>+MINVU_Mes_Corriente!AD14*MINVU_Mes_Constante!$AC$1</f>
        <v>28067016.825840365</v>
      </c>
      <c r="AE14" s="8">
        <f>+MINVU_Mes_Corriente!AE14*MINVU_Mes_Constante!$AC$1</f>
        <v>28067016.825840365</v>
      </c>
      <c r="AF14" s="8">
        <f>+MINVU_Mes_Corriente!AF14*MINVU_Mes_Constante!$AC$1</f>
        <v>28067016.825840365</v>
      </c>
      <c r="AG14" s="8">
        <f>+MINVU_Mes_Corriente!AG14*MINVU_Mes_Constante!$AC$1</f>
        <v>28067016.825840365</v>
      </c>
      <c r="AH14" s="8">
        <f>+MINVU_Mes_Corriente!AH14*MINVU_Mes_Constante!$AC$1</f>
        <v>28067016.825840365</v>
      </c>
      <c r="AI14" s="8">
        <f>+MINVU_Mes_Corriente!AI14*MINVU_Mes_Constante!$AC$1</f>
        <v>28067016.825840365</v>
      </c>
      <c r="AJ14" s="8">
        <f>+MINVU_Mes_Corriente!AJ14*MINVU_Mes_Constante!$AC$1</f>
        <v>28067016.825840365</v>
      </c>
      <c r="AK14" s="8">
        <f>+MINVU_Mes_Corriente!AK14*MINVU_Mes_Constante!$AC$1</f>
        <v>28067016.825840365</v>
      </c>
      <c r="AL14" s="8">
        <f>+MINVU_Mes_Corriente!AL14*MINVU_Mes_Constante!$AC$1</f>
        <v>28067016.825840365</v>
      </c>
      <c r="AM14" s="8">
        <f>+MINVU_Mes_Corriente!AM14*MINVU_Mes_Constante!$AC$1</f>
        <v>28067016.825840365</v>
      </c>
      <c r="AN14" s="8">
        <f>+MINVU_Mes_Corriente!AN14*MINVU_Mes_Constante!$AC$1</f>
        <v>28067016.825840365</v>
      </c>
      <c r="AO14" s="9">
        <f t="shared" si="2"/>
        <v>28067016.825840365</v>
      </c>
      <c r="AP14" s="8">
        <f>+MINVU_Mes_Corriente!AP14*MINVU_Mes_Constante!$AP$1</f>
        <v>40481999.006627887</v>
      </c>
      <c r="AQ14" s="8">
        <f>+MINVU_Mes_Corriente!AQ14*MINVU_Mes_Constante!$AP$1</f>
        <v>40481999.006627887</v>
      </c>
      <c r="AR14" s="8">
        <f>+MINVU_Mes_Corriente!AR14*MINVU_Mes_Constante!$AP$1</f>
        <v>40481999.006627887</v>
      </c>
      <c r="AS14" s="8">
        <f>+MINVU_Mes_Corriente!AS14*MINVU_Mes_Constante!$AP$1</f>
        <v>40481999.006627887</v>
      </c>
      <c r="AT14" s="8">
        <f>+MINVU_Mes_Corriente!AT14*MINVU_Mes_Constante!$AP$1</f>
        <v>40481999.006627887</v>
      </c>
      <c r="AU14" s="8">
        <f>+MINVU_Mes_Corriente!AU14*MINVU_Mes_Constante!$AP$1</f>
        <v>40481999.006627887</v>
      </c>
      <c r="AV14" s="8">
        <f>+MINVU_Mes_Corriente!AV14*MINVU_Mes_Constante!$AP$1</f>
        <v>40481999.006627887</v>
      </c>
      <c r="AW14" s="8">
        <f>+MINVU_Mes_Corriente!AW14*MINVU_Mes_Constante!$AP$1</f>
        <v>40481999.006627887</v>
      </c>
      <c r="AX14" s="8">
        <f>+MINVU_Mes_Corriente!AX14*MINVU_Mes_Constante!$AP$1</f>
        <v>40481999.006627887</v>
      </c>
      <c r="AY14" s="8">
        <f>+MINVU_Mes_Corriente!AY14*MINVU_Mes_Constante!$AP$1</f>
        <v>40481999.006627887</v>
      </c>
      <c r="AZ14" s="8">
        <f>+MINVU_Mes_Corriente!AZ14*MINVU_Mes_Constante!$AP$1</f>
        <v>40481999.006627887</v>
      </c>
      <c r="BA14" s="8">
        <f>+MINVU_Mes_Corriente!BA14*MINVU_Mes_Constante!$AP$1</f>
        <v>40481999.006627887</v>
      </c>
      <c r="BB14" s="9">
        <f t="shared" si="3"/>
        <v>40481999.006627887</v>
      </c>
      <c r="BC14" s="8">
        <f>+MINVU_Mes_Corriente!BC14*MINVU_Mes_Constante!$BC$1</f>
        <v>24447278.729790326</v>
      </c>
      <c r="BD14" s="8">
        <f>+MINVU_Mes_Corriente!BD14*MINVU_Mes_Constante!$BC$1</f>
        <v>24447278.729790326</v>
      </c>
      <c r="BE14" s="8">
        <f>+MINVU_Mes_Corriente!BE14*MINVU_Mes_Constante!$BC$1</f>
        <v>24447278.729790326</v>
      </c>
      <c r="BF14" s="8">
        <f>+MINVU_Mes_Corriente!BF14*MINVU_Mes_Constante!$BC$1</f>
        <v>24447278.729790326</v>
      </c>
      <c r="BG14" s="8">
        <f>+MINVU_Mes_Corriente!BG14*MINVU_Mes_Constante!$BC$1</f>
        <v>24447278.729790326</v>
      </c>
      <c r="BH14" s="8">
        <f>+MINVU_Mes_Corriente!BH14*MINVU_Mes_Constante!$BC$1</f>
        <v>24447278.729790326</v>
      </c>
      <c r="BI14" s="8">
        <f>+MINVU_Mes_Corriente!BI14*MINVU_Mes_Constante!$BC$1</f>
        <v>24447278.729790326</v>
      </c>
      <c r="BJ14" s="8">
        <f>+MINVU_Mes_Corriente!BJ14*MINVU_Mes_Constante!$BC$1</f>
        <v>24447278.729790326</v>
      </c>
      <c r="BK14" s="8">
        <f>+MINVU_Mes_Corriente!BK14*MINVU_Mes_Constante!$BC$1</f>
        <v>24447278.729790326</v>
      </c>
      <c r="BL14" s="8">
        <f>+MINVU_Mes_Corriente!BL14*MINVU_Mes_Constante!$BC$1</f>
        <v>24447278.729790326</v>
      </c>
      <c r="BM14" s="8">
        <f>+MINVU_Mes_Corriente!BM14*MINVU_Mes_Constante!$BC$1</f>
        <v>24447278.729790326</v>
      </c>
      <c r="BN14" s="8">
        <f>+MINVU_Mes_Corriente!BN14*MINVU_Mes_Constante!$BC$1</f>
        <v>24447278.729790326</v>
      </c>
      <c r="BO14" s="9">
        <f t="shared" si="4"/>
        <v>24447278.729790326</v>
      </c>
      <c r="BP14" s="8">
        <f>+MINVU_Mes_Corriente!BP14*MINVU_Mes_Constante!$BP$1</f>
        <v>20980829.86939821</v>
      </c>
      <c r="BQ14" s="8">
        <f>+MINVU_Mes_Corriente!BQ14*MINVU_Mes_Constante!$BP$1</f>
        <v>20980829.86939821</v>
      </c>
      <c r="BR14" s="8">
        <f>+MINVU_Mes_Corriente!BR14*MINVU_Mes_Constante!$BP$1</f>
        <v>20980829.86939821</v>
      </c>
      <c r="BS14" s="8">
        <f>+MINVU_Mes_Corriente!BS14*MINVU_Mes_Constante!$BP$1</f>
        <v>20980829.86939821</v>
      </c>
      <c r="BT14" s="8">
        <f>+MINVU_Mes_Corriente!BT14*MINVU_Mes_Constante!$BP$1</f>
        <v>20980829.86939821</v>
      </c>
      <c r="BU14" s="8">
        <f>+MINVU_Mes_Corriente!BU14*MINVU_Mes_Constante!$BP$1</f>
        <v>20980829.86939821</v>
      </c>
      <c r="BV14" s="8">
        <f>+MINVU_Mes_Corriente!BV14*MINVU_Mes_Constante!$BP$1</f>
        <v>20980829.86939821</v>
      </c>
      <c r="BW14" s="8">
        <f>+MINVU_Mes_Corriente!BW14*MINVU_Mes_Constante!$BP$1</f>
        <v>20980829.86939821</v>
      </c>
      <c r="BX14" s="8">
        <f>+MINVU_Mes_Corriente!BX14*MINVU_Mes_Constante!$BP$1</f>
        <v>20980829.86939821</v>
      </c>
      <c r="BY14" s="8">
        <f>+MINVU_Mes_Corriente!BY14*MINVU_Mes_Constante!$BP$1</f>
        <v>20980829.86939821</v>
      </c>
      <c r="BZ14" s="8">
        <f>+MINVU_Mes_Corriente!BZ14*MINVU_Mes_Constante!$BP$1</f>
        <v>20980829.86939821</v>
      </c>
      <c r="CA14" s="8">
        <f>+MINVU_Mes_Corriente!CA14*MINVU_Mes_Constante!$BP$1</f>
        <v>20980829.86939821</v>
      </c>
      <c r="CB14" s="9">
        <f t="shared" si="5"/>
        <v>20980829.86939821</v>
      </c>
      <c r="CC14" s="8">
        <f>+MINVU_Mes_Corriente!CC14*MINVU_Mes_Constante!$CC$1</f>
        <v>20931409.445729207</v>
      </c>
      <c r="CD14" s="8">
        <f>+MINVU_Mes_Corriente!CD14*MINVU_Mes_Constante!$CC$1</f>
        <v>20931409.445729207</v>
      </c>
      <c r="CE14" s="8">
        <f>+MINVU_Mes_Corriente!CE14*MINVU_Mes_Constante!$CC$1</f>
        <v>20931409.445729207</v>
      </c>
      <c r="CF14" s="8">
        <f>+MINVU_Mes_Corriente!CF14*MINVU_Mes_Constante!$CC$1</f>
        <v>20931409.445729207</v>
      </c>
      <c r="CG14" s="8">
        <f>+MINVU_Mes_Corriente!CG14*MINVU_Mes_Constante!$CC$1</f>
        <v>20931409.445729207</v>
      </c>
      <c r="CH14" s="8">
        <f>+MINVU_Mes_Corriente!CH14*MINVU_Mes_Constante!$CC$1</f>
        <v>20931409.445729207</v>
      </c>
      <c r="CI14" s="8">
        <f>+MINVU_Mes_Corriente!CI14*MINVU_Mes_Constante!$CC$1</f>
        <v>20931409.445729207</v>
      </c>
      <c r="CJ14" s="8">
        <f>+MINVU_Mes_Corriente!CJ14*MINVU_Mes_Constante!$CC$1</f>
        <v>20931409.445729207</v>
      </c>
      <c r="CK14" s="8">
        <f>+MINVU_Mes_Corriente!CK14*MINVU_Mes_Constante!$CC$1</f>
        <v>20931409.445729207</v>
      </c>
      <c r="CL14" s="8">
        <f>+MINVU_Mes_Corriente!CL14*MINVU_Mes_Constante!$CC$1</f>
        <v>20931409.445729207</v>
      </c>
      <c r="CM14" s="8">
        <f>+MINVU_Mes_Corriente!CM14*MINVU_Mes_Constante!$CC$1</f>
        <v>20931409.445729207</v>
      </c>
      <c r="CN14" s="8">
        <f>+MINVU_Mes_Corriente!CN14*MINVU_Mes_Constante!$CC$1</f>
        <v>20931409.445729207</v>
      </c>
      <c r="CO14" s="9">
        <f t="shared" si="6"/>
        <v>20931409.445729207</v>
      </c>
      <c r="CP14" s="8">
        <f>+MINVU_Mes_Corriente!CP14*MINVU_Mes_Constante!$CP$1</f>
        <v>21154249.415777259</v>
      </c>
      <c r="CQ14" s="8">
        <f>+MINVU_Mes_Corriente!CQ14*MINVU_Mes_Constante!$CP$1</f>
        <v>21154249.415777259</v>
      </c>
      <c r="CR14" s="8">
        <f>+MINVU_Mes_Corriente!CR14*MINVU_Mes_Constante!$CP$1</f>
        <v>21154249.415777259</v>
      </c>
      <c r="CS14" s="8">
        <f>+MINVU_Mes_Corriente!CS14*MINVU_Mes_Constante!$CP$1</f>
        <v>21154249.415777259</v>
      </c>
      <c r="CT14" s="8">
        <f>+MINVU_Mes_Corriente!CT14*MINVU_Mes_Constante!$CP$1</f>
        <v>21154249.415777259</v>
      </c>
      <c r="CU14" s="8">
        <f>+MINVU_Mes_Corriente!CU14*MINVU_Mes_Constante!$CP$1</f>
        <v>21154249.415777259</v>
      </c>
      <c r="CV14" s="8">
        <f>+MINVU_Mes_Corriente!CV14*MINVU_Mes_Constante!$CP$1</f>
        <v>21154249.415777259</v>
      </c>
      <c r="CW14" s="8">
        <f>+MINVU_Mes_Corriente!CW14*MINVU_Mes_Constante!$CP$1</f>
        <v>21154249.415777259</v>
      </c>
      <c r="CX14" s="8">
        <f>+MINVU_Mes_Corriente!CX14*MINVU_Mes_Constante!$CP$1</f>
        <v>21154249.415777259</v>
      </c>
      <c r="CY14" s="8">
        <f>+MINVU_Mes_Corriente!CY14*MINVU_Mes_Constante!$CP$1</f>
        <v>21154249.415777259</v>
      </c>
      <c r="CZ14" s="8">
        <f>+MINVU_Mes_Corriente!CZ14*MINVU_Mes_Constante!$CP$1</f>
        <v>21154249.415777259</v>
      </c>
      <c r="DA14" s="8">
        <f>+MINVU_Mes_Corriente!DA14*MINVU_Mes_Constante!$CP$1</f>
        <v>21154249.415777259</v>
      </c>
      <c r="DB14" s="9">
        <f t="shared" si="7"/>
        <v>21154249.415777259</v>
      </c>
      <c r="DC14" s="8">
        <f>+MINVU_Mes_Corriente!DC14*MINVU_Mes_Constante!$DC$1</f>
        <v>32922765.847135086</v>
      </c>
      <c r="DD14" s="8">
        <f>+MINVU_Mes_Corriente!DD14*MINVU_Mes_Constante!$DC$1</f>
        <v>32922765.847135086</v>
      </c>
      <c r="DE14" s="8">
        <f>+MINVU_Mes_Corriente!DE14*MINVU_Mes_Constante!$DC$1</f>
        <v>32922765.847135086</v>
      </c>
      <c r="DF14" s="8">
        <f>+MINVU_Mes_Corriente!DF14*MINVU_Mes_Constante!$DC$1</f>
        <v>32922765.847135086</v>
      </c>
      <c r="DG14" s="8">
        <f>+MINVU_Mes_Corriente!DG14*MINVU_Mes_Constante!$DC$1</f>
        <v>32922765.847135086</v>
      </c>
      <c r="DH14" s="8">
        <f>+MINVU_Mes_Corriente!DH14*MINVU_Mes_Constante!$DC$1</f>
        <v>32922765.847135086</v>
      </c>
      <c r="DI14" s="8">
        <f>+MINVU_Mes_Corriente!DI14*MINVU_Mes_Constante!$DC$1</f>
        <v>32922765.847135086</v>
      </c>
      <c r="DJ14" s="8">
        <f>+MINVU_Mes_Corriente!DJ14*MINVU_Mes_Constante!$DC$1</f>
        <v>32922765.847135086</v>
      </c>
      <c r="DK14" s="8">
        <f>+MINVU_Mes_Corriente!DK14*MINVU_Mes_Constante!$DC$1</f>
        <v>32922765.847135086</v>
      </c>
      <c r="DL14" s="8">
        <f>+MINVU_Mes_Corriente!DL14*MINVU_Mes_Constante!$DC$1</f>
        <v>32922765.847135086</v>
      </c>
      <c r="DM14" s="8">
        <f>+MINVU_Mes_Corriente!DM14*MINVU_Mes_Constante!$DC$1</f>
        <v>32922765.847135086</v>
      </c>
      <c r="DN14" s="8">
        <f>+MINVU_Mes_Corriente!DN14*MINVU_Mes_Constante!$DC$1</f>
        <v>32922765.847135086</v>
      </c>
      <c r="DO14" s="9">
        <f t="shared" si="8"/>
        <v>32922765.847135086</v>
      </c>
      <c r="DP14" s="8">
        <f>+MINVU_Mes_Corriente!DP14*MINVU_Mes_Constante!$DP$1</f>
        <v>39309531.224465564</v>
      </c>
      <c r="DQ14" s="8">
        <f>+MINVU_Mes_Corriente!DQ14*MINVU_Mes_Constante!$DP$1</f>
        <v>39309531.224465564</v>
      </c>
      <c r="DR14" s="8">
        <f>+MINVU_Mes_Corriente!DR14*MINVU_Mes_Constante!$DP$1</f>
        <v>39309531.224465564</v>
      </c>
      <c r="DS14" s="8">
        <f>+MINVU_Mes_Corriente!DS14*MINVU_Mes_Constante!$DP$1</f>
        <v>39309531.224465564</v>
      </c>
      <c r="DT14" s="8">
        <f>+MINVU_Mes_Corriente!DT14*MINVU_Mes_Constante!$DP$1</f>
        <v>39309531.224465564</v>
      </c>
      <c r="DU14" s="8">
        <f>+MINVU_Mes_Corriente!DU14*MINVU_Mes_Constante!$DP$1</f>
        <v>39309531.224465564</v>
      </c>
      <c r="DV14" s="8">
        <f>+MINVU_Mes_Corriente!DV14*MINVU_Mes_Constante!$DP$1</f>
        <v>39309531.224465564</v>
      </c>
      <c r="DW14" s="8">
        <f>+MINVU_Mes_Corriente!DW14*MINVU_Mes_Constante!$DP$1</f>
        <v>39309531.224465564</v>
      </c>
      <c r="DX14" s="8">
        <f>+MINVU_Mes_Corriente!DX14*MINVU_Mes_Constante!$DP$1</f>
        <v>39309531.224465564</v>
      </c>
      <c r="DY14" s="8">
        <f>+MINVU_Mes_Corriente!DY14*MINVU_Mes_Constante!$DP$1</f>
        <v>39309531.224465564</v>
      </c>
      <c r="DZ14" s="8">
        <f>+MINVU_Mes_Corriente!DZ14*MINVU_Mes_Constante!$DP$1</f>
        <v>39309531.224465564</v>
      </c>
      <c r="EA14" s="8">
        <f>+MINVU_Mes_Corriente!EA14*MINVU_Mes_Constante!$DP$1</f>
        <v>39309531.224465564</v>
      </c>
      <c r="EB14" s="9">
        <f t="shared" si="9"/>
        <v>39309531.224465564</v>
      </c>
      <c r="EC14" s="8">
        <f>+MINVU_Mes_Corriente!EC14*MINVU_Mes_Constante!$EC$1</f>
        <v>39573067.879189536</v>
      </c>
      <c r="ED14" s="8">
        <f>+MINVU_Mes_Corriente!ED14*MINVU_Mes_Constante!$EC$1</f>
        <v>39573067.879189536</v>
      </c>
      <c r="EE14" s="8">
        <f>+MINVU_Mes_Corriente!EE14*MINVU_Mes_Constante!$EC$1</f>
        <v>39573067.879189536</v>
      </c>
      <c r="EF14" s="8">
        <f>+MINVU_Mes_Corriente!EF14*MINVU_Mes_Constante!$EC$1</f>
        <v>39573067.879189536</v>
      </c>
      <c r="EG14" s="8">
        <f>+MINVU_Mes_Corriente!EG14*MINVU_Mes_Constante!$EC$1</f>
        <v>39573067.879189536</v>
      </c>
      <c r="EH14" s="8">
        <f>+MINVU_Mes_Corriente!EH14*MINVU_Mes_Constante!$EC$1</f>
        <v>39573067.879189536</v>
      </c>
      <c r="EI14" s="8">
        <f>+MINVU_Mes_Corriente!EI14*MINVU_Mes_Constante!$EC$1</f>
        <v>39573067.879189536</v>
      </c>
      <c r="EJ14" s="8">
        <f>+MINVU_Mes_Corriente!EJ14*MINVU_Mes_Constante!$EC$1</f>
        <v>39573067.879189536</v>
      </c>
      <c r="EK14" s="8">
        <f>+MINVU_Mes_Corriente!EK14*MINVU_Mes_Constante!$EC$1</f>
        <v>39573067.879189536</v>
      </c>
      <c r="EL14" s="8">
        <f>+MINVU_Mes_Corriente!EL14*MINVU_Mes_Constante!$EC$1</f>
        <v>39573067.879189536</v>
      </c>
      <c r="EM14" s="8">
        <f>+MINVU_Mes_Corriente!EM14*MINVU_Mes_Constante!$EC$1</f>
        <v>39573067.879189536</v>
      </c>
      <c r="EN14" s="8">
        <f>+MINVU_Mes_Corriente!EN14*MINVU_Mes_Constante!$EC$1</f>
        <v>39573067.879189536</v>
      </c>
      <c r="EO14" s="9">
        <f t="shared" si="10"/>
        <v>39573067.879189536</v>
      </c>
      <c r="EP14" s="8">
        <f>+MINVU_Mes_Corriente!EP14*MINVU_Mes_Constante!$EP$1</f>
        <v>27966487</v>
      </c>
      <c r="EQ14" s="8">
        <f>+MINVU_Mes_Corriente!EQ14*MINVU_Mes_Constante!$EP$1</f>
        <v>27966487</v>
      </c>
      <c r="ER14" s="8">
        <f>+MINVU_Mes_Corriente!ER14*MINVU_Mes_Constante!$EP$1</f>
        <v>27966487</v>
      </c>
      <c r="ES14" s="8">
        <f>+MINVU_Mes_Corriente!ES14*MINVU_Mes_Constante!$EP$1</f>
        <v>27966487</v>
      </c>
      <c r="ET14" s="8">
        <f>+MINVU_Mes_Corriente!ET14*MINVU_Mes_Constante!$EP$1</f>
        <v>27966487</v>
      </c>
      <c r="EU14" s="8">
        <f>+MINVU_Mes_Corriente!EU14*MINVU_Mes_Constante!$EP$1</f>
        <v>27966487</v>
      </c>
      <c r="EV14" s="8">
        <f>+MINVU_Mes_Corriente!EV14*MINVU_Mes_Constante!$EP$1</f>
        <v>27966487</v>
      </c>
      <c r="EW14" s="8">
        <f>+MINVU_Mes_Corriente!EW14*MINVU_Mes_Constante!$EP$1</f>
        <v>27966487</v>
      </c>
      <c r="EX14" s="8">
        <f>+MINVU_Mes_Corriente!EX14*MINVU_Mes_Constante!$EP$1</f>
        <v>27966487</v>
      </c>
      <c r="EY14" s="8">
        <f>+MINVU_Mes_Corriente!EY14*MINVU_Mes_Constante!$EP$1</f>
        <v>27966487</v>
      </c>
      <c r="EZ14" s="8">
        <f>+MINVU_Mes_Corriente!EZ14*MINVU_Mes_Constante!$EP$1</f>
        <v>27966487</v>
      </c>
      <c r="FA14" s="8">
        <f>+MINVU_Mes_Corriente!FA14*MINVU_Mes_Constante!$EP$1</f>
        <v>27966487</v>
      </c>
      <c r="FB14" s="9">
        <f t="shared" si="11"/>
        <v>27966487</v>
      </c>
      <c r="FC14" s="8">
        <f>+MINVU_Mes_Corriente!FC14*MINVU_Mes_Constante!$FC$1</f>
        <v>30615904</v>
      </c>
      <c r="FD14" s="8">
        <f>+MINVU_Mes_Corriente!FD14*MINVU_Mes_Constante!$FC$1</f>
        <v>30615904</v>
      </c>
      <c r="FE14" s="8">
        <f>+MINVU_Mes_Corriente!FE14*MINVU_Mes_Constante!$FC$1</f>
        <v>30615904</v>
      </c>
      <c r="FF14" s="8">
        <f>+MINVU_Mes_Corriente!FF14*MINVU_Mes_Constante!$FC$1</f>
        <v>30615904</v>
      </c>
      <c r="FG14" s="8">
        <f>+MINVU_Mes_Corriente!FG14*MINVU_Mes_Constante!$FC$1</f>
        <v>30615904</v>
      </c>
      <c r="FH14" s="8">
        <f>+MINVU_Mes_Corriente!FH14*MINVU_Mes_Constante!$FC$1</f>
        <v>30615904</v>
      </c>
      <c r="FI14" s="8">
        <f>+MINVU_Mes_Corriente!FI14*MINVU_Mes_Constante!$FC$1</f>
        <v>30615904</v>
      </c>
      <c r="FJ14" s="8"/>
      <c r="FK14" s="8"/>
      <c r="FL14" s="8"/>
      <c r="FM14" s="8"/>
      <c r="FN14" s="8"/>
      <c r="FO14" s="9">
        <f t="shared" si="12"/>
        <v>30615904</v>
      </c>
    </row>
    <row r="15" spans="2:171" ht="14.25" customHeight="1" x14ac:dyDescent="0.3">
      <c r="B15" s="7" t="s">
        <v>50</v>
      </c>
      <c r="C15" s="8">
        <f>+MINVU_Mes_Corriente!C15*MINVU_Mes_Constante!$C$1</f>
        <v>30516410.359780516</v>
      </c>
      <c r="D15" s="8">
        <f>+MINVU_Mes_Corriente!D15*MINVU_Mes_Constante!$C$1</f>
        <v>30516410.359780516</v>
      </c>
      <c r="E15" s="8">
        <f>+MINVU_Mes_Corriente!E15*MINVU_Mes_Constante!$C$1</f>
        <v>30516410.359780516</v>
      </c>
      <c r="F15" s="8">
        <f>+MINVU_Mes_Corriente!F15*MINVU_Mes_Constante!$C$1</f>
        <v>30516410.359780516</v>
      </c>
      <c r="G15" s="8">
        <f>+MINVU_Mes_Corriente!G15*MINVU_Mes_Constante!$C$1</f>
        <v>30516410.359780516</v>
      </c>
      <c r="H15" s="8">
        <f>+MINVU_Mes_Corriente!H15*MINVU_Mes_Constante!$C$1</f>
        <v>30516410.359780516</v>
      </c>
      <c r="I15" s="8">
        <f>+MINVU_Mes_Corriente!I15*MINVU_Mes_Constante!$C$1</f>
        <v>30516410.359780516</v>
      </c>
      <c r="J15" s="8">
        <f>+MINVU_Mes_Corriente!J15*MINVU_Mes_Constante!$C$1</f>
        <v>30516410.359780516</v>
      </c>
      <c r="K15" s="8">
        <f>+MINVU_Mes_Corriente!K15*MINVU_Mes_Constante!$C$1</f>
        <v>30516410.359780516</v>
      </c>
      <c r="L15" s="8">
        <f>+MINVU_Mes_Corriente!L15*MINVU_Mes_Constante!$C$1</f>
        <v>30516410.359780516</v>
      </c>
      <c r="M15" s="8">
        <f>+MINVU_Mes_Corriente!M15*MINVU_Mes_Constante!$C$1</f>
        <v>30516410.359780516</v>
      </c>
      <c r="N15" s="8">
        <f>+MINVU_Mes_Corriente!N15*MINVU_Mes_Constante!$C$1</f>
        <v>30516410.359780516</v>
      </c>
      <c r="O15" s="9">
        <f t="shared" si="0"/>
        <v>30516410.359780516</v>
      </c>
      <c r="P15" s="8">
        <f>+MINVU_Mes_Corriente!P15*MINVU_Mes_Constante!$P$1</f>
        <v>53509803.274044588</v>
      </c>
      <c r="Q15" s="8">
        <f>+MINVU_Mes_Corriente!Q15*MINVU_Mes_Constante!$P$1</f>
        <v>53509803.274044588</v>
      </c>
      <c r="R15" s="8">
        <f>+MINVU_Mes_Corriente!R15*MINVU_Mes_Constante!$P$1</f>
        <v>53509803.274044588</v>
      </c>
      <c r="S15" s="8">
        <f>+MINVU_Mes_Corriente!S15*MINVU_Mes_Constante!$P$1</f>
        <v>53509803.274044588</v>
      </c>
      <c r="T15" s="8">
        <f>+MINVU_Mes_Corriente!T15*MINVU_Mes_Constante!$P$1</f>
        <v>53509803.274044588</v>
      </c>
      <c r="U15" s="8">
        <f>+MINVU_Mes_Corriente!U15*MINVU_Mes_Constante!$P$1</f>
        <v>53509803.274044588</v>
      </c>
      <c r="V15" s="8">
        <f>+MINVU_Mes_Corriente!V15*MINVU_Mes_Constante!$P$1</f>
        <v>53509803.274044588</v>
      </c>
      <c r="W15" s="8">
        <f>+MINVU_Mes_Corriente!W15*MINVU_Mes_Constante!$P$1</f>
        <v>53509803.274044588</v>
      </c>
      <c r="X15" s="8">
        <f>+MINVU_Mes_Corriente!X15*MINVU_Mes_Constante!$P$1</f>
        <v>53509803.274044588</v>
      </c>
      <c r="Y15" s="8">
        <f>+MINVU_Mes_Corriente!Y15*MINVU_Mes_Constante!$P$1</f>
        <v>53509803.274044588</v>
      </c>
      <c r="Z15" s="8">
        <f>+MINVU_Mes_Corriente!Z15*MINVU_Mes_Constante!$P$1</f>
        <v>53509803.274044588</v>
      </c>
      <c r="AA15" s="8">
        <f>+MINVU_Mes_Corriente!AA15*MINVU_Mes_Constante!$P$1</f>
        <v>53509803.274044588</v>
      </c>
      <c r="AB15" s="9">
        <f t="shared" si="1"/>
        <v>53509803.274044588</v>
      </c>
      <c r="AC15" s="8">
        <f>+MINVU_Mes_Corriente!AC15*MINVU_Mes_Constante!$AC$1</f>
        <v>49813947.972333655</v>
      </c>
      <c r="AD15" s="8">
        <f>+MINVU_Mes_Corriente!AD15*MINVU_Mes_Constante!$AC$1</f>
        <v>49813947.972333655</v>
      </c>
      <c r="AE15" s="8">
        <f>+MINVU_Mes_Corriente!AE15*MINVU_Mes_Constante!$AC$1</f>
        <v>49813947.972333655</v>
      </c>
      <c r="AF15" s="8">
        <f>+MINVU_Mes_Corriente!AF15*MINVU_Mes_Constante!$AC$1</f>
        <v>49813947.972333655</v>
      </c>
      <c r="AG15" s="8">
        <f>+MINVU_Mes_Corriente!AG15*MINVU_Mes_Constante!$AC$1</f>
        <v>49813947.972333655</v>
      </c>
      <c r="AH15" s="8">
        <f>+MINVU_Mes_Corriente!AH15*MINVU_Mes_Constante!$AC$1</f>
        <v>49813947.972333655</v>
      </c>
      <c r="AI15" s="8">
        <f>+MINVU_Mes_Corriente!AI15*MINVU_Mes_Constante!$AC$1</f>
        <v>49813947.972333655</v>
      </c>
      <c r="AJ15" s="8">
        <f>+MINVU_Mes_Corriente!AJ15*MINVU_Mes_Constante!$AC$1</f>
        <v>49813947.972333655</v>
      </c>
      <c r="AK15" s="8">
        <f>+MINVU_Mes_Corriente!AK15*MINVU_Mes_Constante!$AC$1</f>
        <v>49813947.972333655</v>
      </c>
      <c r="AL15" s="8">
        <f>+MINVU_Mes_Corriente!AL15*MINVU_Mes_Constante!$AC$1</f>
        <v>49813947.972333655</v>
      </c>
      <c r="AM15" s="8">
        <f>+MINVU_Mes_Corriente!AM15*MINVU_Mes_Constante!$AC$1</f>
        <v>49813947.972333655</v>
      </c>
      <c r="AN15" s="8">
        <f>+MINVU_Mes_Corriente!AN15*MINVU_Mes_Constante!$AC$1</f>
        <v>49813947.972333655</v>
      </c>
      <c r="AO15" s="9">
        <f t="shared" si="2"/>
        <v>49813947.972333655</v>
      </c>
      <c r="AP15" s="8">
        <f>+MINVU_Mes_Corriente!AP15*MINVU_Mes_Constante!$AP$1</f>
        <v>61011827.386446632</v>
      </c>
      <c r="AQ15" s="8">
        <f>+MINVU_Mes_Corriente!AQ15*MINVU_Mes_Constante!$AP$1</f>
        <v>61011827.386446632</v>
      </c>
      <c r="AR15" s="8">
        <f>+MINVU_Mes_Corriente!AR15*MINVU_Mes_Constante!$AP$1</f>
        <v>61011827.386446632</v>
      </c>
      <c r="AS15" s="8">
        <f>+MINVU_Mes_Corriente!AS15*MINVU_Mes_Constante!$AP$1</f>
        <v>61011827.386446632</v>
      </c>
      <c r="AT15" s="8">
        <f>+MINVU_Mes_Corriente!AT15*MINVU_Mes_Constante!$AP$1</f>
        <v>61011827.386446632</v>
      </c>
      <c r="AU15" s="8">
        <f>+MINVU_Mes_Corriente!AU15*MINVU_Mes_Constante!$AP$1</f>
        <v>61011827.386446632</v>
      </c>
      <c r="AV15" s="8">
        <f>+MINVU_Mes_Corriente!AV15*MINVU_Mes_Constante!$AP$1</f>
        <v>61011827.386446632</v>
      </c>
      <c r="AW15" s="8">
        <f>+MINVU_Mes_Corriente!AW15*MINVU_Mes_Constante!$AP$1</f>
        <v>61011827.386446632</v>
      </c>
      <c r="AX15" s="8">
        <f>+MINVU_Mes_Corriente!AX15*MINVU_Mes_Constante!$AP$1</f>
        <v>61011827.386446632</v>
      </c>
      <c r="AY15" s="8">
        <f>+MINVU_Mes_Corriente!AY15*MINVU_Mes_Constante!$AP$1</f>
        <v>61011827.386446632</v>
      </c>
      <c r="AZ15" s="8">
        <f>+MINVU_Mes_Corriente!AZ15*MINVU_Mes_Constante!$AP$1</f>
        <v>61011827.386446632</v>
      </c>
      <c r="BA15" s="8">
        <f>+MINVU_Mes_Corriente!BA15*MINVU_Mes_Constante!$AP$1</f>
        <v>61011827.386446632</v>
      </c>
      <c r="BB15" s="9">
        <f t="shared" si="3"/>
        <v>61011827.386446632</v>
      </c>
      <c r="BC15" s="8">
        <f>+MINVU_Mes_Corriente!BC15*MINVU_Mes_Constante!$BC$1</f>
        <v>44045560.332849808</v>
      </c>
      <c r="BD15" s="8">
        <f>+MINVU_Mes_Corriente!BD15*MINVU_Mes_Constante!$BC$1</f>
        <v>44045560.332849808</v>
      </c>
      <c r="BE15" s="8">
        <f>+MINVU_Mes_Corriente!BE15*MINVU_Mes_Constante!$BC$1</f>
        <v>44045560.332849808</v>
      </c>
      <c r="BF15" s="8">
        <f>+MINVU_Mes_Corriente!BF15*MINVU_Mes_Constante!$BC$1</f>
        <v>44045560.332849808</v>
      </c>
      <c r="BG15" s="8">
        <f>+MINVU_Mes_Corriente!BG15*MINVU_Mes_Constante!$BC$1</f>
        <v>44045560.332849808</v>
      </c>
      <c r="BH15" s="8">
        <f>+MINVU_Mes_Corriente!BH15*MINVU_Mes_Constante!$BC$1</f>
        <v>44045560.332849808</v>
      </c>
      <c r="BI15" s="8">
        <f>+MINVU_Mes_Corriente!BI15*MINVU_Mes_Constante!$BC$1</f>
        <v>44045560.332849808</v>
      </c>
      <c r="BJ15" s="8">
        <f>+MINVU_Mes_Corriente!BJ15*MINVU_Mes_Constante!$BC$1</f>
        <v>44045560.332849808</v>
      </c>
      <c r="BK15" s="8">
        <f>+MINVU_Mes_Corriente!BK15*MINVU_Mes_Constante!$BC$1</f>
        <v>44045560.332849808</v>
      </c>
      <c r="BL15" s="8">
        <f>+MINVU_Mes_Corriente!BL15*MINVU_Mes_Constante!$BC$1</f>
        <v>44045560.332849808</v>
      </c>
      <c r="BM15" s="8">
        <f>+MINVU_Mes_Corriente!BM15*MINVU_Mes_Constante!$BC$1</f>
        <v>44045560.332849808</v>
      </c>
      <c r="BN15" s="8">
        <f>+MINVU_Mes_Corriente!BN15*MINVU_Mes_Constante!$BC$1</f>
        <v>44045560.332849808</v>
      </c>
      <c r="BO15" s="9">
        <f t="shared" si="4"/>
        <v>44045560.332849808</v>
      </c>
      <c r="BP15" s="8">
        <f>+MINVU_Mes_Corriente!BP15*MINVU_Mes_Constante!$BP$1</f>
        <v>40204371.422535218</v>
      </c>
      <c r="BQ15" s="8">
        <f>+MINVU_Mes_Corriente!BQ15*MINVU_Mes_Constante!$BP$1</f>
        <v>40204371.422535218</v>
      </c>
      <c r="BR15" s="8">
        <f>+MINVU_Mes_Corriente!BR15*MINVU_Mes_Constante!$BP$1</f>
        <v>40204371.422535218</v>
      </c>
      <c r="BS15" s="8">
        <f>+MINVU_Mes_Corriente!BS15*MINVU_Mes_Constante!$BP$1</f>
        <v>40204371.422535218</v>
      </c>
      <c r="BT15" s="8">
        <f>+MINVU_Mes_Corriente!BT15*MINVU_Mes_Constante!$BP$1</f>
        <v>40204371.422535218</v>
      </c>
      <c r="BU15" s="8">
        <f>+MINVU_Mes_Corriente!BU15*MINVU_Mes_Constante!$BP$1</f>
        <v>40204371.422535218</v>
      </c>
      <c r="BV15" s="8">
        <f>+MINVU_Mes_Corriente!BV15*MINVU_Mes_Constante!$BP$1</f>
        <v>40204371.422535218</v>
      </c>
      <c r="BW15" s="8">
        <f>+MINVU_Mes_Corriente!BW15*MINVU_Mes_Constante!$BP$1</f>
        <v>40204371.422535218</v>
      </c>
      <c r="BX15" s="8">
        <f>+MINVU_Mes_Corriente!BX15*MINVU_Mes_Constante!$BP$1</f>
        <v>40204371.422535218</v>
      </c>
      <c r="BY15" s="8">
        <f>+MINVU_Mes_Corriente!BY15*MINVU_Mes_Constante!$BP$1</f>
        <v>40204371.422535218</v>
      </c>
      <c r="BZ15" s="8">
        <f>+MINVU_Mes_Corriente!BZ15*MINVU_Mes_Constante!$BP$1</f>
        <v>40204371.422535218</v>
      </c>
      <c r="CA15" s="8">
        <f>+MINVU_Mes_Corriente!CA15*MINVU_Mes_Constante!$BP$1</f>
        <v>40204371.422535218</v>
      </c>
      <c r="CB15" s="9">
        <f t="shared" si="5"/>
        <v>40204371.422535218</v>
      </c>
      <c r="CC15" s="8">
        <f>+MINVU_Mes_Corriente!CC15*MINVU_Mes_Constante!$CC$1</f>
        <v>45320777.668780312</v>
      </c>
      <c r="CD15" s="8">
        <f>+MINVU_Mes_Corriente!CD15*MINVU_Mes_Constante!$CC$1</f>
        <v>45320777.668780312</v>
      </c>
      <c r="CE15" s="8">
        <f>+MINVU_Mes_Corriente!CE15*MINVU_Mes_Constante!$CC$1</f>
        <v>45320777.668780312</v>
      </c>
      <c r="CF15" s="8">
        <f>+MINVU_Mes_Corriente!CF15*MINVU_Mes_Constante!$CC$1</f>
        <v>45320777.668780312</v>
      </c>
      <c r="CG15" s="8">
        <f>+MINVU_Mes_Corriente!CG15*MINVU_Mes_Constante!$CC$1</f>
        <v>45320777.668780312</v>
      </c>
      <c r="CH15" s="8">
        <f>+MINVU_Mes_Corriente!CH15*MINVU_Mes_Constante!$CC$1</f>
        <v>45320777.668780312</v>
      </c>
      <c r="CI15" s="8">
        <f>+MINVU_Mes_Corriente!CI15*MINVU_Mes_Constante!$CC$1</f>
        <v>45320777.668780312</v>
      </c>
      <c r="CJ15" s="8">
        <f>+MINVU_Mes_Corriente!CJ15*MINVU_Mes_Constante!$CC$1</f>
        <v>45320777.668780312</v>
      </c>
      <c r="CK15" s="8">
        <f>+MINVU_Mes_Corriente!CK15*MINVU_Mes_Constante!$CC$1</f>
        <v>45320777.668780312</v>
      </c>
      <c r="CL15" s="8">
        <f>+MINVU_Mes_Corriente!CL15*MINVU_Mes_Constante!$CC$1</f>
        <v>45320777.668780312</v>
      </c>
      <c r="CM15" s="8">
        <f>+MINVU_Mes_Corriente!CM15*MINVU_Mes_Constante!$CC$1</f>
        <v>45320777.668780312</v>
      </c>
      <c r="CN15" s="8">
        <f>+MINVU_Mes_Corriente!CN15*MINVU_Mes_Constante!$CC$1</f>
        <v>45320777.668780312</v>
      </c>
      <c r="CO15" s="9">
        <f t="shared" si="6"/>
        <v>45320777.668780312</v>
      </c>
      <c r="CP15" s="8">
        <f>+MINVU_Mes_Corriente!CP15*MINVU_Mes_Constante!$CP$1</f>
        <v>68136147.01461716</v>
      </c>
      <c r="CQ15" s="8">
        <f>+MINVU_Mes_Corriente!CQ15*MINVU_Mes_Constante!$CP$1</f>
        <v>68136147.01461716</v>
      </c>
      <c r="CR15" s="8">
        <f>+MINVU_Mes_Corriente!CR15*MINVU_Mes_Constante!$CP$1</f>
        <v>68136147.01461716</v>
      </c>
      <c r="CS15" s="8">
        <f>+MINVU_Mes_Corriente!CS15*MINVU_Mes_Constante!$CP$1</f>
        <v>68136147.01461716</v>
      </c>
      <c r="CT15" s="8">
        <f>+MINVU_Mes_Corriente!CT15*MINVU_Mes_Constante!$CP$1</f>
        <v>68136147.01461716</v>
      </c>
      <c r="CU15" s="8">
        <f>+MINVU_Mes_Corriente!CU15*MINVU_Mes_Constante!$CP$1</f>
        <v>68136147.01461716</v>
      </c>
      <c r="CV15" s="8">
        <f>+MINVU_Mes_Corriente!CV15*MINVU_Mes_Constante!$CP$1</f>
        <v>68136147.01461716</v>
      </c>
      <c r="CW15" s="8">
        <f>+MINVU_Mes_Corriente!CW15*MINVU_Mes_Constante!$CP$1</f>
        <v>68136147.01461716</v>
      </c>
      <c r="CX15" s="8">
        <f>+MINVU_Mes_Corriente!CX15*MINVU_Mes_Constante!$CP$1</f>
        <v>68136147.01461716</v>
      </c>
      <c r="CY15" s="8">
        <f>+MINVU_Mes_Corriente!CY15*MINVU_Mes_Constante!$CP$1</f>
        <v>68136147.01461716</v>
      </c>
      <c r="CZ15" s="8">
        <f>+MINVU_Mes_Corriente!CZ15*MINVU_Mes_Constante!$CP$1</f>
        <v>68136147.01461716</v>
      </c>
      <c r="DA15" s="8">
        <f>+MINVU_Mes_Corriente!DA15*MINVU_Mes_Constante!$CP$1</f>
        <v>68136147.01461716</v>
      </c>
      <c r="DB15" s="9">
        <f t="shared" si="7"/>
        <v>68136147.01461716</v>
      </c>
      <c r="DC15" s="8">
        <f>+MINVU_Mes_Corriente!DC15*MINVU_Mes_Constante!$DC$1</f>
        <v>48522243.48853001</v>
      </c>
      <c r="DD15" s="8">
        <f>+MINVU_Mes_Corriente!DD15*MINVU_Mes_Constante!$DC$1</f>
        <v>48522243.48853001</v>
      </c>
      <c r="DE15" s="8">
        <f>+MINVU_Mes_Corriente!DE15*MINVU_Mes_Constante!$DC$1</f>
        <v>48522243.48853001</v>
      </c>
      <c r="DF15" s="8">
        <f>+MINVU_Mes_Corriente!DF15*MINVU_Mes_Constante!$DC$1</f>
        <v>48522243.48853001</v>
      </c>
      <c r="DG15" s="8">
        <f>+MINVU_Mes_Corriente!DG15*MINVU_Mes_Constante!$DC$1</f>
        <v>48522243.48853001</v>
      </c>
      <c r="DH15" s="8">
        <f>+MINVU_Mes_Corriente!DH15*MINVU_Mes_Constante!$DC$1</f>
        <v>48522243.48853001</v>
      </c>
      <c r="DI15" s="8">
        <f>+MINVU_Mes_Corriente!DI15*MINVU_Mes_Constante!$DC$1</f>
        <v>48522243.48853001</v>
      </c>
      <c r="DJ15" s="8">
        <f>+MINVU_Mes_Corriente!DJ15*MINVU_Mes_Constante!$DC$1</f>
        <v>48522243.48853001</v>
      </c>
      <c r="DK15" s="8">
        <f>+MINVU_Mes_Corriente!DK15*MINVU_Mes_Constante!$DC$1</f>
        <v>48522243.48853001</v>
      </c>
      <c r="DL15" s="8">
        <f>+MINVU_Mes_Corriente!DL15*MINVU_Mes_Constante!$DC$1</f>
        <v>48522243.48853001</v>
      </c>
      <c r="DM15" s="8">
        <f>+MINVU_Mes_Corriente!DM15*MINVU_Mes_Constante!$DC$1</f>
        <v>48522243.48853001</v>
      </c>
      <c r="DN15" s="8">
        <f>+MINVU_Mes_Corriente!DN15*MINVU_Mes_Constante!$DC$1</f>
        <v>48522243.48853001</v>
      </c>
      <c r="DO15" s="9">
        <f t="shared" si="8"/>
        <v>48522243.48853001</v>
      </c>
      <c r="DP15" s="8">
        <f>+MINVU_Mes_Corriente!DP15*MINVU_Mes_Constante!$DP$1</f>
        <v>43771670.046912119</v>
      </c>
      <c r="DQ15" s="8">
        <f>+MINVU_Mes_Corriente!DQ15*MINVU_Mes_Constante!$DP$1</f>
        <v>43771670.046912119</v>
      </c>
      <c r="DR15" s="8">
        <f>+MINVU_Mes_Corriente!DR15*MINVU_Mes_Constante!$DP$1</f>
        <v>43771670.046912119</v>
      </c>
      <c r="DS15" s="8">
        <f>+MINVU_Mes_Corriente!DS15*MINVU_Mes_Constante!$DP$1</f>
        <v>43771670.046912119</v>
      </c>
      <c r="DT15" s="8">
        <f>+MINVU_Mes_Corriente!DT15*MINVU_Mes_Constante!$DP$1</f>
        <v>43771670.046912119</v>
      </c>
      <c r="DU15" s="8">
        <f>+MINVU_Mes_Corriente!DU15*MINVU_Mes_Constante!$DP$1</f>
        <v>43771670.046912119</v>
      </c>
      <c r="DV15" s="8">
        <f>+MINVU_Mes_Corriente!DV15*MINVU_Mes_Constante!$DP$1</f>
        <v>43771670.046912119</v>
      </c>
      <c r="DW15" s="8">
        <f>+MINVU_Mes_Corriente!DW15*MINVU_Mes_Constante!$DP$1</f>
        <v>43771670.046912119</v>
      </c>
      <c r="DX15" s="8">
        <f>+MINVU_Mes_Corriente!DX15*MINVU_Mes_Constante!$DP$1</f>
        <v>43771670.046912119</v>
      </c>
      <c r="DY15" s="8">
        <f>+MINVU_Mes_Corriente!DY15*MINVU_Mes_Constante!$DP$1</f>
        <v>43771670.046912119</v>
      </c>
      <c r="DZ15" s="8">
        <f>+MINVU_Mes_Corriente!DZ15*MINVU_Mes_Constante!$DP$1</f>
        <v>43771670.046912119</v>
      </c>
      <c r="EA15" s="8">
        <f>+MINVU_Mes_Corriente!EA15*MINVU_Mes_Constante!$DP$1</f>
        <v>43771670.046912119</v>
      </c>
      <c r="EB15" s="9">
        <f t="shared" si="9"/>
        <v>43771670.046912119</v>
      </c>
      <c r="EC15" s="8">
        <f>+MINVU_Mes_Corriente!EC15*MINVU_Mes_Constante!$EC$1</f>
        <v>45787970.537587561</v>
      </c>
      <c r="ED15" s="8">
        <f>+MINVU_Mes_Corriente!ED15*MINVU_Mes_Constante!$EC$1</f>
        <v>45787970.537587561</v>
      </c>
      <c r="EE15" s="8">
        <f>+MINVU_Mes_Corriente!EE15*MINVU_Mes_Constante!$EC$1</f>
        <v>45787970.537587561</v>
      </c>
      <c r="EF15" s="8">
        <f>+MINVU_Mes_Corriente!EF15*MINVU_Mes_Constante!$EC$1</f>
        <v>45787970.537587561</v>
      </c>
      <c r="EG15" s="8">
        <f>+MINVU_Mes_Corriente!EG15*MINVU_Mes_Constante!$EC$1</f>
        <v>45787970.537587561</v>
      </c>
      <c r="EH15" s="8">
        <f>+MINVU_Mes_Corriente!EH15*MINVU_Mes_Constante!$EC$1</f>
        <v>45787970.537587561</v>
      </c>
      <c r="EI15" s="8">
        <f>+MINVU_Mes_Corriente!EI15*MINVU_Mes_Constante!$EC$1</f>
        <v>45787970.537587561</v>
      </c>
      <c r="EJ15" s="8">
        <f>+MINVU_Mes_Corriente!EJ15*MINVU_Mes_Constante!$EC$1</f>
        <v>45787970.537587561</v>
      </c>
      <c r="EK15" s="8">
        <f>+MINVU_Mes_Corriente!EK15*MINVU_Mes_Constante!$EC$1</f>
        <v>45787970.537587561</v>
      </c>
      <c r="EL15" s="8">
        <f>+MINVU_Mes_Corriente!EL15*MINVU_Mes_Constante!$EC$1</f>
        <v>45787970.537587561</v>
      </c>
      <c r="EM15" s="8">
        <f>+MINVU_Mes_Corriente!EM15*MINVU_Mes_Constante!$EC$1</f>
        <v>45787970.537587561</v>
      </c>
      <c r="EN15" s="8">
        <f>+MINVU_Mes_Corriente!EN15*MINVU_Mes_Constante!$EC$1</f>
        <v>45787970.537587561</v>
      </c>
      <c r="EO15" s="9">
        <f t="shared" si="10"/>
        <v>45787970.537587561</v>
      </c>
      <c r="EP15" s="8">
        <f>+MINVU_Mes_Corriente!EP15*MINVU_Mes_Constante!$EP$1</f>
        <v>42009797</v>
      </c>
      <c r="EQ15" s="8">
        <f>+MINVU_Mes_Corriente!EQ15*MINVU_Mes_Constante!$EP$1</f>
        <v>42009797</v>
      </c>
      <c r="ER15" s="8">
        <f>+MINVU_Mes_Corriente!ER15*MINVU_Mes_Constante!$EP$1</f>
        <v>42009797</v>
      </c>
      <c r="ES15" s="8">
        <f>+MINVU_Mes_Corriente!ES15*MINVU_Mes_Constante!$EP$1</f>
        <v>42009797</v>
      </c>
      <c r="ET15" s="8">
        <f>+MINVU_Mes_Corriente!ET15*MINVU_Mes_Constante!$EP$1</f>
        <v>42009797</v>
      </c>
      <c r="EU15" s="8">
        <f>+MINVU_Mes_Corriente!EU15*MINVU_Mes_Constante!$EP$1</f>
        <v>42009797</v>
      </c>
      <c r="EV15" s="8">
        <f>+MINVU_Mes_Corriente!EV15*MINVU_Mes_Constante!$EP$1</f>
        <v>42009797</v>
      </c>
      <c r="EW15" s="8">
        <f>+MINVU_Mes_Corriente!EW15*MINVU_Mes_Constante!$EP$1</f>
        <v>42009797</v>
      </c>
      <c r="EX15" s="8">
        <f>+MINVU_Mes_Corriente!EX15*MINVU_Mes_Constante!$EP$1</f>
        <v>42009797</v>
      </c>
      <c r="EY15" s="8">
        <f>+MINVU_Mes_Corriente!EY15*MINVU_Mes_Constante!$EP$1</f>
        <v>42009797</v>
      </c>
      <c r="EZ15" s="8">
        <f>+MINVU_Mes_Corriente!EZ15*MINVU_Mes_Constante!$EP$1</f>
        <v>42009797</v>
      </c>
      <c r="FA15" s="8">
        <f>+MINVU_Mes_Corriente!FA15*MINVU_Mes_Constante!$EP$1</f>
        <v>42009797</v>
      </c>
      <c r="FB15" s="9">
        <f t="shared" si="11"/>
        <v>42009797</v>
      </c>
      <c r="FC15" s="8">
        <f>+MINVU_Mes_Corriente!FC15*MINVU_Mes_Constante!$FC$1</f>
        <v>36533880</v>
      </c>
      <c r="FD15" s="8">
        <f>+MINVU_Mes_Corriente!FD15*MINVU_Mes_Constante!$FC$1</f>
        <v>36533880</v>
      </c>
      <c r="FE15" s="8">
        <f>+MINVU_Mes_Corriente!FE15*MINVU_Mes_Constante!$FC$1</f>
        <v>36533880</v>
      </c>
      <c r="FF15" s="8">
        <f>+MINVU_Mes_Corriente!FF15*MINVU_Mes_Constante!$FC$1</f>
        <v>36533880</v>
      </c>
      <c r="FG15" s="8">
        <f>+MINVU_Mes_Corriente!FG15*MINVU_Mes_Constante!$FC$1</f>
        <v>36533880</v>
      </c>
      <c r="FH15" s="8">
        <f>+MINVU_Mes_Corriente!FH15*MINVU_Mes_Constante!$FC$1</f>
        <v>36533880</v>
      </c>
      <c r="FI15" s="8">
        <f>+MINVU_Mes_Corriente!FI15*MINVU_Mes_Constante!$FC$1</f>
        <v>36533880</v>
      </c>
      <c r="FJ15" s="8"/>
      <c r="FK15" s="8"/>
      <c r="FL15" s="8"/>
      <c r="FM15" s="8"/>
      <c r="FN15" s="8"/>
      <c r="FO15" s="9">
        <f t="shared" si="12"/>
        <v>36533880</v>
      </c>
    </row>
    <row r="16" spans="2:171" ht="14.25" customHeight="1" x14ac:dyDescent="0.3">
      <c r="B16" s="7" t="s">
        <v>51</v>
      </c>
      <c r="C16" s="8">
        <f>+MINVU_Mes_Corriente!C16*MINVU_Mes_Constante!$C$1</f>
        <v>95486026.215037838</v>
      </c>
      <c r="D16" s="8">
        <f>+MINVU_Mes_Corriente!D16*MINVU_Mes_Constante!$C$1</f>
        <v>95486026.215037838</v>
      </c>
      <c r="E16" s="8">
        <f>+MINVU_Mes_Corriente!E16*MINVU_Mes_Constante!$C$1</f>
        <v>95486026.215037838</v>
      </c>
      <c r="F16" s="8">
        <f>+MINVU_Mes_Corriente!F16*MINVU_Mes_Constante!$C$1</f>
        <v>95486026.215037838</v>
      </c>
      <c r="G16" s="8">
        <f>+MINVU_Mes_Corriente!G16*MINVU_Mes_Constante!$C$1</f>
        <v>95486026.215037838</v>
      </c>
      <c r="H16" s="8">
        <f>+MINVU_Mes_Corriente!H16*MINVU_Mes_Constante!$C$1</f>
        <v>95486026.215037838</v>
      </c>
      <c r="I16" s="8">
        <f>+MINVU_Mes_Corriente!I16*MINVU_Mes_Constante!$C$1</f>
        <v>95486026.215037838</v>
      </c>
      <c r="J16" s="8">
        <f>+MINVU_Mes_Corriente!J16*MINVU_Mes_Constante!$C$1</f>
        <v>95486026.215037838</v>
      </c>
      <c r="K16" s="8">
        <f>+MINVU_Mes_Corriente!K16*MINVU_Mes_Constante!$C$1</f>
        <v>95486026.215037838</v>
      </c>
      <c r="L16" s="8">
        <f>+MINVU_Mes_Corriente!L16*MINVU_Mes_Constante!$C$1</f>
        <v>95486026.215037838</v>
      </c>
      <c r="M16" s="8">
        <f>+MINVU_Mes_Corriente!M16*MINVU_Mes_Constante!$C$1</f>
        <v>95486026.215037838</v>
      </c>
      <c r="N16" s="8">
        <f>+MINVU_Mes_Corriente!N16*MINVU_Mes_Constante!$C$1</f>
        <v>95486026.215037838</v>
      </c>
      <c r="O16" s="9">
        <f t="shared" si="0"/>
        <v>95486026.215037838</v>
      </c>
      <c r="P16" s="8">
        <f>+MINVU_Mes_Corriente!P16*MINVU_Mes_Constante!$P$1</f>
        <v>99246327.984941006</v>
      </c>
      <c r="Q16" s="8">
        <f>+MINVU_Mes_Corriente!Q16*MINVU_Mes_Constante!$P$1</f>
        <v>99246327.984941006</v>
      </c>
      <c r="R16" s="8">
        <f>+MINVU_Mes_Corriente!R16*MINVU_Mes_Constante!$P$1</f>
        <v>99246327.984941006</v>
      </c>
      <c r="S16" s="8">
        <f>+MINVU_Mes_Corriente!S16*MINVU_Mes_Constante!$P$1</f>
        <v>99246327.984941006</v>
      </c>
      <c r="T16" s="8">
        <f>+MINVU_Mes_Corriente!T16*MINVU_Mes_Constante!$P$1</f>
        <v>99246327.984941006</v>
      </c>
      <c r="U16" s="8">
        <f>+MINVU_Mes_Corriente!U16*MINVU_Mes_Constante!$P$1</f>
        <v>99246327.984941006</v>
      </c>
      <c r="V16" s="8">
        <f>+MINVU_Mes_Corriente!V16*MINVU_Mes_Constante!$P$1</f>
        <v>99246327.984941006</v>
      </c>
      <c r="W16" s="8">
        <f>+MINVU_Mes_Corriente!W16*MINVU_Mes_Constante!$P$1</f>
        <v>99246327.984941006</v>
      </c>
      <c r="X16" s="8">
        <f>+MINVU_Mes_Corriente!X16*MINVU_Mes_Constante!$P$1</f>
        <v>99246327.984941006</v>
      </c>
      <c r="Y16" s="8">
        <f>+MINVU_Mes_Corriente!Y16*MINVU_Mes_Constante!$P$1</f>
        <v>99246327.984941006</v>
      </c>
      <c r="Z16" s="8">
        <f>+MINVU_Mes_Corriente!Z16*MINVU_Mes_Constante!$P$1</f>
        <v>99246327.984941006</v>
      </c>
      <c r="AA16" s="8">
        <f>+MINVU_Mes_Corriente!AA16*MINVU_Mes_Constante!$P$1</f>
        <v>99246327.984941006</v>
      </c>
      <c r="AB16" s="9">
        <f t="shared" si="1"/>
        <v>99246327.984941006</v>
      </c>
      <c r="AC16" s="8">
        <f>+MINVU_Mes_Corriente!AC16*MINVU_Mes_Constante!$AC$1</f>
        <v>91595964.970258683</v>
      </c>
      <c r="AD16" s="8">
        <f>+MINVU_Mes_Corriente!AD16*MINVU_Mes_Constante!$AC$1</f>
        <v>91595964.970258683</v>
      </c>
      <c r="AE16" s="8">
        <f>+MINVU_Mes_Corriente!AE16*MINVU_Mes_Constante!$AC$1</f>
        <v>91595964.970258683</v>
      </c>
      <c r="AF16" s="8">
        <f>+MINVU_Mes_Corriente!AF16*MINVU_Mes_Constante!$AC$1</f>
        <v>91595964.970258683</v>
      </c>
      <c r="AG16" s="8">
        <f>+MINVU_Mes_Corriente!AG16*MINVU_Mes_Constante!$AC$1</f>
        <v>91595964.970258683</v>
      </c>
      <c r="AH16" s="8">
        <f>+MINVU_Mes_Corriente!AH16*MINVU_Mes_Constante!$AC$1</f>
        <v>91595964.970258683</v>
      </c>
      <c r="AI16" s="8">
        <f>+MINVU_Mes_Corriente!AI16*MINVU_Mes_Constante!$AC$1</f>
        <v>91595964.970258683</v>
      </c>
      <c r="AJ16" s="8">
        <f>+MINVU_Mes_Corriente!AJ16*MINVU_Mes_Constante!$AC$1</f>
        <v>91595964.970258683</v>
      </c>
      <c r="AK16" s="8">
        <f>+MINVU_Mes_Corriente!AK16*MINVU_Mes_Constante!$AC$1</f>
        <v>91595964.970258683</v>
      </c>
      <c r="AL16" s="8">
        <f>+MINVU_Mes_Corriente!AL16*MINVU_Mes_Constante!$AC$1</f>
        <v>91595964.970258683</v>
      </c>
      <c r="AM16" s="8">
        <f>+MINVU_Mes_Corriente!AM16*MINVU_Mes_Constante!$AC$1</f>
        <v>91595964.970258683</v>
      </c>
      <c r="AN16" s="8">
        <f>+MINVU_Mes_Corriente!AN16*MINVU_Mes_Constante!$AC$1</f>
        <v>91595964.970258683</v>
      </c>
      <c r="AO16" s="9">
        <f t="shared" si="2"/>
        <v>91595964.970258683</v>
      </c>
      <c r="AP16" s="8">
        <f>+MINVU_Mes_Corriente!AP16*MINVU_Mes_Constante!$AP$1</f>
        <v>83671073.016366825</v>
      </c>
      <c r="AQ16" s="8">
        <f>+MINVU_Mes_Corriente!AQ16*MINVU_Mes_Constante!$AP$1</f>
        <v>83671073.016366825</v>
      </c>
      <c r="AR16" s="8">
        <f>+MINVU_Mes_Corriente!AR16*MINVU_Mes_Constante!$AP$1</f>
        <v>83671073.016366825</v>
      </c>
      <c r="AS16" s="8">
        <f>+MINVU_Mes_Corriente!AS16*MINVU_Mes_Constante!$AP$1</f>
        <v>83671073.016366825</v>
      </c>
      <c r="AT16" s="8">
        <f>+MINVU_Mes_Corriente!AT16*MINVU_Mes_Constante!$AP$1</f>
        <v>83671073.016366825</v>
      </c>
      <c r="AU16" s="8">
        <f>+MINVU_Mes_Corriente!AU16*MINVU_Mes_Constante!$AP$1</f>
        <v>83671073.016366825</v>
      </c>
      <c r="AV16" s="8">
        <f>+MINVU_Mes_Corriente!AV16*MINVU_Mes_Constante!$AP$1</f>
        <v>83671073.016366825</v>
      </c>
      <c r="AW16" s="8">
        <f>+MINVU_Mes_Corriente!AW16*MINVU_Mes_Constante!$AP$1</f>
        <v>83671073.016366825</v>
      </c>
      <c r="AX16" s="8">
        <f>+MINVU_Mes_Corriente!AX16*MINVU_Mes_Constante!$AP$1</f>
        <v>83671073.016366825</v>
      </c>
      <c r="AY16" s="8">
        <f>+MINVU_Mes_Corriente!AY16*MINVU_Mes_Constante!$AP$1</f>
        <v>83671073.016366825</v>
      </c>
      <c r="AZ16" s="8">
        <f>+MINVU_Mes_Corriente!AZ16*MINVU_Mes_Constante!$AP$1</f>
        <v>83671073.016366825</v>
      </c>
      <c r="BA16" s="8">
        <f>+MINVU_Mes_Corriente!BA16*MINVU_Mes_Constante!$AP$1</f>
        <v>83671073.016366825</v>
      </c>
      <c r="BB16" s="9">
        <f t="shared" si="3"/>
        <v>83671073.016366825</v>
      </c>
      <c r="BC16" s="8">
        <f>+MINVU_Mes_Corriente!BC16*MINVU_Mes_Constante!$BC$1</f>
        <v>65405641.065013863</v>
      </c>
      <c r="BD16" s="8">
        <f>+MINVU_Mes_Corriente!BD16*MINVU_Mes_Constante!$BC$1</f>
        <v>65405641.065013863</v>
      </c>
      <c r="BE16" s="8">
        <f>+MINVU_Mes_Corriente!BE16*MINVU_Mes_Constante!$BC$1</f>
        <v>65405641.065013863</v>
      </c>
      <c r="BF16" s="8">
        <f>+MINVU_Mes_Corriente!BF16*MINVU_Mes_Constante!$BC$1</f>
        <v>65405641.065013863</v>
      </c>
      <c r="BG16" s="8">
        <f>+MINVU_Mes_Corriente!BG16*MINVU_Mes_Constante!$BC$1</f>
        <v>65405641.065013863</v>
      </c>
      <c r="BH16" s="8">
        <f>+MINVU_Mes_Corriente!BH16*MINVU_Mes_Constante!$BC$1</f>
        <v>65405641.065013863</v>
      </c>
      <c r="BI16" s="8">
        <f>+MINVU_Mes_Corriente!BI16*MINVU_Mes_Constante!$BC$1</f>
        <v>65405641.065013863</v>
      </c>
      <c r="BJ16" s="8">
        <f>+MINVU_Mes_Corriente!BJ16*MINVU_Mes_Constante!$BC$1</f>
        <v>65405641.065013863</v>
      </c>
      <c r="BK16" s="8">
        <f>+MINVU_Mes_Corriente!BK16*MINVU_Mes_Constante!$BC$1</f>
        <v>65405641.065013863</v>
      </c>
      <c r="BL16" s="8">
        <f>+MINVU_Mes_Corriente!BL16*MINVU_Mes_Constante!$BC$1</f>
        <v>65405641.065013863</v>
      </c>
      <c r="BM16" s="8">
        <f>+MINVU_Mes_Corriente!BM16*MINVU_Mes_Constante!$BC$1</f>
        <v>65405641.065013863</v>
      </c>
      <c r="BN16" s="8">
        <f>+MINVU_Mes_Corriente!BN16*MINVU_Mes_Constante!$BC$1</f>
        <v>65405641.065013863</v>
      </c>
      <c r="BO16" s="9">
        <f t="shared" si="4"/>
        <v>65405641.065013863</v>
      </c>
      <c r="BP16" s="8">
        <f>+MINVU_Mes_Corriente!BP16*MINVU_Mes_Constante!$BP$1</f>
        <v>70343332.522663265</v>
      </c>
      <c r="BQ16" s="8">
        <f>+MINVU_Mes_Corriente!BQ16*MINVU_Mes_Constante!$BP$1</f>
        <v>70343332.522663265</v>
      </c>
      <c r="BR16" s="8">
        <f>+MINVU_Mes_Corriente!BR16*MINVU_Mes_Constante!$BP$1</f>
        <v>70343332.522663265</v>
      </c>
      <c r="BS16" s="8">
        <f>+MINVU_Mes_Corriente!BS16*MINVU_Mes_Constante!$BP$1</f>
        <v>70343332.522663265</v>
      </c>
      <c r="BT16" s="8">
        <f>+MINVU_Mes_Corriente!BT16*MINVU_Mes_Constante!$BP$1</f>
        <v>70343332.522663265</v>
      </c>
      <c r="BU16" s="8">
        <f>+MINVU_Mes_Corriente!BU16*MINVU_Mes_Constante!$BP$1</f>
        <v>70343332.522663265</v>
      </c>
      <c r="BV16" s="8">
        <f>+MINVU_Mes_Corriente!BV16*MINVU_Mes_Constante!$BP$1</f>
        <v>70343332.522663265</v>
      </c>
      <c r="BW16" s="8">
        <f>+MINVU_Mes_Corriente!BW16*MINVU_Mes_Constante!$BP$1</f>
        <v>70343332.522663265</v>
      </c>
      <c r="BX16" s="8">
        <f>+MINVU_Mes_Corriente!BX16*MINVU_Mes_Constante!$BP$1</f>
        <v>70343332.522663265</v>
      </c>
      <c r="BY16" s="8">
        <f>+MINVU_Mes_Corriente!BY16*MINVU_Mes_Constante!$BP$1</f>
        <v>70343332.522663265</v>
      </c>
      <c r="BZ16" s="8">
        <f>+MINVU_Mes_Corriente!BZ16*MINVU_Mes_Constante!$BP$1</f>
        <v>70343332.522663265</v>
      </c>
      <c r="CA16" s="8">
        <f>+MINVU_Mes_Corriente!CA16*MINVU_Mes_Constante!$BP$1</f>
        <v>70343332.522663265</v>
      </c>
      <c r="CB16" s="9">
        <f t="shared" si="5"/>
        <v>70343332.522663265</v>
      </c>
      <c r="CC16" s="8">
        <f>+MINVU_Mes_Corriente!CC16*MINVU_Mes_Constante!$CC$1</f>
        <v>93645060.165609851</v>
      </c>
      <c r="CD16" s="8">
        <f>+MINVU_Mes_Corriente!CD16*MINVU_Mes_Constante!$CC$1</f>
        <v>93645060.165609851</v>
      </c>
      <c r="CE16" s="8">
        <f>+MINVU_Mes_Corriente!CE16*MINVU_Mes_Constante!$CC$1</f>
        <v>93645060.165609851</v>
      </c>
      <c r="CF16" s="8">
        <f>+MINVU_Mes_Corriente!CF16*MINVU_Mes_Constante!$CC$1</f>
        <v>93645060.165609851</v>
      </c>
      <c r="CG16" s="8">
        <f>+MINVU_Mes_Corriente!CG16*MINVU_Mes_Constante!$CC$1</f>
        <v>93645060.165609851</v>
      </c>
      <c r="CH16" s="8">
        <f>+MINVU_Mes_Corriente!CH16*MINVU_Mes_Constante!$CC$1</f>
        <v>93645060.165609851</v>
      </c>
      <c r="CI16" s="8">
        <f>+MINVU_Mes_Corriente!CI16*MINVU_Mes_Constante!$CC$1</f>
        <v>93645060.165609851</v>
      </c>
      <c r="CJ16" s="8">
        <f>+MINVU_Mes_Corriente!CJ16*MINVU_Mes_Constante!$CC$1</f>
        <v>93645060.165609851</v>
      </c>
      <c r="CK16" s="8">
        <f>+MINVU_Mes_Corriente!CK16*MINVU_Mes_Constante!$CC$1</f>
        <v>93645060.165609851</v>
      </c>
      <c r="CL16" s="8">
        <f>+MINVU_Mes_Corriente!CL16*MINVU_Mes_Constante!$CC$1</f>
        <v>93645060.165609851</v>
      </c>
      <c r="CM16" s="8">
        <f>+MINVU_Mes_Corriente!CM16*MINVU_Mes_Constante!$CC$1</f>
        <v>93645060.165609851</v>
      </c>
      <c r="CN16" s="8">
        <f>+MINVU_Mes_Corriente!CN16*MINVU_Mes_Constante!$CC$1</f>
        <v>93645060.165609851</v>
      </c>
      <c r="CO16" s="9">
        <f t="shared" si="6"/>
        <v>93645060.165609851</v>
      </c>
      <c r="CP16" s="8">
        <f>+MINVU_Mes_Corriente!CP16*MINVU_Mes_Constante!$CP$1</f>
        <v>95659038.881206483</v>
      </c>
      <c r="CQ16" s="8">
        <f>+MINVU_Mes_Corriente!CQ16*MINVU_Mes_Constante!$CP$1</f>
        <v>95659038.881206483</v>
      </c>
      <c r="CR16" s="8">
        <f>+MINVU_Mes_Corriente!CR16*MINVU_Mes_Constante!$CP$1</f>
        <v>95659038.881206483</v>
      </c>
      <c r="CS16" s="8">
        <f>+MINVU_Mes_Corriente!CS16*MINVU_Mes_Constante!$CP$1</f>
        <v>95659038.881206483</v>
      </c>
      <c r="CT16" s="8">
        <f>+MINVU_Mes_Corriente!CT16*MINVU_Mes_Constante!$CP$1</f>
        <v>95659038.881206483</v>
      </c>
      <c r="CU16" s="8">
        <f>+MINVU_Mes_Corriente!CU16*MINVU_Mes_Constante!$CP$1</f>
        <v>95659038.881206483</v>
      </c>
      <c r="CV16" s="8">
        <f>+MINVU_Mes_Corriente!CV16*MINVU_Mes_Constante!$CP$1</f>
        <v>95659038.881206483</v>
      </c>
      <c r="CW16" s="8">
        <f>+MINVU_Mes_Corriente!CW16*MINVU_Mes_Constante!$CP$1</f>
        <v>95659038.881206483</v>
      </c>
      <c r="CX16" s="8">
        <f>+MINVU_Mes_Corriente!CX16*MINVU_Mes_Constante!$CP$1</f>
        <v>95659038.881206483</v>
      </c>
      <c r="CY16" s="8">
        <f>+MINVU_Mes_Corriente!CY16*MINVU_Mes_Constante!$CP$1</f>
        <v>95659038.881206483</v>
      </c>
      <c r="CZ16" s="8">
        <f>+MINVU_Mes_Corriente!CZ16*MINVU_Mes_Constante!$CP$1</f>
        <v>95659038.881206483</v>
      </c>
      <c r="DA16" s="8">
        <f>+MINVU_Mes_Corriente!DA16*MINVU_Mes_Constante!$CP$1</f>
        <v>95659038.881206483</v>
      </c>
      <c r="DB16" s="9">
        <f t="shared" si="7"/>
        <v>95659038.881206483</v>
      </c>
      <c r="DC16" s="8">
        <f>+MINVU_Mes_Corriente!DC16*MINVU_Mes_Constante!$DC$1</f>
        <v>112506522.48451811</v>
      </c>
      <c r="DD16" s="8">
        <f>+MINVU_Mes_Corriente!DD16*MINVU_Mes_Constante!$DC$1</f>
        <v>112506522.48451811</v>
      </c>
      <c r="DE16" s="8">
        <f>+MINVU_Mes_Corriente!DE16*MINVU_Mes_Constante!$DC$1</f>
        <v>112506522.48451811</v>
      </c>
      <c r="DF16" s="8">
        <f>+MINVU_Mes_Corriente!DF16*MINVU_Mes_Constante!$DC$1</f>
        <v>112506522.48451811</v>
      </c>
      <c r="DG16" s="8">
        <f>+MINVU_Mes_Corriente!DG16*MINVU_Mes_Constante!$DC$1</f>
        <v>112506522.48451811</v>
      </c>
      <c r="DH16" s="8">
        <f>+MINVU_Mes_Corriente!DH16*MINVU_Mes_Constante!$DC$1</f>
        <v>112506522.48451811</v>
      </c>
      <c r="DI16" s="8">
        <f>+MINVU_Mes_Corriente!DI16*MINVU_Mes_Constante!$DC$1</f>
        <v>112506522.48451811</v>
      </c>
      <c r="DJ16" s="8">
        <f>+MINVU_Mes_Corriente!DJ16*MINVU_Mes_Constante!$DC$1</f>
        <v>112506522.48451811</v>
      </c>
      <c r="DK16" s="8">
        <f>+MINVU_Mes_Corriente!DK16*MINVU_Mes_Constante!$DC$1</f>
        <v>112506522.48451811</v>
      </c>
      <c r="DL16" s="8">
        <f>+MINVU_Mes_Corriente!DL16*MINVU_Mes_Constante!$DC$1</f>
        <v>112506522.48451811</v>
      </c>
      <c r="DM16" s="8">
        <f>+MINVU_Mes_Corriente!DM16*MINVU_Mes_Constante!$DC$1</f>
        <v>112506522.48451811</v>
      </c>
      <c r="DN16" s="8">
        <f>+MINVU_Mes_Corriente!DN16*MINVU_Mes_Constante!$DC$1</f>
        <v>112506522.48451811</v>
      </c>
      <c r="DO16" s="9">
        <f t="shared" si="8"/>
        <v>112506522.48451811</v>
      </c>
      <c r="DP16" s="8">
        <f>+MINVU_Mes_Corriente!DP16*MINVU_Mes_Constante!$DP$1</f>
        <v>114070426.69952495</v>
      </c>
      <c r="DQ16" s="8">
        <f>+MINVU_Mes_Corriente!DQ16*MINVU_Mes_Constante!$DP$1</f>
        <v>114070426.69952495</v>
      </c>
      <c r="DR16" s="8">
        <f>+MINVU_Mes_Corriente!DR16*MINVU_Mes_Constante!$DP$1</f>
        <v>114070426.69952495</v>
      </c>
      <c r="DS16" s="8">
        <f>+MINVU_Mes_Corriente!DS16*MINVU_Mes_Constante!$DP$1</f>
        <v>114070426.69952495</v>
      </c>
      <c r="DT16" s="8">
        <f>+MINVU_Mes_Corriente!DT16*MINVU_Mes_Constante!$DP$1</f>
        <v>114070426.69952495</v>
      </c>
      <c r="DU16" s="8">
        <f>+MINVU_Mes_Corriente!DU16*MINVU_Mes_Constante!$DP$1</f>
        <v>114070426.69952495</v>
      </c>
      <c r="DV16" s="8">
        <f>+MINVU_Mes_Corriente!DV16*MINVU_Mes_Constante!$DP$1</f>
        <v>114070426.69952495</v>
      </c>
      <c r="DW16" s="8">
        <f>+MINVU_Mes_Corriente!DW16*MINVU_Mes_Constante!$DP$1</f>
        <v>114070426.69952495</v>
      </c>
      <c r="DX16" s="8">
        <f>+MINVU_Mes_Corriente!DX16*MINVU_Mes_Constante!$DP$1</f>
        <v>114070426.69952495</v>
      </c>
      <c r="DY16" s="8">
        <f>+MINVU_Mes_Corriente!DY16*MINVU_Mes_Constante!$DP$1</f>
        <v>114070426.69952495</v>
      </c>
      <c r="DZ16" s="8">
        <f>+MINVU_Mes_Corriente!DZ16*MINVU_Mes_Constante!$DP$1</f>
        <v>114070426.69952495</v>
      </c>
      <c r="EA16" s="8">
        <f>+MINVU_Mes_Corriente!EA16*MINVU_Mes_Constante!$DP$1</f>
        <v>114070426.69952495</v>
      </c>
      <c r="EB16" s="9">
        <f t="shared" si="9"/>
        <v>114070426.69952495</v>
      </c>
      <c r="EC16" s="8">
        <f>+MINVU_Mes_Corriente!EC16*MINVU_Mes_Constante!$EC$1</f>
        <v>90260610.810073823</v>
      </c>
      <c r="ED16" s="8">
        <f>+MINVU_Mes_Corriente!ED16*MINVU_Mes_Constante!$EC$1</f>
        <v>90260610.810073823</v>
      </c>
      <c r="EE16" s="8">
        <f>+MINVU_Mes_Corriente!EE16*MINVU_Mes_Constante!$EC$1</f>
        <v>90260610.810073823</v>
      </c>
      <c r="EF16" s="8">
        <f>+MINVU_Mes_Corriente!EF16*MINVU_Mes_Constante!$EC$1</f>
        <v>90260610.810073823</v>
      </c>
      <c r="EG16" s="8">
        <f>+MINVU_Mes_Corriente!EG16*MINVU_Mes_Constante!$EC$1</f>
        <v>90260610.810073823</v>
      </c>
      <c r="EH16" s="8">
        <f>+MINVU_Mes_Corriente!EH16*MINVU_Mes_Constante!$EC$1</f>
        <v>90260610.810073823</v>
      </c>
      <c r="EI16" s="8">
        <f>+MINVU_Mes_Corriente!EI16*MINVU_Mes_Constante!$EC$1</f>
        <v>90260610.810073823</v>
      </c>
      <c r="EJ16" s="8">
        <f>+MINVU_Mes_Corriente!EJ16*MINVU_Mes_Constante!$EC$1</f>
        <v>90260610.810073823</v>
      </c>
      <c r="EK16" s="8">
        <f>+MINVU_Mes_Corriente!EK16*MINVU_Mes_Constante!$EC$1</f>
        <v>90260610.810073823</v>
      </c>
      <c r="EL16" s="8">
        <f>+MINVU_Mes_Corriente!EL16*MINVU_Mes_Constante!$EC$1</f>
        <v>90260610.810073823</v>
      </c>
      <c r="EM16" s="8">
        <f>+MINVU_Mes_Corriente!EM16*MINVU_Mes_Constante!$EC$1</f>
        <v>90260610.810073823</v>
      </c>
      <c r="EN16" s="8">
        <f>+MINVU_Mes_Corriente!EN16*MINVU_Mes_Constante!$EC$1</f>
        <v>90260610.810073823</v>
      </c>
      <c r="EO16" s="9">
        <f t="shared" si="10"/>
        <v>90260610.810073823</v>
      </c>
      <c r="EP16" s="8">
        <f>+MINVU_Mes_Corriente!EP16*MINVU_Mes_Constante!$EP$1</f>
        <v>74587862</v>
      </c>
      <c r="EQ16" s="8">
        <f>+MINVU_Mes_Corriente!EQ16*MINVU_Mes_Constante!$EP$1</f>
        <v>74587862</v>
      </c>
      <c r="ER16" s="8">
        <f>+MINVU_Mes_Corriente!ER16*MINVU_Mes_Constante!$EP$1</f>
        <v>74587862</v>
      </c>
      <c r="ES16" s="8">
        <f>+MINVU_Mes_Corriente!ES16*MINVU_Mes_Constante!$EP$1</f>
        <v>74587862</v>
      </c>
      <c r="ET16" s="8">
        <f>+MINVU_Mes_Corriente!ET16*MINVU_Mes_Constante!$EP$1</f>
        <v>74587862</v>
      </c>
      <c r="EU16" s="8">
        <f>+MINVU_Mes_Corriente!EU16*MINVU_Mes_Constante!$EP$1</f>
        <v>74587862</v>
      </c>
      <c r="EV16" s="8">
        <f>+MINVU_Mes_Corriente!EV16*MINVU_Mes_Constante!$EP$1</f>
        <v>74587862</v>
      </c>
      <c r="EW16" s="8">
        <f>+MINVU_Mes_Corriente!EW16*MINVU_Mes_Constante!$EP$1</f>
        <v>74587862</v>
      </c>
      <c r="EX16" s="8">
        <f>+MINVU_Mes_Corriente!EX16*MINVU_Mes_Constante!$EP$1</f>
        <v>74587862</v>
      </c>
      <c r="EY16" s="8">
        <f>+MINVU_Mes_Corriente!EY16*MINVU_Mes_Constante!$EP$1</f>
        <v>74587862</v>
      </c>
      <c r="EZ16" s="8">
        <f>+MINVU_Mes_Corriente!EZ16*MINVU_Mes_Constante!$EP$1</f>
        <v>74587862</v>
      </c>
      <c r="FA16" s="8">
        <f>+MINVU_Mes_Corriente!FA16*MINVU_Mes_Constante!$EP$1</f>
        <v>74587862</v>
      </c>
      <c r="FB16" s="9">
        <f t="shared" si="11"/>
        <v>74587862</v>
      </c>
      <c r="FC16" s="8">
        <f>+MINVU_Mes_Corriente!FC16*MINVU_Mes_Constante!$FC$1</f>
        <v>90590002</v>
      </c>
      <c r="FD16" s="8">
        <f>+MINVU_Mes_Corriente!FD16*MINVU_Mes_Constante!$FC$1</f>
        <v>90590002</v>
      </c>
      <c r="FE16" s="8">
        <f>+MINVU_Mes_Corriente!FE16*MINVU_Mes_Constante!$FC$1</f>
        <v>90590002</v>
      </c>
      <c r="FF16" s="8">
        <f>+MINVU_Mes_Corriente!FF16*MINVU_Mes_Constante!$FC$1</f>
        <v>90590002</v>
      </c>
      <c r="FG16" s="8">
        <f>+MINVU_Mes_Corriente!FG16*MINVU_Mes_Constante!$FC$1</f>
        <v>90590002</v>
      </c>
      <c r="FH16" s="8">
        <f>+MINVU_Mes_Corriente!FH16*MINVU_Mes_Constante!$FC$1</f>
        <v>90590002</v>
      </c>
      <c r="FI16" s="8">
        <f>+MINVU_Mes_Corriente!FI16*MINVU_Mes_Constante!$FC$1</f>
        <v>90590002</v>
      </c>
      <c r="FJ16" s="8"/>
      <c r="FK16" s="8"/>
      <c r="FL16" s="8"/>
      <c r="FM16" s="8"/>
      <c r="FN16" s="8"/>
      <c r="FO16" s="9">
        <f t="shared" si="12"/>
        <v>90590002</v>
      </c>
    </row>
    <row r="17" spans="2:171" ht="14.25" customHeight="1" x14ac:dyDescent="0.3">
      <c r="B17" s="7" t="s">
        <v>52</v>
      </c>
      <c r="C17" s="8">
        <f>+MINVU_Mes_Corriente!C17*MINVU_Mes_Constante!$C$1</f>
        <v>42578725.702209704</v>
      </c>
      <c r="D17" s="8">
        <f>+MINVU_Mes_Corriente!D17*MINVU_Mes_Constante!$C$1</f>
        <v>42578725.702209704</v>
      </c>
      <c r="E17" s="8">
        <f>+MINVU_Mes_Corriente!E17*MINVU_Mes_Constante!$C$1</f>
        <v>42578725.702209704</v>
      </c>
      <c r="F17" s="8">
        <f>+MINVU_Mes_Corriente!F17*MINVU_Mes_Constante!$C$1</f>
        <v>42578725.702209704</v>
      </c>
      <c r="G17" s="8">
        <f>+MINVU_Mes_Corriente!G17*MINVU_Mes_Constante!$C$1</f>
        <v>42578725.702209704</v>
      </c>
      <c r="H17" s="8">
        <f>+MINVU_Mes_Corriente!H17*MINVU_Mes_Constante!$C$1</f>
        <v>42578725.702209704</v>
      </c>
      <c r="I17" s="8">
        <f>+MINVU_Mes_Corriente!I17*MINVU_Mes_Constante!$C$1</f>
        <v>42578725.702209704</v>
      </c>
      <c r="J17" s="8">
        <f>+MINVU_Mes_Corriente!J17*MINVU_Mes_Constante!$C$1</f>
        <v>42578725.702209704</v>
      </c>
      <c r="K17" s="8">
        <f>+MINVU_Mes_Corriente!K17*MINVU_Mes_Constante!$C$1</f>
        <v>42578725.702209704</v>
      </c>
      <c r="L17" s="8">
        <f>+MINVU_Mes_Corriente!L17*MINVU_Mes_Constante!$C$1</f>
        <v>42578725.702209704</v>
      </c>
      <c r="M17" s="8">
        <f>+MINVU_Mes_Corriente!M17*MINVU_Mes_Constante!$C$1</f>
        <v>42578725.702209704</v>
      </c>
      <c r="N17" s="8">
        <f>+MINVU_Mes_Corriente!N17*MINVU_Mes_Constante!$C$1</f>
        <v>42578725.702209704</v>
      </c>
      <c r="O17" s="9">
        <f t="shared" si="0"/>
        <v>42578725.702209704</v>
      </c>
      <c r="P17" s="8">
        <f>+MINVU_Mes_Corriente!P17*MINVU_Mes_Constante!$P$1</f>
        <v>29281195.710754357</v>
      </c>
      <c r="Q17" s="8">
        <f>+MINVU_Mes_Corriente!Q17*MINVU_Mes_Constante!$P$1</f>
        <v>29281195.710754357</v>
      </c>
      <c r="R17" s="8">
        <f>+MINVU_Mes_Corriente!R17*MINVU_Mes_Constante!$P$1</f>
        <v>29281195.710754357</v>
      </c>
      <c r="S17" s="8">
        <f>+MINVU_Mes_Corriente!S17*MINVU_Mes_Constante!$P$1</f>
        <v>29281195.710754357</v>
      </c>
      <c r="T17" s="8">
        <f>+MINVU_Mes_Corriente!T17*MINVU_Mes_Constante!$P$1</f>
        <v>29281195.710754357</v>
      </c>
      <c r="U17" s="8">
        <f>+MINVU_Mes_Corriente!U17*MINVU_Mes_Constante!$P$1</f>
        <v>29281195.710754357</v>
      </c>
      <c r="V17" s="8">
        <f>+MINVU_Mes_Corriente!V17*MINVU_Mes_Constante!$P$1</f>
        <v>29281195.710754357</v>
      </c>
      <c r="W17" s="8">
        <f>+MINVU_Mes_Corriente!W17*MINVU_Mes_Constante!$P$1</f>
        <v>29281195.710754357</v>
      </c>
      <c r="X17" s="8">
        <f>+MINVU_Mes_Corriente!X17*MINVU_Mes_Constante!$P$1</f>
        <v>29281195.710754357</v>
      </c>
      <c r="Y17" s="8">
        <f>+MINVU_Mes_Corriente!Y17*MINVU_Mes_Constante!$P$1</f>
        <v>29281195.710754357</v>
      </c>
      <c r="Z17" s="8">
        <f>+MINVU_Mes_Corriente!Z17*MINVU_Mes_Constante!$P$1</f>
        <v>29281195.710754357</v>
      </c>
      <c r="AA17" s="8">
        <f>+MINVU_Mes_Corriente!AA17*MINVU_Mes_Constante!$P$1</f>
        <v>29281195.710754357</v>
      </c>
      <c r="AB17" s="9">
        <f t="shared" si="1"/>
        <v>29281195.710754357</v>
      </c>
      <c r="AC17" s="8">
        <f>+MINVU_Mes_Corriente!AC17*MINVU_Mes_Constante!$AC$1</f>
        <v>24813633.69262692</v>
      </c>
      <c r="AD17" s="8">
        <f>+MINVU_Mes_Corriente!AD17*MINVU_Mes_Constante!$AC$1</f>
        <v>24813633.69262692</v>
      </c>
      <c r="AE17" s="8">
        <f>+MINVU_Mes_Corriente!AE17*MINVU_Mes_Constante!$AC$1</f>
        <v>24813633.69262692</v>
      </c>
      <c r="AF17" s="8">
        <f>+MINVU_Mes_Corriente!AF17*MINVU_Mes_Constante!$AC$1</f>
        <v>24813633.69262692</v>
      </c>
      <c r="AG17" s="8">
        <f>+MINVU_Mes_Corriente!AG17*MINVU_Mes_Constante!$AC$1</f>
        <v>24813633.69262692</v>
      </c>
      <c r="AH17" s="8">
        <f>+MINVU_Mes_Corriente!AH17*MINVU_Mes_Constante!$AC$1</f>
        <v>24813633.69262692</v>
      </c>
      <c r="AI17" s="8">
        <f>+MINVU_Mes_Corriente!AI17*MINVU_Mes_Constante!$AC$1</f>
        <v>24813633.69262692</v>
      </c>
      <c r="AJ17" s="8">
        <f>+MINVU_Mes_Corriente!AJ17*MINVU_Mes_Constante!$AC$1</f>
        <v>24813633.69262692</v>
      </c>
      <c r="AK17" s="8">
        <f>+MINVU_Mes_Corriente!AK17*MINVU_Mes_Constante!$AC$1</f>
        <v>24813633.69262692</v>
      </c>
      <c r="AL17" s="8">
        <f>+MINVU_Mes_Corriente!AL17*MINVU_Mes_Constante!$AC$1</f>
        <v>24813633.69262692</v>
      </c>
      <c r="AM17" s="8">
        <f>+MINVU_Mes_Corriente!AM17*MINVU_Mes_Constante!$AC$1</f>
        <v>24813633.69262692</v>
      </c>
      <c r="AN17" s="8">
        <f>+MINVU_Mes_Corriente!AN17*MINVU_Mes_Constante!$AC$1</f>
        <v>24813633.69262692</v>
      </c>
      <c r="AO17" s="9">
        <f t="shared" si="2"/>
        <v>24813633.69262692</v>
      </c>
      <c r="AP17" s="8">
        <f>+MINVU_Mes_Corriente!AP17*MINVU_Mes_Constante!$AP$1</f>
        <v>11560574.040308399</v>
      </c>
      <c r="AQ17" s="8">
        <f>+MINVU_Mes_Corriente!AQ17*MINVU_Mes_Constante!$AP$1</f>
        <v>11560574.040308399</v>
      </c>
      <c r="AR17" s="8">
        <f>+MINVU_Mes_Corriente!AR17*MINVU_Mes_Constante!$AP$1</f>
        <v>11560574.040308399</v>
      </c>
      <c r="AS17" s="8">
        <f>+MINVU_Mes_Corriente!AS17*MINVU_Mes_Constante!$AP$1</f>
        <v>11560574.040308399</v>
      </c>
      <c r="AT17" s="8">
        <f>+MINVU_Mes_Corriente!AT17*MINVU_Mes_Constante!$AP$1</f>
        <v>11560574.040308399</v>
      </c>
      <c r="AU17" s="8">
        <f>+MINVU_Mes_Corriente!AU17*MINVU_Mes_Constante!$AP$1</f>
        <v>11560574.040308399</v>
      </c>
      <c r="AV17" s="8">
        <f>+MINVU_Mes_Corriente!AV17*MINVU_Mes_Constante!$AP$1</f>
        <v>11560574.040308399</v>
      </c>
      <c r="AW17" s="8">
        <f>+MINVU_Mes_Corriente!AW17*MINVU_Mes_Constante!$AP$1</f>
        <v>11560574.040308399</v>
      </c>
      <c r="AX17" s="8">
        <f>+MINVU_Mes_Corriente!AX17*MINVU_Mes_Constante!$AP$1</f>
        <v>11560574.040308399</v>
      </c>
      <c r="AY17" s="8">
        <f>+MINVU_Mes_Corriente!AY17*MINVU_Mes_Constante!$AP$1</f>
        <v>11560574.040308399</v>
      </c>
      <c r="AZ17" s="8">
        <f>+MINVU_Mes_Corriente!AZ17*MINVU_Mes_Constante!$AP$1</f>
        <v>11560574.040308399</v>
      </c>
      <c r="BA17" s="8">
        <f>+MINVU_Mes_Corriente!BA17*MINVU_Mes_Constante!$AP$1</f>
        <v>11560574.040308399</v>
      </c>
      <c r="BB17" s="9">
        <f t="shared" si="3"/>
        <v>11560574.040308399</v>
      </c>
      <c r="BC17" s="8">
        <f>+MINVU_Mes_Corriente!BC17*MINVU_Mes_Constante!$BC$1</f>
        <v>20454110.298562579</v>
      </c>
      <c r="BD17" s="8">
        <f>+MINVU_Mes_Corriente!BD17*MINVU_Mes_Constante!$BC$1</f>
        <v>20454110.298562579</v>
      </c>
      <c r="BE17" s="8">
        <f>+MINVU_Mes_Corriente!BE17*MINVU_Mes_Constante!$BC$1</f>
        <v>20454110.298562579</v>
      </c>
      <c r="BF17" s="8">
        <f>+MINVU_Mes_Corriente!BF17*MINVU_Mes_Constante!$BC$1</f>
        <v>20454110.298562579</v>
      </c>
      <c r="BG17" s="8">
        <f>+MINVU_Mes_Corriente!BG17*MINVU_Mes_Constante!$BC$1</f>
        <v>20454110.298562579</v>
      </c>
      <c r="BH17" s="8">
        <f>+MINVU_Mes_Corriente!BH17*MINVU_Mes_Constante!$BC$1</f>
        <v>20454110.298562579</v>
      </c>
      <c r="BI17" s="8">
        <f>+MINVU_Mes_Corriente!BI17*MINVU_Mes_Constante!$BC$1</f>
        <v>20454110.298562579</v>
      </c>
      <c r="BJ17" s="8">
        <f>+MINVU_Mes_Corriente!BJ17*MINVU_Mes_Constante!$BC$1</f>
        <v>20454110.298562579</v>
      </c>
      <c r="BK17" s="8">
        <f>+MINVU_Mes_Corriente!BK17*MINVU_Mes_Constante!$BC$1</f>
        <v>20454110.298562579</v>
      </c>
      <c r="BL17" s="8">
        <f>+MINVU_Mes_Corriente!BL17*MINVU_Mes_Constante!$BC$1</f>
        <v>20454110.298562579</v>
      </c>
      <c r="BM17" s="8">
        <f>+MINVU_Mes_Corriente!BM17*MINVU_Mes_Constante!$BC$1</f>
        <v>20454110.298562579</v>
      </c>
      <c r="BN17" s="8">
        <f>+MINVU_Mes_Corriente!BN17*MINVU_Mes_Constante!$BC$1</f>
        <v>20454110.298562579</v>
      </c>
      <c r="BO17" s="9">
        <f t="shared" si="4"/>
        <v>20454110.298562579</v>
      </c>
      <c r="BP17" s="8">
        <f>+MINVU_Mes_Corriente!BP17*MINVU_Mes_Constante!$BP$1</f>
        <v>15297570.942637647</v>
      </c>
      <c r="BQ17" s="8">
        <f>+MINVU_Mes_Corriente!BQ17*MINVU_Mes_Constante!$BP$1</f>
        <v>15297570.942637647</v>
      </c>
      <c r="BR17" s="8">
        <f>+MINVU_Mes_Corriente!BR17*MINVU_Mes_Constante!$BP$1</f>
        <v>15297570.942637647</v>
      </c>
      <c r="BS17" s="8">
        <f>+MINVU_Mes_Corriente!BS17*MINVU_Mes_Constante!$BP$1</f>
        <v>15297570.942637647</v>
      </c>
      <c r="BT17" s="8">
        <f>+MINVU_Mes_Corriente!BT17*MINVU_Mes_Constante!$BP$1</f>
        <v>15297570.942637647</v>
      </c>
      <c r="BU17" s="8">
        <f>+MINVU_Mes_Corriente!BU17*MINVU_Mes_Constante!$BP$1</f>
        <v>15297570.942637647</v>
      </c>
      <c r="BV17" s="8">
        <f>+MINVU_Mes_Corriente!BV17*MINVU_Mes_Constante!$BP$1</f>
        <v>15297570.942637647</v>
      </c>
      <c r="BW17" s="8">
        <f>+MINVU_Mes_Corriente!BW17*MINVU_Mes_Constante!$BP$1</f>
        <v>15297570.942637647</v>
      </c>
      <c r="BX17" s="8">
        <f>+MINVU_Mes_Corriente!BX17*MINVU_Mes_Constante!$BP$1</f>
        <v>15297570.942637647</v>
      </c>
      <c r="BY17" s="8">
        <f>+MINVU_Mes_Corriente!BY17*MINVU_Mes_Constante!$BP$1</f>
        <v>15297570.942637647</v>
      </c>
      <c r="BZ17" s="8">
        <f>+MINVU_Mes_Corriente!BZ17*MINVU_Mes_Constante!$BP$1</f>
        <v>15297570.942637647</v>
      </c>
      <c r="CA17" s="8">
        <f>+MINVU_Mes_Corriente!CA17*MINVU_Mes_Constante!$BP$1</f>
        <v>15297570.942637647</v>
      </c>
      <c r="CB17" s="9">
        <f t="shared" si="5"/>
        <v>15297570.942637647</v>
      </c>
      <c r="CC17" s="8">
        <f>+MINVU_Mes_Corriente!CC17*MINVU_Mes_Constante!$CC$1</f>
        <v>17169198.993659083</v>
      </c>
      <c r="CD17" s="8">
        <f>+MINVU_Mes_Corriente!CD17*MINVU_Mes_Constante!$CC$1</f>
        <v>17169198.993659083</v>
      </c>
      <c r="CE17" s="8">
        <f>+MINVU_Mes_Corriente!CE17*MINVU_Mes_Constante!$CC$1</f>
        <v>17169198.993659083</v>
      </c>
      <c r="CF17" s="8">
        <f>+MINVU_Mes_Corriente!CF17*MINVU_Mes_Constante!$CC$1</f>
        <v>17169198.993659083</v>
      </c>
      <c r="CG17" s="8">
        <f>+MINVU_Mes_Corriente!CG17*MINVU_Mes_Constante!$CC$1</f>
        <v>17169198.993659083</v>
      </c>
      <c r="CH17" s="8">
        <f>+MINVU_Mes_Corriente!CH17*MINVU_Mes_Constante!$CC$1</f>
        <v>17169198.993659083</v>
      </c>
      <c r="CI17" s="8">
        <f>+MINVU_Mes_Corriente!CI17*MINVU_Mes_Constante!$CC$1</f>
        <v>17169198.993659083</v>
      </c>
      <c r="CJ17" s="8">
        <f>+MINVU_Mes_Corriente!CJ17*MINVU_Mes_Constante!$CC$1</f>
        <v>17169198.993659083</v>
      </c>
      <c r="CK17" s="8">
        <f>+MINVU_Mes_Corriente!CK17*MINVU_Mes_Constante!$CC$1</f>
        <v>17169198.993659083</v>
      </c>
      <c r="CL17" s="8">
        <f>+MINVU_Mes_Corriente!CL17*MINVU_Mes_Constante!$CC$1</f>
        <v>17169198.993659083</v>
      </c>
      <c r="CM17" s="8">
        <f>+MINVU_Mes_Corriente!CM17*MINVU_Mes_Constante!$CC$1</f>
        <v>17169198.993659083</v>
      </c>
      <c r="CN17" s="8">
        <f>+MINVU_Mes_Corriente!CN17*MINVU_Mes_Constante!$CC$1</f>
        <v>17169198.993659083</v>
      </c>
      <c r="CO17" s="9">
        <f t="shared" si="6"/>
        <v>17169198.993659083</v>
      </c>
      <c r="CP17" s="8">
        <f>+MINVU_Mes_Corriente!CP17*MINVU_Mes_Constante!$CP$1</f>
        <v>12162427.734570764</v>
      </c>
      <c r="CQ17" s="8">
        <f>+MINVU_Mes_Corriente!CQ17*MINVU_Mes_Constante!$CP$1</f>
        <v>12162427.734570764</v>
      </c>
      <c r="CR17" s="8">
        <f>+MINVU_Mes_Corriente!CR17*MINVU_Mes_Constante!$CP$1</f>
        <v>12162427.734570764</v>
      </c>
      <c r="CS17" s="8">
        <f>+MINVU_Mes_Corriente!CS17*MINVU_Mes_Constante!$CP$1</f>
        <v>12162427.734570764</v>
      </c>
      <c r="CT17" s="8">
        <f>+MINVU_Mes_Corriente!CT17*MINVU_Mes_Constante!$CP$1</f>
        <v>12162427.734570764</v>
      </c>
      <c r="CU17" s="8">
        <f>+MINVU_Mes_Corriente!CU17*MINVU_Mes_Constante!$CP$1</f>
        <v>12162427.734570764</v>
      </c>
      <c r="CV17" s="8">
        <f>+MINVU_Mes_Corriente!CV17*MINVU_Mes_Constante!$CP$1</f>
        <v>12162427.734570764</v>
      </c>
      <c r="CW17" s="8">
        <f>+MINVU_Mes_Corriente!CW17*MINVU_Mes_Constante!$CP$1</f>
        <v>12162427.734570764</v>
      </c>
      <c r="CX17" s="8">
        <f>+MINVU_Mes_Corriente!CX17*MINVU_Mes_Constante!$CP$1</f>
        <v>12162427.734570764</v>
      </c>
      <c r="CY17" s="8">
        <f>+MINVU_Mes_Corriente!CY17*MINVU_Mes_Constante!$CP$1</f>
        <v>12162427.734570764</v>
      </c>
      <c r="CZ17" s="8">
        <f>+MINVU_Mes_Corriente!CZ17*MINVU_Mes_Constante!$CP$1</f>
        <v>12162427.734570764</v>
      </c>
      <c r="DA17" s="8">
        <f>+MINVU_Mes_Corriente!DA17*MINVU_Mes_Constante!$CP$1</f>
        <v>12162427.734570764</v>
      </c>
      <c r="DB17" s="9">
        <f t="shared" si="7"/>
        <v>12162427.734570764</v>
      </c>
      <c r="DC17" s="8">
        <f>+MINVU_Mes_Corriente!DC17*MINVU_Mes_Constante!$DC$1</f>
        <v>13341454.126118718</v>
      </c>
      <c r="DD17" s="8">
        <f>+MINVU_Mes_Corriente!DD17*MINVU_Mes_Constante!$DC$1</f>
        <v>13341454.126118718</v>
      </c>
      <c r="DE17" s="8">
        <f>+MINVU_Mes_Corriente!DE17*MINVU_Mes_Constante!$DC$1</f>
        <v>13341454.126118718</v>
      </c>
      <c r="DF17" s="8">
        <f>+MINVU_Mes_Corriente!DF17*MINVU_Mes_Constante!$DC$1</f>
        <v>13341454.126118718</v>
      </c>
      <c r="DG17" s="8">
        <f>+MINVU_Mes_Corriente!DG17*MINVU_Mes_Constante!$DC$1</f>
        <v>13341454.126118718</v>
      </c>
      <c r="DH17" s="8">
        <f>+MINVU_Mes_Corriente!DH17*MINVU_Mes_Constante!$DC$1</f>
        <v>13341454.126118718</v>
      </c>
      <c r="DI17" s="8">
        <f>+MINVU_Mes_Corriente!DI17*MINVU_Mes_Constante!$DC$1</f>
        <v>13341454.126118718</v>
      </c>
      <c r="DJ17" s="8">
        <f>+MINVU_Mes_Corriente!DJ17*MINVU_Mes_Constante!$DC$1</f>
        <v>13341454.126118718</v>
      </c>
      <c r="DK17" s="8">
        <f>+MINVU_Mes_Corriente!DK17*MINVU_Mes_Constante!$DC$1</f>
        <v>13341454.126118718</v>
      </c>
      <c r="DL17" s="8">
        <f>+MINVU_Mes_Corriente!DL17*MINVU_Mes_Constante!$DC$1</f>
        <v>13341454.126118718</v>
      </c>
      <c r="DM17" s="8">
        <f>+MINVU_Mes_Corriente!DM17*MINVU_Mes_Constante!$DC$1</f>
        <v>13341454.126118718</v>
      </c>
      <c r="DN17" s="8">
        <f>+MINVU_Mes_Corriente!DN17*MINVU_Mes_Constante!$DC$1</f>
        <v>13341454.126118718</v>
      </c>
      <c r="DO17" s="9">
        <f t="shared" si="8"/>
        <v>13341454.126118718</v>
      </c>
      <c r="DP17" s="8">
        <f>+MINVU_Mes_Corriente!DP17*MINVU_Mes_Constante!$DP$1</f>
        <v>17814096.865795728</v>
      </c>
      <c r="DQ17" s="8">
        <f>+MINVU_Mes_Corriente!DQ17*MINVU_Mes_Constante!$DP$1</f>
        <v>17814096.865795728</v>
      </c>
      <c r="DR17" s="8">
        <f>+MINVU_Mes_Corriente!DR17*MINVU_Mes_Constante!$DP$1</f>
        <v>17814096.865795728</v>
      </c>
      <c r="DS17" s="8">
        <f>+MINVU_Mes_Corriente!DS17*MINVU_Mes_Constante!$DP$1</f>
        <v>17814096.865795728</v>
      </c>
      <c r="DT17" s="8">
        <f>+MINVU_Mes_Corriente!DT17*MINVU_Mes_Constante!$DP$1</f>
        <v>17814096.865795728</v>
      </c>
      <c r="DU17" s="8">
        <f>+MINVU_Mes_Corriente!DU17*MINVU_Mes_Constante!$DP$1</f>
        <v>17814096.865795728</v>
      </c>
      <c r="DV17" s="8">
        <f>+MINVU_Mes_Corriente!DV17*MINVU_Mes_Constante!$DP$1</f>
        <v>17814096.865795728</v>
      </c>
      <c r="DW17" s="8">
        <f>+MINVU_Mes_Corriente!DW17*MINVU_Mes_Constante!$DP$1</f>
        <v>17814096.865795728</v>
      </c>
      <c r="DX17" s="8">
        <f>+MINVU_Mes_Corriente!DX17*MINVU_Mes_Constante!$DP$1</f>
        <v>17814096.865795728</v>
      </c>
      <c r="DY17" s="8">
        <f>+MINVU_Mes_Corriente!DY17*MINVU_Mes_Constante!$DP$1</f>
        <v>17814096.865795728</v>
      </c>
      <c r="DZ17" s="8">
        <f>+MINVU_Mes_Corriente!DZ17*MINVU_Mes_Constante!$DP$1</f>
        <v>17814096.865795728</v>
      </c>
      <c r="EA17" s="8">
        <f>+MINVU_Mes_Corriente!EA17*MINVU_Mes_Constante!$DP$1</f>
        <v>17814096.865795728</v>
      </c>
      <c r="EB17" s="9">
        <f t="shared" si="9"/>
        <v>17814096.865795728</v>
      </c>
      <c r="EC17" s="8">
        <f>+MINVU_Mes_Corriente!EC17*MINVU_Mes_Constante!$EC$1</f>
        <v>17265278.234235935</v>
      </c>
      <c r="ED17" s="8">
        <f>+MINVU_Mes_Corriente!ED17*MINVU_Mes_Constante!$EC$1</f>
        <v>17265278.234235935</v>
      </c>
      <c r="EE17" s="8">
        <f>+MINVU_Mes_Corriente!EE17*MINVU_Mes_Constante!$EC$1</f>
        <v>17265278.234235935</v>
      </c>
      <c r="EF17" s="8">
        <f>+MINVU_Mes_Corriente!EF17*MINVU_Mes_Constante!$EC$1</f>
        <v>17265278.234235935</v>
      </c>
      <c r="EG17" s="8">
        <f>+MINVU_Mes_Corriente!EG17*MINVU_Mes_Constante!$EC$1</f>
        <v>17265278.234235935</v>
      </c>
      <c r="EH17" s="8">
        <f>+MINVU_Mes_Corriente!EH17*MINVU_Mes_Constante!$EC$1</f>
        <v>17265278.234235935</v>
      </c>
      <c r="EI17" s="8">
        <f>+MINVU_Mes_Corriente!EI17*MINVU_Mes_Constante!$EC$1</f>
        <v>17265278.234235935</v>
      </c>
      <c r="EJ17" s="8">
        <f>+MINVU_Mes_Corriente!EJ17*MINVU_Mes_Constante!$EC$1</f>
        <v>17265278.234235935</v>
      </c>
      <c r="EK17" s="8">
        <f>+MINVU_Mes_Corriente!EK17*MINVU_Mes_Constante!$EC$1</f>
        <v>17265278.234235935</v>
      </c>
      <c r="EL17" s="8">
        <f>+MINVU_Mes_Corriente!EL17*MINVU_Mes_Constante!$EC$1</f>
        <v>17265278.234235935</v>
      </c>
      <c r="EM17" s="8">
        <f>+MINVU_Mes_Corriente!EM17*MINVU_Mes_Constante!$EC$1</f>
        <v>17265278.234235935</v>
      </c>
      <c r="EN17" s="8">
        <f>+MINVU_Mes_Corriente!EN17*MINVU_Mes_Constante!$EC$1</f>
        <v>17265278.234235935</v>
      </c>
      <c r="EO17" s="9">
        <f t="shared" si="10"/>
        <v>17265278.234235935</v>
      </c>
      <c r="EP17" s="8">
        <f>+MINVU_Mes_Corriente!EP17*MINVU_Mes_Constante!$EP$1</f>
        <v>17865780</v>
      </c>
      <c r="EQ17" s="8">
        <f>+MINVU_Mes_Corriente!EQ17*MINVU_Mes_Constante!$EP$1</f>
        <v>17865780</v>
      </c>
      <c r="ER17" s="8">
        <f>+MINVU_Mes_Corriente!ER17*MINVU_Mes_Constante!$EP$1</f>
        <v>17865780</v>
      </c>
      <c r="ES17" s="8">
        <f>+MINVU_Mes_Corriente!ES17*MINVU_Mes_Constante!$EP$1</f>
        <v>17865780</v>
      </c>
      <c r="ET17" s="8">
        <f>+MINVU_Mes_Corriente!ET17*MINVU_Mes_Constante!$EP$1</f>
        <v>17865780</v>
      </c>
      <c r="EU17" s="8">
        <f>+MINVU_Mes_Corriente!EU17*MINVU_Mes_Constante!$EP$1</f>
        <v>17865780</v>
      </c>
      <c r="EV17" s="8">
        <f>+MINVU_Mes_Corriente!EV17*MINVU_Mes_Constante!$EP$1</f>
        <v>17865780</v>
      </c>
      <c r="EW17" s="8">
        <f>+MINVU_Mes_Corriente!EW17*MINVU_Mes_Constante!$EP$1</f>
        <v>17865780</v>
      </c>
      <c r="EX17" s="8">
        <f>+MINVU_Mes_Corriente!EX17*MINVU_Mes_Constante!$EP$1</f>
        <v>17865780</v>
      </c>
      <c r="EY17" s="8">
        <f>+MINVU_Mes_Corriente!EY17*MINVU_Mes_Constante!$EP$1</f>
        <v>17865780</v>
      </c>
      <c r="EZ17" s="8">
        <f>+MINVU_Mes_Corriente!EZ17*MINVU_Mes_Constante!$EP$1</f>
        <v>17865780</v>
      </c>
      <c r="FA17" s="8">
        <f>+MINVU_Mes_Corriente!FA17*MINVU_Mes_Constante!$EP$1</f>
        <v>17865780</v>
      </c>
      <c r="FB17" s="9">
        <f t="shared" si="11"/>
        <v>17865780</v>
      </c>
      <c r="FC17" s="8">
        <f>+MINVU_Mes_Corriente!FC17*MINVU_Mes_Constante!$FC$1</f>
        <v>14196992</v>
      </c>
      <c r="FD17" s="8">
        <f>+MINVU_Mes_Corriente!FD17*MINVU_Mes_Constante!$FC$1</f>
        <v>14196992</v>
      </c>
      <c r="FE17" s="8">
        <f>+MINVU_Mes_Corriente!FE17*MINVU_Mes_Constante!$FC$1</f>
        <v>14196992</v>
      </c>
      <c r="FF17" s="8">
        <f>+MINVU_Mes_Corriente!FF17*MINVU_Mes_Constante!$FC$1</f>
        <v>14196992</v>
      </c>
      <c r="FG17" s="8">
        <f>+MINVU_Mes_Corriente!FG17*MINVU_Mes_Constante!$FC$1</f>
        <v>14196992</v>
      </c>
      <c r="FH17" s="8">
        <f>+MINVU_Mes_Corriente!FH17*MINVU_Mes_Constante!$FC$1</f>
        <v>14196992</v>
      </c>
      <c r="FI17" s="8">
        <f>+MINVU_Mes_Corriente!FI17*MINVU_Mes_Constante!$FC$1</f>
        <v>14196992</v>
      </c>
      <c r="FJ17" s="8"/>
      <c r="FK17" s="8"/>
      <c r="FL17" s="8"/>
      <c r="FM17" s="8"/>
      <c r="FN17" s="8"/>
      <c r="FO17" s="9">
        <f t="shared" si="12"/>
        <v>14196992</v>
      </c>
    </row>
    <row r="18" spans="2:171" ht="14.25" customHeight="1" x14ac:dyDescent="0.3">
      <c r="B18" s="7" t="s">
        <v>53</v>
      </c>
      <c r="C18" s="8">
        <f>+MINVU_Mes_Corriente!C18*MINVU_Mes_Constante!$C$1</f>
        <v>30720640.519353408</v>
      </c>
      <c r="D18" s="8">
        <f>+MINVU_Mes_Corriente!D18*MINVU_Mes_Constante!$C$1</f>
        <v>30720640.519353408</v>
      </c>
      <c r="E18" s="8">
        <f>+MINVU_Mes_Corriente!E18*MINVU_Mes_Constante!$C$1</f>
        <v>30720640.519353408</v>
      </c>
      <c r="F18" s="8">
        <f>+MINVU_Mes_Corriente!F18*MINVU_Mes_Constante!$C$1</f>
        <v>30720640.519353408</v>
      </c>
      <c r="G18" s="8">
        <f>+MINVU_Mes_Corriente!G18*MINVU_Mes_Constante!$C$1</f>
        <v>30720640.519353408</v>
      </c>
      <c r="H18" s="8">
        <f>+MINVU_Mes_Corriente!H18*MINVU_Mes_Constante!$C$1</f>
        <v>30720640.519353408</v>
      </c>
      <c r="I18" s="8">
        <f>+MINVU_Mes_Corriente!I18*MINVU_Mes_Constante!$C$1</f>
        <v>30720640.519353408</v>
      </c>
      <c r="J18" s="8">
        <f>+MINVU_Mes_Corriente!J18*MINVU_Mes_Constante!$C$1</f>
        <v>30720640.519353408</v>
      </c>
      <c r="K18" s="8">
        <f>+MINVU_Mes_Corriente!K18*MINVU_Mes_Constante!$C$1</f>
        <v>30720640.519353408</v>
      </c>
      <c r="L18" s="8">
        <f>+MINVU_Mes_Corriente!L18*MINVU_Mes_Constante!$C$1</f>
        <v>30720640.519353408</v>
      </c>
      <c r="M18" s="8">
        <f>+MINVU_Mes_Corriente!M18*MINVU_Mes_Constante!$C$1</f>
        <v>30720640.519353408</v>
      </c>
      <c r="N18" s="8">
        <f>+MINVU_Mes_Corriente!N18*MINVU_Mes_Constante!$C$1</f>
        <v>30720640.519353408</v>
      </c>
      <c r="O18" s="9">
        <f t="shared" si="0"/>
        <v>30720640.519353408</v>
      </c>
      <c r="P18" s="8">
        <f>+MINVU_Mes_Corriente!P18*MINVU_Mes_Constante!$P$1</f>
        <v>43584298.289245613</v>
      </c>
      <c r="Q18" s="8">
        <f>+MINVU_Mes_Corriente!Q18*MINVU_Mes_Constante!$P$1</f>
        <v>43584298.289245613</v>
      </c>
      <c r="R18" s="8">
        <f>+MINVU_Mes_Corriente!R18*MINVU_Mes_Constante!$P$1</f>
        <v>43584298.289245613</v>
      </c>
      <c r="S18" s="8">
        <f>+MINVU_Mes_Corriente!S18*MINVU_Mes_Constante!$P$1</f>
        <v>43584298.289245613</v>
      </c>
      <c r="T18" s="8">
        <f>+MINVU_Mes_Corriente!T18*MINVU_Mes_Constante!$P$1</f>
        <v>43584298.289245613</v>
      </c>
      <c r="U18" s="8">
        <f>+MINVU_Mes_Corriente!U18*MINVU_Mes_Constante!$P$1</f>
        <v>43584298.289245613</v>
      </c>
      <c r="V18" s="8">
        <f>+MINVU_Mes_Corriente!V18*MINVU_Mes_Constante!$P$1</f>
        <v>43584298.289245613</v>
      </c>
      <c r="W18" s="8">
        <f>+MINVU_Mes_Corriente!W18*MINVU_Mes_Constante!$P$1</f>
        <v>43584298.289245613</v>
      </c>
      <c r="X18" s="8">
        <f>+MINVU_Mes_Corriente!X18*MINVU_Mes_Constante!$P$1</f>
        <v>43584298.289245613</v>
      </c>
      <c r="Y18" s="8">
        <f>+MINVU_Mes_Corriente!Y18*MINVU_Mes_Constante!$P$1</f>
        <v>43584298.289245613</v>
      </c>
      <c r="Z18" s="8">
        <f>+MINVU_Mes_Corriente!Z18*MINVU_Mes_Constante!$P$1</f>
        <v>43584298.289245613</v>
      </c>
      <c r="AA18" s="8">
        <f>+MINVU_Mes_Corriente!AA18*MINVU_Mes_Constante!$P$1</f>
        <v>43584298.289245613</v>
      </c>
      <c r="AB18" s="9">
        <f t="shared" si="1"/>
        <v>43584298.289245613</v>
      </c>
      <c r="AC18" s="8">
        <f>+MINVU_Mes_Corriente!AC18*MINVU_Mes_Constante!$AC$1</f>
        <v>40946062.374878958</v>
      </c>
      <c r="AD18" s="8">
        <f>+MINVU_Mes_Corriente!AD18*MINVU_Mes_Constante!$AC$1</f>
        <v>40946062.374878958</v>
      </c>
      <c r="AE18" s="8">
        <f>+MINVU_Mes_Corriente!AE18*MINVU_Mes_Constante!$AC$1</f>
        <v>40946062.374878958</v>
      </c>
      <c r="AF18" s="8">
        <f>+MINVU_Mes_Corriente!AF18*MINVU_Mes_Constante!$AC$1</f>
        <v>40946062.374878958</v>
      </c>
      <c r="AG18" s="8">
        <f>+MINVU_Mes_Corriente!AG18*MINVU_Mes_Constante!$AC$1</f>
        <v>40946062.374878958</v>
      </c>
      <c r="AH18" s="8">
        <f>+MINVU_Mes_Corriente!AH18*MINVU_Mes_Constante!$AC$1</f>
        <v>40946062.374878958</v>
      </c>
      <c r="AI18" s="8">
        <f>+MINVU_Mes_Corriente!AI18*MINVU_Mes_Constante!$AC$1</f>
        <v>40946062.374878958</v>
      </c>
      <c r="AJ18" s="8">
        <f>+MINVU_Mes_Corriente!AJ18*MINVU_Mes_Constante!$AC$1</f>
        <v>40946062.374878958</v>
      </c>
      <c r="AK18" s="8">
        <f>+MINVU_Mes_Corriente!AK18*MINVU_Mes_Constante!$AC$1</f>
        <v>40946062.374878958</v>
      </c>
      <c r="AL18" s="8">
        <f>+MINVU_Mes_Corriente!AL18*MINVU_Mes_Constante!$AC$1</f>
        <v>40946062.374878958</v>
      </c>
      <c r="AM18" s="8">
        <f>+MINVU_Mes_Corriente!AM18*MINVU_Mes_Constante!$AC$1</f>
        <v>40946062.374878958</v>
      </c>
      <c r="AN18" s="8">
        <f>+MINVU_Mes_Corriente!AN18*MINVU_Mes_Constante!$AC$1</f>
        <v>40946062.374878958</v>
      </c>
      <c r="AO18" s="9">
        <f t="shared" si="2"/>
        <v>40946062.374878958</v>
      </c>
      <c r="AP18" s="8">
        <f>+MINVU_Mes_Corriente!AP18*MINVU_Mes_Constante!$AP$1</f>
        <v>60681994.604896523</v>
      </c>
      <c r="AQ18" s="8">
        <f>+MINVU_Mes_Corriente!AQ18*MINVU_Mes_Constante!$AP$1</f>
        <v>60681994.604896523</v>
      </c>
      <c r="AR18" s="8">
        <f>+MINVU_Mes_Corriente!AR18*MINVU_Mes_Constante!$AP$1</f>
        <v>60681994.604896523</v>
      </c>
      <c r="AS18" s="8">
        <f>+MINVU_Mes_Corriente!AS18*MINVU_Mes_Constante!$AP$1</f>
        <v>60681994.604896523</v>
      </c>
      <c r="AT18" s="8">
        <f>+MINVU_Mes_Corriente!AT18*MINVU_Mes_Constante!$AP$1</f>
        <v>60681994.604896523</v>
      </c>
      <c r="AU18" s="8">
        <f>+MINVU_Mes_Corriente!AU18*MINVU_Mes_Constante!$AP$1</f>
        <v>60681994.604896523</v>
      </c>
      <c r="AV18" s="8">
        <f>+MINVU_Mes_Corriente!AV18*MINVU_Mes_Constante!$AP$1</f>
        <v>60681994.604896523</v>
      </c>
      <c r="AW18" s="8">
        <f>+MINVU_Mes_Corriente!AW18*MINVU_Mes_Constante!$AP$1</f>
        <v>60681994.604896523</v>
      </c>
      <c r="AX18" s="8">
        <f>+MINVU_Mes_Corriente!AX18*MINVU_Mes_Constante!$AP$1</f>
        <v>60681994.604896523</v>
      </c>
      <c r="AY18" s="8">
        <f>+MINVU_Mes_Corriente!AY18*MINVU_Mes_Constante!$AP$1</f>
        <v>60681994.604896523</v>
      </c>
      <c r="AZ18" s="8">
        <f>+MINVU_Mes_Corriente!AZ18*MINVU_Mes_Constante!$AP$1</f>
        <v>60681994.604896523</v>
      </c>
      <c r="BA18" s="8">
        <f>+MINVU_Mes_Corriente!BA18*MINVU_Mes_Constante!$AP$1</f>
        <v>60681994.604896523</v>
      </c>
      <c r="BB18" s="9">
        <f t="shared" si="3"/>
        <v>60681994.604896523</v>
      </c>
      <c r="BC18" s="8">
        <f>+MINVU_Mes_Corriente!BC18*MINVU_Mes_Constante!$BC$1</f>
        <v>64059872.835816972</v>
      </c>
      <c r="BD18" s="8">
        <f>+MINVU_Mes_Corriente!BD18*MINVU_Mes_Constante!$BC$1</f>
        <v>64059872.835816972</v>
      </c>
      <c r="BE18" s="8">
        <f>+MINVU_Mes_Corriente!BE18*MINVU_Mes_Constante!$BC$1</f>
        <v>64059872.835816972</v>
      </c>
      <c r="BF18" s="8">
        <f>+MINVU_Mes_Corriente!BF18*MINVU_Mes_Constante!$BC$1</f>
        <v>64059872.835816972</v>
      </c>
      <c r="BG18" s="8">
        <f>+MINVU_Mes_Corriente!BG18*MINVU_Mes_Constante!$BC$1</f>
        <v>64059872.835816972</v>
      </c>
      <c r="BH18" s="8">
        <f>+MINVU_Mes_Corriente!BH18*MINVU_Mes_Constante!$BC$1</f>
        <v>64059872.835816972</v>
      </c>
      <c r="BI18" s="8">
        <f>+MINVU_Mes_Corriente!BI18*MINVU_Mes_Constante!$BC$1</f>
        <v>64059872.835816972</v>
      </c>
      <c r="BJ18" s="8">
        <f>+MINVU_Mes_Corriente!BJ18*MINVU_Mes_Constante!$BC$1</f>
        <v>64059872.835816972</v>
      </c>
      <c r="BK18" s="8">
        <f>+MINVU_Mes_Corriente!BK18*MINVU_Mes_Constante!$BC$1</f>
        <v>64059872.835816972</v>
      </c>
      <c r="BL18" s="8">
        <f>+MINVU_Mes_Corriente!BL18*MINVU_Mes_Constante!$BC$1</f>
        <v>64059872.835816972</v>
      </c>
      <c r="BM18" s="8">
        <f>+MINVU_Mes_Corriente!BM18*MINVU_Mes_Constante!$BC$1</f>
        <v>64059872.835816972</v>
      </c>
      <c r="BN18" s="8">
        <f>+MINVU_Mes_Corriente!BN18*MINVU_Mes_Constante!$BC$1</f>
        <v>64059872.835816972</v>
      </c>
      <c r="BO18" s="9">
        <f t="shared" si="4"/>
        <v>64059872.835816972</v>
      </c>
      <c r="BP18" s="8">
        <f>+MINVU_Mes_Corriente!BP18*MINVU_Mes_Constante!$BP$1</f>
        <v>51293423.436107561</v>
      </c>
      <c r="BQ18" s="8">
        <f>+MINVU_Mes_Corriente!BQ18*MINVU_Mes_Constante!$BP$1</f>
        <v>51293423.436107561</v>
      </c>
      <c r="BR18" s="8">
        <f>+MINVU_Mes_Corriente!BR18*MINVU_Mes_Constante!$BP$1</f>
        <v>51293423.436107561</v>
      </c>
      <c r="BS18" s="8">
        <f>+MINVU_Mes_Corriente!BS18*MINVU_Mes_Constante!$BP$1</f>
        <v>51293423.436107561</v>
      </c>
      <c r="BT18" s="8">
        <f>+MINVU_Mes_Corriente!BT18*MINVU_Mes_Constante!$BP$1</f>
        <v>51293423.436107561</v>
      </c>
      <c r="BU18" s="8">
        <f>+MINVU_Mes_Corriente!BU18*MINVU_Mes_Constante!$BP$1</f>
        <v>51293423.436107561</v>
      </c>
      <c r="BV18" s="8">
        <f>+MINVU_Mes_Corriente!BV18*MINVU_Mes_Constante!$BP$1</f>
        <v>51293423.436107561</v>
      </c>
      <c r="BW18" s="8">
        <f>+MINVU_Mes_Corriente!BW18*MINVU_Mes_Constante!$BP$1</f>
        <v>51293423.436107561</v>
      </c>
      <c r="BX18" s="8">
        <f>+MINVU_Mes_Corriente!BX18*MINVU_Mes_Constante!$BP$1</f>
        <v>51293423.436107561</v>
      </c>
      <c r="BY18" s="8">
        <f>+MINVU_Mes_Corriente!BY18*MINVU_Mes_Constante!$BP$1</f>
        <v>51293423.436107561</v>
      </c>
      <c r="BZ18" s="8">
        <f>+MINVU_Mes_Corriente!BZ18*MINVU_Mes_Constante!$BP$1</f>
        <v>51293423.436107561</v>
      </c>
      <c r="CA18" s="8">
        <f>+MINVU_Mes_Corriente!CA18*MINVU_Mes_Constante!$BP$1</f>
        <v>51293423.436107561</v>
      </c>
      <c r="CB18" s="9">
        <f t="shared" si="5"/>
        <v>51293423.436107561</v>
      </c>
      <c r="CC18" s="8">
        <f>+MINVU_Mes_Corriente!CC18*MINVU_Mes_Constante!$CC$1</f>
        <v>39149539.759045139</v>
      </c>
      <c r="CD18" s="8">
        <f>+MINVU_Mes_Corriente!CD18*MINVU_Mes_Constante!$CC$1</f>
        <v>39149539.759045139</v>
      </c>
      <c r="CE18" s="8">
        <f>+MINVU_Mes_Corriente!CE18*MINVU_Mes_Constante!$CC$1</f>
        <v>39149539.759045139</v>
      </c>
      <c r="CF18" s="8">
        <f>+MINVU_Mes_Corriente!CF18*MINVU_Mes_Constante!$CC$1</f>
        <v>39149539.759045139</v>
      </c>
      <c r="CG18" s="8">
        <f>+MINVU_Mes_Corriente!CG18*MINVU_Mes_Constante!$CC$1</f>
        <v>39149539.759045139</v>
      </c>
      <c r="CH18" s="8">
        <f>+MINVU_Mes_Corriente!CH18*MINVU_Mes_Constante!$CC$1</f>
        <v>39149539.759045139</v>
      </c>
      <c r="CI18" s="8">
        <f>+MINVU_Mes_Corriente!CI18*MINVU_Mes_Constante!$CC$1</f>
        <v>39149539.759045139</v>
      </c>
      <c r="CJ18" s="8">
        <f>+MINVU_Mes_Corriente!CJ18*MINVU_Mes_Constante!$CC$1</f>
        <v>39149539.759045139</v>
      </c>
      <c r="CK18" s="8">
        <f>+MINVU_Mes_Corriente!CK18*MINVU_Mes_Constante!$CC$1</f>
        <v>39149539.759045139</v>
      </c>
      <c r="CL18" s="8">
        <f>+MINVU_Mes_Corriente!CL18*MINVU_Mes_Constante!$CC$1</f>
        <v>39149539.759045139</v>
      </c>
      <c r="CM18" s="8">
        <f>+MINVU_Mes_Corriente!CM18*MINVU_Mes_Constante!$CC$1</f>
        <v>39149539.759045139</v>
      </c>
      <c r="CN18" s="8">
        <f>+MINVU_Mes_Corriente!CN18*MINVU_Mes_Constante!$CC$1</f>
        <v>39149539.759045139</v>
      </c>
      <c r="CO18" s="9">
        <f t="shared" si="6"/>
        <v>39149539.759045139</v>
      </c>
      <c r="CP18" s="8">
        <f>+MINVU_Mes_Corriente!CP18*MINVU_Mes_Constante!$CP$1</f>
        <v>40963354.861948945</v>
      </c>
      <c r="CQ18" s="8">
        <f>+MINVU_Mes_Corriente!CQ18*MINVU_Mes_Constante!$CP$1</f>
        <v>40963354.861948945</v>
      </c>
      <c r="CR18" s="8">
        <f>+MINVU_Mes_Corriente!CR18*MINVU_Mes_Constante!$CP$1</f>
        <v>40963354.861948945</v>
      </c>
      <c r="CS18" s="8">
        <f>+MINVU_Mes_Corriente!CS18*MINVU_Mes_Constante!$CP$1</f>
        <v>40963354.861948945</v>
      </c>
      <c r="CT18" s="8">
        <f>+MINVU_Mes_Corriente!CT18*MINVU_Mes_Constante!$CP$1</f>
        <v>40963354.861948945</v>
      </c>
      <c r="CU18" s="8">
        <f>+MINVU_Mes_Corriente!CU18*MINVU_Mes_Constante!$CP$1</f>
        <v>40963354.861948945</v>
      </c>
      <c r="CV18" s="8">
        <f>+MINVU_Mes_Corriente!CV18*MINVU_Mes_Constante!$CP$1</f>
        <v>40963354.861948945</v>
      </c>
      <c r="CW18" s="8">
        <f>+MINVU_Mes_Corriente!CW18*MINVU_Mes_Constante!$CP$1</f>
        <v>40963354.861948945</v>
      </c>
      <c r="CX18" s="8">
        <f>+MINVU_Mes_Corriente!CX18*MINVU_Mes_Constante!$CP$1</f>
        <v>40963354.861948945</v>
      </c>
      <c r="CY18" s="8">
        <f>+MINVU_Mes_Corriente!CY18*MINVU_Mes_Constante!$CP$1</f>
        <v>40963354.861948945</v>
      </c>
      <c r="CZ18" s="8">
        <f>+MINVU_Mes_Corriente!CZ18*MINVU_Mes_Constante!$CP$1</f>
        <v>40963354.861948945</v>
      </c>
      <c r="DA18" s="8">
        <f>+MINVU_Mes_Corriente!DA18*MINVU_Mes_Constante!$CP$1</f>
        <v>40963354.861948945</v>
      </c>
      <c r="DB18" s="9">
        <f t="shared" si="7"/>
        <v>40963354.861948945</v>
      </c>
      <c r="DC18" s="8">
        <f>+MINVU_Mes_Corriente!DC18*MINVU_Mes_Constante!$DC$1</f>
        <v>46728847.533175625</v>
      </c>
      <c r="DD18" s="8">
        <f>+MINVU_Mes_Corriente!DD18*MINVU_Mes_Constante!$DC$1</f>
        <v>46728847.533175625</v>
      </c>
      <c r="DE18" s="8">
        <f>+MINVU_Mes_Corriente!DE18*MINVU_Mes_Constante!$DC$1</f>
        <v>46728847.533175625</v>
      </c>
      <c r="DF18" s="8">
        <f>+MINVU_Mes_Corriente!DF18*MINVU_Mes_Constante!$DC$1</f>
        <v>46728847.533175625</v>
      </c>
      <c r="DG18" s="8">
        <f>+MINVU_Mes_Corriente!DG18*MINVU_Mes_Constante!$DC$1</f>
        <v>46728847.533175625</v>
      </c>
      <c r="DH18" s="8">
        <f>+MINVU_Mes_Corriente!DH18*MINVU_Mes_Constante!$DC$1</f>
        <v>46728847.533175625</v>
      </c>
      <c r="DI18" s="8">
        <f>+MINVU_Mes_Corriente!DI18*MINVU_Mes_Constante!$DC$1</f>
        <v>46728847.533175625</v>
      </c>
      <c r="DJ18" s="8">
        <f>+MINVU_Mes_Corriente!DJ18*MINVU_Mes_Constante!$DC$1</f>
        <v>46728847.533175625</v>
      </c>
      <c r="DK18" s="8">
        <f>+MINVU_Mes_Corriente!DK18*MINVU_Mes_Constante!$DC$1</f>
        <v>46728847.533175625</v>
      </c>
      <c r="DL18" s="8">
        <f>+MINVU_Mes_Corriente!DL18*MINVU_Mes_Constante!$DC$1</f>
        <v>46728847.533175625</v>
      </c>
      <c r="DM18" s="8">
        <f>+MINVU_Mes_Corriente!DM18*MINVU_Mes_Constante!$DC$1</f>
        <v>46728847.533175625</v>
      </c>
      <c r="DN18" s="8">
        <f>+MINVU_Mes_Corriente!DN18*MINVU_Mes_Constante!$DC$1</f>
        <v>46728847.533175625</v>
      </c>
      <c r="DO18" s="9">
        <f t="shared" si="8"/>
        <v>46728847.533175625</v>
      </c>
      <c r="DP18" s="8">
        <f>+MINVU_Mes_Corriente!DP18*MINVU_Mes_Constante!$DP$1</f>
        <v>36848885.510095015</v>
      </c>
      <c r="DQ18" s="8">
        <f>+MINVU_Mes_Corriente!DQ18*MINVU_Mes_Constante!$DP$1</f>
        <v>36848885.510095015</v>
      </c>
      <c r="DR18" s="8">
        <f>+MINVU_Mes_Corriente!DR18*MINVU_Mes_Constante!$DP$1</f>
        <v>36848885.510095015</v>
      </c>
      <c r="DS18" s="8">
        <f>+MINVU_Mes_Corriente!DS18*MINVU_Mes_Constante!$DP$1</f>
        <v>36848885.510095015</v>
      </c>
      <c r="DT18" s="8">
        <f>+MINVU_Mes_Corriente!DT18*MINVU_Mes_Constante!$DP$1</f>
        <v>36848885.510095015</v>
      </c>
      <c r="DU18" s="8">
        <f>+MINVU_Mes_Corriente!DU18*MINVU_Mes_Constante!$DP$1</f>
        <v>36848885.510095015</v>
      </c>
      <c r="DV18" s="8">
        <f>+MINVU_Mes_Corriente!DV18*MINVU_Mes_Constante!$DP$1</f>
        <v>36848885.510095015</v>
      </c>
      <c r="DW18" s="8">
        <f>+MINVU_Mes_Corriente!DW18*MINVU_Mes_Constante!$DP$1</f>
        <v>36848885.510095015</v>
      </c>
      <c r="DX18" s="8">
        <f>+MINVU_Mes_Corriente!DX18*MINVU_Mes_Constante!$DP$1</f>
        <v>36848885.510095015</v>
      </c>
      <c r="DY18" s="8">
        <f>+MINVU_Mes_Corriente!DY18*MINVU_Mes_Constante!$DP$1</f>
        <v>36848885.510095015</v>
      </c>
      <c r="DZ18" s="8">
        <f>+MINVU_Mes_Corriente!DZ18*MINVU_Mes_Constante!$DP$1</f>
        <v>36848885.510095015</v>
      </c>
      <c r="EA18" s="8">
        <f>+MINVU_Mes_Corriente!EA18*MINVU_Mes_Constante!$DP$1</f>
        <v>36848885.510095015</v>
      </c>
      <c r="EB18" s="9">
        <f t="shared" si="9"/>
        <v>36848885.510095015</v>
      </c>
      <c r="EC18" s="8">
        <f>+MINVU_Mes_Corriente!EC18*MINVU_Mes_Constante!$EC$1</f>
        <v>29294916.990721446</v>
      </c>
      <c r="ED18" s="8">
        <f>+MINVU_Mes_Corriente!ED18*MINVU_Mes_Constante!$EC$1</f>
        <v>29294916.990721446</v>
      </c>
      <c r="EE18" s="8">
        <f>+MINVU_Mes_Corriente!EE18*MINVU_Mes_Constante!$EC$1</f>
        <v>29294916.990721446</v>
      </c>
      <c r="EF18" s="8">
        <f>+MINVU_Mes_Corriente!EF18*MINVU_Mes_Constante!$EC$1</f>
        <v>29294916.990721446</v>
      </c>
      <c r="EG18" s="8">
        <f>+MINVU_Mes_Corriente!EG18*MINVU_Mes_Constante!$EC$1</f>
        <v>29294916.990721446</v>
      </c>
      <c r="EH18" s="8">
        <f>+MINVU_Mes_Corriente!EH18*MINVU_Mes_Constante!$EC$1</f>
        <v>29294916.990721446</v>
      </c>
      <c r="EI18" s="8">
        <f>+MINVU_Mes_Corriente!EI18*MINVU_Mes_Constante!$EC$1</f>
        <v>29294916.990721446</v>
      </c>
      <c r="EJ18" s="8">
        <f>+MINVU_Mes_Corriente!EJ18*MINVU_Mes_Constante!$EC$1</f>
        <v>29294916.990721446</v>
      </c>
      <c r="EK18" s="8">
        <f>+MINVU_Mes_Corriente!EK18*MINVU_Mes_Constante!$EC$1</f>
        <v>29294916.990721446</v>
      </c>
      <c r="EL18" s="8">
        <f>+MINVU_Mes_Corriente!EL18*MINVU_Mes_Constante!$EC$1</f>
        <v>29294916.990721446</v>
      </c>
      <c r="EM18" s="8">
        <f>+MINVU_Mes_Corriente!EM18*MINVU_Mes_Constante!$EC$1</f>
        <v>29294916.990721446</v>
      </c>
      <c r="EN18" s="8">
        <f>+MINVU_Mes_Corriente!EN18*MINVU_Mes_Constante!$EC$1</f>
        <v>29294916.990721446</v>
      </c>
      <c r="EO18" s="9">
        <f t="shared" si="10"/>
        <v>29294916.990721446</v>
      </c>
      <c r="EP18" s="8">
        <f>+MINVU_Mes_Corriente!EP18*MINVU_Mes_Constante!$EP$1</f>
        <v>30628977</v>
      </c>
      <c r="EQ18" s="8">
        <f>+MINVU_Mes_Corriente!EQ18*MINVU_Mes_Constante!$EP$1</f>
        <v>30628977</v>
      </c>
      <c r="ER18" s="8">
        <f>+MINVU_Mes_Corriente!ER18*MINVU_Mes_Constante!$EP$1</f>
        <v>30628977</v>
      </c>
      <c r="ES18" s="8">
        <f>+MINVU_Mes_Corriente!ES18*MINVU_Mes_Constante!$EP$1</f>
        <v>30628977</v>
      </c>
      <c r="ET18" s="8">
        <f>+MINVU_Mes_Corriente!ET18*MINVU_Mes_Constante!$EP$1</f>
        <v>30628977</v>
      </c>
      <c r="EU18" s="8">
        <f>+MINVU_Mes_Corriente!EU18*MINVU_Mes_Constante!$EP$1</f>
        <v>30628977</v>
      </c>
      <c r="EV18" s="8">
        <f>+MINVU_Mes_Corriente!EV18*MINVU_Mes_Constante!$EP$1</f>
        <v>30628977</v>
      </c>
      <c r="EW18" s="8">
        <f>+MINVU_Mes_Corriente!EW18*MINVU_Mes_Constante!$EP$1</f>
        <v>30628977</v>
      </c>
      <c r="EX18" s="8">
        <f>+MINVU_Mes_Corriente!EX18*MINVU_Mes_Constante!$EP$1</f>
        <v>30628977</v>
      </c>
      <c r="EY18" s="8">
        <f>+MINVU_Mes_Corriente!EY18*MINVU_Mes_Constante!$EP$1</f>
        <v>30628977</v>
      </c>
      <c r="EZ18" s="8">
        <f>+MINVU_Mes_Corriente!EZ18*MINVU_Mes_Constante!$EP$1</f>
        <v>30628977</v>
      </c>
      <c r="FA18" s="8">
        <f>+MINVU_Mes_Corriente!FA18*MINVU_Mes_Constante!$EP$1</f>
        <v>30628977</v>
      </c>
      <c r="FB18" s="9">
        <f t="shared" si="11"/>
        <v>30628977</v>
      </c>
      <c r="FC18" s="8">
        <f>+MINVU_Mes_Corriente!FC18*MINVU_Mes_Constante!$FC$1</f>
        <v>25030745</v>
      </c>
      <c r="FD18" s="8">
        <f>+MINVU_Mes_Corriente!FD18*MINVU_Mes_Constante!$FC$1</f>
        <v>25030745</v>
      </c>
      <c r="FE18" s="8">
        <f>+MINVU_Mes_Corriente!FE18*MINVU_Mes_Constante!$FC$1</f>
        <v>25030745</v>
      </c>
      <c r="FF18" s="8">
        <f>+MINVU_Mes_Corriente!FF18*MINVU_Mes_Constante!$FC$1</f>
        <v>25030745</v>
      </c>
      <c r="FG18" s="8">
        <f>+MINVU_Mes_Corriente!FG18*MINVU_Mes_Constante!$FC$1</f>
        <v>25030745</v>
      </c>
      <c r="FH18" s="8">
        <f>+MINVU_Mes_Corriente!FH18*MINVU_Mes_Constante!$FC$1</f>
        <v>25030745</v>
      </c>
      <c r="FI18" s="8">
        <f>+MINVU_Mes_Corriente!FI18*MINVU_Mes_Constante!$FC$1</f>
        <v>25030745</v>
      </c>
      <c r="FJ18" s="8"/>
      <c r="FK18" s="8"/>
      <c r="FL18" s="8"/>
      <c r="FM18" s="8"/>
      <c r="FN18" s="8"/>
      <c r="FO18" s="9">
        <f t="shared" si="12"/>
        <v>25030745</v>
      </c>
    </row>
    <row r="19" spans="2:171" ht="14.25" customHeight="1" x14ac:dyDescent="0.3">
      <c r="B19" s="7" t="s">
        <v>54</v>
      </c>
      <c r="C19" s="8">
        <f>+MINVU_Mes_Corriente!C19*MINVU_Mes_Constante!$C$1</f>
        <v>0</v>
      </c>
      <c r="D19" s="8">
        <f>+MINVU_Mes_Corriente!D19*MINVU_Mes_Constante!$C$1</f>
        <v>0</v>
      </c>
      <c r="E19" s="8">
        <f>+MINVU_Mes_Corriente!E19*MINVU_Mes_Constante!$C$1</f>
        <v>0</v>
      </c>
      <c r="F19" s="8">
        <f>+MINVU_Mes_Corriente!F19*MINVU_Mes_Constante!$C$1</f>
        <v>0</v>
      </c>
      <c r="G19" s="8">
        <f>+MINVU_Mes_Corriente!G19*MINVU_Mes_Constante!$C$1</f>
        <v>0</v>
      </c>
      <c r="H19" s="8">
        <f>+MINVU_Mes_Corriente!H19*MINVU_Mes_Constante!$C$1</f>
        <v>0</v>
      </c>
      <c r="I19" s="8">
        <f>+MINVU_Mes_Corriente!I19*MINVU_Mes_Constante!$C$1</f>
        <v>0</v>
      </c>
      <c r="J19" s="8">
        <f>+MINVU_Mes_Corriente!J19*MINVU_Mes_Constante!$C$1</f>
        <v>0</v>
      </c>
      <c r="K19" s="8">
        <f>+MINVU_Mes_Corriente!K19*MINVU_Mes_Constante!$C$1</f>
        <v>0</v>
      </c>
      <c r="L19" s="8">
        <f>+MINVU_Mes_Corriente!L19*MINVU_Mes_Constante!$C$1</f>
        <v>0</v>
      </c>
      <c r="M19" s="8">
        <f>+MINVU_Mes_Corriente!M19*MINVU_Mes_Constante!$C$1</f>
        <v>0</v>
      </c>
      <c r="N19" s="8">
        <f>+MINVU_Mes_Corriente!N19*MINVU_Mes_Constante!$C$1</f>
        <v>0</v>
      </c>
      <c r="O19" s="9">
        <f t="shared" si="0"/>
        <v>0</v>
      </c>
      <c r="P19" s="8">
        <f>+MINVU_Mes_Corriente!P19*MINVU_Mes_Constante!$P$1</f>
        <v>0</v>
      </c>
      <c r="Q19" s="8">
        <f>+MINVU_Mes_Corriente!Q19*MINVU_Mes_Constante!$P$1</f>
        <v>0</v>
      </c>
      <c r="R19" s="8">
        <f>+MINVU_Mes_Corriente!R19*MINVU_Mes_Constante!$P$1</f>
        <v>0</v>
      </c>
      <c r="S19" s="8">
        <f>+MINVU_Mes_Corriente!S19*MINVU_Mes_Constante!$P$1</f>
        <v>0</v>
      </c>
      <c r="T19" s="8">
        <f>+MINVU_Mes_Corriente!T19*MINVU_Mes_Constante!$P$1</f>
        <v>0</v>
      </c>
      <c r="U19" s="8">
        <f>+MINVU_Mes_Corriente!U19*MINVU_Mes_Constante!$P$1</f>
        <v>0</v>
      </c>
      <c r="V19" s="8">
        <f>+MINVU_Mes_Corriente!V19*MINVU_Mes_Constante!$P$1</f>
        <v>0</v>
      </c>
      <c r="W19" s="8">
        <f>+MINVU_Mes_Corriente!W19*MINVU_Mes_Constante!$P$1</f>
        <v>0</v>
      </c>
      <c r="X19" s="8">
        <f>+MINVU_Mes_Corriente!X19*MINVU_Mes_Constante!$P$1</f>
        <v>0</v>
      </c>
      <c r="Y19" s="8">
        <f>+MINVU_Mes_Corriente!Y19*MINVU_Mes_Constante!$P$1</f>
        <v>0</v>
      </c>
      <c r="Z19" s="8">
        <f>+MINVU_Mes_Corriente!Z19*MINVU_Mes_Constante!$P$1</f>
        <v>0</v>
      </c>
      <c r="AA19" s="8">
        <f>+MINVU_Mes_Corriente!AA19*MINVU_Mes_Constante!$P$1</f>
        <v>0</v>
      </c>
      <c r="AB19" s="9">
        <f t="shared" si="1"/>
        <v>0</v>
      </c>
      <c r="AC19" s="8">
        <f>+MINVU_Mes_Corriente!AC19*MINVU_Mes_Constante!$AC$1</f>
        <v>0</v>
      </c>
      <c r="AD19" s="8">
        <f>+MINVU_Mes_Corriente!AD19*MINVU_Mes_Constante!$AC$1</f>
        <v>0</v>
      </c>
      <c r="AE19" s="8">
        <f>+MINVU_Mes_Corriente!AE19*MINVU_Mes_Constante!$AC$1</f>
        <v>0</v>
      </c>
      <c r="AF19" s="8">
        <f>+MINVU_Mes_Corriente!AF19*MINVU_Mes_Constante!$AC$1</f>
        <v>0</v>
      </c>
      <c r="AG19" s="8">
        <f>+MINVU_Mes_Corriente!AG19*MINVU_Mes_Constante!$AC$1</f>
        <v>0</v>
      </c>
      <c r="AH19" s="8">
        <f>+MINVU_Mes_Corriente!AH19*MINVU_Mes_Constante!$AC$1</f>
        <v>0</v>
      </c>
      <c r="AI19" s="8">
        <f>+MINVU_Mes_Corriente!AI19*MINVU_Mes_Constante!$AC$1</f>
        <v>0</v>
      </c>
      <c r="AJ19" s="8">
        <f>+MINVU_Mes_Corriente!AJ19*MINVU_Mes_Constante!$AC$1</f>
        <v>0</v>
      </c>
      <c r="AK19" s="8">
        <f>+MINVU_Mes_Corriente!AK19*MINVU_Mes_Constante!$AC$1</f>
        <v>0</v>
      </c>
      <c r="AL19" s="8">
        <f>+MINVU_Mes_Corriente!AL19*MINVU_Mes_Constante!$AC$1</f>
        <v>0</v>
      </c>
      <c r="AM19" s="8">
        <f>+MINVU_Mes_Corriente!AM19*MINVU_Mes_Constante!$AC$1</f>
        <v>0</v>
      </c>
      <c r="AN19" s="8">
        <f>+MINVU_Mes_Corriente!AN19*MINVU_Mes_Constante!$AC$1</f>
        <v>0</v>
      </c>
      <c r="AO19" s="9">
        <f t="shared" si="2"/>
        <v>0</v>
      </c>
      <c r="AP19" s="8">
        <f>+MINVU_Mes_Corriente!AP19*MINVU_Mes_Constante!$AP$1</f>
        <v>0</v>
      </c>
      <c r="AQ19" s="8">
        <f>+MINVU_Mes_Corriente!AQ19*MINVU_Mes_Constante!$AP$1</f>
        <v>0</v>
      </c>
      <c r="AR19" s="8">
        <f>+MINVU_Mes_Corriente!AR19*MINVU_Mes_Constante!$AP$1</f>
        <v>0</v>
      </c>
      <c r="AS19" s="8">
        <f>+MINVU_Mes_Corriente!AS19*MINVU_Mes_Constante!$AP$1</f>
        <v>0</v>
      </c>
      <c r="AT19" s="8">
        <f>+MINVU_Mes_Corriente!AT19*MINVU_Mes_Constante!$AP$1</f>
        <v>0</v>
      </c>
      <c r="AU19" s="8">
        <f>+MINVU_Mes_Corriente!AU19*MINVU_Mes_Constante!$AP$1</f>
        <v>0</v>
      </c>
      <c r="AV19" s="8">
        <f>+MINVU_Mes_Corriente!AV19*MINVU_Mes_Constante!$AP$1</f>
        <v>0</v>
      </c>
      <c r="AW19" s="8">
        <f>+MINVU_Mes_Corriente!AW19*MINVU_Mes_Constante!$AP$1</f>
        <v>0</v>
      </c>
      <c r="AX19" s="8">
        <f>+MINVU_Mes_Corriente!AX19*MINVU_Mes_Constante!$AP$1</f>
        <v>0</v>
      </c>
      <c r="AY19" s="8">
        <f>+MINVU_Mes_Corriente!AY19*MINVU_Mes_Constante!$AP$1</f>
        <v>0</v>
      </c>
      <c r="AZ19" s="8">
        <f>+MINVU_Mes_Corriente!AZ19*MINVU_Mes_Constante!$AP$1</f>
        <v>0</v>
      </c>
      <c r="BA19" s="8">
        <f>+MINVU_Mes_Corriente!BA19*MINVU_Mes_Constante!$AP$1</f>
        <v>0</v>
      </c>
      <c r="BB19" s="9">
        <f t="shared" si="3"/>
        <v>0</v>
      </c>
      <c r="BC19" s="8">
        <f>+MINVU_Mes_Corriente!BC19*MINVU_Mes_Constante!$BC$1</f>
        <v>0</v>
      </c>
      <c r="BD19" s="8">
        <f>+MINVU_Mes_Corriente!BD19*MINVU_Mes_Constante!$BC$1</f>
        <v>0</v>
      </c>
      <c r="BE19" s="8">
        <f>+MINVU_Mes_Corriente!BE19*MINVU_Mes_Constante!$BC$1</f>
        <v>0</v>
      </c>
      <c r="BF19" s="8">
        <f>+MINVU_Mes_Corriente!BF19*MINVU_Mes_Constante!$BC$1</f>
        <v>0</v>
      </c>
      <c r="BG19" s="8">
        <f>+MINVU_Mes_Corriente!BG19*MINVU_Mes_Constante!$BC$1</f>
        <v>0</v>
      </c>
      <c r="BH19" s="8">
        <f>+MINVU_Mes_Corriente!BH19*MINVU_Mes_Constante!$BC$1</f>
        <v>0</v>
      </c>
      <c r="BI19" s="8">
        <f>+MINVU_Mes_Corriente!BI19*MINVU_Mes_Constante!$BC$1</f>
        <v>0</v>
      </c>
      <c r="BJ19" s="8">
        <f>+MINVU_Mes_Corriente!BJ19*MINVU_Mes_Constante!$BC$1</f>
        <v>0</v>
      </c>
      <c r="BK19" s="8">
        <f>+MINVU_Mes_Corriente!BK19*MINVU_Mes_Constante!$BC$1</f>
        <v>0</v>
      </c>
      <c r="BL19" s="8">
        <f>+MINVU_Mes_Corriente!BL19*MINVU_Mes_Constante!$BC$1</f>
        <v>0</v>
      </c>
      <c r="BM19" s="8">
        <f>+MINVU_Mes_Corriente!BM19*MINVU_Mes_Constante!$BC$1</f>
        <v>0</v>
      </c>
      <c r="BN19" s="8">
        <f>+MINVU_Mes_Corriente!BN19*MINVU_Mes_Constante!$BC$1</f>
        <v>0</v>
      </c>
      <c r="BO19" s="9">
        <f t="shared" si="4"/>
        <v>0</v>
      </c>
      <c r="BP19" s="8">
        <f>+MINVU_Mes_Corriente!BP19*MINVU_Mes_Constante!$BP$1</f>
        <v>4285279.3252240717</v>
      </c>
      <c r="BQ19" s="8">
        <f>+MINVU_Mes_Corriente!BQ19*MINVU_Mes_Constante!$BP$1</f>
        <v>4285279.3252240717</v>
      </c>
      <c r="BR19" s="8">
        <f>+MINVU_Mes_Corriente!BR19*MINVU_Mes_Constante!$BP$1</f>
        <v>4285279.3252240717</v>
      </c>
      <c r="BS19" s="8">
        <f>+MINVU_Mes_Corriente!BS19*MINVU_Mes_Constante!$BP$1</f>
        <v>4285279.3252240717</v>
      </c>
      <c r="BT19" s="8">
        <f>+MINVU_Mes_Corriente!BT19*MINVU_Mes_Constante!$BP$1</f>
        <v>4285279.3252240717</v>
      </c>
      <c r="BU19" s="8">
        <f>+MINVU_Mes_Corriente!BU19*MINVU_Mes_Constante!$BP$1</f>
        <v>4285279.3252240717</v>
      </c>
      <c r="BV19" s="8">
        <f>+MINVU_Mes_Corriente!BV19*MINVU_Mes_Constante!$BP$1</f>
        <v>4285279.3252240717</v>
      </c>
      <c r="BW19" s="8">
        <f>+MINVU_Mes_Corriente!BW19*MINVU_Mes_Constante!$BP$1</f>
        <v>4285279.3252240717</v>
      </c>
      <c r="BX19" s="8">
        <f>+MINVU_Mes_Corriente!BX19*MINVU_Mes_Constante!$BP$1</f>
        <v>4285279.3252240717</v>
      </c>
      <c r="BY19" s="8">
        <f>+MINVU_Mes_Corriente!BY19*MINVU_Mes_Constante!$BP$1</f>
        <v>4285279.3252240717</v>
      </c>
      <c r="BZ19" s="8">
        <f>+MINVU_Mes_Corriente!BZ19*MINVU_Mes_Constante!$BP$1</f>
        <v>4285279.3252240717</v>
      </c>
      <c r="CA19" s="8">
        <f>+MINVU_Mes_Corriente!CA19*MINVU_Mes_Constante!$BP$1</f>
        <v>4285279.3252240717</v>
      </c>
      <c r="CB19" s="9">
        <f t="shared" si="5"/>
        <v>4285279.3252240717</v>
      </c>
      <c r="CC19" s="8">
        <f>+MINVU_Mes_Corriente!CC19*MINVU_Mes_Constante!$CC$1</f>
        <v>10351417.105557628</v>
      </c>
      <c r="CD19" s="8">
        <f>+MINVU_Mes_Corriente!CD19*MINVU_Mes_Constante!$CC$1</f>
        <v>10351417.105557628</v>
      </c>
      <c r="CE19" s="8">
        <f>+MINVU_Mes_Corriente!CE19*MINVU_Mes_Constante!$CC$1</f>
        <v>10351417.105557628</v>
      </c>
      <c r="CF19" s="8">
        <f>+MINVU_Mes_Corriente!CF19*MINVU_Mes_Constante!$CC$1</f>
        <v>10351417.105557628</v>
      </c>
      <c r="CG19" s="8">
        <f>+MINVU_Mes_Corriente!CG19*MINVU_Mes_Constante!$CC$1</f>
        <v>10351417.105557628</v>
      </c>
      <c r="CH19" s="8">
        <f>+MINVU_Mes_Corriente!CH19*MINVU_Mes_Constante!$CC$1</f>
        <v>10351417.105557628</v>
      </c>
      <c r="CI19" s="8">
        <f>+MINVU_Mes_Corriente!CI19*MINVU_Mes_Constante!$CC$1</f>
        <v>10351417.105557628</v>
      </c>
      <c r="CJ19" s="8">
        <f>+MINVU_Mes_Corriente!CJ19*MINVU_Mes_Constante!$CC$1</f>
        <v>10351417.105557628</v>
      </c>
      <c r="CK19" s="8">
        <f>+MINVU_Mes_Corriente!CK19*MINVU_Mes_Constante!$CC$1</f>
        <v>10351417.105557628</v>
      </c>
      <c r="CL19" s="8">
        <f>+MINVU_Mes_Corriente!CL19*MINVU_Mes_Constante!$CC$1</f>
        <v>10351417.105557628</v>
      </c>
      <c r="CM19" s="8">
        <f>+MINVU_Mes_Corriente!CM19*MINVU_Mes_Constante!$CC$1</f>
        <v>10351417.105557628</v>
      </c>
      <c r="CN19" s="8">
        <f>+MINVU_Mes_Corriente!CN19*MINVU_Mes_Constante!$CC$1</f>
        <v>10351417.105557628</v>
      </c>
      <c r="CO19" s="9">
        <f t="shared" si="6"/>
        <v>10351417.105557628</v>
      </c>
      <c r="CP19" s="8">
        <f>+MINVU_Mes_Corriente!CP19*MINVU_Mes_Constante!$CP$1</f>
        <v>22813399.273781899</v>
      </c>
      <c r="CQ19" s="8">
        <f>+MINVU_Mes_Corriente!CQ19*MINVU_Mes_Constante!$CP$1</f>
        <v>22813399.273781899</v>
      </c>
      <c r="CR19" s="8">
        <f>+MINVU_Mes_Corriente!CR19*MINVU_Mes_Constante!$CP$1</f>
        <v>22813399.273781899</v>
      </c>
      <c r="CS19" s="8">
        <f>+MINVU_Mes_Corriente!CS19*MINVU_Mes_Constante!$CP$1</f>
        <v>22813399.273781899</v>
      </c>
      <c r="CT19" s="8">
        <f>+MINVU_Mes_Corriente!CT19*MINVU_Mes_Constante!$CP$1</f>
        <v>22813399.273781899</v>
      </c>
      <c r="CU19" s="8">
        <f>+MINVU_Mes_Corriente!CU19*MINVU_Mes_Constante!$CP$1</f>
        <v>22813399.273781899</v>
      </c>
      <c r="CV19" s="8">
        <f>+MINVU_Mes_Corriente!CV19*MINVU_Mes_Constante!$CP$1</f>
        <v>22813399.273781899</v>
      </c>
      <c r="CW19" s="8">
        <f>+MINVU_Mes_Corriente!CW19*MINVU_Mes_Constante!$CP$1</f>
        <v>22813399.273781899</v>
      </c>
      <c r="CX19" s="8">
        <f>+MINVU_Mes_Corriente!CX19*MINVU_Mes_Constante!$CP$1</f>
        <v>22813399.273781899</v>
      </c>
      <c r="CY19" s="8">
        <f>+MINVU_Mes_Corriente!CY19*MINVU_Mes_Constante!$CP$1</f>
        <v>22813399.273781899</v>
      </c>
      <c r="CZ19" s="8">
        <f>+MINVU_Mes_Corriente!CZ19*MINVU_Mes_Constante!$CP$1</f>
        <v>22813399.273781899</v>
      </c>
      <c r="DA19" s="8">
        <f>+MINVU_Mes_Corriente!DA19*MINVU_Mes_Constante!$CP$1</f>
        <v>22813399.273781899</v>
      </c>
      <c r="DB19" s="9">
        <f t="shared" si="7"/>
        <v>22813399.273781899</v>
      </c>
      <c r="DC19" s="8">
        <f>+MINVU_Mes_Corriente!DC19*MINVU_Mes_Constante!$DC$1</f>
        <v>41496905.28957928</v>
      </c>
      <c r="DD19" s="8">
        <f>+MINVU_Mes_Corriente!DD19*MINVU_Mes_Constante!$DC$1</f>
        <v>41496905.28957928</v>
      </c>
      <c r="DE19" s="8">
        <f>+MINVU_Mes_Corriente!DE19*MINVU_Mes_Constante!$DC$1</f>
        <v>41496905.28957928</v>
      </c>
      <c r="DF19" s="8">
        <f>+MINVU_Mes_Corriente!DF19*MINVU_Mes_Constante!$DC$1</f>
        <v>41496905.28957928</v>
      </c>
      <c r="DG19" s="8">
        <f>+MINVU_Mes_Corriente!DG19*MINVU_Mes_Constante!$DC$1</f>
        <v>41496905.28957928</v>
      </c>
      <c r="DH19" s="8">
        <f>+MINVU_Mes_Corriente!DH19*MINVU_Mes_Constante!$DC$1</f>
        <v>41496905.28957928</v>
      </c>
      <c r="DI19" s="8">
        <f>+MINVU_Mes_Corriente!DI19*MINVU_Mes_Constante!$DC$1</f>
        <v>41496905.28957928</v>
      </c>
      <c r="DJ19" s="8">
        <f>+MINVU_Mes_Corriente!DJ19*MINVU_Mes_Constante!$DC$1</f>
        <v>41496905.28957928</v>
      </c>
      <c r="DK19" s="8">
        <f>+MINVU_Mes_Corriente!DK19*MINVU_Mes_Constante!$DC$1</f>
        <v>41496905.28957928</v>
      </c>
      <c r="DL19" s="8">
        <f>+MINVU_Mes_Corriente!DL19*MINVU_Mes_Constante!$DC$1</f>
        <v>41496905.28957928</v>
      </c>
      <c r="DM19" s="8">
        <f>+MINVU_Mes_Corriente!DM19*MINVU_Mes_Constante!$DC$1</f>
        <v>41496905.28957928</v>
      </c>
      <c r="DN19" s="8">
        <f>+MINVU_Mes_Corriente!DN19*MINVU_Mes_Constante!$DC$1</f>
        <v>41496905.28957928</v>
      </c>
      <c r="DO19" s="9">
        <f t="shared" si="8"/>
        <v>41496905.28957928</v>
      </c>
      <c r="DP19" s="8">
        <f>+MINVU_Mes_Corriente!DP19*MINVU_Mes_Constante!$DP$1</f>
        <v>25628880.518408552</v>
      </c>
      <c r="DQ19" s="8">
        <f>+MINVU_Mes_Corriente!DQ19*MINVU_Mes_Constante!$DP$1</f>
        <v>25628880.518408552</v>
      </c>
      <c r="DR19" s="8">
        <f>+MINVU_Mes_Corriente!DR19*MINVU_Mes_Constante!$DP$1</f>
        <v>25628880.518408552</v>
      </c>
      <c r="DS19" s="8">
        <f>+MINVU_Mes_Corriente!DS19*MINVU_Mes_Constante!$DP$1</f>
        <v>25628880.518408552</v>
      </c>
      <c r="DT19" s="8">
        <f>+MINVU_Mes_Corriente!DT19*MINVU_Mes_Constante!$DP$1</f>
        <v>25628880.518408552</v>
      </c>
      <c r="DU19" s="8">
        <f>+MINVU_Mes_Corriente!DU19*MINVU_Mes_Constante!$DP$1</f>
        <v>25628880.518408552</v>
      </c>
      <c r="DV19" s="8">
        <f>+MINVU_Mes_Corriente!DV19*MINVU_Mes_Constante!$DP$1</f>
        <v>25628880.518408552</v>
      </c>
      <c r="DW19" s="8">
        <f>+MINVU_Mes_Corriente!DW19*MINVU_Mes_Constante!$DP$1</f>
        <v>25628880.518408552</v>
      </c>
      <c r="DX19" s="8">
        <f>+MINVU_Mes_Corriente!DX19*MINVU_Mes_Constante!$DP$1</f>
        <v>25628880.518408552</v>
      </c>
      <c r="DY19" s="8">
        <f>+MINVU_Mes_Corriente!DY19*MINVU_Mes_Constante!$DP$1</f>
        <v>25628880.518408552</v>
      </c>
      <c r="DZ19" s="8">
        <f>+MINVU_Mes_Corriente!DZ19*MINVU_Mes_Constante!$DP$1</f>
        <v>25628880.518408552</v>
      </c>
      <c r="EA19" s="8">
        <f>+MINVU_Mes_Corriente!EA19*MINVU_Mes_Constante!$DP$1</f>
        <v>25628880.518408552</v>
      </c>
      <c r="EB19" s="9">
        <f t="shared" si="9"/>
        <v>25628880.518408552</v>
      </c>
      <c r="EC19" s="8">
        <f>+MINVU_Mes_Corriente!EC19*MINVU_Mes_Constante!$EC$1</f>
        <v>23910100.682635859</v>
      </c>
      <c r="ED19" s="8">
        <f>+MINVU_Mes_Corriente!ED19*MINVU_Mes_Constante!$EC$1</f>
        <v>23910100.682635859</v>
      </c>
      <c r="EE19" s="8">
        <f>+MINVU_Mes_Corriente!EE19*MINVU_Mes_Constante!$EC$1</f>
        <v>23910100.682635859</v>
      </c>
      <c r="EF19" s="8">
        <f>+MINVU_Mes_Corriente!EF19*MINVU_Mes_Constante!$EC$1</f>
        <v>23910100.682635859</v>
      </c>
      <c r="EG19" s="8">
        <f>+MINVU_Mes_Corriente!EG19*MINVU_Mes_Constante!$EC$1</f>
        <v>23910100.682635859</v>
      </c>
      <c r="EH19" s="8">
        <f>+MINVU_Mes_Corriente!EH19*MINVU_Mes_Constante!$EC$1</f>
        <v>23910100.682635859</v>
      </c>
      <c r="EI19" s="8">
        <f>+MINVU_Mes_Corriente!EI19*MINVU_Mes_Constante!$EC$1</f>
        <v>23910100.682635859</v>
      </c>
      <c r="EJ19" s="8">
        <f>+MINVU_Mes_Corriente!EJ19*MINVU_Mes_Constante!$EC$1</f>
        <v>23910100.682635859</v>
      </c>
      <c r="EK19" s="8">
        <f>+MINVU_Mes_Corriente!EK19*MINVU_Mes_Constante!$EC$1</f>
        <v>23910100.682635859</v>
      </c>
      <c r="EL19" s="8">
        <f>+MINVU_Mes_Corriente!EL19*MINVU_Mes_Constante!$EC$1</f>
        <v>23910100.682635859</v>
      </c>
      <c r="EM19" s="8">
        <f>+MINVU_Mes_Corriente!EM19*MINVU_Mes_Constante!$EC$1</f>
        <v>23910100.682635859</v>
      </c>
      <c r="EN19" s="8">
        <f>+MINVU_Mes_Corriente!EN19*MINVU_Mes_Constante!$EC$1</f>
        <v>23910100.682635859</v>
      </c>
      <c r="EO19" s="9">
        <f t="shared" si="10"/>
        <v>23910100.682635859</v>
      </c>
      <c r="EP19" s="8">
        <f>+MINVU_Mes_Corriente!EP19*MINVU_Mes_Constante!$EP$1</f>
        <v>22079448</v>
      </c>
      <c r="EQ19" s="8">
        <f>+MINVU_Mes_Corriente!EQ19*MINVU_Mes_Constante!$EP$1</f>
        <v>22079448</v>
      </c>
      <c r="ER19" s="8">
        <f>+MINVU_Mes_Corriente!ER19*MINVU_Mes_Constante!$EP$1</f>
        <v>22079448</v>
      </c>
      <c r="ES19" s="8">
        <f>+MINVU_Mes_Corriente!ES19*MINVU_Mes_Constante!$EP$1</f>
        <v>22079448</v>
      </c>
      <c r="ET19" s="8">
        <f>+MINVU_Mes_Corriente!ET19*MINVU_Mes_Constante!$EP$1</f>
        <v>22079448</v>
      </c>
      <c r="EU19" s="8">
        <f>+MINVU_Mes_Corriente!EU19*MINVU_Mes_Constante!$EP$1</f>
        <v>22079448</v>
      </c>
      <c r="EV19" s="8">
        <f>+MINVU_Mes_Corriente!EV19*MINVU_Mes_Constante!$EP$1</f>
        <v>22079448</v>
      </c>
      <c r="EW19" s="8">
        <f>+MINVU_Mes_Corriente!EW19*MINVU_Mes_Constante!$EP$1</f>
        <v>22079448</v>
      </c>
      <c r="EX19" s="8">
        <f>+MINVU_Mes_Corriente!EX19*MINVU_Mes_Constante!$EP$1</f>
        <v>22079448</v>
      </c>
      <c r="EY19" s="8">
        <f>+MINVU_Mes_Corriente!EY19*MINVU_Mes_Constante!$EP$1</f>
        <v>22079448</v>
      </c>
      <c r="EZ19" s="8">
        <f>+MINVU_Mes_Corriente!EZ19*MINVU_Mes_Constante!$EP$1</f>
        <v>22079448</v>
      </c>
      <c r="FA19" s="8">
        <f>+MINVU_Mes_Corriente!FA19*MINVU_Mes_Constante!$EP$1</f>
        <v>22079448</v>
      </c>
      <c r="FB19" s="9">
        <f t="shared" si="11"/>
        <v>22079448</v>
      </c>
      <c r="FC19" s="8">
        <f>+MINVU_Mes_Corriente!FC19*MINVU_Mes_Constante!$FC$1</f>
        <v>24086756</v>
      </c>
      <c r="FD19" s="8">
        <f>+MINVU_Mes_Corriente!FD19*MINVU_Mes_Constante!$FC$1</f>
        <v>24086756</v>
      </c>
      <c r="FE19" s="8">
        <f>+MINVU_Mes_Corriente!FE19*MINVU_Mes_Constante!$FC$1</f>
        <v>24086756</v>
      </c>
      <c r="FF19" s="8">
        <f>+MINVU_Mes_Corriente!FF19*MINVU_Mes_Constante!$FC$1</f>
        <v>24086756</v>
      </c>
      <c r="FG19" s="8">
        <f>+MINVU_Mes_Corriente!FG19*MINVU_Mes_Constante!$FC$1</f>
        <v>24086756</v>
      </c>
      <c r="FH19" s="8">
        <f>+MINVU_Mes_Corriente!FH19*MINVU_Mes_Constante!$FC$1</f>
        <v>24086756</v>
      </c>
      <c r="FI19" s="8">
        <f>+MINVU_Mes_Corriente!FI19*MINVU_Mes_Constante!$FC$1</f>
        <v>24086756</v>
      </c>
      <c r="FJ19" s="8"/>
      <c r="FK19" s="8"/>
      <c r="FL19" s="8"/>
      <c r="FM19" s="8"/>
      <c r="FN19" s="8"/>
      <c r="FO19" s="9">
        <f t="shared" si="12"/>
        <v>24086756</v>
      </c>
    </row>
    <row r="20" spans="2:171" ht="14.25" customHeight="1" x14ac:dyDescent="0.3">
      <c r="B20" s="7" t="s">
        <v>55</v>
      </c>
      <c r="C20" s="8">
        <f>+MINVU_Mes_Corriente!C20*MINVU_Mes_Constante!$C$1</f>
        <v>79906366.869939208</v>
      </c>
      <c r="D20" s="8">
        <f>+MINVU_Mes_Corriente!D20*MINVU_Mes_Constante!$C$1</f>
        <v>79906366.869939208</v>
      </c>
      <c r="E20" s="8">
        <f>+MINVU_Mes_Corriente!E20*MINVU_Mes_Constante!$C$1</f>
        <v>79906366.869939208</v>
      </c>
      <c r="F20" s="8">
        <f>+MINVU_Mes_Corriente!F20*MINVU_Mes_Constante!$C$1</f>
        <v>79906366.869939208</v>
      </c>
      <c r="G20" s="8">
        <f>+MINVU_Mes_Corriente!G20*MINVU_Mes_Constante!$C$1</f>
        <v>79906366.869939208</v>
      </c>
      <c r="H20" s="8">
        <f>+MINVU_Mes_Corriente!H20*MINVU_Mes_Constante!$C$1</f>
        <v>79906366.869939208</v>
      </c>
      <c r="I20" s="8">
        <f>+MINVU_Mes_Corriente!I20*MINVU_Mes_Constante!$C$1</f>
        <v>79906366.869939208</v>
      </c>
      <c r="J20" s="8">
        <f>+MINVU_Mes_Corriente!J20*MINVU_Mes_Constante!$C$1</f>
        <v>79906366.869939208</v>
      </c>
      <c r="K20" s="8">
        <f>+MINVU_Mes_Corriente!K20*MINVU_Mes_Constante!$C$1</f>
        <v>79906366.869939208</v>
      </c>
      <c r="L20" s="8">
        <f>+MINVU_Mes_Corriente!L20*MINVU_Mes_Constante!$C$1</f>
        <v>79906366.869939208</v>
      </c>
      <c r="M20" s="8">
        <f>+MINVU_Mes_Corriente!M20*MINVU_Mes_Constante!$C$1</f>
        <v>79906366.869939208</v>
      </c>
      <c r="N20" s="8">
        <f>+MINVU_Mes_Corriente!N20*MINVU_Mes_Constante!$C$1</f>
        <v>79906366.869939208</v>
      </c>
      <c r="O20" s="9">
        <f t="shared" si="0"/>
        <v>79906366.869939208</v>
      </c>
      <c r="P20" s="8">
        <f>+MINVU_Mes_Corriente!P20*MINVU_Mes_Constante!$P$1</f>
        <v>109769641.47719842</v>
      </c>
      <c r="Q20" s="8">
        <f>+MINVU_Mes_Corriente!Q20*MINVU_Mes_Constante!$P$1</f>
        <v>109769641.47719842</v>
      </c>
      <c r="R20" s="8">
        <f>+MINVU_Mes_Corriente!R20*MINVU_Mes_Constante!$P$1</f>
        <v>109769641.47719842</v>
      </c>
      <c r="S20" s="8">
        <f>+MINVU_Mes_Corriente!S20*MINVU_Mes_Constante!$P$1</f>
        <v>109769641.47719842</v>
      </c>
      <c r="T20" s="8">
        <f>+MINVU_Mes_Corriente!T20*MINVU_Mes_Constante!$P$1</f>
        <v>109769641.47719842</v>
      </c>
      <c r="U20" s="8">
        <f>+MINVU_Mes_Corriente!U20*MINVU_Mes_Constante!$P$1</f>
        <v>109769641.47719842</v>
      </c>
      <c r="V20" s="8">
        <f>+MINVU_Mes_Corriente!V20*MINVU_Mes_Constante!$P$1</f>
        <v>109769641.47719842</v>
      </c>
      <c r="W20" s="8">
        <f>+MINVU_Mes_Corriente!W20*MINVU_Mes_Constante!$P$1</f>
        <v>109769641.47719842</v>
      </c>
      <c r="X20" s="8">
        <f>+MINVU_Mes_Corriente!X20*MINVU_Mes_Constante!$P$1</f>
        <v>109769641.47719842</v>
      </c>
      <c r="Y20" s="8">
        <f>+MINVU_Mes_Corriente!Y20*MINVU_Mes_Constante!$P$1</f>
        <v>109769641.47719842</v>
      </c>
      <c r="Z20" s="8">
        <f>+MINVU_Mes_Corriente!Z20*MINVU_Mes_Constante!$P$1</f>
        <v>109769641.47719842</v>
      </c>
      <c r="AA20" s="8">
        <f>+MINVU_Mes_Corriente!AA20*MINVU_Mes_Constante!$P$1</f>
        <v>109769641.47719842</v>
      </c>
      <c r="AB20" s="9">
        <f t="shared" si="1"/>
        <v>109769641.47719842</v>
      </c>
      <c r="AC20" s="8">
        <f>+MINVU_Mes_Corriente!AC20*MINVU_Mes_Constante!$AC$1</f>
        <v>78421684.663715586</v>
      </c>
      <c r="AD20" s="8">
        <f>+MINVU_Mes_Corriente!AD20*MINVU_Mes_Constante!$AC$1</f>
        <v>78421684.663715586</v>
      </c>
      <c r="AE20" s="8">
        <f>+MINVU_Mes_Corriente!AE20*MINVU_Mes_Constante!$AC$1</f>
        <v>78421684.663715586</v>
      </c>
      <c r="AF20" s="8">
        <f>+MINVU_Mes_Corriente!AF20*MINVU_Mes_Constante!$AC$1</f>
        <v>78421684.663715586</v>
      </c>
      <c r="AG20" s="8">
        <f>+MINVU_Mes_Corriente!AG20*MINVU_Mes_Constante!$AC$1</f>
        <v>78421684.663715586</v>
      </c>
      <c r="AH20" s="8">
        <f>+MINVU_Mes_Corriente!AH20*MINVU_Mes_Constante!$AC$1</f>
        <v>78421684.663715586</v>
      </c>
      <c r="AI20" s="8">
        <f>+MINVU_Mes_Corriente!AI20*MINVU_Mes_Constante!$AC$1</f>
        <v>78421684.663715586</v>
      </c>
      <c r="AJ20" s="8">
        <f>+MINVU_Mes_Corriente!AJ20*MINVU_Mes_Constante!$AC$1</f>
        <v>78421684.663715586</v>
      </c>
      <c r="AK20" s="8">
        <f>+MINVU_Mes_Corriente!AK20*MINVU_Mes_Constante!$AC$1</f>
        <v>78421684.663715586</v>
      </c>
      <c r="AL20" s="8">
        <f>+MINVU_Mes_Corriente!AL20*MINVU_Mes_Constante!$AC$1</f>
        <v>78421684.663715586</v>
      </c>
      <c r="AM20" s="8">
        <f>+MINVU_Mes_Corriente!AM20*MINVU_Mes_Constante!$AC$1</f>
        <v>78421684.663715586</v>
      </c>
      <c r="AN20" s="8">
        <f>+MINVU_Mes_Corriente!AN20*MINVU_Mes_Constante!$AC$1</f>
        <v>78421684.663715586</v>
      </c>
      <c r="AO20" s="9">
        <f t="shared" si="2"/>
        <v>78421684.663715586</v>
      </c>
      <c r="AP20" s="8">
        <f>+MINVU_Mes_Corriente!AP20*MINVU_Mes_Constante!$AP$1</f>
        <v>88500625.124036238</v>
      </c>
      <c r="AQ20" s="8">
        <f>+MINVU_Mes_Corriente!AQ20*MINVU_Mes_Constante!$AP$1</f>
        <v>88500625.124036238</v>
      </c>
      <c r="AR20" s="8">
        <f>+MINVU_Mes_Corriente!AR20*MINVU_Mes_Constante!$AP$1</f>
        <v>88500625.124036238</v>
      </c>
      <c r="AS20" s="8">
        <f>+MINVU_Mes_Corriente!AS20*MINVU_Mes_Constante!$AP$1</f>
        <v>88500625.124036238</v>
      </c>
      <c r="AT20" s="8">
        <f>+MINVU_Mes_Corriente!AT20*MINVU_Mes_Constante!$AP$1</f>
        <v>88500625.124036238</v>
      </c>
      <c r="AU20" s="8">
        <f>+MINVU_Mes_Corriente!AU20*MINVU_Mes_Constante!$AP$1</f>
        <v>88500625.124036238</v>
      </c>
      <c r="AV20" s="8">
        <f>+MINVU_Mes_Corriente!AV20*MINVU_Mes_Constante!$AP$1</f>
        <v>88500625.124036238</v>
      </c>
      <c r="AW20" s="8">
        <f>+MINVU_Mes_Corriente!AW20*MINVU_Mes_Constante!$AP$1</f>
        <v>88500625.124036238</v>
      </c>
      <c r="AX20" s="8">
        <f>+MINVU_Mes_Corriente!AX20*MINVU_Mes_Constante!$AP$1</f>
        <v>88500625.124036238</v>
      </c>
      <c r="AY20" s="8">
        <f>+MINVU_Mes_Corriente!AY20*MINVU_Mes_Constante!$AP$1</f>
        <v>88500625.124036238</v>
      </c>
      <c r="AZ20" s="8">
        <f>+MINVU_Mes_Corriente!AZ20*MINVU_Mes_Constante!$AP$1</f>
        <v>88500625.124036238</v>
      </c>
      <c r="BA20" s="8">
        <f>+MINVU_Mes_Corriente!BA20*MINVU_Mes_Constante!$AP$1</f>
        <v>88500625.124036238</v>
      </c>
      <c r="BB20" s="9">
        <f t="shared" si="3"/>
        <v>88500625.124036238</v>
      </c>
      <c r="BC20" s="8">
        <f>+MINVU_Mes_Corriente!BC20*MINVU_Mes_Constante!$BC$1</f>
        <v>79146070.88909404</v>
      </c>
      <c r="BD20" s="8">
        <f>+MINVU_Mes_Corriente!BD20*MINVU_Mes_Constante!$BC$1</f>
        <v>79146070.88909404</v>
      </c>
      <c r="BE20" s="8">
        <f>+MINVU_Mes_Corriente!BE20*MINVU_Mes_Constante!$BC$1</f>
        <v>79146070.88909404</v>
      </c>
      <c r="BF20" s="8">
        <f>+MINVU_Mes_Corriente!BF20*MINVU_Mes_Constante!$BC$1</f>
        <v>79146070.88909404</v>
      </c>
      <c r="BG20" s="8">
        <f>+MINVU_Mes_Corriente!BG20*MINVU_Mes_Constante!$BC$1</f>
        <v>79146070.88909404</v>
      </c>
      <c r="BH20" s="8">
        <f>+MINVU_Mes_Corriente!BH20*MINVU_Mes_Constante!$BC$1</f>
        <v>79146070.88909404</v>
      </c>
      <c r="BI20" s="8">
        <f>+MINVU_Mes_Corriente!BI20*MINVU_Mes_Constante!$BC$1</f>
        <v>79146070.88909404</v>
      </c>
      <c r="BJ20" s="8">
        <f>+MINVU_Mes_Corriente!BJ20*MINVU_Mes_Constante!$BC$1</f>
        <v>79146070.88909404</v>
      </c>
      <c r="BK20" s="8">
        <f>+MINVU_Mes_Corriente!BK20*MINVU_Mes_Constante!$BC$1</f>
        <v>79146070.88909404</v>
      </c>
      <c r="BL20" s="8">
        <f>+MINVU_Mes_Corriente!BL20*MINVU_Mes_Constante!$BC$1</f>
        <v>79146070.88909404</v>
      </c>
      <c r="BM20" s="8">
        <f>+MINVU_Mes_Corriente!BM20*MINVU_Mes_Constante!$BC$1</f>
        <v>79146070.88909404</v>
      </c>
      <c r="BN20" s="8">
        <f>+MINVU_Mes_Corriente!BN20*MINVU_Mes_Constante!$BC$1</f>
        <v>79146070.88909404</v>
      </c>
      <c r="BO20" s="9">
        <f t="shared" si="4"/>
        <v>79146070.88909404</v>
      </c>
      <c r="BP20" s="8">
        <f>+MINVU_Mes_Corriente!BP20*MINVU_Mes_Constante!$BP$1</f>
        <v>46486179.292701669</v>
      </c>
      <c r="BQ20" s="8">
        <f>+MINVU_Mes_Corriente!BQ20*MINVU_Mes_Constante!$BP$1</f>
        <v>46486179.292701669</v>
      </c>
      <c r="BR20" s="8">
        <f>+MINVU_Mes_Corriente!BR20*MINVU_Mes_Constante!$BP$1</f>
        <v>46486179.292701669</v>
      </c>
      <c r="BS20" s="8">
        <f>+MINVU_Mes_Corriente!BS20*MINVU_Mes_Constante!$BP$1</f>
        <v>46486179.292701669</v>
      </c>
      <c r="BT20" s="8">
        <f>+MINVU_Mes_Corriente!BT20*MINVU_Mes_Constante!$BP$1</f>
        <v>46486179.292701669</v>
      </c>
      <c r="BU20" s="8">
        <f>+MINVU_Mes_Corriente!BU20*MINVU_Mes_Constante!$BP$1</f>
        <v>46486179.292701669</v>
      </c>
      <c r="BV20" s="8">
        <f>+MINVU_Mes_Corriente!BV20*MINVU_Mes_Constante!$BP$1</f>
        <v>46486179.292701669</v>
      </c>
      <c r="BW20" s="8">
        <f>+MINVU_Mes_Corriente!BW20*MINVU_Mes_Constante!$BP$1</f>
        <v>46486179.292701669</v>
      </c>
      <c r="BX20" s="8">
        <f>+MINVU_Mes_Corriente!BX20*MINVU_Mes_Constante!$BP$1</f>
        <v>46486179.292701669</v>
      </c>
      <c r="BY20" s="8">
        <f>+MINVU_Mes_Corriente!BY20*MINVU_Mes_Constante!$BP$1</f>
        <v>46486179.292701669</v>
      </c>
      <c r="BZ20" s="8">
        <f>+MINVU_Mes_Corriente!BZ20*MINVU_Mes_Constante!$BP$1</f>
        <v>46486179.292701669</v>
      </c>
      <c r="CA20" s="8">
        <f>+MINVU_Mes_Corriente!CA20*MINVU_Mes_Constante!$BP$1</f>
        <v>46486179.292701669</v>
      </c>
      <c r="CB20" s="9">
        <f t="shared" si="5"/>
        <v>46486179.292701669</v>
      </c>
      <c r="CC20" s="8">
        <f>+MINVU_Mes_Corriente!CC20*MINVU_Mes_Constante!$CC$1</f>
        <v>46515303.406191722</v>
      </c>
      <c r="CD20" s="8">
        <f>+MINVU_Mes_Corriente!CD20*MINVU_Mes_Constante!$CC$1</f>
        <v>46515303.406191722</v>
      </c>
      <c r="CE20" s="8">
        <f>+MINVU_Mes_Corriente!CE20*MINVU_Mes_Constante!$CC$1</f>
        <v>46515303.406191722</v>
      </c>
      <c r="CF20" s="8">
        <f>+MINVU_Mes_Corriente!CF20*MINVU_Mes_Constante!$CC$1</f>
        <v>46515303.406191722</v>
      </c>
      <c r="CG20" s="8">
        <f>+MINVU_Mes_Corriente!CG20*MINVU_Mes_Constante!$CC$1</f>
        <v>46515303.406191722</v>
      </c>
      <c r="CH20" s="8">
        <f>+MINVU_Mes_Corriente!CH20*MINVU_Mes_Constante!$CC$1</f>
        <v>46515303.406191722</v>
      </c>
      <c r="CI20" s="8">
        <f>+MINVU_Mes_Corriente!CI20*MINVU_Mes_Constante!$CC$1</f>
        <v>46515303.406191722</v>
      </c>
      <c r="CJ20" s="8">
        <f>+MINVU_Mes_Corriente!CJ20*MINVU_Mes_Constante!$CC$1</f>
        <v>46515303.406191722</v>
      </c>
      <c r="CK20" s="8">
        <f>+MINVU_Mes_Corriente!CK20*MINVU_Mes_Constante!$CC$1</f>
        <v>46515303.406191722</v>
      </c>
      <c r="CL20" s="8">
        <f>+MINVU_Mes_Corriente!CL20*MINVU_Mes_Constante!$CC$1</f>
        <v>46515303.406191722</v>
      </c>
      <c r="CM20" s="8">
        <f>+MINVU_Mes_Corriente!CM20*MINVU_Mes_Constante!$CC$1</f>
        <v>46515303.406191722</v>
      </c>
      <c r="CN20" s="8">
        <f>+MINVU_Mes_Corriente!CN20*MINVU_Mes_Constante!$CC$1</f>
        <v>46515303.406191722</v>
      </c>
      <c r="CO20" s="9">
        <f t="shared" si="6"/>
        <v>46515303.406191722</v>
      </c>
      <c r="CP20" s="8">
        <f>+MINVU_Mes_Corriente!CP20*MINVU_Mes_Constante!$CP$1</f>
        <v>45561724.204176322</v>
      </c>
      <c r="CQ20" s="8">
        <f>+MINVU_Mes_Corriente!CQ20*MINVU_Mes_Constante!$CP$1</f>
        <v>45561724.204176322</v>
      </c>
      <c r="CR20" s="8">
        <f>+MINVU_Mes_Corriente!CR20*MINVU_Mes_Constante!$CP$1</f>
        <v>45561724.204176322</v>
      </c>
      <c r="CS20" s="8">
        <f>+MINVU_Mes_Corriente!CS20*MINVU_Mes_Constante!$CP$1</f>
        <v>45561724.204176322</v>
      </c>
      <c r="CT20" s="8">
        <f>+MINVU_Mes_Corriente!CT20*MINVU_Mes_Constante!$CP$1</f>
        <v>45561724.204176322</v>
      </c>
      <c r="CU20" s="8">
        <f>+MINVU_Mes_Corriente!CU20*MINVU_Mes_Constante!$CP$1</f>
        <v>45561724.204176322</v>
      </c>
      <c r="CV20" s="8">
        <f>+MINVU_Mes_Corriente!CV20*MINVU_Mes_Constante!$CP$1</f>
        <v>45561724.204176322</v>
      </c>
      <c r="CW20" s="8">
        <f>+MINVU_Mes_Corriente!CW20*MINVU_Mes_Constante!$CP$1</f>
        <v>45561724.204176322</v>
      </c>
      <c r="CX20" s="8">
        <f>+MINVU_Mes_Corriente!CX20*MINVU_Mes_Constante!$CP$1</f>
        <v>45561724.204176322</v>
      </c>
      <c r="CY20" s="8">
        <f>+MINVU_Mes_Corriente!CY20*MINVU_Mes_Constante!$CP$1</f>
        <v>45561724.204176322</v>
      </c>
      <c r="CZ20" s="8">
        <f>+MINVU_Mes_Corriente!CZ20*MINVU_Mes_Constante!$CP$1</f>
        <v>45561724.204176322</v>
      </c>
      <c r="DA20" s="8">
        <f>+MINVU_Mes_Corriente!DA20*MINVU_Mes_Constante!$CP$1</f>
        <v>45561724.204176322</v>
      </c>
      <c r="DB20" s="9">
        <f t="shared" si="7"/>
        <v>45561724.204176322</v>
      </c>
      <c r="DC20" s="8">
        <f>+MINVU_Mes_Corriente!DC20*MINVU_Mes_Constante!$DC$1</f>
        <v>45964611.991564676</v>
      </c>
      <c r="DD20" s="8">
        <f>+MINVU_Mes_Corriente!DD20*MINVU_Mes_Constante!$DC$1</f>
        <v>45964611.991564676</v>
      </c>
      <c r="DE20" s="8">
        <f>+MINVU_Mes_Corriente!DE20*MINVU_Mes_Constante!$DC$1</f>
        <v>45964611.991564676</v>
      </c>
      <c r="DF20" s="8">
        <f>+MINVU_Mes_Corriente!DF20*MINVU_Mes_Constante!$DC$1</f>
        <v>45964611.991564676</v>
      </c>
      <c r="DG20" s="8">
        <f>+MINVU_Mes_Corriente!DG20*MINVU_Mes_Constante!$DC$1</f>
        <v>45964611.991564676</v>
      </c>
      <c r="DH20" s="8">
        <f>+MINVU_Mes_Corriente!DH20*MINVU_Mes_Constante!$DC$1</f>
        <v>45964611.991564676</v>
      </c>
      <c r="DI20" s="8">
        <f>+MINVU_Mes_Corriente!DI20*MINVU_Mes_Constante!$DC$1</f>
        <v>45964611.991564676</v>
      </c>
      <c r="DJ20" s="8">
        <f>+MINVU_Mes_Corriente!DJ20*MINVU_Mes_Constante!$DC$1</f>
        <v>45964611.991564676</v>
      </c>
      <c r="DK20" s="8">
        <f>+MINVU_Mes_Corriente!DK20*MINVU_Mes_Constante!$DC$1</f>
        <v>45964611.991564676</v>
      </c>
      <c r="DL20" s="8">
        <f>+MINVU_Mes_Corriente!DL20*MINVU_Mes_Constante!$DC$1</f>
        <v>45964611.991564676</v>
      </c>
      <c r="DM20" s="8">
        <f>+MINVU_Mes_Corriente!DM20*MINVU_Mes_Constante!$DC$1</f>
        <v>45964611.991564676</v>
      </c>
      <c r="DN20" s="8">
        <f>+MINVU_Mes_Corriente!DN20*MINVU_Mes_Constante!$DC$1</f>
        <v>45964611.991564676</v>
      </c>
      <c r="DO20" s="9">
        <f t="shared" si="8"/>
        <v>45964611.991564676</v>
      </c>
      <c r="DP20" s="8">
        <f>+MINVU_Mes_Corriente!DP20*MINVU_Mes_Constante!$DP$1</f>
        <v>55552680.370546326</v>
      </c>
      <c r="DQ20" s="8">
        <f>+MINVU_Mes_Corriente!DQ20*MINVU_Mes_Constante!$DP$1</f>
        <v>55552680.370546326</v>
      </c>
      <c r="DR20" s="8">
        <f>+MINVU_Mes_Corriente!DR20*MINVU_Mes_Constante!$DP$1</f>
        <v>55552680.370546326</v>
      </c>
      <c r="DS20" s="8">
        <f>+MINVU_Mes_Corriente!DS20*MINVU_Mes_Constante!$DP$1</f>
        <v>55552680.370546326</v>
      </c>
      <c r="DT20" s="8">
        <f>+MINVU_Mes_Corriente!DT20*MINVU_Mes_Constante!$DP$1</f>
        <v>55552680.370546326</v>
      </c>
      <c r="DU20" s="8">
        <f>+MINVU_Mes_Corriente!DU20*MINVU_Mes_Constante!$DP$1</f>
        <v>55552680.370546326</v>
      </c>
      <c r="DV20" s="8">
        <f>+MINVU_Mes_Corriente!DV20*MINVU_Mes_Constante!$DP$1</f>
        <v>55552680.370546326</v>
      </c>
      <c r="DW20" s="8">
        <f>+MINVU_Mes_Corriente!DW20*MINVU_Mes_Constante!$DP$1</f>
        <v>55552680.370546326</v>
      </c>
      <c r="DX20" s="8">
        <f>+MINVU_Mes_Corriente!DX20*MINVU_Mes_Constante!$DP$1</f>
        <v>55552680.370546326</v>
      </c>
      <c r="DY20" s="8">
        <f>+MINVU_Mes_Corriente!DY20*MINVU_Mes_Constante!$DP$1</f>
        <v>55552680.370546326</v>
      </c>
      <c r="DZ20" s="8">
        <f>+MINVU_Mes_Corriente!DZ20*MINVU_Mes_Constante!$DP$1</f>
        <v>55552680.370546326</v>
      </c>
      <c r="EA20" s="8">
        <f>+MINVU_Mes_Corriente!EA20*MINVU_Mes_Constante!$DP$1</f>
        <v>55552680.370546326</v>
      </c>
      <c r="EB20" s="9">
        <f t="shared" si="9"/>
        <v>55552680.370546326</v>
      </c>
      <c r="EC20" s="8">
        <f>+MINVU_Mes_Corriente!EC20*MINVU_Mes_Constante!$EC$1</f>
        <v>54569656.659912877</v>
      </c>
      <c r="ED20" s="8">
        <f>+MINVU_Mes_Corriente!ED20*MINVU_Mes_Constante!$EC$1</f>
        <v>54569656.659912877</v>
      </c>
      <c r="EE20" s="8">
        <f>+MINVU_Mes_Corriente!EE20*MINVU_Mes_Constante!$EC$1</f>
        <v>54569656.659912877</v>
      </c>
      <c r="EF20" s="8">
        <f>+MINVU_Mes_Corriente!EF20*MINVU_Mes_Constante!$EC$1</f>
        <v>54569656.659912877</v>
      </c>
      <c r="EG20" s="8">
        <f>+MINVU_Mes_Corriente!EG20*MINVU_Mes_Constante!$EC$1</f>
        <v>54569656.659912877</v>
      </c>
      <c r="EH20" s="8">
        <f>+MINVU_Mes_Corriente!EH20*MINVU_Mes_Constante!$EC$1</f>
        <v>54569656.659912877</v>
      </c>
      <c r="EI20" s="8">
        <f>+MINVU_Mes_Corriente!EI20*MINVU_Mes_Constante!$EC$1</f>
        <v>54569656.659912877</v>
      </c>
      <c r="EJ20" s="8">
        <f>+MINVU_Mes_Corriente!EJ20*MINVU_Mes_Constante!$EC$1</f>
        <v>54569656.659912877</v>
      </c>
      <c r="EK20" s="8">
        <f>+MINVU_Mes_Corriente!EK20*MINVU_Mes_Constante!$EC$1</f>
        <v>54569656.659912877</v>
      </c>
      <c r="EL20" s="8">
        <f>+MINVU_Mes_Corriente!EL20*MINVU_Mes_Constante!$EC$1</f>
        <v>54569656.659912877</v>
      </c>
      <c r="EM20" s="8">
        <f>+MINVU_Mes_Corriente!EM20*MINVU_Mes_Constante!$EC$1</f>
        <v>54569656.659912877</v>
      </c>
      <c r="EN20" s="8">
        <f>+MINVU_Mes_Corriente!EN20*MINVU_Mes_Constante!$EC$1</f>
        <v>54569656.659912877</v>
      </c>
      <c r="EO20" s="9">
        <f t="shared" si="10"/>
        <v>54569656.659912877</v>
      </c>
      <c r="EP20" s="8">
        <f>+MINVU_Mes_Corriente!EP20*MINVU_Mes_Constante!$EP$1</f>
        <v>51417843</v>
      </c>
      <c r="EQ20" s="8">
        <f>+MINVU_Mes_Corriente!EQ20*MINVU_Mes_Constante!$EP$1</f>
        <v>51417843</v>
      </c>
      <c r="ER20" s="8">
        <f>+MINVU_Mes_Corriente!ER20*MINVU_Mes_Constante!$EP$1</f>
        <v>51417843</v>
      </c>
      <c r="ES20" s="8">
        <f>+MINVU_Mes_Corriente!ES20*MINVU_Mes_Constante!$EP$1</f>
        <v>51417843</v>
      </c>
      <c r="ET20" s="8">
        <f>+MINVU_Mes_Corriente!ET20*MINVU_Mes_Constante!$EP$1</f>
        <v>51417843</v>
      </c>
      <c r="EU20" s="8">
        <f>+MINVU_Mes_Corriente!EU20*MINVU_Mes_Constante!$EP$1</f>
        <v>51417843</v>
      </c>
      <c r="EV20" s="8">
        <f>+MINVU_Mes_Corriente!EV20*MINVU_Mes_Constante!$EP$1</f>
        <v>51417843</v>
      </c>
      <c r="EW20" s="8">
        <f>+MINVU_Mes_Corriente!EW20*MINVU_Mes_Constante!$EP$1</f>
        <v>51417843</v>
      </c>
      <c r="EX20" s="8">
        <f>+MINVU_Mes_Corriente!EX20*MINVU_Mes_Constante!$EP$1</f>
        <v>51417843</v>
      </c>
      <c r="EY20" s="8">
        <f>+MINVU_Mes_Corriente!EY20*MINVU_Mes_Constante!$EP$1</f>
        <v>51417843</v>
      </c>
      <c r="EZ20" s="8">
        <f>+MINVU_Mes_Corriente!EZ20*MINVU_Mes_Constante!$EP$1</f>
        <v>51417843</v>
      </c>
      <c r="FA20" s="8">
        <f>+MINVU_Mes_Corriente!FA20*MINVU_Mes_Constante!$EP$1</f>
        <v>51417843</v>
      </c>
      <c r="FB20" s="9">
        <f t="shared" si="11"/>
        <v>51417843</v>
      </c>
      <c r="FC20" s="8">
        <f>+MINVU_Mes_Corriente!FC20*MINVU_Mes_Constante!$FC$1</f>
        <v>69100458</v>
      </c>
      <c r="FD20" s="8">
        <f>+MINVU_Mes_Corriente!FD20*MINVU_Mes_Constante!$FC$1</f>
        <v>69100458</v>
      </c>
      <c r="FE20" s="8">
        <f>+MINVU_Mes_Corriente!FE20*MINVU_Mes_Constante!$FC$1</f>
        <v>69100458</v>
      </c>
      <c r="FF20" s="8">
        <f>+MINVU_Mes_Corriente!FF20*MINVU_Mes_Constante!$FC$1</f>
        <v>69100458</v>
      </c>
      <c r="FG20" s="8">
        <f>+MINVU_Mes_Corriente!FG20*MINVU_Mes_Constante!$FC$1</f>
        <v>69100458</v>
      </c>
      <c r="FH20" s="8">
        <f>+MINVU_Mes_Corriente!FH20*MINVU_Mes_Constante!$FC$1</f>
        <v>69100458</v>
      </c>
      <c r="FI20" s="8">
        <f>+MINVU_Mes_Corriente!FI20*MINVU_Mes_Constante!$FC$1</f>
        <v>69100458</v>
      </c>
      <c r="FJ20" s="8"/>
      <c r="FK20" s="8"/>
      <c r="FL20" s="8"/>
      <c r="FM20" s="8"/>
      <c r="FN20" s="8"/>
      <c r="FO20" s="9">
        <f t="shared" si="12"/>
        <v>69100458</v>
      </c>
    </row>
    <row r="21" spans="2:171" ht="14.25" customHeight="1" x14ac:dyDescent="0.3">
      <c r="B21" s="7" t="s">
        <v>56</v>
      </c>
      <c r="C21" s="8">
        <f>+MINVU_Mes_Corriente!C21*MINVU_Mes_Constante!$C$1</f>
        <v>40150185.226457074</v>
      </c>
      <c r="D21" s="8">
        <f>+MINVU_Mes_Corriente!D21*MINVU_Mes_Constante!$C$1</f>
        <v>40150185.226457074</v>
      </c>
      <c r="E21" s="8">
        <f>+MINVU_Mes_Corriente!E21*MINVU_Mes_Constante!$C$1</f>
        <v>40150185.226457074</v>
      </c>
      <c r="F21" s="8">
        <f>+MINVU_Mes_Corriente!F21*MINVU_Mes_Constante!$C$1</f>
        <v>40150185.226457074</v>
      </c>
      <c r="G21" s="8">
        <f>+MINVU_Mes_Corriente!G21*MINVU_Mes_Constante!$C$1</f>
        <v>40150185.226457074</v>
      </c>
      <c r="H21" s="8">
        <f>+MINVU_Mes_Corriente!H21*MINVU_Mes_Constante!$C$1</f>
        <v>40150185.226457074</v>
      </c>
      <c r="I21" s="8">
        <f>+MINVU_Mes_Corriente!I21*MINVU_Mes_Constante!$C$1</f>
        <v>40150185.226457074</v>
      </c>
      <c r="J21" s="8">
        <f>+MINVU_Mes_Corriente!J21*MINVU_Mes_Constante!$C$1</f>
        <v>40150185.226457074</v>
      </c>
      <c r="K21" s="8">
        <f>+MINVU_Mes_Corriente!K21*MINVU_Mes_Constante!$C$1</f>
        <v>40150185.226457074</v>
      </c>
      <c r="L21" s="8">
        <f>+MINVU_Mes_Corriente!L21*MINVU_Mes_Constante!$C$1</f>
        <v>40150185.226457074</v>
      </c>
      <c r="M21" s="8">
        <f>+MINVU_Mes_Corriente!M21*MINVU_Mes_Constante!$C$1</f>
        <v>40150185.226457074</v>
      </c>
      <c r="N21" s="8">
        <f>+MINVU_Mes_Corriente!N21*MINVU_Mes_Constante!$C$1</f>
        <v>40150185.226457074</v>
      </c>
      <c r="O21" s="9">
        <f t="shared" si="0"/>
        <v>40150185.226457074</v>
      </c>
      <c r="P21" s="8">
        <f>+MINVU_Mes_Corriente!P21*MINVU_Mes_Constante!$P$1</f>
        <v>57529543.711606741</v>
      </c>
      <c r="Q21" s="8">
        <f>+MINVU_Mes_Corriente!Q21*MINVU_Mes_Constante!$P$1</f>
        <v>57529543.711606741</v>
      </c>
      <c r="R21" s="8">
        <f>+MINVU_Mes_Corriente!R21*MINVU_Mes_Constante!$P$1</f>
        <v>57529543.711606741</v>
      </c>
      <c r="S21" s="8">
        <f>+MINVU_Mes_Corriente!S21*MINVU_Mes_Constante!$P$1</f>
        <v>57529543.711606741</v>
      </c>
      <c r="T21" s="8">
        <f>+MINVU_Mes_Corriente!T21*MINVU_Mes_Constante!$P$1</f>
        <v>57529543.711606741</v>
      </c>
      <c r="U21" s="8">
        <f>+MINVU_Mes_Corriente!U21*MINVU_Mes_Constante!$P$1</f>
        <v>57529543.711606741</v>
      </c>
      <c r="V21" s="8">
        <f>+MINVU_Mes_Corriente!V21*MINVU_Mes_Constante!$P$1</f>
        <v>57529543.711606741</v>
      </c>
      <c r="W21" s="8">
        <f>+MINVU_Mes_Corriente!W21*MINVU_Mes_Constante!$P$1</f>
        <v>57529543.711606741</v>
      </c>
      <c r="X21" s="8">
        <f>+MINVU_Mes_Corriente!X21*MINVU_Mes_Constante!$P$1</f>
        <v>57529543.711606741</v>
      </c>
      <c r="Y21" s="8">
        <f>+MINVU_Mes_Corriente!Y21*MINVU_Mes_Constante!$P$1</f>
        <v>57529543.711606741</v>
      </c>
      <c r="Z21" s="8">
        <f>+MINVU_Mes_Corriente!Z21*MINVU_Mes_Constante!$P$1</f>
        <v>57529543.711606741</v>
      </c>
      <c r="AA21" s="8">
        <f>+MINVU_Mes_Corriente!AA21*MINVU_Mes_Constante!$P$1</f>
        <v>57529543.711606741</v>
      </c>
      <c r="AB21" s="9">
        <f t="shared" si="1"/>
        <v>57529543.711606741</v>
      </c>
      <c r="AC21" s="8">
        <f>+MINVU_Mes_Corriente!AC21*MINVU_Mes_Constante!$AC$1</f>
        <v>55823724.067229219</v>
      </c>
      <c r="AD21" s="8">
        <f>+MINVU_Mes_Corriente!AD21*MINVU_Mes_Constante!$AC$1</f>
        <v>55823724.067229219</v>
      </c>
      <c r="AE21" s="8">
        <f>+MINVU_Mes_Corriente!AE21*MINVU_Mes_Constante!$AC$1</f>
        <v>55823724.067229219</v>
      </c>
      <c r="AF21" s="8">
        <f>+MINVU_Mes_Corriente!AF21*MINVU_Mes_Constante!$AC$1</f>
        <v>55823724.067229219</v>
      </c>
      <c r="AG21" s="8">
        <f>+MINVU_Mes_Corriente!AG21*MINVU_Mes_Constante!$AC$1</f>
        <v>55823724.067229219</v>
      </c>
      <c r="AH21" s="8">
        <f>+MINVU_Mes_Corriente!AH21*MINVU_Mes_Constante!$AC$1</f>
        <v>55823724.067229219</v>
      </c>
      <c r="AI21" s="8">
        <f>+MINVU_Mes_Corriente!AI21*MINVU_Mes_Constante!$AC$1</f>
        <v>55823724.067229219</v>
      </c>
      <c r="AJ21" s="8">
        <f>+MINVU_Mes_Corriente!AJ21*MINVU_Mes_Constante!$AC$1</f>
        <v>55823724.067229219</v>
      </c>
      <c r="AK21" s="8">
        <f>+MINVU_Mes_Corriente!AK21*MINVU_Mes_Constante!$AC$1</f>
        <v>55823724.067229219</v>
      </c>
      <c r="AL21" s="8">
        <f>+MINVU_Mes_Corriente!AL21*MINVU_Mes_Constante!$AC$1</f>
        <v>55823724.067229219</v>
      </c>
      <c r="AM21" s="8">
        <f>+MINVU_Mes_Corriente!AM21*MINVU_Mes_Constante!$AC$1</f>
        <v>55823724.067229219</v>
      </c>
      <c r="AN21" s="8">
        <f>+MINVU_Mes_Corriente!AN21*MINVU_Mes_Constante!$AC$1</f>
        <v>55823724.067229219</v>
      </c>
      <c r="AO21" s="9">
        <f t="shared" si="2"/>
        <v>55823724.067229219</v>
      </c>
      <c r="AP21" s="8">
        <f>+MINVU_Mes_Corriente!AP21*MINVU_Mes_Constante!$AP$1</f>
        <v>55196511.54822129</v>
      </c>
      <c r="AQ21" s="8">
        <f>+MINVU_Mes_Corriente!AQ21*MINVU_Mes_Constante!$AP$1</f>
        <v>55196511.54822129</v>
      </c>
      <c r="AR21" s="8">
        <f>+MINVU_Mes_Corriente!AR21*MINVU_Mes_Constante!$AP$1</f>
        <v>55196511.54822129</v>
      </c>
      <c r="AS21" s="8">
        <f>+MINVU_Mes_Corriente!AS21*MINVU_Mes_Constante!$AP$1</f>
        <v>55196511.54822129</v>
      </c>
      <c r="AT21" s="8">
        <f>+MINVU_Mes_Corriente!AT21*MINVU_Mes_Constante!$AP$1</f>
        <v>55196511.54822129</v>
      </c>
      <c r="AU21" s="8">
        <f>+MINVU_Mes_Corriente!AU21*MINVU_Mes_Constante!$AP$1</f>
        <v>55196511.54822129</v>
      </c>
      <c r="AV21" s="8">
        <f>+MINVU_Mes_Corriente!AV21*MINVU_Mes_Constante!$AP$1</f>
        <v>55196511.54822129</v>
      </c>
      <c r="AW21" s="8">
        <f>+MINVU_Mes_Corriente!AW21*MINVU_Mes_Constante!$AP$1</f>
        <v>55196511.54822129</v>
      </c>
      <c r="AX21" s="8">
        <f>+MINVU_Mes_Corriente!AX21*MINVU_Mes_Constante!$AP$1</f>
        <v>55196511.54822129</v>
      </c>
      <c r="AY21" s="8">
        <f>+MINVU_Mes_Corriente!AY21*MINVU_Mes_Constante!$AP$1</f>
        <v>55196511.54822129</v>
      </c>
      <c r="AZ21" s="8">
        <f>+MINVU_Mes_Corriente!AZ21*MINVU_Mes_Constante!$AP$1</f>
        <v>55196511.54822129</v>
      </c>
      <c r="BA21" s="8">
        <f>+MINVU_Mes_Corriente!BA21*MINVU_Mes_Constante!$AP$1</f>
        <v>55196511.54822129</v>
      </c>
      <c r="BB21" s="9">
        <f t="shared" si="3"/>
        <v>55196511.54822129</v>
      </c>
      <c r="BC21" s="8">
        <f>+MINVU_Mes_Corriente!BC21*MINVU_Mes_Constante!$BC$1</f>
        <v>50615904.597388908</v>
      </c>
      <c r="BD21" s="8">
        <f>+MINVU_Mes_Corriente!BD21*MINVU_Mes_Constante!$BC$1</f>
        <v>50615904.597388908</v>
      </c>
      <c r="BE21" s="8">
        <f>+MINVU_Mes_Corriente!BE21*MINVU_Mes_Constante!$BC$1</f>
        <v>50615904.597388908</v>
      </c>
      <c r="BF21" s="8">
        <f>+MINVU_Mes_Corriente!BF21*MINVU_Mes_Constante!$BC$1</f>
        <v>50615904.597388908</v>
      </c>
      <c r="BG21" s="8">
        <f>+MINVU_Mes_Corriente!BG21*MINVU_Mes_Constante!$BC$1</f>
        <v>50615904.597388908</v>
      </c>
      <c r="BH21" s="8">
        <f>+MINVU_Mes_Corriente!BH21*MINVU_Mes_Constante!$BC$1</f>
        <v>50615904.597388908</v>
      </c>
      <c r="BI21" s="8">
        <f>+MINVU_Mes_Corriente!BI21*MINVU_Mes_Constante!$BC$1</f>
        <v>50615904.597388908</v>
      </c>
      <c r="BJ21" s="8">
        <f>+MINVU_Mes_Corriente!BJ21*MINVU_Mes_Constante!$BC$1</f>
        <v>50615904.597388908</v>
      </c>
      <c r="BK21" s="8">
        <f>+MINVU_Mes_Corriente!BK21*MINVU_Mes_Constante!$BC$1</f>
        <v>50615904.597388908</v>
      </c>
      <c r="BL21" s="8">
        <f>+MINVU_Mes_Corriente!BL21*MINVU_Mes_Constante!$BC$1</f>
        <v>50615904.597388908</v>
      </c>
      <c r="BM21" s="8">
        <f>+MINVU_Mes_Corriente!BM21*MINVU_Mes_Constante!$BC$1</f>
        <v>50615904.597388908</v>
      </c>
      <c r="BN21" s="8">
        <f>+MINVU_Mes_Corriente!BN21*MINVU_Mes_Constante!$BC$1</f>
        <v>50615904.597388908</v>
      </c>
      <c r="BO21" s="9">
        <f t="shared" si="4"/>
        <v>50615904.597388908</v>
      </c>
      <c r="BP21" s="8">
        <f>+MINVU_Mes_Corriente!BP21*MINVU_Mes_Constante!$BP$1</f>
        <v>59598032.614340596</v>
      </c>
      <c r="BQ21" s="8">
        <f>+MINVU_Mes_Corriente!BQ21*MINVU_Mes_Constante!$BP$1</f>
        <v>59598032.614340596</v>
      </c>
      <c r="BR21" s="8">
        <f>+MINVU_Mes_Corriente!BR21*MINVU_Mes_Constante!$BP$1</f>
        <v>59598032.614340596</v>
      </c>
      <c r="BS21" s="8">
        <f>+MINVU_Mes_Corriente!BS21*MINVU_Mes_Constante!$BP$1</f>
        <v>59598032.614340596</v>
      </c>
      <c r="BT21" s="8">
        <f>+MINVU_Mes_Corriente!BT21*MINVU_Mes_Constante!$BP$1</f>
        <v>59598032.614340596</v>
      </c>
      <c r="BU21" s="8">
        <f>+MINVU_Mes_Corriente!BU21*MINVU_Mes_Constante!$BP$1</f>
        <v>59598032.614340596</v>
      </c>
      <c r="BV21" s="8">
        <f>+MINVU_Mes_Corriente!BV21*MINVU_Mes_Constante!$BP$1</f>
        <v>59598032.614340596</v>
      </c>
      <c r="BW21" s="8">
        <f>+MINVU_Mes_Corriente!BW21*MINVU_Mes_Constante!$BP$1</f>
        <v>59598032.614340596</v>
      </c>
      <c r="BX21" s="8">
        <f>+MINVU_Mes_Corriente!BX21*MINVU_Mes_Constante!$BP$1</f>
        <v>59598032.614340596</v>
      </c>
      <c r="BY21" s="8">
        <f>+MINVU_Mes_Corriente!BY21*MINVU_Mes_Constante!$BP$1</f>
        <v>59598032.614340596</v>
      </c>
      <c r="BZ21" s="8">
        <f>+MINVU_Mes_Corriente!BZ21*MINVU_Mes_Constante!$BP$1</f>
        <v>59598032.614340596</v>
      </c>
      <c r="CA21" s="8">
        <f>+MINVU_Mes_Corriente!CA21*MINVU_Mes_Constante!$BP$1</f>
        <v>59598032.614340596</v>
      </c>
      <c r="CB21" s="9">
        <f t="shared" si="5"/>
        <v>59598032.614340596</v>
      </c>
      <c r="CC21" s="8">
        <f>+MINVU_Mes_Corriente!CC21*MINVU_Mes_Constante!$CC$1</f>
        <v>49422138.333457671</v>
      </c>
      <c r="CD21" s="8">
        <f>+MINVU_Mes_Corriente!CD21*MINVU_Mes_Constante!$CC$1</f>
        <v>49422138.333457671</v>
      </c>
      <c r="CE21" s="8">
        <f>+MINVU_Mes_Corriente!CE21*MINVU_Mes_Constante!$CC$1</f>
        <v>49422138.333457671</v>
      </c>
      <c r="CF21" s="8">
        <f>+MINVU_Mes_Corriente!CF21*MINVU_Mes_Constante!$CC$1</f>
        <v>49422138.333457671</v>
      </c>
      <c r="CG21" s="8">
        <f>+MINVU_Mes_Corriente!CG21*MINVU_Mes_Constante!$CC$1</f>
        <v>49422138.333457671</v>
      </c>
      <c r="CH21" s="8">
        <f>+MINVU_Mes_Corriente!CH21*MINVU_Mes_Constante!$CC$1</f>
        <v>49422138.333457671</v>
      </c>
      <c r="CI21" s="8">
        <f>+MINVU_Mes_Corriente!CI21*MINVU_Mes_Constante!$CC$1</f>
        <v>49422138.333457671</v>
      </c>
      <c r="CJ21" s="8">
        <f>+MINVU_Mes_Corriente!CJ21*MINVU_Mes_Constante!$CC$1</f>
        <v>49422138.333457671</v>
      </c>
      <c r="CK21" s="8">
        <f>+MINVU_Mes_Corriente!CK21*MINVU_Mes_Constante!$CC$1</f>
        <v>49422138.333457671</v>
      </c>
      <c r="CL21" s="8">
        <f>+MINVU_Mes_Corriente!CL21*MINVU_Mes_Constante!$CC$1</f>
        <v>49422138.333457671</v>
      </c>
      <c r="CM21" s="8">
        <f>+MINVU_Mes_Corriente!CM21*MINVU_Mes_Constante!$CC$1</f>
        <v>49422138.333457671</v>
      </c>
      <c r="CN21" s="8">
        <f>+MINVU_Mes_Corriente!CN21*MINVU_Mes_Constante!$CC$1</f>
        <v>49422138.333457671</v>
      </c>
      <c r="CO21" s="9">
        <f t="shared" si="6"/>
        <v>49422138.333457671</v>
      </c>
      <c r="CP21" s="8">
        <f>+MINVU_Mes_Corriente!CP21*MINVU_Mes_Constante!$CP$1</f>
        <v>35954023.422737814</v>
      </c>
      <c r="CQ21" s="8">
        <f>+MINVU_Mes_Corriente!CQ21*MINVU_Mes_Constante!$CP$1</f>
        <v>35954023.422737814</v>
      </c>
      <c r="CR21" s="8">
        <f>+MINVU_Mes_Corriente!CR21*MINVU_Mes_Constante!$CP$1</f>
        <v>35954023.422737814</v>
      </c>
      <c r="CS21" s="8">
        <f>+MINVU_Mes_Corriente!CS21*MINVU_Mes_Constante!$CP$1</f>
        <v>35954023.422737814</v>
      </c>
      <c r="CT21" s="8">
        <f>+MINVU_Mes_Corriente!CT21*MINVU_Mes_Constante!$CP$1</f>
        <v>35954023.422737814</v>
      </c>
      <c r="CU21" s="8">
        <f>+MINVU_Mes_Corriente!CU21*MINVU_Mes_Constante!$CP$1</f>
        <v>35954023.422737814</v>
      </c>
      <c r="CV21" s="8">
        <f>+MINVU_Mes_Corriente!CV21*MINVU_Mes_Constante!$CP$1</f>
        <v>35954023.422737814</v>
      </c>
      <c r="CW21" s="8">
        <f>+MINVU_Mes_Corriente!CW21*MINVU_Mes_Constante!$CP$1</f>
        <v>35954023.422737814</v>
      </c>
      <c r="CX21" s="8">
        <f>+MINVU_Mes_Corriente!CX21*MINVU_Mes_Constante!$CP$1</f>
        <v>35954023.422737814</v>
      </c>
      <c r="CY21" s="8">
        <f>+MINVU_Mes_Corriente!CY21*MINVU_Mes_Constante!$CP$1</f>
        <v>35954023.422737814</v>
      </c>
      <c r="CZ21" s="8">
        <f>+MINVU_Mes_Corriente!CZ21*MINVU_Mes_Constante!$CP$1</f>
        <v>35954023.422737814</v>
      </c>
      <c r="DA21" s="8">
        <f>+MINVU_Mes_Corriente!DA21*MINVU_Mes_Constante!$CP$1</f>
        <v>35954023.422737814</v>
      </c>
      <c r="DB21" s="9">
        <f t="shared" si="7"/>
        <v>35954023.422737814</v>
      </c>
      <c r="DC21" s="8">
        <f>+MINVU_Mes_Corriente!DC21*MINVU_Mes_Constante!$DC$1</f>
        <v>29661310.450776681</v>
      </c>
      <c r="DD21" s="8">
        <f>+MINVU_Mes_Corriente!DD21*MINVU_Mes_Constante!$DC$1</f>
        <v>29661310.450776681</v>
      </c>
      <c r="DE21" s="8">
        <f>+MINVU_Mes_Corriente!DE21*MINVU_Mes_Constante!$DC$1</f>
        <v>29661310.450776681</v>
      </c>
      <c r="DF21" s="8">
        <f>+MINVU_Mes_Corriente!DF21*MINVU_Mes_Constante!$DC$1</f>
        <v>29661310.450776681</v>
      </c>
      <c r="DG21" s="8">
        <f>+MINVU_Mes_Corriente!DG21*MINVU_Mes_Constante!$DC$1</f>
        <v>29661310.450776681</v>
      </c>
      <c r="DH21" s="8">
        <f>+MINVU_Mes_Corriente!DH21*MINVU_Mes_Constante!$DC$1</f>
        <v>29661310.450776681</v>
      </c>
      <c r="DI21" s="8">
        <f>+MINVU_Mes_Corriente!DI21*MINVU_Mes_Constante!$DC$1</f>
        <v>29661310.450776681</v>
      </c>
      <c r="DJ21" s="8">
        <f>+MINVU_Mes_Corriente!DJ21*MINVU_Mes_Constante!$DC$1</f>
        <v>29661310.450776681</v>
      </c>
      <c r="DK21" s="8">
        <f>+MINVU_Mes_Corriente!DK21*MINVU_Mes_Constante!$DC$1</f>
        <v>29661310.450776681</v>
      </c>
      <c r="DL21" s="8">
        <f>+MINVU_Mes_Corriente!DL21*MINVU_Mes_Constante!$DC$1</f>
        <v>29661310.450776681</v>
      </c>
      <c r="DM21" s="8">
        <f>+MINVU_Mes_Corriente!DM21*MINVU_Mes_Constante!$DC$1</f>
        <v>29661310.450776681</v>
      </c>
      <c r="DN21" s="8">
        <f>+MINVU_Mes_Corriente!DN21*MINVU_Mes_Constante!$DC$1</f>
        <v>29661310.450776681</v>
      </c>
      <c r="DO21" s="9">
        <f t="shared" si="8"/>
        <v>29661310.450776681</v>
      </c>
      <c r="DP21" s="8">
        <f>+MINVU_Mes_Corriente!DP21*MINVU_Mes_Constante!$DP$1</f>
        <v>32579377.993467938</v>
      </c>
      <c r="DQ21" s="8">
        <f>+MINVU_Mes_Corriente!DQ21*MINVU_Mes_Constante!$DP$1</f>
        <v>32579377.993467938</v>
      </c>
      <c r="DR21" s="8">
        <f>+MINVU_Mes_Corriente!DR21*MINVU_Mes_Constante!$DP$1</f>
        <v>32579377.993467938</v>
      </c>
      <c r="DS21" s="8">
        <f>+MINVU_Mes_Corriente!DS21*MINVU_Mes_Constante!$DP$1</f>
        <v>32579377.993467938</v>
      </c>
      <c r="DT21" s="8">
        <f>+MINVU_Mes_Corriente!DT21*MINVU_Mes_Constante!$DP$1</f>
        <v>32579377.993467938</v>
      </c>
      <c r="DU21" s="8">
        <f>+MINVU_Mes_Corriente!DU21*MINVU_Mes_Constante!$DP$1</f>
        <v>32579377.993467938</v>
      </c>
      <c r="DV21" s="8">
        <f>+MINVU_Mes_Corriente!DV21*MINVU_Mes_Constante!$DP$1</f>
        <v>32579377.993467938</v>
      </c>
      <c r="DW21" s="8">
        <f>+MINVU_Mes_Corriente!DW21*MINVU_Mes_Constante!$DP$1</f>
        <v>32579377.993467938</v>
      </c>
      <c r="DX21" s="8">
        <f>+MINVU_Mes_Corriente!DX21*MINVU_Mes_Constante!$DP$1</f>
        <v>32579377.993467938</v>
      </c>
      <c r="DY21" s="8">
        <f>+MINVU_Mes_Corriente!DY21*MINVU_Mes_Constante!$DP$1</f>
        <v>32579377.993467938</v>
      </c>
      <c r="DZ21" s="8">
        <f>+MINVU_Mes_Corriente!DZ21*MINVU_Mes_Constante!$DP$1</f>
        <v>32579377.993467938</v>
      </c>
      <c r="EA21" s="8">
        <f>+MINVU_Mes_Corriente!EA21*MINVU_Mes_Constante!$DP$1</f>
        <v>32579377.993467938</v>
      </c>
      <c r="EB21" s="9">
        <f t="shared" si="9"/>
        <v>32579377.993467938</v>
      </c>
      <c r="EC21" s="8">
        <f>+MINVU_Mes_Corriente!EC21*MINVU_Mes_Constante!$EC$1</f>
        <v>31090622.986934282</v>
      </c>
      <c r="ED21" s="8">
        <f>+MINVU_Mes_Corriente!ED21*MINVU_Mes_Constante!$EC$1</f>
        <v>31090622.986934282</v>
      </c>
      <c r="EE21" s="8">
        <f>+MINVU_Mes_Corriente!EE21*MINVU_Mes_Constante!$EC$1</f>
        <v>31090622.986934282</v>
      </c>
      <c r="EF21" s="8">
        <f>+MINVU_Mes_Corriente!EF21*MINVU_Mes_Constante!$EC$1</f>
        <v>31090622.986934282</v>
      </c>
      <c r="EG21" s="8">
        <f>+MINVU_Mes_Corriente!EG21*MINVU_Mes_Constante!$EC$1</f>
        <v>31090622.986934282</v>
      </c>
      <c r="EH21" s="8">
        <f>+MINVU_Mes_Corriente!EH21*MINVU_Mes_Constante!$EC$1</f>
        <v>31090622.986934282</v>
      </c>
      <c r="EI21" s="8">
        <f>+MINVU_Mes_Corriente!EI21*MINVU_Mes_Constante!$EC$1</f>
        <v>31090622.986934282</v>
      </c>
      <c r="EJ21" s="8">
        <f>+MINVU_Mes_Corriente!EJ21*MINVU_Mes_Constante!$EC$1</f>
        <v>31090622.986934282</v>
      </c>
      <c r="EK21" s="8">
        <f>+MINVU_Mes_Corriente!EK21*MINVU_Mes_Constante!$EC$1</f>
        <v>31090622.986934282</v>
      </c>
      <c r="EL21" s="8">
        <f>+MINVU_Mes_Corriente!EL21*MINVU_Mes_Constante!$EC$1</f>
        <v>31090622.986934282</v>
      </c>
      <c r="EM21" s="8">
        <f>+MINVU_Mes_Corriente!EM21*MINVU_Mes_Constante!$EC$1</f>
        <v>31090622.986934282</v>
      </c>
      <c r="EN21" s="8">
        <f>+MINVU_Mes_Corriente!EN21*MINVU_Mes_Constante!$EC$1</f>
        <v>31090622.986934282</v>
      </c>
      <c r="EO21" s="9">
        <f t="shared" si="10"/>
        <v>31090622.986934282</v>
      </c>
      <c r="EP21" s="8">
        <f>+MINVU_Mes_Corriente!EP21*MINVU_Mes_Constante!$EP$1</f>
        <v>33768075</v>
      </c>
      <c r="EQ21" s="8">
        <f>+MINVU_Mes_Corriente!EQ21*MINVU_Mes_Constante!$EP$1</f>
        <v>33768075</v>
      </c>
      <c r="ER21" s="8">
        <f>+MINVU_Mes_Corriente!ER21*MINVU_Mes_Constante!$EP$1</f>
        <v>33768075</v>
      </c>
      <c r="ES21" s="8">
        <f>+MINVU_Mes_Corriente!ES21*MINVU_Mes_Constante!$EP$1</f>
        <v>33768075</v>
      </c>
      <c r="ET21" s="8">
        <f>+MINVU_Mes_Corriente!ET21*MINVU_Mes_Constante!$EP$1</f>
        <v>33768075</v>
      </c>
      <c r="EU21" s="8">
        <f>+MINVU_Mes_Corriente!EU21*MINVU_Mes_Constante!$EP$1</f>
        <v>33768075</v>
      </c>
      <c r="EV21" s="8">
        <f>+MINVU_Mes_Corriente!EV21*MINVU_Mes_Constante!$EP$1</f>
        <v>33768075</v>
      </c>
      <c r="EW21" s="8">
        <f>+MINVU_Mes_Corriente!EW21*MINVU_Mes_Constante!$EP$1</f>
        <v>33768075</v>
      </c>
      <c r="EX21" s="8">
        <f>+MINVU_Mes_Corriente!EX21*MINVU_Mes_Constante!$EP$1</f>
        <v>33768075</v>
      </c>
      <c r="EY21" s="8">
        <f>+MINVU_Mes_Corriente!EY21*MINVU_Mes_Constante!$EP$1</f>
        <v>33768075</v>
      </c>
      <c r="EZ21" s="8">
        <f>+MINVU_Mes_Corriente!EZ21*MINVU_Mes_Constante!$EP$1</f>
        <v>33768075</v>
      </c>
      <c r="FA21" s="8">
        <f>+MINVU_Mes_Corriente!FA21*MINVU_Mes_Constante!$EP$1</f>
        <v>33768075</v>
      </c>
      <c r="FB21" s="9">
        <f t="shared" si="11"/>
        <v>33768075</v>
      </c>
      <c r="FC21" s="8">
        <f>+MINVU_Mes_Corriente!FC21*MINVU_Mes_Constante!$FC$1</f>
        <v>19941082</v>
      </c>
      <c r="FD21" s="8">
        <f>+MINVU_Mes_Corriente!FD21*MINVU_Mes_Constante!$FC$1</f>
        <v>19941082</v>
      </c>
      <c r="FE21" s="8">
        <f>+MINVU_Mes_Corriente!FE21*MINVU_Mes_Constante!$FC$1</f>
        <v>19941082</v>
      </c>
      <c r="FF21" s="8">
        <f>+MINVU_Mes_Corriente!FF21*MINVU_Mes_Constante!$FC$1</f>
        <v>19941082</v>
      </c>
      <c r="FG21" s="8">
        <f>+MINVU_Mes_Corriente!FG21*MINVU_Mes_Constante!$FC$1</f>
        <v>19941082</v>
      </c>
      <c r="FH21" s="8">
        <f>+MINVU_Mes_Corriente!FH21*MINVU_Mes_Constante!$FC$1</f>
        <v>19941082</v>
      </c>
      <c r="FI21" s="8">
        <f>+MINVU_Mes_Corriente!FI21*MINVU_Mes_Constante!$FC$1</f>
        <v>19941082</v>
      </c>
      <c r="FJ21" s="8"/>
      <c r="FK21" s="8"/>
      <c r="FL21" s="8"/>
      <c r="FM21" s="8"/>
      <c r="FN21" s="8"/>
      <c r="FO21" s="9">
        <f t="shared" si="12"/>
        <v>19941082</v>
      </c>
    </row>
    <row r="22" spans="2:171" ht="14.25" customHeight="1" x14ac:dyDescent="0.3">
      <c r="B22" s="7" t="s">
        <v>57</v>
      </c>
      <c r="C22" s="8">
        <f>+MINVU_Mes_Corriente!C22*MINVU_Mes_Constante!$C$1</f>
        <v>16374995.340649566</v>
      </c>
      <c r="D22" s="8">
        <f>+MINVU_Mes_Corriente!D22*MINVU_Mes_Constante!$C$1</f>
        <v>16374995.340649566</v>
      </c>
      <c r="E22" s="8">
        <f>+MINVU_Mes_Corriente!E22*MINVU_Mes_Constante!$C$1</f>
        <v>16374995.340649566</v>
      </c>
      <c r="F22" s="8">
        <f>+MINVU_Mes_Corriente!F22*MINVU_Mes_Constante!$C$1</f>
        <v>16374995.340649566</v>
      </c>
      <c r="G22" s="8">
        <f>+MINVU_Mes_Corriente!G22*MINVU_Mes_Constante!$C$1</f>
        <v>16374995.340649566</v>
      </c>
      <c r="H22" s="8">
        <f>+MINVU_Mes_Corriente!H22*MINVU_Mes_Constante!$C$1</f>
        <v>16374995.340649566</v>
      </c>
      <c r="I22" s="8">
        <f>+MINVU_Mes_Corriente!I22*MINVU_Mes_Constante!$C$1</f>
        <v>16374995.340649566</v>
      </c>
      <c r="J22" s="8">
        <f>+MINVU_Mes_Corriente!J22*MINVU_Mes_Constante!$C$1</f>
        <v>16374995.340649566</v>
      </c>
      <c r="K22" s="8">
        <f>+MINVU_Mes_Corriente!K22*MINVU_Mes_Constante!$C$1</f>
        <v>16374995.340649566</v>
      </c>
      <c r="L22" s="8">
        <f>+MINVU_Mes_Corriente!L22*MINVU_Mes_Constante!$C$1</f>
        <v>16374995.340649566</v>
      </c>
      <c r="M22" s="8">
        <f>+MINVU_Mes_Corriente!M22*MINVU_Mes_Constante!$C$1</f>
        <v>16374995.340649566</v>
      </c>
      <c r="N22" s="8">
        <f>+MINVU_Mes_Corriente!N22*MINVU_Mes_Constante!$C$1</f>
        <v>16374995.340649566</v>
      </c>
      <c r="O22" s="9">
        <f t="shared" si="0"/>
        <v>16374995.340649566</v>
      </c>
      <c r="P22" s="8">
        <f>+MINVU_Mes_Corriente!P22*MINVU_Mes_Constante!$P$1</f>
        <v>23293429.507884633</v>
      </c>
      <c r="Q22" s="8">
        <f>+MINVU_Mes_Corriente!Q22*MINVU_Mes_Constante!$P$1</f>
        <v>23293429.507884633</v>
      </c>
      <c r="R22" s="8">
        <f>+MINVU_Mes_Corriente!R22*MINVU_Mes_Constante!$P$1</f>
        <v>23293429.507884633</v>
      </c>
      <c r="S22" s="8">
        <f>+MINVU_Mes_Corriente!S22*MINVU_Mes_Constante!$P$1</f>
        <v>23293429.507884633</v>
      </c>
      <c r="T22" s="8">
        <f>+MINVU_Mes_Corriente!T22*MINVU_Mes_Constante!$P$1</f>
        <v>23293429.507884633</v>
      </c>
      <c r="U22" s="8">
        <f>+MINVU_Mes_Corriente!U22*MINVU_Mes_Constante!$P$1</f>
        <v>23293429.507884633</v>
      </c>
      <c r="V22" s="8">
        <f>+MINVU_Mes_Corriente!V22*MINVU_Mes_Constante!$P$1</f>
        <v>23293429.507884633</v>
      </c>
      <c r="W22" s="8">
        <f>+MINVU_Mes_Corriente!W22*MINVU_Mes_Constante!$P$1</f>
        <v>23293429.507884633</v>
      </c>
      <c r="X22" s="8">
        <f>+MINVU_Mes_Corriente!X22*MINVU_Mes_Constante!$P$1</f>
        <v>23293429.507884633</v>
      </c>
      <c r="Y22" s="8">
        <f>+MINVU_Mes_Corriente!Y22*MINVU_Mes_Constante!$P$1</f>
        <v>23293429.507884633</v>
      </c>
      <c r="Z22" s="8">
        <f>+MINVU_Mes_Corriente!Z22*MINVU_Mes_Constante!$P$1</f>
        <v>23293429.507884633</v>
      </c>
      <c r="AA22" s="8">
        <f>+MINVU_Mes_Corriente!AA22*MINVU_Mes_Constante!$P$1</f>
        <v>23293429.507884633</v>
      </c>
      <c r="AB22" s="9">
        <f t="shared" si="1"/>
        <v>23293429.507884633</v>
      </c>
      <c r="AC22" s="8">
        <f>+MINVU_Mes_Corriente!AC22*MINVU_Mes_Constante!$AC$1</f>
        <v>13259088.677272098</v>
      </c>
      <c r="AD22" s="8">
        <f>+MINVU_Mes_Corriente!AD22*MINVU_Mes_Constante!$AC$1</f>
        <v>13259088.677272098</v>
      </c>
      <c r="AE22" s="8">
        <f>+MINVU_Mes_Corriente!AE22*MINVU_Mes_Constante!$AC$1</f>
        <v>13259088.677272098</v>
      </c>
      <c r="AF22" s="8">
        <f>+MINVU_Mes_Corriente!AF22*MINVU_Mes_Constante!$AC$1</f>
        <v>13259088.677272098</v>
      </c>
      <c r="AG22" s="8">
        <f>+MINVU_Mes_Corriente!AG22*MINVU_Mes_Constante!$AC$1</f>
        <v>13259088.677272098</v>
      </c>
      <c r="AH22" s="8">
        <f>+MINVU_Mes_Corriente!AH22*MINVU_Mes_Constante!$AC$1</f>
        <v>13259088.677272098</v>
      </c>
      <c r="AI22" s="8">
        <f>+MINVU_Mes_Corriente!AI22*MINVU_Mes_Constante!$AC$1</f>
        <v>13259088.677272098</v>
      </c>
      <c r="AJ22" s="8">
        <f>+MINVU_Mes_Corriente!AJ22*MINVU_Mes_Constante!$AC$1</f>
        <v>13259088.677272098</v>
      </c>
      <c r="AK22" s="8">
        <f>+MINVU_Mes_Corriente!AK22*MINVU_Mes_Constante!$AC$1</f>
        <v>13259088.677272098</v>
      </c>
      <c r="AL22" s="8">
        <f>+MINVU_Mes_Corriente!AL22*MINVU_Mes_Constante!$AC$1</f>
        <v>13259088.677272098</v>
      </c>
      <c r="AM22" s="8">
        <f>+MINVU_Mes_Corriente!AM22*MINVU_Mes_Constante!$AC$1</f>
        <v>13259088.677272098</v>
      </c>
      <c r="AN22" s="8">
        <f>+MINVU_Mes_Corriente!AN22*MINVU_Mes_Constante!$AC$1</f>
        <v>13259088.677272098</v>
      </c>
      <c r="AO22" s="9">
        <f t="shared" si="2"/>
        <v>13259088.677272098</v>
      </c>
      <c r="AP22" s="8">
        <f>+MINVU_Mes_Corriente!AP22*MINVU_Mes_Constante!$AP$1</f>
        <v>13968724.737995401</v>
      </c>
      <c r="AQ22" s="8">
        <f>+MINVU_Mes_Corriente!AQ22*MINVU_Mes_Constante!$AP$1</f>
        <v>13968724.737995401</v>
      </c>
      <c r="AR22" s="8">
        <f>+MINVU_Mes_Corriente!AR22*MINVU_Mes_Constante!$AP$1</f>
        <v>13968724.737995401</v>
      </c>
      <c r="AS22" s="8">
        <f>+MINVU_Mes_Corriente!AS22*MINVU_Mes_Constante!$AP$1</f>
        <v>13968724.737995401</v>
      </c>
      <c r="AT22" s="8">
        <f>+MINVU_Mes_Corriente!AT22*MINVU_Mes_Constante!$AP$1</f>
        <v>13968724.737995401</v>
      </c>
      <c r="AU22" s="8">
        <f>+MINVU_Mes_Corriente!AU22*MINVU_Mes_Constante!$AP$1</f>
        <v>13968724.737995401</v>
      </c>
      <c r="AV22" s="8">
        <f>+MINVU_Mes_Corriente!AV22*MINVU_Mes_Constante!$AP$1</f>
        <v>13968724.737995401</v>
      </c>
      <c r="AW22" s="8">
        <f>+MINVU_Mes_Corriente!AW22*MINVU_Mes_Constante!$AP$1</f>
        <v>13968724.737995401</v>
      </c>
      <c r="AX22" s="8">
        <f>+MINVU_Mes_Corriente!AX22*MINVU_Mes_Constante!$AP$1</f>
        <v>13968724.737995401</v>
      </c>
      <c r="AY22" s="8">
        <f>+MINVU_Mes_Corriente!AY22*MINVU_Mes_Constante!$AP$1</f>
        <v>13968724.737995401</v>
      </c>
      <c r="AZ22" s="8">
        <f>+MINVU_Mes_Corriente!AZ22*MINVU_Mes_Constante!$AP$1</f>
        <v>13968724.737995401</v>
      </c>
      <c r="BA22" s="8">
        <f>+MINVU_Mes_Corriente!BA22*MINVU_Mes_Constante!$AP$1</f>
        <v>13968724.737995401</v>
      </c>
      <c r="BB22" s="9">
        <f t="shared" si="3"/>
        <v>13968724.737995401</v>
      </c>
      <c r="BC22" s="8">
        <f>+MINVU_Mes_Corriente!BC22*MINVU_Mes_Constante!$BC$1</f>
        <v>26260483.22642754</v>
      </c>
      <c r="BD22" s="8">
        <f>+MINVU_Mes_Corriente!BD22*MINVU_Mes_Constante!$BC$1</f>
        <v>26260483.22642754</v>
      </c>
      <c r="BE22" s="8">
        <f>+MINVU_Mes_Corriente!BE22*MINVU_Mes_Constante!$BC$1</f>
        <v>26260483.22642754</v>
      </c>
      <c r="BF22" s="8">
        <f>+MINVU_Mes_Corriente!BF22*MINVU_Mes_Constante!$BC$1</f>
        <v>26260483.22642754</v>
      </c>
      <c r="BG22" s="8">
        <f>+MINVU_Mes_Corriente!BG22*MINVU_Mes_Constante!$BC$1</f>
        <v>26260483.22642754</v>
      </c>
      <c r="BH22" s="8">
        <f>+MINVU_Mes_Corriente!BH22*MINVU_Mes_Constante!$BC$1</f>
        <v>26260483.22642754</v>
      </c>
      <c r="BI22" s="8">
        <f>+MINVU_Mes_Corriente!BI22*MINVU_Mes_Constante!$BC$1</f>
        <v>26260483.22642754</v>
      </c>
      <c r="BJ22" s="8">
        <f>+MINVU_Mes_Corriente!BJ22*MINVU_Mes_Constante!$BC$1</f>
        <v>26260483.22642754</v>
      </c>
      <c r="BK22" s="8">
        <f>+MINVU_Mes_Corriente!BK22*MINVU_Mes_Constante!$BC$1</f>
        <v>26260483.22642754</v>
      </c>
      <c r="BL22" s="8">
        <f>+MINVU_Mes_Corriente!BL22*MINVU_Mes_Constante!$BC$1</f>
        <v>26260483.22642754</v>
      </c>
      <c r="BM22" s="8">
        <f>+MINVU_Mes_Corriente!BM22*MINVU_Mes_Constante!$BC$1</f>
        <v>26260483.22642754</v>
      </c>
      <c r="BN22" s="8">
        <f>+MINVU_Mes_Corriente!BN22*MINVU_Mes_Constante!$BC$1</f>
        <v>26260483.22642754</v>
      </c>
      <c r="BO22" s="9">
        <f t="shared" si="4"/>
        <v>26260483.22642754</v>
      </c>
      <c r="BP22" s="8">
        <f>+MINVU_Mes_Corriente!BP22*MINVU_Mes_Constante!$BP$1</f>
        <v>22354374.961843792</v>
      </c>
      <c r="BQ22" s="8">
        <f>+MINVU_Mes_Corriente!BQ22*MINVU_Mes_Constante!$BP$1</f>
        <v>22354374.961843792</v>
      </c>
      <c r="BR22" s="8">
        <f>+MINVU_Mes_Corriente!BR22*MINVU_Mes_Constante!$BP$1</f>
        <v>22354374.961843792</v>
      </c>
      <c r="BS22" s="8">
        <f>+MINVU_Mes_Corriente!BS22*MINVU_Mes_Constante!$BP$1</f>
        <v>22354374.961843792</v>
      </c>
      <c r="BT22" s="8">
        <f>+MINVU_Mes_Corriente!BT22*MINVU_Mes_Constante!$BP$1</f>
        <v>22354374.961843792</v>
      </c>
      <c r="BU22" s="8">
        <f>+MINVU_Mes_Corriente!BU22*MINVU_Mes_Constante!$BP$1</f>
        <v>22354374.961843792</v>
      </c>
      <c r="BV22" s="8">
        <f>+MINVU_Mes_Corriente!BV22*MINVU_Mes_Constante!$BP$1</f>
        <v>22354374.961843792</v>
      </c>
      <c r="BW22" s="8">
        <f>+MINVU_Mes_Corriente!BW22*MINVU_Mes_Constante!$BP$1</f>
        <v>22354374.961843792</v>
      </c>
      <c r="BX22" s="8">
        <f>+MINVU_Mes_Corriente!BX22*MINVU_Mes_Constante!$BP$1</f>
        <v>22354374.961843792</v>
      </c>
      <c r="BY22" s="8">
        <f>+MINVU_Mes_Corriente!BY22*MINVU_Mes_Constante!$BP$1</f>
        <v>22354374.961843792</v>
      </c>
      <c r="BZ22" s="8">
        <f>+MINVU_Mes_Corriente!BZ22*MINVU_Mes_Constante!$BP$1</f>
        <v>22354374.961843792</v>
      </c>
      <c r="CA22" s="8">
        <f>+MINVU_Mes_Corriente!CA22*MINVU_Mes_Constante!$BP$1</f>
        <v>22354374.961843792</v>
      </c>
      <c r="CB22" s="9">
        <f t="shared" si="5"/>
        <v>22354374.961843792</v>
      </c>
      <c r="CC22" s="8">
        <f>+MINVU_Mes_Corriente!CC22*MINVU_Mes_Constante!$CC$1</f>
        <v>22338050.099216711</v>
      </c>
      <c r="CD22" s="8">
        <f>+MINVU_Mes_Corriente!CD22*MINVU_Mes_Constante!$CC$1</f>
        <v>22338050.099216711</v>
      </c>
      <c r="CE22" s="8">
        <f>+MINVU_Mes_Corriente!CE22*MINVU_Mes_Constante!$CC$1</f>
        <v>22338050.099216711</v>
      </c>
      <c r="CF22" s="8">
        <f>+MINVU_Mes_Corriente!CF22*MINVU_Mes_Constante!$CC$1</f>
        <v>22338050.099216711</v>
      </c>
      <c r="CG22" s="8">
        <f>+MINVU_Mes_Corriente!CG22*MINVU_Mes_Constante!$CC$1</f>
        <v>22338050.099216711</v>
      </c>
      <c r="CH22" s="8">
        <f>+MINVU_Mes_Corriente!CH22*MINVU_Mes_Constante!$CC$1</f>
        <v>22338050.099216711</v>
      </c>
      <c r="CI22" s="8">
        <f>+MINVU_Mes_Corriente!CI22*MINVU_Mes_Constante!$CC$1</f>
        <v>22338050.099216711</v>
      </c>
      <c r="CJ22" s="8">
        <f>+MINVU_Mes_Corriente!CJ22*MINVU_Mes_Constante!$CC$1</f>
        <v>22338050.099216711</v>
      </c>
      <c r="CK22" s="8">
        <f>+MINVU_Mes_Corriente!CK22*MINVU_Mes_Constante!$CC$1</f>
        <v>22338050.099216711</v>
      </c>
      <c r="CL22" s="8">
        <f>+MINVU_Mes_Corriente!CL22*MINVU_Mes_Constante!$CC$1</f>
        <v>22338050.099216711</v>
      </c>
      <c r="CM22" s="8">
        <f>+MINVU_Mes_Corriente!CM22*MINVU_Mes_Constante!$CC$1</f>
        <v>22338050.099216711</v>
      </c>
      <c r="CN22" s="8">
        <f>+MINVU_Mes_Corriente!CN22*MINVU_Mes_Constante!$CC$1</f>
        <v>22338050.099216711</v>
      </c>
      <c r="CO22" s="9">
        <f t="shared" si="6"/>
        <v>22338050.099216711</v>
      </c>
      <c r="CP22" s="8">
        <f>+MINVU_Mes_Corriente!CP22*MINVU_Mes_Constante!$CP$1</f>
        <v>22726017.891647328</v>
      </c>
      <c r="CQ22" s="8">
        <f>+MINVU_Mes_Corriente!CQ22*MINVU_Mes_Constante!$CP$1</f>
        <v>22726017.891647328</v>
      </c>
      <c r="CR22" s="8">
        <f>+MINVU_Mes_Corriente!CR22*MINVU_Mes_Constante!$CP$1</f>
        <v>22726017.891647328</v>
      </c>
      <c r="CS22" s="8">
        <f>+MINVU_Mes_Corriente!CS22*MINVU_Mes_Constante!$CP$1</f>
        <v>22726017.891647328</v>
      </c>
      <c r="CT22" s="8">
        <f>+MINVU_Mes_Corriente!CT22*MINVU_Mes_Constante!$CP$1</f>
        <v>22726017.891647328</v>
      </c>
      <c r="CU22" s="8">
        <f>+MINVU_Mes_Corriente!CU22*MINVU_Mes_Constante!$CP$1</f>
        <v>22726017.891647328</v>
      </c>
      <c r="CV22" s="8">
        <f>+MINVU_Mes_Corriente!CV22*MINVU_Mes_Constante!$CP$1</f>
        <v>22726017.891647328</v>
      </c>
      <c r="CW22" s="8">
        <f>+MINVU_Mes_Corriente!CW22*MINVU_Mes_Constante!$CP$1</f>
        <v>22726017.891647328</v>
      </c>
      <c r="CX22" s="8">
        <f>+MINVU_Mes_Corriente!CX22*MINVU_Mes_Constante!$CP$1</f>
        <v>22726017.891647328</v>
      </c>
      <c r="CY22" s="8">
        <f>+MINVU_Mes_Corriente!CY22*MINVU_Mes_Constante!$CP$1</f>
        <v>22726017.891647328</v>
      </c>
      <c r="CZ22" s="8">
        <f>+MINVU_Mes_Corriente!CZ22*MINVU_Mes_Constante!$CP$1</f>
        <v>22726017.891647328</v>
      </c>
      <c r="DA22" s="8">
        <f>+MINVU_Mes_Corriente!DA22*MINVU_Mes_Constante!$CP$1</f>
        <v>22726017.891647328</v>
      </c>
      <c r="DB22" s="9">
        <f t="shared" si="7"/>
        <v>22726017.891647328</v>
      </c>
      <c r="DC22" s="8">
        <f>+MINVU_Mes_Corriente!DC22*MINVU_Mes_Constante!$DC$1</f>
        <v>33115852.915543683</v>
      </c>
      <c r="DD22" s="8">
        <f>+MINVU_Mes_Corriente!DD22*MINVU_Mes_Constante!$DC$1</f>
        <v>33115852.915543683</v>
      </c>
      <c r="DE22" s="8">
        <f>+MINVU_Mes_Corriente!DE22*MINVU_Mes_Constante!$DC$1</f>
        <v>33115852.915543683</v>
      </c>
      <c r="DF22" s="8">
        <f>+MINVU_Mes_Corriente!DF22*MINVU_Mes_Constante!$DC$1</f>
        <v>33115852.915543683</v>
      </c>
      <c r="DG22" s="8">
        <f>+MINVU_Mes_Corriente!DG22*MINVU_Mes_Constante!$DC$1</f>
        <v>33115852.915543683</v>
      </c>
      <c r="DH22" s="8">
        <f>+MINVU_Mes_Corriente!DH22*MINVU_Mes_Constante!$DC$1</f>
        <v>33115852.915543683</v>
      </c>
      <c r="DI22" s="8">
        <f>+MINVU_Mes_Corriente!DI22*MINVU_Mes_Constante!$DC$1</f>
        <v>33115852.915543683</v>
      </c>
      <c r="DJ22" s="8">
        <f>+MINVU_Mes_Corriente!DJ22*MINVU_Mes_Constante!$DC$1</f>
        <v>33115852.915543683</v>
      </c>
      <c r="DK22" s="8">
        <f>+MINVU_Mes_Corriente!DK22*MINVU_Mes_Constante!$DC$1</f>
        <v>33115852.915543683</v>
      </c>
      <c r="DL22" s="8">
        <f>+MINVU_Mes_Corriente!DL22*MINVU_Mes_Constante!$DC$1</f>
        <v>33115852.915543683</v>
      </c>
      <c r="DM22" s="8">
        <f>+MINVU_Mes_Corriente!DM22*MINVU_Mes_Constante!$DC$1</f>
        <v>33115852.915543683</v>
      </c>
      <c r="DN22" s="8">
        <f>+MINVU_Mes_Corriente!DN22*MINVU_Mes_Constante!$DC$1</f>
        <v>33115852.915543683</v>
      </c>
      <c r="DO22" s="9">
        <f t="shared" si="8"/>
        <v>33115852.915543683</v>
      </c>
      <c r="DP22" s="8">
        <f>+MINVU_Mes_Corriente!DP22*MINVU_Mes_Constante!$DP$1</f>
        <v>37836314.109263659</v>
      </c>
      <c r="DQ22" s="8">
        <f>+MINVU_Mes_Corriente!DQ22*MINVU_Mes_Constante!$DP$1</f>
        <v>37836314.109263659</v>
      </c>
      <c r="DR22" s="8">
        <f>+MINVU_Mes_Corriente!DR22*MINVU_Mes_Constante!$DP$1</f>
        <v>37836314.109263659</v>
      </c>
      <c r="DS22" s="8">
        <f>+MINVU_Mes_Corriente!DS22*MINVU_Mes_Constante!$DP$1</f>
        <v>37836314.109263659</v>
      </c>
      <c r="DT22" s="8">
        <f>+MINVU_Mes_Corriente!DT22*MINVU_Mes_Constante!$DP$1</f>
        <v>37836314.109263659</v>
      </c>
      <c r="DU22" s="8">
        <f>+MINVU_Mes_Corriente!DU22*MINVU_Mes_Constante!$DP$1</f>
        <v>37836314.109263659</v>
      </c>
      <c r="DV22" s="8">
        <f>+MINVU_Mes_Corriente!DV22*MINVU_Mes_Constante!$DP$1</f>
        <v>37836314.109263659</v>
      </c>
      <c r="DW22" s="8">
        <f>+MINVU_Mes_Corriente!DW22*MINVU_Mes_Constante!$DP$1</f>
        <v>37836314.109263659</v>
      </c>
      <c r="DX22" s="8">
        <f>+MINVU_Mes_Corriente!DX22*MINVU_Mes_Constante!$DP$1</f>
        <v>37836314.109263659</v>
      </c>
      <c r="DY22" s="8">
        <f>+MINVU_Mes_Corriente!DY22*MINVU_Mes_Constante!$DP$1</f>
        <v>37836314.109263659</v>
      </c>
      <c r="DZ22" s="8">
        <f>+MINVU_Mes_Corriente!DZ22*MINVU_Mes_Constante!$DP$1</f>
        <v>37836314.109263659</v>
      </c>
      <c r="EA22" s="8">
        <f>+MINVU_Mes_Corriente!EA22*MINVU_Mes_Constante!$DP$1</f>
        <v>37836314.109263659</v>
      </c>
      <c r="EB22" s="9">
        <f t="shared" si="9"/>
        <v>37836314.109263659</v>
      </c>
      <c r="EC22" s="8">
        <f>+MINVU_Mes_Corriente!EC22*MINVU_Mes_Constante!$EC$1</f>
        <v>22359669.00738496</v>
      </c>
      <c r="ED22" s="8">
        <f>+MINVU_Mes_Corriente!ED22*MINVU_Mes_Constante!$EC$1</f>
        <v>22359669.00738496</v>
      </c>
      <c r="EE22" s="8">
        <f>+MINVU_Mes_Corriente!EE22*MINVU_Mes_Constante!$EC$1</f>
        <v>22359669.00738496</v>
      </c>
      <c r="EF22" s="8">
        <f>+MINVU_Mes_Corriente!EF22*MINVU_Mes_Constante!$EC$1</f>
        <v>22359669.00738496</v>
      </c>
      <c r="EG22" s="8">
        <f>+MINVU_Mes_Corriente!EG22*MINVU_Mes_Constante!$EC$1</f>
        <v>22359669.00738496</v>
      </c>
      <c r="EH22" s="8">
        <f>+MINVU_Mes_Corriente!EH22*MINVU_Mes_Constante!$EC$1</f>
        <v>22359669.00738496</v>
      </c>
      <c r="EI22" s="8">
        <f>+MINVU_Mes_Corriente!EI22*MINVU_Mes_Constante!$EC$1</f>
        <v>22359669.00738496</v>
      </c>
      <c r="EJ22" s="8">
        <f>+MINVU_Mes_Corriente!EJ22*MINVU_Mes_Constante!$EC$1</f>
        <v>22359669.00738496</v>
      </c>
      <c r="EK22" s="8">
        <f>+MINVU_Mes_Corriente!EK22*MINVU_Mes_Constante!$EC$1</f>
        <v>22359669.00738496</v>
      </c>
      <c r="EL22" s="8">
        <f>+MINVU_Mes_Corriente!EL22*MINVU_Mes_Constante!$EC$1</f>
        <v>22359669.00738496</v>
      </c>
      <c r="EM22" s="8">
        <f>+MINVU_Mes_Corriente!EM22*MINVU_Mes_Constante!$EC$1</f>
        <v>22359669.00738496</v>
      </c>
      <c r="EN22" s="8">
        <f>+MINVU_Mes_Corriente!EN22*MINVU_Mes_Constante!$EC$1</f>
        <v>22359669.00738496</v>
      </c>
      <c r="EO22" s="9">
        <f t="shared" si="10"/>
        <v>22359669.00738496</v>
      </c>
      <c r="EP22" s="8">
        <f>+MINVU_Mes_Corriente!EP22*MINVU_Mes_Constante!$EP$1</f>
        <v>24407573</v>
      </c>
      <c r="EQ22" s="8">
        <f>+MINVU_Mes_Corriente!EQ22*MINVU_Mes_Constante!$EP$1</f>
        <v>24407573</v>
      </c>
      <c r="ER22" s="8">
        <f>+MINVU_Mes_Corriente!ER22*MINVU_Mes_Constante!$EP$1</f>
        <v>24407573</v>
      </c>
      <c r="ES22" s="8">
        <f>+MINVU_Mes_Corriente!ES22*MINVU_Mes_Constante!$EP$1</f>
        <v>24407573</v>
      </c>
      <c r="ET22" s="8">
        <f>+MINVU_Mes_Corriente!ET22*MINVU_Mes_Constante!$EP$1</f>
        <v>24407573</v>
      </c>
      <c r="EU22" s="8">
        <f>+MINVU_Mes_Corriente!EU22*MINVU_Mes_Constante!$EP$1</f>
        <v>24407573</v>
      </c>
      <c r="EV22" s="8">
        <f>+MINVU_Mes_Corriente!EV22*MINVU_Mes_Constante!$EP$1</f>
        <v>24407573</v>
      </c>
      <c r="EW22" s="8">
        <f>+MINVU_Mes_Corriente!EW22*MINVU_Mes_Constante!$EP$1</f>
        <v>24407573</v>
      </c>
      <c r="EX22" s="8">
        <f>+MINVU_Mes_Corriente!EX22*MINVU_Mes_Constante!$EP$1</f>
        <v>24407573</v>
      </c>
      <c r="EY22" s="8">
        <f>+MINVU_Mes_Corriente!EY22*MINVU_Mes_Constante!$EP$1</f>
        <v>24407573</v>
      </c>
      <c r="EZ22" s="8">
        <f>+MINVU_Mes_Corriente!EZ22*MINVU_Mes_Constante!$EP$1</f>
        <v>24407573</v>
      </c>
      <c r="FA22" s="8">
        <f>+MINVU_Mes_Corriente!FA22*MINVU_Mes_Constante!$EP$1</f>
        <v>24407573</v>
      </c>
      <c r="FB22" s="9">
        <f t="shared" si="11"/>
        <v>24407573</v>
      </c>
      <c r="FC22" s="8">
        <f>+MINVU_Mes_Corriente!FC22*MINVU_Mes_Constante!$FC$1</f>
        <v>26486066</v>
      </c>
      <c r="FD22" s="8">
        <f>+MINVU_Mes_Corriente!FD22*MINVU_Mes_Constante!$FC$1</f>
        <v>26486066</v>
      </c>
      <c r="FE22" s="8">
        <f>+MINVU_Mes_Corriente!FE22*MINVU_Mes_Constante!$FC$1</f>
        <v>26486066</v>
      </c>
      <c r="FF22" s="8">
        <f>+MINVU_Mes_Corriente!FF22*MINVU_Mes_Constante!$FC$1</f>
        <v>26486066</v>
      </c>
      <c r="FG22" s="8">
        <f>+MINVU_Mes_Corriente!FG22*MINVU_Mes_Constante!$FC$1</f>
        <v>26486066</v>
      </c>
      <c r="FH22" s="8">
        <f>+MINVU_Mes_Corriente!FH22*MINVU_Mes_Constante!$FC$1</f>
        <v>26486066</v>
      </c>
      <c r="FI22" s="8">
        <f>+MINVU_Mes_Corriente!FI22*MINVU_Mes_Constante!$FC$1</f>
        <v>26486066</v>
      </c>
      <c r="FJ22" s="8"/>
      <c r="FK22" s="8"/>
      <c r="FL22" s="8"/>
      <c r="FM22" s="8"/>
      <c r="FN22" s="8"/>
      <c r="FO22" s="9">
        <f t="shared" si="12"/>
        <v>26486066</v>
      </c>
    </row>
    <row r="23" spans="2:171" ht="14.25" customHeight="1" x14ac:dyDescent="0.3">
      <c r="B23" s="7" t="s">
        <v>58</v>
      </c>
      <c r="C23" s="8">
        <f>+MINVU_Mes_Corriente!C23*MINVU_Mes_Constante!$C$1</f>
        <v>23959420.102031741</v>
      </c>
      <c r="D23" s="8">
        <f>+MINVU_Mes_Corriente!D23*MINVU_Mes_Constante!$C$1</f>
        <v>23959420.102031741</v>
      </c>
      <c r="E23" s="8">
        <f>+MINVU_Mes_Corriente!E23*MINVU_Mes_Constante!$C$1</f>
        <v>23959420.102031741</v>
      </c>
      <c r="F23" s="8">
        <f>+MINVU_Mes_Corriente!F23*MINVU_Mes_Constante!$C$1</f>
        <v>23959420.102031741</v>
      </c>
      <c r="G23" s="8">
        <f>+MINVU_Mes_Corriente!G23*MINVU_Mes_Constante!$C$1</f>
        <v>23959420.102031741</v>
      </c>
      <c r="H23" s="8">
        <f>+MINVU_Mes_Corriente!H23*MINVU_Mes_Constante!$C$1</f>
        <v>23959420.102031741</v>
      </c>
      <c r="I23" s="8">
        <f>+MINVU_Mes_Corriente!I23*MINVU_Mes_Constante!$C$1</f>
        <v>23959420.102031741</v>
      </c>
      <c r="J23" s="8">
        <f>+MINVU_Mes_Corriente!J23*MINVU_Mes_Constante!$C$1</f>
        <v>23959420.102031741</v>
      </c>
      <c r="K23" s="8">
        <f>+MINVU_Mes_Corriente!K23*MINVU_Mes_Constante!$C$1</f>
        <v>23959420.102031741</v>
      </c>
      <c r="L23" s="8">
        <f>+MINVU_Mes_Corriente!L23*MINVU_Mes_Constante!$C$1</f>
        <v>23959420.102031741</v>
      </c>
      <c r="M23" s="8">
        <f>+MINVU_Mes_Corriente!M23*MINVU_Mes_Constante!$C$1</f>
        <v>23959420.102031741</v>
      </c>
      <c r="N23" s="8">
        <f>+MINVU_Mes_Corriente!N23*MINVU_Mes_Constante!$C$1</f>
        <v>23959420.102031741</v>
      </c>
      <c r="O23" s="9">
        <f t="shared" si="0"/>
        <v>23959420.102031741</v>
      </c>
      <c r="P23" s="8">
        <f>+MINVU_Mes_Corriente!P23*MINVU_Mes_Constante!$P$1</f>
        <v>28873202.200028401</v>
      </c>
      <c r="Q23" s="8">
        <f>+MINVU_Mes_Corriente!Q23*MINVU_Mes_Constante!$P$1</f>
        <v>28873202.200028401</v>
      </c>
      <c r="R23" s="8">
        <f>+MINVU_Mes_Corriente!R23*MINVU_Mes_Constante!$P$1</f>
        <v>28873202.200028401</v>
      </c>
      <c r="S23" s="8">
        <f>+MINVU_Mes_Corriente!S23*MINVU_Mes_Constante!$P$1</f>
        <v>28873202.200028401</v>
      </c>
      <c r="T23" s="8">
        <f>+MINVU_Mes_Corriente!T23*MINVU_Mes_Constante!$P$1</f>
        <v>28873202.200028401</v>
      </c>
      <c r="U23" s="8">
        <f>+MINVU_Mes_Corriente!U23*MINVU_Mes_Constante!$P$1</f>
        <v>28873202.200028401</v>
      </c>
      <c r="V23" s="8">
        <f>+MINVU_Mes_Corriente!V23*MINVU_Mes_Constante!$P$1</f>
        <v>28873202.200028401</v>
      </c>
      <c r="W23" s="8">
        <f>+MINVU_Mes_Corriente!W23*MINVU_Mes_Constante!$P$1</f>
        <v>28873202.200028401</v>
      </c>
      <c r="X23" s="8">
        <f>+MINVU_Mes_Corriente!X23*MINVU_Mes_Constante!$P$1</f>
        <v>28873202.200028401</v>
      </c>
      <c r="Y23" s="8">
        <f>+MINVU_Mes_Corriente!Y23*MINVU_Mes_Constante!$P$1</f>
        <v>28873202.200028401</v>
      </c>
      <c r="Z23" s="8">
        <f>+MINVU_Mes_Corriente!Z23*MINVU_Mes_Constante!$P$1</f>
        <v>28873202.200028401</v>
      </c>
      <c r="AA23" s="8">
        <f>+MINVU_Mes_Corriente!AA23*MINVU_Mes_Constante!$P$1</f>
        <v>28873202.200028401</v>
      </c>
      <c r="AB23" s="9">
        <f t="shared" si="1"/>
        <v>28873202.200028401</v>
      </c>
      <c r="AC23" s="8">
        <f>+MINVU_Mes_Corriente!AC23*MINVU_Mes_Constante!$AC$1</f>
        <v>23557059.053534374</v>
      </c>
      <c r="AD23" s="8">
        <f>+MINVU_Mes_Corriente!AD23*MINVU_Mes_Constante!$AC$1</f>
        <v>23557059.053534374</v>
      </c>
      <c r="AE23" s="8">
        <f>+MINVU_Mes_Corriente!AE23*MINVU_Mes_Constante!$AC$1</f>
        <v>23557059.053534374</v>
      </c>
      <c r="AF23" s="8">
        <f>+MINVU_Mes_Corriente!AF23*MINVU_Mes_Constante!$AC$1</f>
        <v>23557059.053534374</v>
      </c>
      <c r="AG23" s="8">
        <f>+MINVU_Mes_Corriente!AG23*MINVU_Mes_Constante!$AC$1</f>
        <v>23557059.053534374</v>
      </c>
      <c r="AH23" s="8">
        <f>+MINVU_Mes_Corriente!AH23*MINVU_Mes_Constante!$AC$1</f>
        <v>23557059.053534374</v>
      </c>
      <c r="AI23" s="8">
        <f>+MINVU_Mes_Corriente!AI23*MINVU_Mes_Constante!$AC$1</f>
        <v>23557059.053534374</v>
      </c>
      <c r="AJ23" s="8">
        <f>+MINVU_Mes_Corriente!AJ23*MINVU_Mes_Constante!$AC$1</f>
        <v>23557059.053534374</v>
      </c>
      <c r="AK23" s="8">
        <f>+MINVU_Mes_Corriente!AK23*MINVU_Mes_Constante!$AC$1</f>
        <v>23557059.053534374</v>
      </c>
      <c r="AL23" s="8">
        <f>+MINVU_Mes_Corriente!AL23*MINVU_Mes_Constante!$AC$1</f>
        <v>23557059.053534374</v>
      </c>
      <c r="AM23" s="8">
        <f>+MINVU_Mes_Corriente!AM23*MINVU_Mes_Constante!$AC$1</f>
        <v>23557059.053534374</v>
      </c>
      <c r="AN23" s="8">
        <f>+MINVU_Mes_Corriente!AN23*MINVU_Mes_Constante!$AC$1</f>
        <v>23557059.053534374</v>
      </c>
      <c r="AO23" s="9">
        <f t="shared" si="2"/>
        <v>23557059.053534374</v>
      </c>
      <c r="AP23" s="8">
        <f>+MINVU_Mes_Corriente!AP23*MINVU_Mes_Constante!$AP$1</f>
        <v>27677353.629649665</v>
      </c>
      <c r="AQ23" s="8">
        <f>+MINVU_Mes_Corriente!AQ23*MINVU_Mes_Constante!$AP$1</f>
        <v>27677353.629649665</v>
      </c>
      <c r="AR23" s="8">
        <f>+MINVU_Mes_Corriente!AR23*MINVU_Mes_Constante!$AP$1</f>
        <v>27677353.629649665</v>
      </c>
      <c r="AS23" s="8">
        <f>+MINVU_Mes_Corriente!AS23*MINVU_Mes_Constante!$AP$1</f>
        <v>27677353.629649665</v>
      </c>
      <c r="AT23" s="8">
        <f>+MINVU_Mes_Corriente!AT23*MINVU_Mes_Constante!$AP$1</f>
        <v>27677353.629649665</v>
      </c>
      <c r="AU23" s="8">
        <f>+MINVU_Mes_Corriente!AU23*MINVU_Mes_Constante!$AP$1</f>
        <v>27677353.629649665</v>
      </c>
      <c r="AV23" s="8">
        <f>+MINVU_Mes_Corriente!AV23*MINVU_Mes_Constante!$AP$1</f>
        <v>27677353.629649665</v>
      </c>
      <c r="AW23" s="8">
        <f>+MINVU_Mes_Corriente!AW23*MINVU_Mes_Constante!$AP$1</f>
        <v>27677353.629649665</v>
      </c>
      <c r="AX23" s="8">
        <f>+MINVU_Mes_Corriente!AX23*MINVU_Mes_Constante!$AP$1</f>
        <v>27677353.629649665</v>
      </c>
      <c r="AY23" s="8">
        <f>+MINVU_Mes_Corriente!AY23*MINVU_Mes_Constante!$AP$1</f>
        <v>27677353.629649665</v>
      </c>
      <c r="AZ23" s="8">
        <f>+MINVU_Mes_Corriente!AZ23*MINVU_Mes_Constante!$AP$1</f>
        <v>27677353.629649665</v>
      </c>
      <c r="BA23" s="8">
        <f>+MINVU_Mes_Corriente!BA23*MINVU_Mes_Constante!$AP$1</f>
        <v>27677353.629649665</v>
      </c>
      <c r="BB23" s="9">
        <f t="shared" si="3"/>
        <v>27677353.629649665</v>
      </c>
      <c r="BC23" s="8">
        <f>+MINVU_Mes_Corriente!BC23*MINVU_Mes_Constante!$BC$1</f>
        <v>29670942.704206787</v>
      </c>
      <c r="BD23" s="8">
        <f>+MINVU_Mes_Corriente!BD23*MINVU_Mes_Constante!$BC$1</f>
        <v>29670942.704206787</v>
      </c>
      <c r="BE23" s="8">
        <f>+MINVU_Mes_Corriente!BE23*MINVU_Mes_Constante!$BC$1</f>
        <v>29670942.704206787</v>
      </c>
      <c r="BF23" s="8">
        <f>+MINVU_Mes_Corriente!BF23*MINVU_Mes_Constante!$BC$1</f>
        <v>29670942.704206787</v>
      </c>
      <c r="BG23" s="8">
        <f>+MINVU_Mes_Corriente!BG23*MINVU_Mes_Constante!$BC$1</f>
        <v>29670942.704206787</v>
      </c>
      <c r="BH23" s="8">
        <f>+MINVU_Mes_Corriente!BH23*MINVU_Mes_Constante!$BC$1</f>
        <v>29670942.704206787</v>
      </c>
      <c r="BI23" s="8">
        <f>+MINVU_Mes_Corriente!BI23*MINVU_Mes_Constante!$BC$1</f>
        <v>29670942.704206787</v>
      </c>
      <c r="BJ23" s="8">
        <f>+MINVU_Mes_Corriente!BJ23*MINVU_Mes_Constante!$BC$1</f>
        <v>29670942.704206787</v>
      </c>
      <c r="BK23" s="8">
        <f>+MINVU_Mes_Corriente!BK23*MINVU_Mes_Constante!$BC$1</f>
        <v>29670942.704206787</v>
      </c>
      <c r="BL23" s="8">
        <f>+MINVU_Mes_Corriente!BL23*MINVU_Mes_Constante!$BC$1</f>
        <v>29670942.704206787</v>
      </c>
      <c r="BM23" s="8">
        <f>+MINVU_Mes_Corriente!BM23*MINVU_Mes_Constante!$BC$1</f>
        <v>29670942.704206787</v>
      </c>
      <c r="BN23" s="8">
        <f>+MINVU_Mes_Corriente!BN23*MINVU_Mes_Constante!$BC$1</f>
        <v>29670942.704206787</v>
      </c>
      <c r="BO23" s="9">
        <f t="shared" si="4"/>
        <v>29670942.704206787</v>
      </c>
      <c r="BP23" s="8">
        <f>+MINVU_Mes_Corriente!BP23*MINVU_Mes_Constante!$BP$1</f>
        <v>29226353.310115241</v>
      </c>
      <c r="BQ23" s="8">
        <f>+MINVU_Mes_Corriente!BQ23*MINVU_Mes_Constante!$BP$1</f>
        <v>29226353.310115241</v>
      </c>
      <c r="BR23" s="8">
        <f>+MINVU_Mes_Corriente!BR23*MINVU_Mes_Constante!$BP$1</f>
        <v>29226353.310115241</v>
      </c>
      <c r="BS23" s="8">
        <f>+MINVU_Mes_Corriente!BS23*MINVU_Mes_Constante!$BP$1</f>
        <v>29226353.310115241</v>
      </c>
      <c r="BT23" s="8">
        <f>+MINVU_Mes_Corriente!BT23*MINVU_Mes_Constante!$BP$1</f>
        <v>29226353.310115241</v>
      </c>
      <c r="BU23" s="8">
        <f>+MINVU_Mes_Corriente!BU23*MINVU_Mes_Constante!$BP$1</f>
        <v>29226353.310115241</v>
      </c>
      <c r="BV23" s="8">
        <f>+MINVU_Mes_Corriente!BV23*MINVU_Mes_Constante!$BP$1</f>
        <v>29226353.310115241</v>
      </c>
      <c r="BW23" s="8">
        <f>+MINVU_Mes_Corriente!BW23*MINVU_Mes_Constante!$BP$1</f>
        <v>29226353.310115241</v>
      </c>
      <c r="BX23" s="8">
        <f>+MINVU_Mes_Corriente!BX23*MINVU_Mes_Constante!$BP$1</f>
        <v>29226353.310115241</v>
      </c>
      <c r="BY23" s="8">
        <f>+MINVU_Mes_Corriente!BY23*MINVU_Mes_Constante!$BP$1</f>
        <v>29226353.310115241</v>
      </c>
      <c r="BZ23" s="8">
        <f>+MINVU_Mes_Corriente!BZ23*MINVU_Mes_Constante!$BP$1</f>
        <v>29226353.310115241</v>
      </c>
      <c r="CA23" s="8">
        <f>+MINVU_Mes_Corriente!CA23*MINVU_Mes_Constante!$BP$1</f>
        <v>29226353.310115241</v>
      </c>
      <c r="CB23" s="9">
        <f t="shared" si="5"/>
        <v>29226353.310115241</v>
      </c>
      <c r="CC23" s="8">
        <f>+MINVU_Mes_Corriente!CC23*MINVU_Mes_Constante!$CC$1</f>
        <v>37595484.367027231</v>
      </c>
      <c r="CD23" s="8">
        <f>+MINVU_Mes_Corriente!CD23*MINVU_Mes_Constante!$CC$1</f>
        <v>37595484.367027231</v>
      </c>
      <c r="CE23" s="8">
        <f>+MINVU_Mes_Corriente!CE23*MINVU_Mes_Constante!$CC$1</f>
        <v>37595484.367027231</v>
      </c>
      <c r="CF23" s="8">
        <f>+MINVU_Mes_Corriente!CF23*MINVU_Mes_Constante!$CC$1</f>
        <v>37595484.367027231</v>
      </c>
      <c r="CG23" s="8">
        <f>+MINVU_Mes_Corriente!CG23*MINVU_Mes_Constante!$CC$1</f>
        <v>37595484.367027231</v>
      </c>
      <c r="CH23" s="8">
        <f>+MINVU_Mes_Corriente!CH23*MINVU_Mes_Constante!$CC$1</f>
        <v>37595484.367027231</v>
      </c>
      <c r="CI23" s="8">
        <f>+MINVU_Mes_Corriente!CI23*MINVU_Mes_Constante!$CC$1</f>
        <v>37595484.367027231</v>
      </c>
      <c r="CJ23" s="8">
        <f>+MINVU_Mes_Corriente!CJ23*MINVU_Mes_Constante!$CC$1</f>
        <v>37595484.367027231</v>
      </c>
      <c r="CK23" s="8">
        <f>+MINVU_Mes_Corriente!CK23*MINVU_Mes_Constante!$CC$1</f>
        <v>37595484.367027231</v>
      </c>
      <c r="CL23" s="8">
        <f>+MINVU_Mes_Corriente!CL23*MINVU_Mes_Constante!$CC$1</f>
        <v>37595484.367027231</v>
      </c>
      <c r="CM23" s="8">
        <f>+MINVU_Mes_Corriente!CM23*MINVU_Mes_Constante!$CC$1</f>
        <v>37595484.367027231</v>
      </c>
      <c r="CN23" s="8">
        <f>+MINVU_Mes_Corriente!CN23*MINVU_Mes_Constante!$CC$1</f>
        <v>37595484.367027231</v>
      </c>
      <c r="CO23" s="9">
        <f t="shared" si="6"/>
        <v>37595484.367027231</v>
      </c>
      <c r="CP23" s="8">
        <f>+MINVU_Mes_Corriente!CP23*MINVU_Mes_Constante!$CP$1</f>
        <v>38564537.619257532</v>
      </c>
      <c r="CQ23" s="8">
        <f>+MINVU_Mes_Corriente!CQ23*MINVU_Mes_Constante!$CP$1</f>
        <v>38564537.619257532</v>
      </c>
      <c r="CR23" s="8">
        <f>+MINVU_Mes_Corriente!CR23*MINVU_Mes_Constante!$CP$1</f>
        <v>38564537.619257532</v>
      </c>
      <c r="CS23" s="8">
        <f>+MINVU_Mes_Corriente!CS23*MINVU_Mes_Constante!$CP$1</f>
        <v>38564537.619257532</v>
      </c>
      <c r="CT23" s="8">
        <f>+MINVU_Mes_Corriente!CT23*MINVU_Mes_Constante!$CP$1</f>
        <v>38564537.619257532</v>
      </c>
      <c r="CU23" s="8">
        <f>+MINVU_Mes_Corriente!CU23*MINVU_Mes_Constante!$CP$1</f>
        <v>38564537.619257532</v>
      </c>
      <c r="CV23" s="8">
        <f>+MINVU_Mes_Corriente!CV23*MINVU_Mes_Constante!$CP$1</f>
        <v>38564537.619257532</v>
      </c>
      <c r="CW23" s="8">
        <f>+MINVU_Mes_Corriente!CW23*MINVU_Mes_Constante!$CP$1</f>
        <v>38564537.619257532</v>
      </c>
      <c r="CX23" s="8">
        <f>+MINVU_Mes_Corriente!CX23*MINVU_Mes_Constante!$CP$1</f>
        <v>38564537.619257532</v>
      </c>
      <c r="CY23" s="8">
        <f>+MINVU_Mes_Corriente!CY23*MINVU_Mes_Constante!$CP$1</f>
        <v>38564537.619257532</v>
      </c>
      <c r="CZ23" s="8">
        <f>+MINVU_Mes_Corriente!CZ23*MINVU_Mes_Constante!$CP$1</f>
        <v>38564537.619257532</v>
      </c>
      <c r="DA23" s="8">
        <f>+MINVU_Mes_Corriente!DA23*MINVU_Mes_Constante!$CP$1</f>
        <v>38564537.619257532</v>
      </c>
      <c r="DB23" s="9">
        <f t="shared" si="7"/>
        <v>38564537.619257532</v>
      </c>
      <c r="DC23" s="8">
        <f>+MINVU_Mes_Corriente!DC23*MINVU_Mes_Constante!$DC$1</f>
        <v>32259053.776566211</v>
      </c>
      <c r="DD23" s="8">
        <f>+MINVU_Mes_Corriente!DD23*MINVU_Mes_Constante!$DC$1</f>
        <v>32259053.776566211</v>
      </c>
      <c r="DE23" s="8">
        <f>+MINVU_Mes_Corriente!DE23*MINVU_Mes_Constante!$DC$1</f>
        <v>32259053.776566211</v>
      </c>
      <c r="DF23" s="8">
        <f>+MINVU_Mes_Corriente!DF23*MINVU_Mes_Constante!$DC$1</f>
        <v>32259053.776566211</v>
      </c>
      <c r="DG23" s="8">
        <f>+MINVU_Mes_Corriente!DG23*MINVU_Mes_Constante!$DC$1</f>
        <v>32259053.776566211</v>
      </c>
      <c r="DH23" s="8">
        <f>+MINVU_Mes_Corriente!DH23*MINVU_Mes_Constante!$DC$1</f>
        <v>32259053.776566211</v>
      </c>
      <c r="DI23" s="8">
        <f>+MINVU_Mes_Corriente!DI23*MINVU_Mes_Constante!$DC$1</f>
        <v>32259053.776566211</v>
      </c>
      <c r="DJ23" s="8">
        <f>+MINVU_Mes_Corriente!DJ23*MINVU_Mes_Constante!$DC$1</f>
        <v>32259053.776566211</v>
      </c>
      <c r="DK23" s="8">
        <f>+MINVU_Mes_Corriente!DK23*MINVU_Mes_Constante!$DC$1</f>
        <v>32259053.776566211</v>
      </c>
      <c r="DL23" s="8">
        <f>+MINVU_Mes_Corriente!DL23*MINVU_Mes_Constante!$DC$1</f>
        <v>32259053.776566211</v>
      </c>
      <c r="DM23" s="8">
        <f>+MINVU_Mes_Corriente!DM23*MINVU_Mes_Constante!$DC$1</f>
        <v>32259053.776566211</v>
      </c>
      <c r="DN23" s="8">
        <f>+MINVU_Mes_Corriente!DN23*MINVU_Mes_Constante!$DC$1</f>
        <v>32259053.776566211</v>
      </c>
      <c r="DO23" s="9">
        <f t="shared" si="8"/>
        <v>32259053.776566211</v>
      </c>
      <c r="DP23" s="8">
        <f>+MINVU_Mes_Corriente!DP23*MINVU_Mes_Constante!$DP$1</f>
        <v>23464252.195368174</v>
      </c>
      <c r="DQ23" s="8">
        <f>+MINVU_Mes_Corriente!DQ23*MINVU_Mes_Constante!$DP$1</f>
        <v>23464252.195368174</v>
      </c>
      <c r="DR23" s="8">
        <f>+MINVU_Mes_Corriente!DR23*MINVU_Mes_Constante!$DP$1</f>
        <v>23464252.195368174</v>
      </c>
      <c r="DS23" s="8">
        <f>+MINVU_Mes_Corriente!DS23*MINVU_Mes_Constante!$DP$1</f>
        <v>23464252.195368174</v>
      </c>
      <c r="DT23" s="8">
        <f>+MINVU_Mes_Corriente!DT23*MINVU_Mes_Constante!$DP$1</f>
        <v>23464252.195368174</v>
      </c>
      <c r="DU23" s="8">
        <f>+MINVU_Mes_Corriente!DU23*MINVU_Mes_Constante!$DP$1</f>
        <v>23464252.195368174</v>
      </c>
      <c r="DV23" s="8">
        <f>+MINVU_Mes_Corriente!DV23*MINVU_Mes_Constante!$DP$1</f>
        <v>23464252.195368174</v>
      </c>
      <c r="DW23" s="8">
        <f>+MINVU_Mes_Corriente!DW23*MINVU_Mes_Constante!$DP$1</f>
        <v>23464252.195368174</v>
      </c>
      <c r="DX23" s="8">
        <f>+MINVU_Mes_Corriente!DX23*MINVU_Mes_Constante!$DP$1</f>
        <v>23464252.195368174</v>
      </c>
      <c r="DY23" s="8">
        <f>+MINVU_Mes_Corriente!DY23*MINVU_Mes_Constante!$DP$1</f>
        <v>23464252.195368174</v>
      </c>
      <c r="DZ23" s="8">
        <f>+MINVU_Mes_Corriente!DZ23*MINVU_Mes_Constante!$DP$1</f>
        <v>23464252.195368174</v>
      </c>
      <c r="EA23" s="8">
        <f>+MINVU_Mes_Corriente!EA23*MINVU_Mes_Constante!$DP$1</f>
        <v>23464252.195368174</v>
      </c>
      <c r="EB23" s="9">
        <f t="shared" si="9"/>
        <v>23464252.195368174</v>
      </c>
      <c r="EC23" s="8">
        <f>+MINVU_Mes_Corriente!EC23*MINVU_Mes_Constante!$EC$1</f>
        <v>28485479.559742466</v>
      </c>
      <c r="ED23" s="8">
        <f>+MINVU_Mes_Corriente!ED23*MINVU_Mes_Constante!$EC$1</f>
        <v>28485479.559742466</v>
      </c>
      <c r="EE23" s="8">
        <f>+MINVU_Mes_Corriente!EE23*MINVU_Mes_Constante!$EC$1</f>
        <v>28485479.559742466</v>
      </c>
      <c r="EF23" s="8">
        <f>+MINVU_Mes_Corriente!EF23*MINVU_Mes_Constante!$EC$1</f>
        <v>28485479.559742466</v>
      </c>
      <c r="EG23" s="8">
        <f>+MINVU_Mes_Corriente!EG23*MINVU_Mes_Constante!$EC$1</f>
        <v>28485479.559742466</v>
      </c>
      <c r="EH23" s="8">
        <f>+MINVU_Mes_Corriente!EH23*MINVU_Mes_Constante!$EC$1</f>
        <v>28485479.559742466</v>
      </c>
      <c r="EI23" s="8">
        <f>+MINVU_Mes_Corriente!EI23*MINVU_Mes_Constante!$EC$1</f>
        <v>28485479.559742466</v>
      </c>
      <c r="EJ23" s="8">
        <f>+MINVU_Mes_Corriente!EJ23*MINVU_Mes_Constante!$EC$1</f>
        <v>28485479.559742466</v>
      </c>
      <c r="EK23" s="8">
        <f>+MINVU_Mes_Corriente!EK23*MINVU_Mes_Constante!$EC$1</f>
        <v>28485479.559742466</v>
      </c>
      <c r="EL23" s="8">
        <f>+MINVU_Mes_Corriente!EL23*MINVU_Mes_Constante!$EC$1</f>
        <v>28485479.559742466</v>
      </c>
      <c r="EM23" s="8">
        <f>+MINVU_Mes_Corriente!EM23*MINVU_Mes_Constante!$EC$1</f>
        <v>28485479.559742466</v>
      </c>
      <c r="EN23" s="8">
        <f>+MINVU_Mes_Corriente!EN23*MINVU_Mes_Constante!$EC$1</f>
        <v>28485479.559742466</v>
      </c>
      <c r="EO23" s="9">
        <f t="shared" si="10"/>
        <v>28485479.559742466</v>
      </c>
      <c r="EP23" s="8">
        <f>+MINVU_Mes_Corriente!EP23*MINVU_Mes_Constante!$EP$1</f>
        <v>21901695</v>
      </c>
      <c r="EQ23" s="8">
        <f>+MINVU_Mes_Corriente!EQ23*MINVU_Mes_Constante!$EP$1</f>
        <v>21901695</v>
      </c>
      <c r="ER23" s="8">
        <f>+MINVU_Mes_Corriente!ER23*MINVU_Mes_Constante!$EP$1</f>
        <v>21901695</v>
      </c>
      <c r="ES23" s="8">
        <f>+MINVU_Mes_Corriente!ES23*MINVU_Mes_Constante!$EP$1</f>
        <v>21901695</v>
      </c>
      <c r="ET23" s="8">
        <f>+MINVU_Mes_Corriente!ET23*MINVU_Mes_Constante!$EP$1</f>
        <v>21901695</v>
      </c>
      <c r="EU23" s="8">
        <f>+MINVU_Mes_Corriente!EU23*MINVU_Mes_Constante!$EP$1</f>
        <v>21901695</v>
      </c>
      <c r="EV23" s="8">
        <f>+MINVU_Mes_Corriente!EV23*MINVU_Mes_Constante!$EP$1</f>
        <v>21901695</v>
      </c>
      <c r="EW23" s="8">
        <f>+MINVU_Mes_Corriente!EW23*MINVU_Mes_Constante!$EP$1</f>
        <v>21901695</v>
      </c>
      <c r="EX23" s="8">
        <f>+MINVU_Mes_Corriente!EX23*MINVU_Mes_Constante!$EP$1</f>
        <v>21901695</v>
      </c>
      <c r="EY23" s="8">
        <f>+MINVU_Mes_Corriente!EY23*MINVU_Mes_Constante!$EP$1</f>
        <v>21901695</v>
      </c>
      <c r="EZ23" s="8">
        <f>+MINVU_Mes_Corriente!EZ23*MINVU_Mes_Constante!$EP$1</f>
        <v>21901695</v>
      </c>
      <c r="FA23" s="8">
        <f>+MINVU_Mes_Corriente!FA23*MINVU_Mes_Constante!$EP$1</f>
        <v>21901695</v>
      </c>
      <c r="FB23" s="9">
        <f t="shared" si="11"/>
        <v>21901695</v>
      </c>
      <c r="FC23" s="8">
        <f>+MINVU_Mes_Corriente!FC23*MINVU_Mes_Constante!$FC$1</f>
        <v>14354883</v>
      </c>
      <c r="FD23" s="8">
        <f>+MINVU_Mes_Corriente!FD23*MINVU_Mes_Constante!$FC$1</f>
        <v>14354883</v>
      </c>
      <c r="FE23" s="8">
        <f>+MINVU_Mes_Corriente!FE23*MINVU_Mes_Constante!$FC$1</f>
        <v>14354883</v>
      </c>
      <c r="FF23" s="8">
        <f>+MINVU_Mes_Corriente!FF23*MINVU_Mes_Constante!$FC$1</f>
        <v>14354883</v>
      </c>
      <c r="FG23" s="8">
        <f>+MINVU_Mes_Corriente!FG23*MINVU_Mes_Constante!$FC$1</f>
        <v>14354883</v>
      </c>
      <c r="FH23" s="8">
        <f>+MINVU_Mes_Corriente!FH23*MINVU_Mes_Constante!$FC$1</f>
        <v>14354883</v>
      </c>
      <c r="FI23" s="8">
        <f>+MINVU_Mes_Corriente!FI23*MINVU_Mes_Constante!$FC$1</f>
        <v>14354883</v>
      </c>
      <c r="FJ23" s="8"/>
      <c r="FK23" s="8"/>
      <c r="FL23" s="8"/>
      <c r="FM23" s="8"/>
      <c r="FN23" s="8"/>
      <c r="FO23" s="9">
        <f t="shared" si="12"/>
        <v>14354883</v>
      </c>
    </row>
    <row r="24" spans="2:171" ht="14.25" customHeight="1" x14ac:dyDescent="0.3">
      <c r="B24" s="7" t="s">
        <v>59</v>
      </c>
      <c r="C24" s="8">
        <f>+MINVU_Mes_Corriente!C24*MINVU_Mes_Constante!$C$1</f>
        <v>8737180.1447426975</v>
      </c>
      <c r="D24" s="8">
        <f>+MINVU_Mes_Corriente!D24*MINVU_Mes_Constante!$C$1</f>
        <v>8737180.1447426975</v>
      </c>
      <c r="E24" s="8">
        <f>+MINVU_Mes_Corriente!E24*MINVU_Mes_Constante!$C$1</f>
        <v>8737180.1447426975</v>
      </c>
      <c r="F24" s="8">
        <f>+MINVU_Mes_Corriente!F24*MINVU_Mes_Constante!$C$1</f>
        <v>8737180.1447426975</v>
      </c>
      <c r="G24" s="8">
        <f>+MINVU_Mes_Corriente!G24*MINVU_Mes_Constante!$C$1</f>
        <v>8737180.1447426975</v>
      </c>
      <c r="H24" s="8">
        <f>+MINVU_Mes_Corriente!H24*MINVU_Mes_Constante!$C$1</f>
        <v>8737180.1447426975</v>
      </c>
      <c r="I24" s="8">
        <f>+MINVU_Mes_Corriente!I24*MINVU_Mes_Constante!$C$1</f>
        <v>8737180.1447426975</v>
      </c>
      <c r="J24" s="8">
        <f>+MINVU_Mes_Corriente!J24*MINVU_Mes_Constante!$C$1</f>
        <v>8737180.1447426975</v>
      </c>
      <c r="K24" s="8">
        <f>+MINVU_Mes_Corriente!K24*MINVU_Mes_Constante!$C$1</f>
        <v>8737180.1447426975</v>
      </c>
      <c r="L24" s="8">
        <f>+MINVU_Mes_Corriente!L24*MINVU_Mes_Constante!$C$1</f>
        <v>8737180.1447426975</v>
      </c>
      <c r="M24" s="8">
        <f>+MINVU_Mes_Corriente!M24*MINVU_Mes_Constante!$C$1</f>
        <v>8737180.1447426975</v>
      </c>
      <c r="N24" s="8">
        <f>+MINVU_Mes_Corriente!N24*MINVU_Mes_Constante!$C$1</f>
        <v>8737180.1447426975</v>
      </c>
      <c r="O24" s="9">
        <f t="shared" si="0"/>
        <v>8737180.1447426975</v>
      </c>
      <c r="P24" s="8">
        <f>+MINVU_Mes_Corriente!P24*MINVU_Mes_Constante!$P$1</f>
        <v>8846683.9451626614</v>
      </c>
      <c r="Q24" s="8">
        <f>+MINVU_Mes_Corriente!Q24*MINVU_Mes_Constante!$P$1</f>
        <v>8846683.9451626614</v>
      </c>
      <c r="R24" s="8">
        <f>+MINVU_Mes_Corriente!R24*MINVU_Mes_Constante!$P$1</f>
        <v>8846683.9451626614</v>
      </c>
      <c r="S24" s="8">
        <f>+MINVU_Mes_Corriente!S24*MINVU_Mes_Constante!$P$1</f>
        <v>8846683.9451626614</v>
      </c>
      <c r="T24" s="8">
        <f>+MINVU_Mes_Corriente!T24*MINVU_Mes_Constante!$P$1</f>
        <v>8846683.9451626614</v>
      </c>
      <c r="U24" s="8">
        <f>+MINVU_Mes_Corriente!U24*MINVU_Mes_Constante!$P$1</f>
        <v>8846683.9451626614</v>
      </c>
      <c r="V24" s="8">
        <f>+MINVU_Mes_Corriente!V24*MINVU_Mes_Constante!$P$1</f>
        <v>8846683.9451626614</v>
      </c>
      <c r="W24" s="8">
        <f>+MINVU_Mes_Corriente!W24*MINVU_Mes_Constante!$P$1</f>
        <v>8846683.9451626614</v>
      </c>
      <c r="X24" s="8">
        <f>+MINVU_Mes_Corriente!X24*MINVU_Mes_Constante!$P$1</f>
        <v>8846683.9451626614</v>
      </c>
      <c r="Y24" s="8">
        <f>+MINVU_Mes_Corriente!Y24*MINVU_Mes_Constante!$P$1</f>
        <v>8846683.9451626614</v>
      </c>
      <c r="Z24" s="8">
        <f>+MINVU_Mes_Corriente!Z24*MINVU_Mes_Constante!$P$1</f>
        <v>8846683.9451626614</v>
      </c>
      <c r="AA24" s="8">
        <f>+MINVU_Mes_Corriente!AA24*MINVU_Mes_Constante!$P$1</f>
        <v>8846683.9451626614</v>
      </c>
      <c r="AB24" s="9">
        <f t="shared" si="1"/>
        <v>8846683.9451626614</v>
      </c>
      <c r="AC24" s="8">
        <f>+MINVU_Mes_Corriente!AC24*MINVU_Mes_Constante!$AC$1</f>
        <v>5350147.3728039842</v>
      </c>
      <c r="AD24" s="8">
        <f>+MINVU_Mes_Corriente!AD24*MINVU_Mes_Constante!$AC$1</f>
        <v>5350147.3728039842</v>
      </c>
      <c r="AE24" s="8">
        <f>+MINVU_Mes_Corriente!AE24*MINVU_Mes_Constante!$AC$1</f>
        <v>5350147.3728039842</v>
      </c>
      <c r="AF24" s="8">
        <f>+MINVU_Mes_Corriente!AF24*MINVU_Mes_Constante!$AC$1</f>
        <v>5350147.3728039842</v>
      </c>
      <c r="AG24" s="8">
        <f>+MINVU_Mes_Corriente!AG24*MINVU_Mes_Constante!$AC$1</f>
        <v>5350147.3728039842</v>
      </c>
      <c r="AH24" s="8">
        <f>+MINVU_Mes_Corriente!AH24*MINVU_Mes_Constante!$AC$1</f>
        <v>5350147.3728039842</v>
      </c>
      <c r="AI24" s="8">
        <f>+MINVU_Mes_Corriente!AI24*MINVU_Mes_Constante!$AC$1</f>
        <v>5350147.3728039842</v>
      </c>
      <c r="AJ24" s="8">
        <f>+MINVU_Mes_Corriente!AJ24*MINVU_Mes_Constante!$AC$1</f>
        <v>5350147.3728039842</v>
      </c>
      <c r="AK24" s="8">
        <f>+MINVU_Mes_Corriente!AK24*MINVU_Mes_Constante!$AC$1</f>
        <v>5350147.3728039842</v>
      </c>
      <c r="AL24" s="8">
        <f>+MINVU_Mes_Corriente!AL24*MINVU_Mes_Constante!$AC$1</f>
        <v>5350147.3728039842</v>
      </c>
      <c r="AM24" s="8">
        <f>+MINVU_Mes_Corriente!AM24*MINVU_Mes_Constante!$AC$1</f>
        <v>5350147.3728039842</v>
      </c>
      <c r="AN24" s="8">
        <f>+MINVU_Mes_Corriente!AN24*MINVU_Mes_Constante!$AC$1</f>
        <v>5350147.3728039842</v>
      </c>
      <c r="AO24" s="9">
        <f t="shared" si="2"/>
        <v>5350147.3728039842</v>
      </c>
      <c r="AP24" s="8">
        <f>+MINVU_Mes_Corriente!AP24*MINVU_Mes_Constante!$AP$1</f>
        <v>7578842.8811037466</v>
      </c>
      <c r="AQ24" s="8">
        <f>+MINVU_Mes_Corriente!AQ24*MINVU_Mes_Constante!$AP$1</f>
        <v>7578842.8811037466</v>
      </c>
      <c r="AR24" s="8">
        <f>+MINVU_Mes_Corriente!AR24*MINVU_Mes_Constante!$AP$1</f>
        <v>7578842.8811037466</v>
      </c>
      <c r="AS24" s="8">
        <f>+MINVU_Mes_Corriente!AS24*MINVU_Mes_Constante!$AP$1</f>
        <v>7578842.8811037466</v>
      </c>
      <c r="AT24" s="8">
        <f>+MINVU_Mes_Corriente!AT24*MINVU_Mes_Constante!$AP$1</f>
        <v>7578842.8811037466</v>
      </c>
      <c r="AU24" s="8">
        <f>+MINVU_Mes_Corriente!AU24*MINVU_Mes_Constante!$AP$1</f>
        <v>7578842.8811037466</v>
      </c>
      <c r="AV24" s="8">
        <f>+MINVU_Mes_Corriente!AV24*MINVU_Mes_Constante!$AP$1</f>
        <v>7578842.8811037466</v>
      </c>
      <c r="AW24" s="8">
        <f>+MINVU_Mes_Corriente!AW24*MINVU_Mes_Constante!$AP$1</f>
        <v>7578842.8811037466</v>
      </c>
      <c r="AX24" s="8">
        <f>+MINVU_Mes_Corriente!AX24*MINVU_Mes_Constante!$AP$1</f>
        <v>7578842.8811037466</v>
      </c>
      <c r="AY24" s="8">
        <f>+MINVU_Mes_Corriente!AY24*MINVU_Mes_Constante!$AP$1</f>
        <v>7578842.8811037466</v>
      </c>
      <c r="AZ24" s="8">
        <f>+MINVU_Mes_Corriente!AZ24*MINVU_Mes_Constante!$AP$1</f>
        <v>7578842.8811037466</v>
      </c>
      <c r="BA24" s="8">
        <f>+MINVU_Mes_Corriente!BA24*MINVU_Mes_Constante!$AP$1</f>
        <v>7578842.8811037466</v>
      </c>
      <c r="BB24" s="9">
        <f t="shared" si="3"/>
        <v>7578842.8811037466</v>
      </c>
      <c r="BC24" s="8">
        <f>+MINVU_Mes_Corriente!BC24*MINVU_Mes_Constante!$BC$1</f>
        <v>11916784.895423979</v>
      </c>
      <c r="BD24" s="8">
        <f>+MINVU_Mes_Corriente!BD24*MINVU_Mes_Constante!$BC$1</f>
        <v>11916784.895423979</v>
      </c>
      <c r="BE24" s="8">
        <f>+MINVU_Mes_Corriente!BE24*MINVU_Mes_Constante!$BC$1</f>
        <v>11916784.895423979</v>
      </c>
      <c r="BF24" s="8">
        <f>+MINVU_Mes_Corriente!BF24*MINVU_Mes_Constante!$BC$1</f>
        <v>11916784.895423979</v>
      </c>
      <c r="BG24" s="8">
        <f>+MINVU_Mes_Corriente!BG24*MINVU_Mes_Constante!$BC$1</f>
        <v>11916784.895423979</v>
      </c>
      <c r="BH24" s="8">
        <f>+MINVU_Mes_Corriente!BH24*MINVU_Mes_Constante!$BC$1</f>
        <v>11916784.895423979</v>
      </c>
      <c r="BI24" s="8">
        <f>+MINVU_Mes_Corriente!BI24*MINVU_Mes_Constante!$BC$1</f>
        <v>11916784.895423979</v>
      </c>
      <c r="BJ24" s="8">
        <f>+MINVU_Mes_Corriente!BJ24*MINVU_Mes_Constante!$BC$1</f>
        <v>11916784.895423979</v>
      </c>
      <c r="BK24" s="8">
        <f>+MINVU_Mes_Corriente!BK24*MINVU_Mes_Constante!$BC$1</f>
        <v>11916784.895423979</v>
      </c>
      <c r="BL24" s="8">
        <f>+MINVU_Mes_Corriente!BL24*MINVU_Mes_Constante!$BC$1</f>
        <v>11916784.895423979</v>
      </c>
      <c r="BM24" s="8">
        <f>+MINVU_Mes_Corriente!BM24*MINVU_Mes_Constante!$BC$1</f>
        <v>11916784.895423979</v>
      </c>
      <c r="BN24" s="8">
        <f>+MINVU_Mes_Corriente!BN24*MINVU_Mes_Constante!$BC$1</f>
        <v>11916784.895423979</v>
      </c>
      <c r="BO24" s="9">
        <f t="shared" si="4"/>
        <v>11916784.895423979</v>
      </c>
      <c r="BP24" s="8">
        <f>+MINVU_Mes_Corriente!BP24*MINVU_Mes_Constante!$BP$1</f>
        <v>4575695.4829705507</v>
      </c>
      <c r="BQ24" s="8">
        <f>+MINVU_Mes_Corriente!BQ24*MINVU_Mes_Constante!$BP$1</f>
        <v>4575695.4829705507</v>
      </c>
      <c r="BR24" s="8">
        <f>+MINVU_Mes_Corriente!BR24*MINVU_Mes_Constante!$BP$1</f>
        <v>4575695.4829705507</v>
      </c>
      <c r="BS24" s="8">
        <f>+MINVU_Mes_Corriente!BS24*MINVU_Mes_Constante!$BP$1</f>
        <v>4575695.4829705507</v>
      </c>
      <c r="BT24" s="8">
        <f>+MINVU_Mes_Corriente!BT24*MINVU_Mes_Constante!$BP$1</f>
        <v>4575695.4829705507</v>
      </c>
      <c r="BU24" s="8">
        <f>+MINVU_Mes_Corriente!BU24*MINVU_Mes_Constante!$BP$1</f>
        <v>4575695.4829705507</v>
      </c>
      <c r="BV24" s="8">
        <f>+MINVU_Mes_Corriente!BV24*MINVU_Mes_Constante!$BP$1</f>
        <v>4575695.4829705507</v>
      </c>
      <c r="BW24" s="8">
        <f>+MINVU_Mes_Corriente!BW24*MINVU_Mes_Constante!$BP$1</f>
        <v>4575695.4829705507</v>
      </c>
      <c r="BX24" s="8">
        <f>+MINVU_Mes_Corriente!BX24*MINVU_Mes_Constante!$BP$1</f>
        <v>4575695.4829705507</v>
      </c>
      <c r="BY24" s="8">
        <f>+MINVU_Mes_Corriente!BY24*MINVU_Mes_Constante!$BP$1</f>
        <v>4575695.4829705507</v>
      </c>
      <c r="BZ24" s="8">
        <f>+MINVU_Mes_Corriente!BZ24*MINVU_Mes_Constante!$BP$1</f>
        <v>4575695.4829705507</v>
      </c>
      <c r="CA24" s="8">
        <f>+MINVU_Mes_Corriente!CA24*MINVU_Mes_Constante!$BP$1</f>
        <v>4575695.4829705507</v>
      </c>
      <c r="CB24" s="9">
        <f t="shared" si="5"/>
        <v>4575695.4829705507</v>
      </c>
      <c r="CC24" s="8">
        <f>+MINVU_Mes_Corriente!CC24*MINVU_Mes_Constante!$CC$1</f>
        <v>10399019.852293922</v>
      </c>
      <c r="CD24" s="8">
        <f>+MINVU_Mes_Corriente!CD24*MINVU_Mes_Constante!$CC$1</f>
        <v>10399019.852293922</v>
      </c>
      <c r="CE24" s="8">
        <f>+MINVU_Mes_Corriente!CE24*MINVU_Mes_Constante!$CC$1</f>
        <v>10399019.852293922</v>
      </c>
      <c r="CF24" s="8">
        <f>+MINVU_Mes_Corriente!CF24*MINVU_Mes_Constante!$CC$1</f>
        <v>10399019.852293922</v>
      </c>
      <c r="CG24" s="8">
        <f>+MINVU_Mes_Corriente!CG24*MINVU_Mes_Constante!$CC$1</f>
        <v>10399019.852293922</v>
      </c>
      <c r="CH24" s="8">
        <f>+MINVU_Mes_Corriente!CH24*MINVU_Mes_Constante!$CC$1</f>
        <v>10399019.852293922</v>
      </c>
      <c r="CI24" s="8">
        <f>+MINVU_Mes_Corriente!CI24*MINVU_Mes_Constante!$CC$1</f>
        <v>10399019.852293922</v>
      </c>
      <c r="CJ24" s="8">
        <f>+MINVU_Mes_Corriente!CJ24*MINVU_Mes_Constante!$CC$1</f>
        <v>10399019.852293922</v>
      </c>
      <c r="CK24" s="8">
        <f>+MINVU_Mes_Corriente!CK24*MINVU_Mes_Constante!$CC$1</f>
        <v>10399019.852293922</v>
      </c>
      <c r="CL24" s="8">
        <f>+MINVU_Mes_Corriente!CL24*MINVU_Mes_Constante!$CC$1</f>
        <v>10399019.852293922</v>
      </c>
      <c r="CM24" s="8">
        <f>+MINVU_Mes_Corriente!CM24*MINVU_Mes_Constante!$CC$1</f>
        <v>10399019.852293922</v>
      </c>
      <c r="CN24" s="8">
        <f>+MINVU_Mes_Corriente!CN24*MINVU_Mes_Constante!$CC$1</f>
        <v>10399019.852293922</v>
      </c>
      <c r="CO24" s="9">
        <f t="shared" si="6"/>
        <v>10399019.852293922</v>
      </c>
      <c r="CP24" s="8">
        <f>+MINVU_Mes_Corriente!CP24*MINVU_Mes_Constante!$CP$1</f>
        <v>8880488.0227378178</v>
      </c>
      <c r="CQ24" s="8">
        <f>+MINVU_Mes_Corriente!CQ24*MINVU_Mes_Constante!$CP$1</f>
        <v>8880488.0227378178</v>
      </c>
      <c r="CR24" s="8">
        <f>+MINVU_Mes_Corriente!CR24*MINVU_Mes_Constante!$CP$1</f>
        <v>8880488.0227378178</v>
      </c>
      <c r="CS24" s="8">
        <f>+MINVU_Mes_Corriente!CS24*MINVU_Mes_Constante!$CP$1</f>
        <v>8880488.0227378178</v>
      </c>
      <c r="CT24" s="8">
        <f>+MINVU_Mes_Corriente!CT24*MINVU_Mes_Constante!$CP$1</f>
        <v>8880488.0227378178</v>
      </c>
      <c r="CU24" s="8">
        <f>+MINVU_Mes_Corriente!CU24*MINVU_Mes_Constante!$CP$1</f>
        <v>8880488.0227378178</v>
      </c>
      <c r="CV24" s="8">
        <f>+MINVU_Mes_Corriente!CV24*MINVU_Mes_Constante!$CP$1</f>
        <v>8880488.0227378178</v>
      </c>
      <c r="CW24" s="8">
        <f>+MINVU_Mes_Corriente!CW24*MINVU_Mes_Constante!$CP$1</f>
        <v>8880488.0227378178</v>
      </c>
      <c r="CX24" s="8">
        <f>+MINVU_Mes_Corriente!CX24*MINVU_Mes_Constante!$CP$1</f>
        <v>8880488.0227378178</v>
      </c>
      <c r="CY24" s="8">
        <f>+MINVU_Mes_Corriente!CY24*MINVU_Mes_Constante!$CP$1</f>
        <v>8880488.0227378178</v>
      </c>
      <c r="CZ24" s="8">
        <f>+MINVU_Mes_Corriente!CZ24*MINVU_Mes_Constante!$CP$1</f>
        <v>8880488.0227378178</v>
      </c>
      <c r="DA24" s="8">
        <f>+MINVU_Mes_Corriente!DA24*MINVU_Mes_Constante!$CP$1</f>
        <v>8880488.0227378178</v>
      </c>
      <c r="DB24" s="9">
        <f t="shared" si="7"/>
        <v>8880488.0227378178</v>
      </c>
      <c r="DC24" s="8">
        <f>+MINVU_Mes_Corriente!DC24*MINVU_Mes_Constante!$DC$1</f>
        <v>8107277.4531426849</v>
      </c>
      <c r="DD24" s="8">
        <f>+MINVU_Mes_Corriente!DD24*MINVU_Mes_Constante!$DC$1</f>
        <v>8107277.4531426849</v>
      </c>
      <c r="DE24" s="8">
        <f>+MINVU_Mes_Corriente!DE24*MINVU_Mes_Constante!$DC$1</f>
        <v>8107277.4531426849</v>
      </c>
      <c r="DF24" s="8">
        <f>+MINVU_Mes_Corriente!DF24*MINVU_Mes_Constante!$DC$1</f>
        <v>8107277.4531426849</v>
      </c>
      <c r="DG24" s="8">
        <f>+MINVU_Mes_Corriente!DG24*MINVU_Mes_Constante!$DC$1</f>
        <v>8107277.4531426849</v>
      </c>
      <c r="DH24" s="8">
        <f>+MINVU_Mes_Corriente!DH24*MINVU_Mes_Constante!$DC$1</f>
        <v>8107277.4531426849</v>
      </c>
      <c r="DI24" s="8">
        <f>+MINVU_Mes_Corriente!DI24*MINVU_Mes_Constante!$DC$1</f>
        <v>8107277.4531426849</v>
      </c>
      <c r="DJ24" s="8">
        <f>+MINVU_Mes_Corriente!DJ24*MINVU_Mes_Constante!$DC$1</f>
        <v>8107277.4531426849</v>
      </c>
      <c r="DK24" s="8">
        <f>+MINVU_Mes_Corriente!DK24*MINVU_Mes_Constante!$DC$1</f>
        <v>8107277.4531426849</v>
      </c>
      <c r="DL24" s="8">
        <f>+MINVU_Mes_Corriente!DL24*MINVU_Mes_Constante!$DC$1</f>
        <v>8107277.4531426849</v>
      </c>
      <c r="DM24" s="8">
        <f>+MINVU_Mes_Corriente!DM24*MINVU_Mes_Constante!$DC$1</f>
        <v>8107277.4531426849</v>
      </c>
      <c r="DN24" s="8">
        <f>+MINVU_Mes_Corriente!DN24*MINVU_Mes_Constante!$DC$1</f>
        <v>8107277.4531426849</v>
      </c>
      <c r="DO24" s="9">
        <f t="shared" si="8"/>
        <v>8107277.4531426849</v>
      </c>
      <c r="DP24" s="8">
        <f>+MINVU_Mes_Corriente!DP24*MINVU_Mes_Constante!$DP$1</f>
        <v>9403732.6710213777</v>
      </c>
      <c r="DQ24" s="8">
        <f>+MINVU_Mes_Corriente!DQ24*MINVU_Mes_Constante!$DP$1</f>
        <v>9403732.6710213777</v>
      </c>
      <c r="DR24" s="8">
        <f>+MINVU_Mes_Corriente!DR24*MINVU_Mes_Constante!$DP$1</f>
        <v>9403732.6710213777</v>
      </c>
      <c r="DS24" s="8">
        <f>+MINVU_Mes_Corriente!DS24*MINVU_Mes_Constante!$DP$1</f>
        <v>9403732.6710213777</v>
      </c>
      <c r="DT24" s="8">
        <f>+MINVU_Mes_Corriente!DT24*MINVU_Mes_Constante!$DP$1</f>
        <v>9403732.6710213777</v>
      </c>
      <c r="DU24" s="8">
        <f>+MINVU_Mes_Corriente!DU24*MINVU_Mes_Constante!$DP$1</f>
        <v>9403732.6710213777</v>
      </c>
      <c r="DV24" s="8">
        <f>+MINVU_Mes_Corriente!DV24*MINVU_Mes_Constante!$DP$1</f>
        <v>9403732.6710213777</v>
      </c>
      <c r="DW24" s="8">
        <f>+MINVU_Mes_Corriente!DW24*MINVU_Mes_Constante!$DP$1</f>
        <v>9403732.6710213777</v>
      </c>
      <c r="DX24" s="8">
        <f>+MINVU_Mes_Corriente!DX24*MINVU_Mes_Constante!$DP$1</f>
        <v>9403732.6710213777</v>
      </c>
      <c r="DY24" s="8">
        <f>+MINVU_Mes_Corriente!DY24*MINVU_Mes_Constante!$DP$1</f>
        <v>9403732.6710213777</v>
      </c>
      <c r="DZ24" s="8">
        <f>+MINVU_Mes_Corriente!DZ24*MINVU_Mes_Constante!$DP$1</f>
        <v>9403732.6710213777</v>
      </c>
      <c r="EA24" s="8">
        <f>+MINVU_Mes_Corriente!EA24*MINVU_Mes_Constante!$DP$1</f>
        <v>9403732.6710213777</v>
      </c>
      <c r="EB24" s="9">
        <f t="shared" si="9"/>
        <v>9403732.6710213777</v>
      </c>
      <c r="EC24" s="8">
        <f>+MINVU_Mes_Corriente!EC24*MINVU_Mes_Constante!$EC$1</f>
        <v>19491208.152622603</v>
      </c>
      <c r="ED24" s="8">
        <f>+MINVU_Mes_Corriente!ED24*MINVU_Mes_Constante!$EC$1</f>
        <v>19491208.152622603</v>
      </c>
      <c r="EE24" s="8">
        <f>+MINVU_Mes_Corriente!EE24*MINVU_Mes_Constante!$EC$1</f>
        <v>19491208.152622603</v>
      </c>
      <c r="EF24" s="8">
        <f>+MINVU_Mes_Corriente!EF24*MINVU_Mes_Constante!$EC$1</f>
        <v>19491208.152622603</v>
      </c>
      <c r="EG24" s="8">
        <f>+MINVU_Mes_Corriente!EG24*MINVU_Mes_Constante!$EC$1</f>
        <v>19491208.152622603</v>
      </c>
      <c r="EH24" s="8">
        <f>+MINVU_Mes_Corriente!EH24*MINVU_Mes_Constante!$EC$1</f>
        <v>19491208.152622603</v>
      </c>
      <c r="EI24" s="8">
        <f>+MINVU_Mes_Corriente!EI24*MINVU_Mes_Constante!$EC$1</f>
        <v>19491208.152622603</v>
      </c>
      <c r="EJ24" s="8">
        <f>+MINVU_Mes_Corriente!EJ24*MINVU_Mes_Constante!$EC$1</f>
        <v>19491208.152622603</v>
      </c>
      <c r="EK24" s="8">
        <f>+MINVU_Mes_Corriente!EK24*MINVU_Mes_Constante!$EC$1</f>
        <v>19491208.152622603</v>
      </c>
      <c r="EL24" s="8">
        <f>+MINVU_Mes_Corriente!EL24*MINVU_Mes_Constante!$EC$1</f>
        <v>19491208.152622603</v>
      </c>
      <c r="EM24" s="8">
        <f>+MINVU_Mes_Corriente!EM24*MINVU_Mes_Constante!$EC$1</f>
        <v>19491208.152622603</v>
      </c>
      <c r="EN24" s="8">
        <f>+MINVU_Mes_Corriente!EN24*MINVU_Mes_Constante!$EC$1</f>
        <v>19491208.152622603</v>
      </c>
      <c r="EO24" s="9">
        <f t="shared" si="10"/>
        <v>19491208.152622603</v>
      </c>
      <c r="EP24" s="8">
        <f>+MINVU_Mes_Corriente!EP24*MINVU_Mes_Constante!$EP$1</f>
        <v>15973417</v>
      </c>
      <c r="EQ24" s="8">
        <f>+MINVU_Mes_Corriente!EQ24*MINVU_Mes_Constante!$EP$1</f>
        <v>15973417</v>
      </c>
      <c r="ER24" s="8">
        <f>+MINVU_Mes_Corriente!ER24*MINVU_Mes_Constante!$EP$1</f>
        <v>15973417</v>
      </c>
      <c r="ES24" s="8">
        <f>+MINVU_Mes_Corriente!ES24*MINVU_Mes_Constante!$EP$1</f>
        <v>15973417</v>
      </c>
      <c r="ET24" s="8">
        <f>+MINVU_Mes_Corriente!ET24*MINVU_Mes_Constante!$EP$1</f>
        <v>15973417</v>
      </c>
      <c r="EU24" s="8">
        <f>+MINVU_Mes_Corriente!EU24*MINVU_Mes_Constante!$EP$1</f>
        <v>15973417</v>
      </c>
      <c r="EV24" s="8">
        <f>+MINVU_Mes_Corriente!EV24*MINVU_Mes_Constante!$EP$1</f>
        <v>15973417</v>
      </c>
      <c r="EW24" s="8">
        <f>+MINVU_Mes_Corriente!EW24*MINVU_Mes_Constante!$EP$1</f>
        <v>15973417</v>
      </c>
      <c r="EX24" s="8">
        <f>+MINVU_Mes_Corriente!EX24*MINVU_Mes_Constante!$EP$1</f>
        <v>15973417</v>
      </c>
      <c r="EY24" s="8">
        <f>+MINVU_Mes_Corriente!EY24*MINVU_Mes_Constante!$EP$1</f>
        <v>15973417</v>
      </c>
      <c r="EZ24" s="8">
        <f>+MINVU_Mes_Corriente!EZ24*MINVU_Mes_Constante!$EP$1</f>
        <v>15973417</v>
      </c>
      <c r="FA24" s="8">
        <f>+MINVU_Mes_Corriente!FA24*MINVU_Mes_Constante!$EP$1</f>
        <v>15973417</v>
      </c>
      <c r="FB24" s="9">
        <f t="shared" si="11"/>
        <v>15973417</v>
      </c>
      <c r="FC24" s="8">
        <f>+MINVU_Mes_Corriente!FC24*MINVU_Mes_Constante!$FC$1</f>
        <v>8237296</v>
      </c>
      <c r="FD24" s="8">
        <f>+MINVU_Mes_Corriente!FD24*MINVU_Mes_Constante!$FC$1</f>
        <v>8237296</v>
      </c>
      <c r="FE24" s="8">
        <f>+MINVU_Mes_Corriente!FE24*MINVU_Mes_Constante!$FC$1</f>
        <v>8237296</v>
      </c>
      <c r="FF24" s="8">
        <f>+MINVU_Mes_Corriente!FF24*MINVU_Mes_Constante!$FC$1</f>
        <v>8237296</v>
      </c>
      <c r="FG24" s="8">
        <f>+MINVU_Mes_Corriente!FG24*MINVU_Mes_Constante!$FC$1</f>
        <v>8237296</v>
      </c>
      <c r="FH24" s="8">
        <f>+MINVU_Mes_Corriente!FH24*MINVU_Mes_Constante!$FC$1</f>
        <v>8237296</v>
      </c>
      <c r="FI24" s="8">
        <f>+MINVU_Mes_Corriente!FI24*MINVU_Mes_Constante!$FC$1</f>
        <v>8237296</v>
      </c>
      <c r="FJ24" s="8"/>
      <c r="FK24" s="8"/>
      <c r="FL24" s="8"/>
      <c r="FM24" s="8"/>
      <c r="FN24" s="8"/>
      <c r="FO24" s="9">
        <f t="shared" si="12"/>
        <v>8237296</v>
      </c>
    </row>
    <row r="25" spans="2:171" ht="14.25" customHeight="1" x14ac:dyDescent="0.3">
      <c r="B25" s="7" t="s">
        <v>60</v>
      </c>
      <c r="C25" s="8">
        <f>+MINVU_Mes_Corriente!C25*MINVU_Mes_Constante!$C$1</f>
        <v>18482857.797419548</v>
      </c>
      <c r="D25" s="8">
        <f>+MINVU_Mes_Corriente!D25*MINVU_Mes_Constante!$C$1</f>
        <v>18482857.797419548</v>
      </c>
      <c r="E25" s="8">
        <f>+MINVU_Mes_Corriente!E25*MINVU_Mes_Constante!$C$1</f>
        <v>18482857.797419548</v>
      </c>
      <c r="F25" s="8">
        <f>+MINVU_Mes_Corriente!F25*MINVU_Mes_Constante!$C$1</f>
        <v>18482857.797419548</v>
      </c>
      <c r="G25" s="8">
        <f>+MINVU_Mes_Corriente!G25*MINVU_Mes_Constante!$C$1</f>
        <v>18482857.797419548</v>
      </c>
      <c r="H25" s="8">
        <f>+MINVU_Mes_Corriente!H25*MINVU_Mes_Constante!$C$1</f>
        <v>18482857.797419548</v>
      </c>
      <c r="I25" s="8">
        <f>+MINVU_Mes_Corriente!I25*MINVU_Mes_Constante!$C$1</f>
        <v>18482857.797419548</v>
      </c>
      <c r="J25" s="8">
        <f>+MINVU_Mes_Corriente!J25*MINVU_Mes_Constante!$C$1</f>
        <v>18482857.797419548</v>
      </c>
      <c r="K25" s="8">
        <f>+MINVU_Mes_Corriente!K25*MINVU_Mes_Constante!$C$1</f>
        <v>18482857.797419548</v>
      </c>
      <c r="L25" s="8">
        <f>+MINVU_Mes_Corriente!L25*MINVU_Mes_Constante!$C$1</f>
        <v>18482857.797419548</v>
      </c>
      <c r="M25" s="8">
        <f>+MINVU_Mes_Corriente!M25*MINVU_Mes_Constante!$C$1</f>
        <v>18482857.797419548</v>
      </c>
      <c r="N25" s="8">
        <f>+MINVU_Mes_Corriente!N25*MINVU_Mes_Constante!$C$1</f>
        <v>18482857.797419548</v>
      </c>
      <c r="O25" s="9">
        <f t="shared" si="0"/>
        <v>18482857.797419548</v>
      </c>
      <c r="P25" s="8">
        <f>+MINVU_Mes_Corriente!P25*MINVU_Mes_Constante!$P$1</f>
        <v>13378782.225884354</v>
      </c>
      <c r="Q25" s="8">
        <f>+MINVU_Mes_Corriente!Q25*MINVU_Mes_Constante!$P$1</f>
        <v>13378782.225884354</v>
      </c>
      <c r="R25" s="8">
        <f>+MINVU_Mes_Corriente!R25*MINVU_Mes_Constante!$P$1</f>
        <v>13378782.225884354</v>
      </c>
      <c r="S25" s="8">
        <f>+MINVU_Mes_Corriente!S25*MINVU_Mes_Constante!$P$1</f>
        <v>13378782.225884354</v>
      </c>
      <c r="T25" s="8">
        <f>+MINVU_Mes_Corriente!T25*MINVU_Mes_Constante!$P$1</f>
        <v>13378782.225884354</v>
      </c>
      <c r="U25" s="8">
        <f>+MINVU_Mes_Corriente!U25*MINVU_Mes_Constante!$P$1</f>
        <v>13378782.225884354</v>
      </c>
      <c r="V25" s="8">
        <f>+MINVU_Mes_Corriente!V25*MINVU_Mes_Constante!$P$1</f>
        <v>13378782.225884354</v>
      </c>
      <c r="W25" s="8">
        <f>+MINVU_Mes_Corriente!W25*MINVU_Mes_Constante!$P$1</f>
        <v>13378782.225884354</v>
      </c>
      <c r="X25" s="8">
        <f>+MINVU_Mes_Corriente!X25*MINVU_Mes_Constante!$P$1</f>
        <v>13378782.225884354</v>
      </c>
      <c r="Y25" s="8">
        <f>+MINVU_Mes_Corriente!Y25*MINVU_Mes_Constante!$P$1</f>
        <v>13378782.225884354</v>
      </c>
      <c r="Z25" s="8">
        <f>+MINVU_Mes_Corriente!Z25*MINVU_Mes_Constante!$P$1</f>
        <v>13378782.225884354</v>
      </c>
      <c r="AA25" s="8">
        <f>+MINVU_Mes_Corriente!AA25*MINVU_Mes_Constante!$P$1</f>
        <v>13378782.225884354</v>
      </c>
      <c r="AB25" s="9">
        <f t="shared" si="1"/>
        <v>13378782.225884354</v>
      </c>
      <c r="AC25" s="8">
        <f>+MINVU_Mes_Corriente!AC25*MINVU_Mes_Constante!$AC$1</f>
        <v>12359553.470189514</v>
      </c>
      <c r="AD25" s="8">
        <f>+MINVU_Mes_Corriente!AD25*MINVU_Mes_Constante!$AC$1</f>
        <v>12359553.470189514</v>
      </c>
      <c r="AE25" s="8">
        <f>+MINVU_Mes_Corriente!AE25*MINVU_Mes_Constante!$AC$1</f>
        <v>12359553.470189514</v>
      </c>
      <c r="AF25" s="8">
        <f>+MINVU_Mes_Corriente!AF25*MINVU_Mes_Constante!$AC$1</f>
        <v>12359553.470189514</v>
      </c>
      <c r="AG25" s="8">
        <f>+MINVU_Mes_Corriente!AG25*MINVU_Mes_Constante!$AC$1</f>
        <v>12359553.470189514</v>
      </c>
      <c r="AH25" s="8">
        <f>+MINVU_Mes_Corriente!AH25*MINVU_Mes_Constante!$AC$1</f>
        <v>12359553.470189514</v>
      </c>
      <c r="AI25" s="8">
        <f>+MINVU_Mes_Corriente!AI25*MINVU_Mes_Constante!$AC$1</f>
        <v>12359553.470189514</v>
      </c>
      <c r="AJ25" s="8">
        <f>+MINVU_Mes_Corriente!AJ25*MINVU_Mes_Constante!$AC$1</f>
        <v>12359553.470189514</v>
      </c>
      <c r="AK25" s="8">
        <f>+MINVU_Mes_Corriente!AK25*MINVU_Mes_Constante!$AC$1</f>
        <v>12359553.470189514</v>
      </c>
      <c r="AL25" s="8">
        <f>+MINVU_Mes_Corriente!AL25*MINVU_Mes_Constante!$AC$1</f>
        <v>12359553.470189514</v>
      </c>
      <c r="AM25" s="8">
        <f>+MINVU_Mes_Corriente!AM25*MINVU_Mes_Constante!$AC$1</f>
        <v>12359553.470189514</v>
      </c>
      <c r="AN25" s="8">
        <f>+MINVU_Mes_Corriente!AN25*MINVU_Mes_Constante!$AC$1</f>
        <v>12359553.470189514</v>
      </c>
      <c r="AO25" s="9">
        <f t="shared" si="2"/>
        <v>12359553.470189514</v>
      </c>
      <c r="AP25" s="8">
        <f>+MINVU_Mes_Corriente!AP25*MINVU_Mes_Constante!$AP$1</f>
        <v>15896502.384688217</v>
      </c>
      <c r="AQ25" s="8">
        <f>+MINVU_Mes_Corriente!AQ25*MINVU_Mes_Constante!$AP$1</f>
        <v>15896502.384688217</v>
      </c>
      <c r="AR25" s="8">
        <f>+MINVU_Mes_Corriente!AR25*MINVU_Mes_Constante!$AP$1</f>
        <v>15896502.384688217</v>
      </c>
      <c r="AS25" s="8">
        <f>+MINVU_Mes_Corriente!AS25*MINVU_Mes_Constante!$AP$1</f>
        <v>15896502.384688217</v>
      </c>
      <c r="AT25" s="8">
        <f>+MINVU_Mes_Corriente!AT25*MINVU_Mes_Constante!$AP$1</f>
        <v>15896502.384688217</v>
      </c>
      <c r="AU25" s="8">
        <f>+MINVU_Mes_Corriente!AU25*MINVU_Mes_Constante!$AP$1</f>
        <v>15896502.384688217</v>
      </c>
      <c r="AV25" s="8">
        <f>+MINVU_Mes_Corriente!AV25*MINVU_Mes_Constante!$AP$1</f>
        <v>15896502.384688217</v>
      </c>
      <c r="AW25" s="8">
        <f>+MINVU_Mes_Corriente!AW25*MINVU_Mes_Constante!$AP$1</f>
        <v>15896502.384688217</v>
      </c>
      <c r="AX25" s="8">
        <f>+MINVU_Mes_Corriente!AX25*MINVU_Mes_Constante!$AP$1</f>
        <v>15896502.384688217</v>
      </c>
      <c r="AY25" s="8">
        <f>+MINVU_Mes_Corriente!AY25*MINVU_Mes_Constante!$AP$1</f>
        <v>15896502.384688217</v>
      </c>
      <c r="AZ25" s="8">
        <f>+MINVU_Mes_Corriente!AZ25*MINVU_Mes_Constante!$AP$1</f>
        <v>15896502.384688217</v>
      </c>
      <c r="BA25" s="8">
        <f>+MINVU_Mes_Corriente!BA25*MINVU_Mes_Constante!$AP$1</f>
        <v>15896502.384688217</v>
      </c>
      <c r="BB25" s="9">
        <f t="shared" si="3"/>
        <v>15896502.384688217</v>
      </c>
      <c r="BC25" s="8">
        <f>+MINVU_Mes_Corriente!BC25*MINVU_Mes_Constante!$BC$1</f>
        <v>16565228.0374522</v>
      </c>
      <c r="BD25" s="8">
        <f>+MINVU_Mes_Corriente!BD25*MINVU_Mes_Constante!$BC$1</f>
        <v>16565228.0374522</v>
      </c>
      <c r="BE25" s="8">
        <f>+MINVU_Mes_Corriente!BE25*MINVU_Mes_Constante!$BC$1</f>
        <v>16565228.0374522</v>
      </c>
      <c r="BF25" s="8">
        <f>+MINVU_Mes_Corriente!BF25*MINVU_Mes_Constante!$BC$1</f>
        <v>16565228.0374522</v>
      </c>
      <c r="BG25" s="8">
        <f>+MINVU_Mes_Corriente!BG25*MINVU_Mes_Constante!$BC$1</f>
        <v>16565228.0374522</v>
      </c>
      <c r="BH25" s="8">
        <f>+MINVU_Mes_Corriente!BH25*MINVU_Mes_Constante!$BC$1</f>
        <v>16565228.0374522</v>
      </c>
      <c r="BI25" s="8">
        <f>+MINVU_Mes_Corriente!BI25*MINVU_Mes_Constante!$BC$1</f>
        <v>16565228.0374522</v>
      </c>
      <c r="BJ25" s="8">
        <f>+MINVU_Mes_Corriente!BJ25*MINVU_Mes_Constante!$BC$1</f>
        <v>16565228.0374522</v>
      </c>
      <c r="BK25" s="8">
        <f>+MINVU_Mes_Corriente!BK25*MINVU_Mes_Constante!$BC$1</f>
        <v>16565228.0374522</v>
      </c>
      <c r="BL25" s="8">
        <f>+MINVU_Mes_Corriente!BL25*MINVU_Mes_Constante!$BC$1</f>
        <v>16565228.0374522</v>
      </c>
      <c r="BM25" s="8">
        <f>+MINVU_Mes_Corriente!BM25*MINVU_Mes_Constante!$BC$1</f>
        <v>16565228.0374522</v>
      </c>
      <c r="BN25" s="8">
        <f>+MINVU_Mes_Corriente!BN25*MINVU_Mes_Constante!$BC$1</f>
        <v>16565228.0374522</v>
      </c>
      <c r="BO25" s="9">
        <f t="shared" si="4"/>
        <v>16565228.0374522</v>
      </c>
      <c r="BP25" s="8">
        <f>+MINVU_Mes_Corriente!BP25*MINVU_Mes_Constante!$BP$1</f>
        <v>21530000.567477595</v>
      </c>
      <c r="BQ25" s="8">
        <f>+MINVU_Mes_Corriente!BQ25*MINVU_Mes_Constante!$BP$1</f>
        <v>21530000.567477595</v>
      </c>
      <c r="BR25" s="8">
        <f>+MINVU_Mes_Corriente!BR25*MINVU_Mes_Constante!$BP$1</f>
        <v>21530000.567477595</v>
      </c>
      <c r="BS25" s="8">
        <f>+MINVU_Mes_Corriente!BS25*MINVU_Mes_Constante!$BP$1</f>
        <v>21530000.567477595</v>
      </c>
      <c r="BT25" s="8">
        <f>+MINVU_Mes_Corriente!BT25*MINVU_Mes_Constante!$BP$1</f>
        <v>21530000.567477595</v>
      </c>
      <c r="BU25" s="8">
        <f>+MINVU_Mes_Corriente!BU25*MINVU_Mes_Constante!$BP$1</f>
        <v>21530000.567477595</v>
      </c>
      <c r="BV25" s="8">
        <f>+MINVU_Mes_Corriente!BV25*MINVU_Mes_Constante!$BP$1</f>
        <v>21530000.567477595</v>
      </c>
      <c r="BW25" s="8">
        <f>+MINVU_Mes_Corriente!BW25*MINVU_Mes_Constante!$BP$1</f>
        <v>21530000.567477595</v>
      </c>
      <c r="BX25" s="8">
        <f>+MINVU_Mes_Corriente!BX25*MINVU_Mes_Constante!$BP$1</f>
        <v>21530000.567477595</v>
      </c>
      <c r="BY25" s="8">
        <f>+MINVU_Mes_Corriente!BY25*MINVU_Mes_Constante!$BP$1</f>
        <v>21530000.567477595</v>
      </c>
      <c r="BZ25" s="8">
        <f>+MINVU_Mes_Corriente!BZ25*MINVU_Mes_Constante!$BP$1</f>
        <v>21530000.567477595</v>
      </c>
      <c r="CA25" s="8">
        <f>+MINVU_Mes_Corriente!CA25*MINVU_Mes_Constante!$BP$1</f>
        <v>21530000.567477595</v>
      </c>
      <c r="CB25" s="9">
        <f t="shared" si="5"/>
        <v>21530000.567477595</v>
      </c>
      <c r="CC25" s="8">
        <f>+MINVU_Mes_Corriente!CC25*MINVU_Mes_Constante!$CC$1</f>
        <v>16344127.734427454</v>
      </c>
      <c r="CD25" s="8">
        <f>+MINVU_Mes_Corriente!CD25*MINVU_Mes_Constante!$CC$1</f>
        <v>16344127.734427454</v>
      </c>
      <c r="CE25" s="8">
        <f>+MINVU_Mes_Corriente!CE25*MINVU_Mes_Constante!$CC$1</f>
        <v>16344127.734427454</v>
      </c>
      <c r="CF25" s="8">
        <f>+MINVU_Mes_Corriente!CF25*MINVU_Mes_Constante!$CC$1</f>
        <v>16344127.734427454</v>
      </c>
      <c r="CG25" s="8">
        <f>+MINVU_Mes_Corriente!CG25*MINVU_Mes_Constante!$CC$1</f>
        <v>16344127.734427454</v>
      </c>
      <c r="CH25" s="8">
        <f>+MINVU_Mes_Corriente!CH25*MINVU_Mes_Constante!$CC$1</f>
        <v>16344127.734427454</v>
      </c>
      <c r="CI25" s="8">
        <f>+MINVU_Mes_Corriente!CI25*MINVU_Mes_Constante!$CC$1</f>
        <v>16344127.734427454</v>
      </c>
      <c r="CJ25" s="8">
        <f>+MINVU_Mes_Corriente!CJ25*MINVU_Mes_Constante!$CC$1</f>
        <v>16344127.734427454</v>
      </c>
      <c r="CK25" s="8">
        <f>+MINVU_Mes_Corriente!CK25*MINVU_Mes_Constante!$CC$1</f>
        <v>16344127.734427454</v>
      </c>
      <c r="CL25" s="8">
        <f>+MINVU_Mes_Corriente!CL25*MINVU_Mes_Constante!$CC$1</f>
        <v>16344127.734427454</v>
      </c>
      <c r="CM25" s="8">
        <f>+MINVU_Mes_Corriente!CM25*MINVU_Mes_Constante!$CC$1</f>
        <v>16344127.734427454</v>
      </c>
      <c r="CN25" s="8">
        <f>+MINVU_Mes_Corriente!CN25*MINVU_Mes_Constante!$CC$1</f>
        <v>16344127.734427454</v>
      </c>
      <c r="CO25" s="9">
        <f t="shared" si="6"/>
        <v>16344127.734427454</v>
      </c>
      <c r="CP25" s="8">
        <f>+MINVU_Mes_Corriente!CP25*MINVU_Mes_Constante!$CP$1</f>
        <v>12399694.316937352</v>
      </c>
      <c r="CQ25" s="8">
        <f>+MINVU_Mes_Corriente!CQ25*MINVU_Mes_Constante!$CP$1</f>
        <v>12399694.316937352</v>
      </c>
      <c r="CR25" s="8">
        <f>+MINVU_Mes_Corriente!CR25*MINVU_Mes_Constante!$CP$1</f>
        <v>12399694.316937352</v>
      </c>
      <c r="CS25" s="8">
        <f>+MINVU_Mes_Corriente!CS25*MINVU_Mes_Constante!$CP$1</f>
        <v>12399694.316937352</v>
      </c>
      <c r="CT25" s="8">
        <f>+MINVU_Mes_Corriente!CT25*MINVU_Mes_Constante!$CP$1</f>
        <v>12399694.316937352</v>
      </c>
      <c r="CU25" s="8">
        <f>+MINVU_Mes_Corriente!CU25*MINVU_Mes_Constante!$CP$1</f>
        <v>12399694.316937352</v>
      </c>
      <c r="CV25" s="8">
        <f>+MINVU_Mes_Corriente!CV25*MINVU_Mes_Constante!$CP$1</f>
        <v>12399694.316937352</v>
      </c>
      <c r="CW25" s="8">
        <f>+MINVU_Mes_Corriente!CW25*MINVU_Mes_Constante!$CP$1</f>
        <v>12399694.316937352</v>
      </c>
      <c r="CX25" s="8">
        <f>+MINVU_Mes_Corriente!CX25*MINVU_Mes_Constante!$CP$1</f>
        <v>12399694.316937352</v>
      </c>
      <c r="CY25" s="8">
        <f>+MINVU_Mes_Corriente!CY25*MINVU_Mes_Constante!$CP$1</f>
        <v>12399694.316937352</v>
      </c>
      <c r="CZ25" s="8">
        <f>+MINVU_Mes_Corriente!CZ25*MINVU_Mes_Constante!$CP$1</f>
        <v>12399694.316937352</v>
      </c>
      <c r="DA25" s="8">
        <f>+MINVU_Mes_Corriente!DA25*MINVU_Mes_Constante!$CP$1</f>
        <v>12399694.316937352</v>
      </c>
      <c r="DB25" s="9">
        <f t="shared" si="7"/>
        <v>12399694.316937352</v>
      </c>
      <c r="DC25" s="8">
        <f>+MINVU_Mes_Corriente!DC25*MINVU_Mes_Constante!$DC$1</f>
        <v>16749613.073963592</v>
      </c>
      <c r="DD25" s="8">
        <f>+MINVU_Mes_Corriente!DD25*MINVU_Mes_Constante!$DC$1</f>
        <v>16749613.073963592</v>
      </c>
      <c r="DE25" s="8">
        <f>+MINVU_Mes_Corriente!DE25*MINVU_Mes_Constante!$DC$1</f>
        <v>16749613.073963592</v>
      </c>
      <c r="DF25" s="8">
        <f>+MINVU_Mes_Corriente!DF25*MINVU_Mes_Constante!$DC$1</f>
        <v>16749613.073963592</v>
      </c>
      <c r="DG25" s="8">
        <f>+MINVU_Mes_Corriente!DG25*MINVU_Mes_Constante!$DC$1</f>
        <v>16749613.073963592</v>
      </c>
      <c r="DH25" s="8">
        <f>+MINVU_Mes_Corriente!DH25*MINVU_Mes_Constante!$DC$1</f>
        <v>16749613.073963592</v>
      </c>
      <c r="DI25" s="8">
        <f>+MINVU_Mes_Corriente!DI25*MINVU_Mes_Constante!$DC$1</f>
        <v>16749613.073963592</v>
      </c>
      <c r="DJ25" s="8">
        <f>+MINVU_Mes_Corriente!DJ25*MINVU_Mes_Constante!$DC$1</f>
        <v>16749613.073963592</v>
      </c>
      <c r="DK25" s="8">
        <f>+MINVU_Mes_Corriente!DK25*MINVU_Mes_Constante!$DC$1</f>
        <v>16749613.073963592</v>
      </c>
      <c r="DL25" s="8">
        <f>+MINVU_Mes_Corriente!DL25*MINVU_Mes_Constante!$DC$1</f>
        <v>16749613.073963592</v>
      </c>
      <c r="DM25" s="8">
        <f>+MINVU_Mes_Corriente!DM25*MINVU_Mes_Constante!$DC$1</f>
        <v>16749613.073963592</v>
      </c>
      <c r="DN25" s="8">
        <f>+MINVU_Mes_Corriente!DN25*MINVU_Mes_Constante!$DC$1</f>
        <v>16749613.073963592</v>
      </c>
      <c r="DO25" s="9">
        <f t="shared" si="8"/>
        <v>16749613.073963592</v>
      </c>
      <c r="DP25" s="8">
        <f>+MINVU_Mes_Corriente!DP25*MINVU_Mes_Constante!$DP$1</f>
        <v>23928017.857482187</v>
      </c>
      <c r="DQ25" s="8">
        <f>+MINVU_Mes_Corriente!DQ25*MINVU_Mes_Constante!$DP$1</f>
        <v>23928017.857482187</v>
      </c>
      <c r="DR25" s="8">
        <f>+MINVU_Mes_Corriente!DR25*MINVU_Mes_Constante!$DP$1</f>
        <v>23928017.857482187</v>
      </c>
      <c r="DS25" s="8">
        <f>+MINVU_Mes_Corriente!DS25*MINVU_Mes_Constante!$DP$1</f>
        <v>23928017.857482187</v>
      </c>
      <c r="DT25" s="8">
        <f>+MINVU_Mes_Corriente!DT25*MINVU_Mes_Constante!$DP$1</f>
        <v>23928017.857482187</v>
      </c>
      <c r="DU25" s="8">
        <f>+MINVU_Mes_Corriente!DU25*MINVU_Mes_Constante!$DP$1</f>
        <v>23928017.857482187</v>
      </c>
      <c r="DV25" s="8">
        <f>+MINVU_Mes_Corriente!DV25*MINVU_Mes_Constante!$DP$1</f>
        <v>23928017.857482187</v>
      </c>
      <c r="DW25" s="8">
        <f>+MINVU_Mes_Corriente!DW25*MINVU_Mes_Constante!$DP$1</f>
        <v>23928017.857482187</v>
      </c>
      <c r="DX25" s="8">
        <f>+MINVU_Mes_Corriente!DX25*MINVU_Mes_Constante!$DP$1</f>
        <v>23928017.857482187</v>
      </c>
      <c r="DY25" s="8">
        <f>+MINVU_Mes_Corriente!DY25*MINVU_Mes_Constante!$DP$1</f>
        <v>23928017.857482187</v>
      </c>
      <c r="DZ25" s="8">
        <f>+MINVU_Mes_Corriente!DZ25*MINVU_Mes_Constante!$DP$1</f>
        <v>23928017.857482187</v>
      </c>
      <c r="EA25" s="8">
        <f>+MINVU_Mes_Corriente!EA25*MINVU_Mes_Constante!$DP$1</f>
        <v>23928017.857482187</v>
      </c>
      <c r="EB25" s="9">
        <f t="shared" si="9"/>
        <v>23928017.857482187</v>
      </c>
      <c r="EC25" s="8">
        <f>+MINVU_Mes_Corriente!EC25*MINVU_Mes_Constante!$EC$1</f>
        <v>23023108.513349738</v>
      </c>
      <c r="ED25" s="8">
        <f>+MINVU_Mes_Corriente!ED25*MINVU_Mes_Constante!$EC$1</f>
        <v>23023108.513349738</v>
      </c>
      <c r="EE25" s="8">
        <f>+MINVU_Mes_Corriente!EE25*MINVU_Mes_Constante!$EC$1</f>
        <v>23023108.513349738</v>
      </c>
      <c r="EF25" s="8">
        <f>+MINVU_Mes_Corriente!EF25*MINVU_Mes_Constante!$EC$1</f>
        <v>23023108.513349738</v>
      </c>
      <c r="EG25" s="8">
        <f>+MINVU_Mes_Corriente!EG25*MINVU_Mes_Constante!$EC$1</f>
        <v>23023108.513349738</v>
      </c>
      <c r="EH25" s="8">
        <f>+MINVU_Mes_Corriente!EH25*MINVU_Mes_Constante!$EC$1</f>
        <v>23023108.513349738</v>
      </c>
      <c r="EI25" s="8">
        <f>+MINVU_Mes_Corriente!EI25*MINVU_Mes_Constante!$EC$1</f>
        <v>23023108.513349738</v>
      </c>
      <c r="EJ25" s="8">
        <f>+MINVU_Mes_Corriente!EJ25*MINVU_Mes_Constante!$EC$1</f>
        <v>23023108.513349738</v>
      </c>
      <c r="EK25" s="8">
        <f>+MINVU_Mes_Corriente!EK25*MINVU_Mes_Constante!$EC$1</f>
        <v>23023108.513349738</v>
      </c>
      <c r="EL25" s="8">
        <f>+MINVU_Mes_Corriente!EL25*MINVU_Mes_Constante!$EC$1</f>
        <v>23023108.513349738</v>
      </c>
      <c r="EM25" s="8">
        <f>+MINVU_Mes_Corriente!EM25*MINVU_Mes_Constante!$EC$1</f>
        <v>23023108.513349738</v>
      </c>
      <c r="EN25" s="8">
        <f>+MINVU_Mes_Corriente!EN25*MINVU_Mes_Constante!$EC$1</f>
        <v>23023108.513349738</v>
      </c>
      <c r="EO25" s="9">
        <f t="shared" si="10"/>
        <v>23023108.513349738</v>
      </c>
      <c r="EP25" s="8">
        <f>+MINVU_Mes_Corriente!EP25*MINVU_Mes_Constante!$EP$1</f>
        <v>21184028</v>
      </c>
      <c r="EQ25" s="8">
        <f>+MINVU_Mes_Corriente!EQ25*MINVU_Mes_Constante!$EP$1</f>
        <v>21184028</v>
      </c>
      <c r="ER25" s="8">
        <f>+MINVU_Mes_Corriente!ER25*MINVU_Mes_Constante!$EP$1</f>
        <v>21184028</v>
      </c>
      <c r="ES25" s="8">
        <f>+MINVU_Mes_Corriente!ES25*MINVU_Mes_Constante!$EP$1</f>
        <v>21184028</v>
      </c>
      <c r="ET25" s="8">
        <f>+MINVU_Mes_Corriente!ET25*MINVU_Mes_Constante!$EP$1</f>
        <v>21184028</v>
      </c>
      <c r="EU25" s="8">
        <f>+MINVU_Mes_Corriente!EU25*MINVU_Mes_Constante!$EP$1</f>
        <v>21184028</v>
      </c>
      <c r="EV25" s="8">
        <f>+MINVU_Mes_Corriente!EV25*MINVU_Mes_Constante!$EP$1</f>
        <v>21184028</v>
      </c>
      <c r="EW25" s="8">
        <f>+MINVU_Mes_Corriente!EW25*MINVU_Mes_Constante!$EP$1</f>
        <v>21184028</v>
      </c>
      <c r="EX25" s="8">
        <f>+MINVU_Mes_Corriente!EX25*MINVU_Mes_Constante!$EP$1</f>
        <v>21184028</v>
      </c>
      <c r="EY25" s="8">
        <f>+MINVU_Mes_Corriente!EY25*MINVU_Mes_Constante!$EP$1</f>
        <v>21184028</v>
      </c>
      <c r="EZ25" s="8">
        <f>+MINVU_Mes_Corriente!EZ25*MINVU_Mes_Constante!$EP$1</f>
        <v>21184028</v>
      </c>
      <c r="FA25" s="8">
        <f>+MINVU_Mes_Corriente!FA25*MINVU_Mes_Constante!$EP$1</f>
        <v>21184028</v>
      </c>
      <c r="FB25" s="9">
        <f t="shared" si="11"/>
        <v>21184028</v>
      </c>
      <c r="FC25" s="8">
        <f>+MINVU_Mes_Corriente!FC25*MINVU_Mes_Constante!$FC$1</f>
        <v>24770394</v>
      </c>
      <c r="FD25" s="8">
        <f>+MINVU_Mes_Corriente!FD25*MINVU_Mes_Constante!$FC$1</f>
        <v>24770394</v>
      </c>
      <c r="FE25" s="8">
        <f>+MINVU_Mes_Corriente!FE25*MINVU_Mes_Constante!$FC$1</f>
        <v>24770394</v>
      </c>
      <c r="FF25" s="8">
        <f>+MINVU_Mes_Corriente!FF25*MINVU_Mes_Constante!$FC$1</f>
        <v>24770394</v>
      </c>
      <c r="FG25" s="8">
        <f>+MINVU_Mes_Corriente!FG25*MINVU_Mes_Constante!$FC$1</f>
        <v>24770394</v>
      </c>
      <c r="FH25" s="8">
        <f>+MINVU_Mes_Corriente!FH25*MINVU_Mes_Constante!$FC$1</f>
        <v>24770394</v>
      </c>
      <c r="FI25" s="8">
        <f>+MINVU_Mes_Corriente!FI25*MINVU_Mes_Constante!$FC$1</f>
        <v>24770394</v>
      </c>
      <c r="FJ25" s="8"/>
      <c r="FK25" s="8"/>
      <c r="FL25" s="8"/>
      <c r="FM25" s="8"/>
      <c r="FN25" s="8"/>
      <c r="FO25" s="9">
        <f t="shared" si="12"/>
        <v>24770394</v>
      </c>
    </row>
    <row r="26" spans="2:171" ht="14.25" customHeight="1" thickBot="1" x14ac:dyDescent="0.35">
      <c r="B26" s="14" t="s">
        <v>61</v>
      </c>
      <c r="C26" s="16">
        <f t="shared" ref="C26:AH26" si="13">SUM(C8:C25)</f>
        <v>568388366.50215042</v>
      </c>
      <c r="D26" s="16">
        <f t="shared" si="13"/>
        <v>568388366.50215042</v>
      </c>
      <c r="E26" s="16">
        <f t="shared" si="13"/>
        <v>570480108.12635338</v>
      </c>
      <c r="F26" s="16">
        <f t="shared" si="13"/>
        <v>570480108.12635338</v>
      </c>
      <c r="G26" s="16">
        <f t="shared" si="13"/>
        <v>570480108.12635338</v>
      </c>
      <c r="H26" s="16">
        <f t="shared" si="13"/>
        <v>570480108.12635338</v>
      </c>
      <c r="I26" s="16">
        <f t="shared" si="13"/>
        <v>570480108.12635338</v>
      </c>
      <c r="J26" s="16">
        <f t="shared" si="13"/>
        <v>570480108.12635338</v>
      </c>
      <c r="K26" s="16">
        <f t="shared" si="13"/>
        <v>570480108.12635338</v>
      </c>
      <c r="L26" s="16">
        <f t="shared" si="13"/>
        <v>570480108.12635338</v>
      </c>
      <c r="M26" s="16">
        <f t="shared" si="13"/>
        <v>570480108.12635338</v>
      </c>
      <c r="N26" s="16">
        <f t="shared" si="13"/>
        <v>570480108.12635338</v>
      </c>
      <c r="O26" s="16">
        <f t="shared" si="13"/>
        <v>570480108.12635338</v>
      </c>
      <c r="P26" s="16">
        <f t="shared" si="13"/>
        <v>673497791.15612972</v>
      </c>
      <c r="Q26" s="16">
        <f t="shared" si="13"/>
        <v>673497791.15612972</v>
      </c>
      <c r="R26" s="16">
        <f t="shared" si="13"/>
        <v>673497791.15612972</v>
      </c>
      <c r="S26" s="16">
        <f t="shared" si="13"/>
        <v>673497791.15612972</v>
      </c>
      <c r="T26" s="16">
        <f t="shared" si="13"/>
        <v>673497791.15612972</v>
      </c>
      <c r="U26" s="16">
        <f t="shared" si="13"/>
        <v>673497791.15612972</v>
      </c>
      <c r="V26" s="16">
        <f t="shared" si="13"/>
        <v>673497791.15612972</v>
      </c>
      <c r="W26" s="16">
        <f t="shared" si="13"/>
        <v>673497791.15612972</v>
      </c>
      <c r="X26" s="16">
        <f t="shared" si="13"/>
        <v>673497791.15612972</v>
      </c>
      <c r="Y26" s="16">
        <f t="shared" si="13"/>
        <v>673497791.15612972</v>
      </c>
      <c r="Z26" s="16">
        <f t="shared" si="13"/>
        <v>673497791.15612972</v>
      </c>
      <c r="AA26" s="16">
        <f t="shared" si="13"/>
        <v>673497791.15612972</v>
      </c>
      <c r="AB26" s="16">
        <f t="shared" si="13"/>
        <v>673497791.15612972</v>
      </c>
      <c r="AC26" s="16">
        <f t="shared" si="13"/>
        <v>603348861.32909119</v>
      </c>
      <c r="AD26" s="16">
        <f t="shared" si="13"/>
        <v>603348861.32909119</v>
      </c>
      <c r="AE26" s="16">
        <f t="shared" si="13"/>
        <v>603348861.32909119</v>
      </c>
      <c r="AF26" s="16">
        <f t="shared" si="13"/>
        <v>603348861.32909119</v>
      </c>
      <c r="AG26" s="16">
        <f t="shared" si="13"/>
        <v>603348861.32909119</v>
      </c>
      <c r="AH26" s="16">
        <f t="shared" si="13"/>
        <v>603348861.32909119</v>
      </c>
      <c r="AI26" s="16">
        <f t="shared" ref="AI26:BN26" si="14">SUM(AI8:AI25)</f>
        <v>603348861.32909119</v>
      </c>
      <c r="AJ26" s="16">
        <f t="shared" si="14"/>
        <v>603348861.32909119</v>
      </c>
      <c r="AK26" s="16">
        <f t="shared" si="14"/>
        <v>603348861.32909119</v>
      </c>
      <c r="AL26" s="16">
        <f t="shared" si="14"/>
        <v>603348861.32909119</v>
      </c>
      <c r="AM26" s="16">
        <f t="shared" si="14"/>
        <v>603348861.32909119</v>
      </c>
      <c r="AN26" s="16">
        <f t="shared" si="14"/>
        <v>603348861.32909119</v>
      </c>
      <c r="AO26" s="16">
        <f t="shared" si="14"/>
        <v>603348861.32909119</v>
      </c>
      <c r="AP26" s="16">
        <f t="shared" si="14"/>
        <v>668910536.00297582</v>
      </c>
      <c r="AQ26" s="16">
        <f t="shared" si="14"/>
        <v>668910536.00297582</v>
      </c>
      <c r="AR26" s="16">
        <f t="shared" si="14"/>
        <v>668910536.00297582</v>
      </c>
      <c r="AS26" s="16">
        <f t="shared" si="14"/>
        <v>668910536.00297582</v>
      </c>
      <c r="AT26" s="16">
        <f t="shared" si="14"/>
        <v>668910536.00297582</v>
      </c>
      <c r="AU26" s="16">
        <f t="shared" si="14"/>
        <v>668910536.00297582</v>
      </c>
      <c r="AV26" s="16">
        <f t="shared" si="14"/>
        <v>668910536.00297582</v>
      </c>
      <c r="AW26" s="16">
        <f t="shared" si="14"/>
        <v>668910536.00297582</v>
      </c>
      <c r="AX26" s="16">
        <f t="shared" si="14"/>
        <v>668910536.00297582</v>
      </c>
      <c r="AY26" s="16">
        <f t="shared" si="14"/>
        <v>668910536.00297582</v>
      </c>
      <c r="AZ26" s="16">
        <f t="shared" si="14"/>
        <v>668910536.00297582</v>
      </c>
      <c r="BA26" s="16">
        <f t="shared" si="14"/>
        <v>668910536.00297582</v>
      </c>
      <c r="BB26" s="16">
        <f t="shared" si="14"/>
        <v>668910536.00297582</v>
      </c>
      <c r="BC26" s="16">
        <f t="shared" si="14"/>
        <v>635034649.53026533</v>
      </c>
      <c r="BD26" s="16">
        <f t="shared" si="14"/>
        <v>635034649.53026533</v>
      </c>
      <c r="BE26" s="16">
        <f t="shared" si="14"/>
        <v>635034649.53026533</v>
      </c>
      <c r="BF26" s="16">
        <f t="shared" si="14"/>
        <v>635034649.53026533</v>
      </c>
      <c r="BG26" s="16">
        <f t="shared" si="14"/>
        <v>635034649.53026533</v>
      </c>
      <c r="BH26" s="16">
        <f t="shared" si="14"/>
        <v>635034649.53026533</v>
      </c>
      <c r="BI26" s="16">
        <f t="shared" si="14"/>
        <v>635034649.53026533</v>
      </c>
      <c r="BJ26" s="16">
        <f t="shared" si="14"/>
        <v>635034649.53026533</v>
      </c>
      <c r="BK26" s="16">
        <f t="shared" si="14"/>
        <v>635034649.53026533</v>
      </c>
      <c r="BL26" s="16">
        <f t="shared" si="14"/>
        <v>635034649.53026533</v>
      </c>
      <c r="BM26" s="16">
        <f t="shared" si="14"/>
        <v>635034649.53026533</v>
      </c>
      <c r="BN26" s="16">
        <f t="shared" si="14"/>
        <v>635034649.53026533</v>
      </c>
      <c r="BO26" s="16">
        <f t="shared" ref="BO26:CT26" si="15">SUM(BO8:BO25)</f>
        <v>635034649.53026533</v>
      </c>
      <c r="BP26" s="16">
        <f t="shared" si="15"/>
        <v>553782796.30832267</v>
      </c>
      <c r="BQ26" s="16">
        <f t="shared" si="15"/>
        <v>553782796.30832267</v>
      </c>
      <c r="BR26" s="16">
        <f t="shared" si="15"/>
        <v>553782796.30832267</v>
      </c>
      <c r="BS26" s="16">
        <f t="shared" si="15"/>
        <v>553782796.30832267</v>
      </c>
      <c r="BT26" s="16">
        <f t="shared" si="15"/>
        <v>553782796.30832267</v>
      </c>
      <c r="BU26" s="16">
        <f t="shared" si="15"/>
        <v>553782796.30832267</v>
      </c>
      <c r="BV26" s="16">
        <f t="shared" si="15"/>
        <v>553782796.30832267</v>
      </c>
      <c r="BW26" s="16">
        <f t="shared" si="15"/>
        <v>553782796.30832267</v>
      </c>
      <c r="BX26" s="16">
        <f t="shared" si="15"/>
        <v>553782796.30832267</v>
      </c>
      <c r="BY26" s="16">
        <f t="shared" si="15"/>
        <v>553782796.30832267</v>
      </c>
      <c r="BZ26" s="16">
        <f t="shared" si="15"/>
        <v>553782796.30832267</v>
      </c>
      <c r="CA26" s="16">
        <f t="shared" si="15"/>
        <v>553782796.30832267</v>
      </c>
      <c r="CB26" s="16">
        <f t="shared" si="15"/>
        <v>553782796.30832267</v>
      </c>
      <c r="CC26" s="16">
        <f t="shared" si="15"/>
        <v>601344184.1066767</v>
      </c>
      <c r="CD26" s="16">
        <f t="shared" si="15"/>
        <v>601344184.1066767</v>
      </c>
      <c r="CE26" s="16">
        <f t="shared" si="15"/>
        <v>601344184.1066767</v>
      </c>
      <c r="CF26" s="16">
        <f t="shared" si="15"/>
        <v>601344184.1066767</v>
      </c>
      <c r="CG26" s="16">
        <f t="shared" si="15"/>
        <v>601344184.1066767</v>
      </c>
      <c r="CH26" s="16">
        <f t="shared" si="15"/>
        <v>601344184.1066767</v>
      </c>
      <c r="CI26" s="16">
        <f t="shared" si="15"/>
        <v>601344184.1066767</v>
      </c>
      <c r="CJ26" s="16">
        <f t="shared" si="15"/>
        <v>601344184.1066767</v>
      </c>
      <c r="CK26" s="16">
        <f t="shared" si="15"/>
        <v>601344184.1066767</v>
      </c>
      <c r="CL26" s="16">
        <f t="shared" si="15"/>
        <v>601344184.1066767</v>
      </c>
      <c r="CM26" s="16">
        <f t="shared" si="15"/>
        <v>601344184.1066767</v>
      </c>
      <c r="CN26" s="16">
        <f t="shared" si="15"/>
        <v>601344184.1066767</v>
      </c>
      <c r="CO26" s="16">
        <f t="shared" si="15"/>
        <v>601344184.1066767</v>
      </c>
      <c r="CP26" s="16">
        <f t="shared" si="15"/>
        <v>595181414.3867749</v>
      </c>
      <c r="CQ26" s="16">
        <f t="shared" si="15"/>
        <v>595181414.3867749</v>
      </c>
      <c r="CR26" s="16">
        <f t="shared" si="15"/>
        <v>595181414.3867749</v>
      </c>
      <c r="CS26" s="16">
        <f t="shared" si="15"/>
        <v>595181414.3867749</v>
      </c>
      <c r="CT26" s="16">
        <f t="shared" si="15"/>
        <v>595181414.3867749</v>
      </c>
      <c r="CU26" s="16">
        <f t="shared" ref="CU26:DZ26" si="16">SUM(CU8:CU25)</f>
        <v>595181414.3867749</v>
      </c>
      <c r="CV26" s="16">
        <f t="shared" si="16"/>
        <v>595181414.3867749</v>
      </c>
      <c r="CW26" s="16">
        <f t="shared" si="16"/>
        <v>595181414.3867749</v>
      </c>
      <c r="CX26" s="16">
        <f t="shared" si="16"/>
        <v>595181414.3867749</v>
      </c>
      <c r="CY26" s="16">
        <f t="shared" si="16"/>
        <v>595181414.3867749</v>
      </c>
      <c r="CZ26" s="16">
        <f t="shared" si="16"/>
        <v>595181414.3867749</v>
      </c>
      <c r="DA26" s="16">
        <f t="shared" si="16"/>
        <v>595181414.3867749</v>
      </c>
      <c r="DB26" s="16">
        <f t="shared" si="16"/>
        <v>595181414.3867749</v>
      </c>
      <c r="DC26" s="16">
        <f t="shared" si="16"/>
        <v>598658834.0386796</v>
      </c>
      <c r="DD26" s="16">
        <f t="shared" si="16"/>
        <v>598658834.0386796</v>
      </c>
      <c r="DE26" s="16">
        <f t="shared" si="16"/>
        <v>598658834.0386796</v>
      </c>
      <c r="DF26" s="16">
        <f t="shared" si="16"/>
        <v>598658834.0386796</v>
      </c>
      <c r="DG26" s="16">
        <f t="shared" si="16"/>
        <v>598658834.0386796</v>
      </c>
      <c r="DH26" s="16">
        <f t="shared" si="16"/>
        <v>598658834.0386796</v>
      </c>
      <c r="DI26" s="16">
        <f t="shared" si="16"/>
        <v>598658834.0386796</v>
      </c>
      <c r="DJ26" s="16">
        <f t="shared" si="16"/>
        <v>598658834.0386796</v>
      </c>
      <c r="DK26" s="16">
        <f t="shared" si="16"/>
        <v>598658834.0386796</v>
      </c>
      <c r="DL26" s="16">
        <f t="shared" si="16"/>
        <v>598658834.0386796</v>
      </c>
      <c r="DM26" s="16">
        <f t="shared" si="16"/>
        <v>598658834.0386796</v>
      </c>
      <c r="DN26" s="16">
        <f t="shared" si="16"/>
        <v>598658834.0386796</v>
      </c>
      <c r="DO26" s="16">
        <f t="shared" si="16"/>
        <v>598658834.0386796</v>
      </c>
      <c r="DP26" s="16">
        <f t="shared" si="16"/>
        <v>586145635.1383611</v>
      </c>
      <c r="DQ26" s="16">
        <f t="shared" si="16"/>
        <v>586145635.1383611</v>
      </c>
      <c r="DR26" s="16">
        <f t="shared" si="16"/>
        <v>586145635.1383611</v>
      </c>
      <c r="DS26" s="16">
        <f t="shared" si="16"/>
        <v>586145635.1383611</v>
      </c>
      <c r="DT26" s="16">
        <f t="shared" si="16"/>
        <v>586145635.1383611</v>
      </c>
      <c r="DU26" s="16">
        <f t="shared" si="16"/>
        <v>586145635.1383611</v>
      </c>
      <c r="DV26" s="16">
        <f t="shared" si="16"/>
        <v>586145635.1383611</v>
      </c>
      <c r="DW26" s="16">
        <f t="shared" si="16"/>
        <v>586145635.1383611</v>
      </c>
      <c r="DX26" s="16">
        <f t="shared" si="16"/>
        <v>586145635.1383611</v>
      </c>
      <c r="DY26" s="16">
        <f t="shared" si="16"/>
        <v>586145635.1383611</v>
      </c>
      <c r="DZ26" s="16">
        <f t="shared" si="16"/>
        <v>586145635.1383611</v>
      </c>
      <c r="EA26" s="16">
        <f t="shared" ref="EA26:FF26" si="17">SUM(EA8:EA25)</f>
        <v>586145635.1383611</v>
      </c>
      <c r="EB26" s="16">
        <f t="shared" si="17"/>
        <v>586145635.1383611</v>
      </c>
      <c r="EC26" s="16">
        <f t="shared" si="17"/>
        <v>580027653.7413367</v>
      </c>
      <c r="ED26" s="16">
        <f t="shared" si="17"/>
        <v>580027653.7413367</v>
      </c>
      <c r="EE26" s="16">
        <f t="shared" si="17"/>
        <v>580027653.7413367</v>
      </c>
      <c r="EF26" s="16">
        <f t="shared" si="17"/>
        <v>580027653.7413367</v>
      </c>
      <c r="EG26" s="16">
        <f t="shared" si="17"/>
        <v>580027653.7413367</v>
      </c>
      <c r="EH26" s="16">
        <f t="shared" si="17"/>
        <v>580027653.7413367</v>
      </c>
      <c r="EI26" s="16">
        <f t="shared" si="17"/>
        <v>580027653.7413367</v>
      </c>
      <c r="EJ26" s="16">
        <f t="shared" si="17"/>
        <v>580027653.7413367</v>
      </c>
      <c r="EK26" s="16">
        <f t="shared" si="17"/>
        <v>580027653.7413367</v>
      </c>
      <c r="EL26" s="16">
        <f t="shared" si="17"/>
        <v>580027653.7413367</v>
      </c>
      <c r="EM26" s="16">
        <f t="shared" si="17"/>
        <v>580027653.7413367</v>
      </c>
      <c r="EN26" s="16">
        <f t="shared" si="17"/>
        <v>580027653.7413367</v>
      </c>
      <c r="EO26" s="16">
        <f t="shared" si="17"/>
        <v>580027653.7413367</v>
      </c>
      <c r="EP26" s="16">
        <f t="shared" si="17"/>
        <v>502221494</v>
      </c>
      <c r="EQ26" s="16">
        <f t="shared" si="17"/>
        <v>502221494</v>
      </c>
      <c r="ER26" s="16">
        <f t="shared" si="17"/>
        <v>502221494</v>
      </c>
      <c r="ES26" s="16">
        <f t="shared" si="17"/>
        <v>502221494</v>
      </c>
      <c r="ET26" s="16">
        <f t="shared" si="17"/>
        <v>502221494</v>
      </c>
      <c r="EU26" s="16">
        <f t="shared" si="17"/>
        <v>502221494</v>
      </c>
      <c r="EV26" s="16">
        <f t="shared" si="17"/>
        <v>502221494</v>
      </c>
      <c r="EW26" s="16">
        <f t="shared" si="17"/>
        <v>502221494</v>
      </c>
      <c r="EX26" s="16">
        <f t="shared" si="17"/>
        <v>502221494</v>
      </c>
      <c r="EY26" s="16">
        <f t="shared" si="17"/>
        <v>502221494</v>
      </c>
      <c r="EZ26" s="16">
        <f t="shared" si="17"/>
        <v>502221494</v>
      </c>
      <c r="FA26" s="16">
        <f t="shared" si="17"/>
        <v>502221494</v>
      </c>
      <c r="FB26" s="16">
        <f t="shared" si="17"/>
        <v>502221494</v>
      </c>
      <c r="FC26" s="16">
        <f t="shared" si="17"/>
        <v>465461219</v>
      </c>
      <c r="FD26" s="16">
        <f t="shared" si="17"/>
        <v>465461219</v>
      </c>
      <c r="FE26" s="16">
        <f t="shared" si="17"/>
        <v>465461219</v>
      </c>
      <c r="FF26" s="16">
        <f t="shared" si="17"/>
        <v>465461219</v>
      </c>
      <c r="FG26" s="16">
        <f t="shared" ref="FG26:GL26" si="18">SUM(FG8:FG25)</f>
        <v>465461219</v>
      </c>
      <c r="FH26" s="16">
        <f t="shared" si="18"/>
        <v>465461219</v>
      </c>
      <c r="FI26" s="16">
        <f t="shared" si="18"/>
        <v>465461219</v>
      </c>
      <c r="FJ26" s="16">
        <f t="shared" si="18"/>
        <v>0</v>
      </c>
      <c r="FK26" s="16">
        <f t="shared" si="18"/>
        <v>0</v>
      </c>
      <c r="FL26" s="16">
        <f t="shared" si="18"/>
        <v>0</v>
      </c>
      <c r="FM26" s="16">
        <f t="shared" si="18"/>
        <v>0</v>
      </c>
      <c r="FN26" s="16">
        <f t="shared" si="18"/>
        <v>0</v>
      </c>
      <c r="FO26" s="16">
        <f t="shared" si="18"/>
        <v>465461219</v>
      </c>
    </row>
    <row r="27" spans="2:171" ht="14.25" customHeight="1" thickTop="1" x14ac:dyDescent="0.3">
      <c r="B27" s="4" t="s">
        <v>62</v>
      </c>
    </row>
    <row r="28" spans="2:171" ht="14.25" customHeight="1" x14ac:dyDescent="0.3">
      <c r="C28" s="33" t="s">
        <v>4</v>
      </c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3" t="s">
        <v>5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3" t="s">
        <v>6</v>
      </c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3" t="s">
        <v>7</v>
      </c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3" t="s">
        <v>8</v>
      </c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3" t="s">
        <v>9</v>
      </c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3" t="s">
        <v>10</v>
      </c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3" t="s">
        <v>11</v>
      </c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3" t="s">
        <v>12</v>
      </c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3" t="s">
        <v>13</v>
      </c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3" t="s">
        <v>14</v>
      </c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3" t="s">
        <v>15</v>
      </c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3" t="s">
        <v>16</v>
      </c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</row>
    <row r="29" spans="2:171" ht="14.25" customHeight="1" x14ac:dyDescent="0.3">
      <c r="B29" s="5" t="s">
        <v>17</v>
      </c>
      <c r="C29" s="6" t="s">
        <v>18</v>
      </c>
      <c r="D29" s="6" t="s">
        <v>19</v>
      </c>
      <c r="E29" s="6" t="s">
        <v>20</v>
      </c>
      <c r="F29" s="6" t="s">
        <v>21</v>
      </c>
      <c r="G29" s="6" t="s">
        <v>22</v>
      </c>
      <c r="H29" s="6" t="s">
        <v>23</v>
      </c>
      <c r="I29" s="6" t="s">
        <v>24</v>
      </c>
      <c r="J29" s="6" t="s">
        <v>25</v>
      </c>
      <c r="K29" s="6" t="s">
        <v>26</v>
      </c>
      <c r="L29" s="6" t="s">
        <v>27</v>
      </c>
      <c r="M29" s="6" t="s">
        <v>28</v>
      </c>
      <c r="N29" s="6" t="s">
        <v>29</v>
      </c>
      <c r="O29" s="6" t="s">
        <v>30</v>
      </c>
      <c r="P29" s="6" t="s">
        <v>18</v>
      </c>
      <c r="Q29" s="6" t="s">
        <v>19</v>
      </c>
      <c r="R29" s="6" t="s">
        <v>20</v>
      </c>
      <c r="S29" s="6" t="s">
        <v>21</v>
      </c>
      <c r="T29" s="6" t="s">
        <v>22</v>
      </c>
      <c r="U29" s="6" t="s">
        <v>23</v>
      </c>
      <c r="V29" s="6" t="s">
        <v>24</v>
      </c>
      <c r="W29" s="6" t="s">
        <v>25</v>
      </c>
      <c r="X29" s="6" t="s">
        <v>26</v>
      </c>
      <c r="Y29" s="6" t="s">
        <v>27</v>
      </c>
      <c r="Z29" s="6" t="s">
        <v>28</v>
      </c>
      <c r="AA29" s="6" t="s">
        <v>29</v>
      </c>
      <c r="AB29" s="6" t="s">
        <v>31</v>
      </c>
      <c r="AC29" s="6" t="s">
        <v>18</v>
      </c>
      <c r="AD29" s="6" t="s">
        <v>19</v>
      </c>
      <c r="AE29" s="6" t="s">
        <v>20</v>
      </c>
      <c r="AF29" s="6" t="s">
        <v>21</v>
      </c>
      <c r="AG29" s="6" t="s">
        <v>22</v>
      </c>
      <c r="AH29" s="6" t="s">
        <v>23</v>
      </c>
      <c r="AI29" s="6" t="s">
        <v>24</v>
      </c>
      <c r="AJ29" s="6" t="s">
        <v>25</v>
      </c>
      <c r="AK29" s="6" t="s">
        <v>26</v>
      </c>
      <c r="AL29" s="6" t="s">
        <v>27</v>
      </c>
      <c r="AM29" s="6" t="s">
        <v>28</v>
      </c>
      <c r="AN29" s="6" t="s">
        <v>29</v>
      </c>
      <c r="AO29" s="6" t="s">
        <v>32</v>
      </c>
      <c r="AP29" s="6" t="s">
        <v>18</v>
      </c>
      <c r="AQ29" s="6" t="s">
        <v>19</v>
      </c>
      <c r="AR29" s="6" t="s">
        <v>20</v>
      </c>
      <c r="AS29" s="6" t="s">
        <v>21</v>
      </c>
      <c r="AT29" s="6" t="s">
        <v>22</v>
      </c>
      <c r="AU29" s="6" t="s">
        <v>23</v>
      </c>
      <c r="AV29" s="6" t="s">
        <v>24</v>
      </c>
      <c r="AW29" s="6" t="s">
        <v>25</v>
      </c>
      <c r="AX29" s="6" t="s">
        <v>26</v>
      </c>
      <c r="AY29" s="6" t="s">
        <v>27</v>
      </c>
      <c r="AZ29" s="6" t="s">
        <v>28</v>
      </c>
      <c r="BA29" s="6" t="s">
        <v>29</v>
      </c>
      <c r="BB29" s="6" t="s">
        <v>33</v>
      </c>
      <c r="BC29" s="6" t="s">
        <v>18</v>
      </c>
      <c r="BD29" s="6" t="s">
        <v>19</v>
      </c>
      <c r="BE29" s="6" t="s">
        <v>20</v>
      </c>
      <c r="BF29" s="6" t="s">
        <v>21</v>
      </c>
      <c r="BG29" s="6" t="s">
        <v>22</v>
      </c>
      <c r="BH29" s="6" t="s">
        <v>23</v>
      </c>
      <c r="BI29" s="6" t="s">
        <v>24</v>
      </c>
      <c r="BJ29" s="6" t="s">
        <v>25</v>
      </c>
      <c r="BK29" s="6" t="s">
        <v>26</v>
      </c>
      <c r="BL29" s="6" t="s">
        <v>27</v>
      </c>
      <c r="BM29" s="6" t="s">
        <v>28</v>
      </c>
      <c r="BN29" s="6" t="s">
        <v>29</v>
      </c>
      <c r="BO29" s="6" t="s">
        <v>34</v>
      </c>
      <c r="BP29" s="6" t="s">
        <v>18</v>
      </c>
      <c r="BQ29" s="6" t="s">
        <v>19</v>
      </c>
      <c r="BR29" s="6" t="s">
        <v>20</v>
      </c>
      <c r="BS29" s="6" t="s">
        <v>21</v>
      </c>
      <c r="BT29" s="6" t="s">
        <v>22</v>
      </c>
      <c r="BU29" s="6" t="s">
        <v>23</v>
      </c>
      <c r="BV29" s="6" t="s">
        <v>24</v>
      </c>
      <c r="BW29" s="6" t="s">
        <v>25</v>
      </c>
      <c r="BX29" s="6" t="s">
        <v>26</v>
      </c>
      <c r="BY29" s="6" t="s">
        <v>27</v>
      </c>
      <c r="BZ29" s="6" t="s">
        <v>28</v>
      </c>
      <c r="CA29" s="6" t="s">
        <v>29</v>
      </c>
      <c r="CB29" s="6" t="s">
        <v>35</v>
      </c>
      <c r="CC29" s="6" t="s">
        <v>18</v>
      </c>
      <c r="CD29" s="6" t="s">
        <v>19</v>
      </c>
      <c r="CE29" s="6" t="s">
        <v>20</v>
      </c>
      <c r="CF29" s="6" t="s">
        <v>21</v>
      </c>
      <c r="CG29" s="6" t="s">
        <v>22</v>
      </c>
      <c r="CH29" s="6" t="s">
        <v>23</v>
      </c>
      <c r="CI29" s="6" t="s">
        <v>24</v>
      </c>
      <c r="CJ29" s="6" t="s">
        <v>25</v>
      </c>
      <c r="CK29" s="6" t="s">
        <v>26</v>
      </c>
      <c r="CL29" s="6" t="s">
        <v>27</v>
      </c>
      <c r="CM29" s="6" t="s">
        <v>28</v>
      </c>
      <c r="CN29" s="6" t="s">
        <v>29</v>
      </c>
      <c r="CO29" s="6" t="s">
        <v>36</v>
      </c>
      <c r="CP29" s="6" t="s">
        <v>18</v>
      </c>
      <c r="CQ29" s="6" t="s">
        <v>19</v>
      </c>
      <c r="CR29" s="6" t="s">
        <v>20</v>
      </c>
      <c r="CS29" s="6" t="s">
        <v>21</v>
      </c>
      <c r="CT29" s="6" t="s">
        <v>22</v>
      </c>
      <c r="CU29" s="6" t="s">
        <v>23</v>
      </c>
      <c r="CV29" s="6" t="s">
        <v>24</v>
      </c>
      <c r="CW29" s="6" t="s">
        <v>25</v>
      </c>
      <c r="CX29" s="6" t="s">
        <v>26</v>
      </c>
      <c r="CY29" s="6" t="s">
        <v>27</v>
      </c>
      <c r="CZ29" s="6" t="s">
        <v>28</v>
      </c>
      <c r="DA29" s="6" t="s">
        <v>29</v>
      </c>
      <c r="DB29" s="6" t="s">
        <v>37</v>
      </c>
      <c r="DC29" s="6" t="s">
        <v>18</v>
      </c>
      <c r="DD29" s="6" t="s">
        <v>19</v>
      </c>
      <c r="DE29" s="6" t="s">
        <v>20</v>
      </c>
      <c r="DF29" s="6" t="s">
        <v>21</v>
      </c>
      <c r="DG29" s="6" t="s">
        <v>22</v>
      </c>
      <c r="DH29" s="6" t="s">
        <v>23</v>
      </c>
      <c r="DI29" s="6" t="s">
        <v>24</v>
      </c>
      <c r="DJ29" s="6" t="s">
        <v>25</v>
      </c>
      <c r="DK29" s="6" t="s">
        <v>26</v>
      </c>
      <c r="DL29" s="6" t="s">
        <v>27</v>
      </c>
      <c r="DM29" s="6" t="s">
        <v>28</v>
      </c>
      <c r="DN29" s="6" t="s">
        <v>29</v>
      </c>
      <c r="DO29" s="6" t="s">
        <v>38</v>
      </c>
      <c r="DP29" s="6" t="s">
        <v>18</v>
      </c>
      <c r="DQ29" s="6" t="s">
        <v>19</v>
      </c>
      <c r="DR29" s="6" t="s">
        <v>20</v>
      </c>
      <c r="DS29" s="6" t="s">
        <v>21</v>
      </c>
      <c r="DT29" s="6" t="s">
        <v>22</v>
      </c>
      <c r="DU29" s="6" t="s">
        <v>23</v>
      </c>
      <c r="DV29" s="6" t="s">
        <v>24</v>
      </c>
      <c r="DW29" s="6" t="s">
        <v>25</v>
      </c>
      <c r="DX29" s="6" t="s">
        <v>26</v>
      </c>
      <c r="DY29" s="6" t="s">
        <v>27</v>
      </c>
      <c r="DZ29" s="6" t="s">
        <v>28</v>
      </c>
      <c r="EA29" s="6" t="s">
        <v>29</v>
      </c>
      <c r="EB29" s="6" t="s">
        <v>39</v>
      </c>
      <c r="EC29" s="6" t="s">
        <v>18</v>
      </c>
      <c r="ED29" s="6" t="s">
        <v>19</v>
      </c>
      <c r="EE29" s="6" t="s">
        <v>20</v>
      </c>
      <c r="EF29" s="6" t="s">
        <v>21</v>
      </c>
      <c r="EG29" s="6" t="s">
        <v>22</v>
      </c>
      <c r="EH29" s="6" t="s">
        <v>23</v>
      </c>
      <c r="EI29" s="6" t="s">
        <v>24</v>
      </c>
      <c r="EJ29" s="6" t="s">
        <v>25</v>
      </c>
      <c r="EK29" s="6" t="s">
        <v>26</v>
      </c>
      <c r="EL29" s="6" t="s">
        <v>27</v>
      </c>
      <c r="EM29" s="6" t="s">
        <v>28</v>
      </c>
      <c r="EN29" s="6" t="s">
        <v>29</v>
      </c>
      <c r="EO29" s="6" t="s">
        <v>40</v>
      </c>
      <c r="EP29" s="6" t="s">
        <v>18</v>
      </c>
      <c r="EQ29" s="6" t="s">
        <v>19</v>
      </c>
      <c r="ER29" s="6" t="s">
        <v>20</v>
      </c>
      <c r="ES29" s="6" t="s">
        <v>21</v>
      </c>
      <c r="ET29" s="6" t="s">
        <v>22</v>
      </c>
      <c r="EU29" s="6" t="s">
        <v>23</v>
      </c>
      <c r="EV29" s="6" t="s">
        <v>24</v>
      </c>
      <c r="EW29" s="6" t="s">
        <v>25</v>
      </c>
      <c r="EX29" s="6" t="s">
        <v>26</v>
      </c>
      <c r="EY29" s="6" t="s">
        <v>27</v>
      </c>
      <c r="EZ29" s="6" t="s">
        <v>28</v>
      </c>
      <c r="FA29" s="6" t="s">
        <v>29</v>
      </c>
      <c r="FB29" s="6" t="s">
        <v>41</v>
      </c>
      <c r="FC29" s="6" t="s">
        <v>18</v>
      </c>
      <c r="FD29" s="6" t="s">
        <v>19</v>
      </c>
      <c r="FE29" s="6" t="s">
        <v>20</v>
      </c>
      <c r="FF29" s="6" t="s">
        <v>21</v>
      </c>
      <c r="FG29" s="6" t="s">
        <v>22</v>
      </c>
      <c r="FH29" s="6" t="s">
        <v>23</v>
      </c>
      <c r="FI29" s="6" t="s">
        <v>24</v>
      </c>
      <c r="FJ29" s="6" t="s">
        <v>25</v>
      </c>
      <c r="FK29" s="6" t="s">
        <v>26</v>
      </c>
      <c r="FL29" s="6" t="s">
        <v>27</v>
      </c>
      <c r="FM29" s="6" t="s">
        <v>28</v>
      </c>
      <c r="FN29" s="6" t="s">
        <v>29</v>
      </c>
      <c r="FO29" s="6" t="s">
        <v>42</v>
      </c>
    </row>
    <row r="30" spans="2:171" ht="14.25" customHeight="1" x14ac:dyDescent="0.3">
      <c r="B30" s="7" t="s">
        <v>43</v>
      </c>
      <c r="C30" s="8">
        <f>+MINVU_Mes_Corriente!C30*MINVU_Mes_Constante!$C$1</f>
        <v>75653647.813436165</v>
      </c>
      <c r="D30" s="8">
        <f>+MINVU_Mes_Corriente!D30*MINVU_Mes_Constante!$C$1</f>
        <v>75653647.813436165</v>
      </c>
      <c r="E30" s="8">
        <f>+MINVU_Mes_Corriente!E30*MINVU_Mes_Constante!$C$1</f>
        <v>58508047.83390183</v>
      </c>
      <c r="F30" s="8">
        <f>+MINVU_Mes_Corriente!F30*MINVU_Mes_Constante!$C$1</f>
        <v>58508047.83390183</v>
      </c>
      <c r="G30" s="8">
        <f>+MINVU_Mes_Corriente!G30*MINVU_Mes_Constante!$C$1</f>
        <v>56887700.807355784</v>
      </c>
      <c r="H30" s="8">
        <f>+MINVU_Mes_Corriente!H30*MINVU_Mes_Constante!$C$1</f>
        <v>56796136.617232695</v>
      </c>
      <c r="I30" s="8">
        <f>+MINVU_Mes_Corriente!I30*MINVU_Mes_Constante!$C$1</f>
        <v>56796136.617232695</v>
      </c>
      <c r="J30" s="8">
        <f>+MINVU_Mes_Corriente!J30*MINVU_Mes_Constante!$C$1</f>
        <v>49357343.7855554</v>
      </c>
      <c r="K30" s="8">
        <f>+MINVU_Mes_Corriente!K30*MINVU_Mes_Constante!$C$1</f>
        <v>44162284.369865052</v>
      </c>
      <c r="L30" s="8">
        <f>+MINVU_Mes_Corriente!L30*MINVU_Mes_Constante!$C$1</f>
        <v>43885077.020910583</v>
      </c>
      <c r="M30" s="8">
        <f>+MINVU_Mes_Corriente!M30*MINVU_Mes_Constante!$C$1</f>
        <v>42502211.295269176</v>
      </c>
      <c r="N30" s="8">
        <f>+MINVU_Mes_Corriente!N30*MINVU_Mes_Constante!$C$1</f>
        <v>40641676.988284156</v>
      </c>
      <c r="O30" s="9">
        <f t="shared" ref="O30:O47" si="19">N30</f>
        <v>40641676.988284156</v>
      </c>
      <c r="P30" s="8">
        <f>+MINVU_Mes_Corriente!P30*MINVU_Mes_Constante!$P$1</f>
        <v>81409503.375479445</v>
      </c>
      <c r="Q30" s="8">
        <f>+MINVU_Mes_Corriente!Q30*MINVU_Mes_Constante!$P$1</f>
        <v>53873807.178292349</v>
      </c>
      <c r="R30" s="8">
        <f>+MINVU_Mes_Corriente!R30*MINVU_Mes_Constante!$P$1</f>
        <v>53764950.752663709</v>
      </c>
      <c r="S30" s="8">
        <f>+MINVU_Mes_Corriente!S30*MINVU_Mes_Constante!$P$1</f>
        <v>53764950.752663709</v>
      </c>
      <c r="T30" s="8">
        <f>+MINVU_Mes_Corriente!T30*MINVU_Mes_Constante!$P$1</f>
        <v>53671818.205426887</v>
      </c>
      <c r="U30" s="8">
        <f>+MINVU_Mes_Corriente!U30*MINVU_Mes_Constante!$P$1</f>
        <v>53106318.930814013</v>
      </c>
      <c r="V30" s="8">
        <f>+MINVU_Mes_Corriente!V30*MINVU_Mes_Constante!$P$1</f>
        <v>52506272.137803644</v>
      </c>
      <c r="W30" s="8">
        <f>+MINVU_Mes_Corriente!W30*MINVU_Mes_Constante!$P$1</f>
        <v>52720279.865890019</v>
      </c>
      <c r="X30" s="8">
        <f>+MINVU_Mes_Corriente!X30*MINVU_Mes_Constante!$P$1</f>
        <v>53143852.89955958</v>
      </c>
      <c r="Y30" s="8">
        <f>+MINVU_Mes_Corriente!Y30*MINVU_Mes_Constante!$P$1</f>
        <v>49072942.336127274</v>
      </c>
      <c r="Z30" s="8">
        <f>+MINVU_Mes_Corriente!Z30*MINVU_Mes_Constante!$P$1</f>
        <v>48715850.419093601</v>
      </c>
      <c r="AA30" s="8">
        <f>+MINVU_Mes_Corriente!AA30*MINVU_Mes_Constante!$P$1</f>
        <v>42223634.87853387</v>
      </c>
      <c r="AB30" s="9">
        <f t="shared" ref="AB30:AB47" si="20">AA30</f>
        <v>42223634.87853387</v>
      </c>
      <c r="AC30" s="8">
        <f>+MINVU_Mes_Corriente!AC30*MINVU_Mes_Constante!$AC$1</f>
        <v>75118110.548623592</v>
      </c>
      <c r="AD30" s="8">
        <f>+MINVU_Mes_Corriente!AD30*MINVU_Mes_Constante!$AC$1</f>
        <v>43909533.944943972</v>
      </c>
      <c r="AE30" s="8">
        <f>+MINVU_Mes_Corriente!AE30*MINVU_Mes_Constante!$AC$1</f>
        <v>43653952.602296308</v>
      </c>
      <c r="AF30" s="8">
        <f>+MINVU_Mes_Corriente!AF30*MINVU_Mes_Constante!$AC$1</f>
        <v>43653952.602296308</v>
      </c>
      <c r="AG30" s="8">
        <f>+MINVU_Mes_Corriente!AG30*MINVU_Mes_Constante!$AC$1</f>
        <v>43550575.019228108</v>
      </c>
      <c r="AH30" s="8">
        <f>+MINVU_Mes_Corriente!AH30*MINVU_Mes_Constante!$AC$1</f>
        <v>43550575.019228108</v>
      </c>
      <c r="AI30" s="8">
        <f>+MINVU_Mes_Corriente!AI30*MINVU_Mes_Constante!$AC$1</f>
        <v>43437980.843546823</v>
      </c>
      <c r="AJ30" s="8">
        <f>+MINVU_Mes_Corriente!AJ30*MINVU_Mes_Constante!$AC$1</f>
        <v>43285932.759441137</v>
      </c>
      <c r="AK30" s="8">
        <f>+MINVU_Mes_Corriente!AK30*MINVU_Mes_Constante!$AC$1</f>
        <v>43285932.759441137</v>
      </c>
      <c r="AL30" s="8">
        <f>+MINVU_Mes_Corriente!AL30*MINVU_Mes_Constante!$AC$1</f>
        <v>43186895.952690549</v>
      </c>
      <c r="AM30" s="8">
        <f>+MINVU_Mes_Corriente!AM30*MINVU_Mes_Constante!$AC$1</f>
        <v>43168910.145524971</v>
      </c>
      <c r="AN30" s="8">
        <f>+MINVU_Mes_Corriente!AN30*MINVU_Mes_Constante!$AC$1</f>
        <v>41971799.003181629</v>
      </c>
      <c r="AO30" s="9">
        <f t="shared" ref="AO30:AO47" si="21">AN30</f>
        <v>41971799.003181629</v>
      </c>
      <c r="AP30" s="8">
        <f>+MINVU_Mes_Corriente!AP30*MINVU_Mes_Constante!$AP$1</f>
        <v>67954356.757202759</v>
      </c>
      <c r="AQ30" s="8">
        <f>+MINVU_Mes_Corriente!AQ30*MINVU_Mes_Constante!$AP$1</f>
        <v>44083123.184904635</v>
      </c>
      <c r="AR30" s="8">
        <f>+MINVU_Mes_Corriente!AR30*MINVU_Mes_Constante!$AP$1</f>
        <v>44083123.184904635</v>
      </c>
      <c r="AS30" s="8">
        <f>+MINVU_Mes_Corriente!AS30*MINVU_Mes_Constante!$AP$1</f>
        <v>44019189.902069524</v>
      </c>
      <c r="AT30" s="8">
        <f>+MINVU_Mes_Corriente!AT30*MINVU_Mes_Constante!$AP$1</f>
        <v>44019189.902069524</v>
      </c>
      <c r="AU30" s="8">
        <f>+MINVU_Mes_Corriente!AU30*MINVU_Mes_Constante!$AP$1</f>
        <v>44096424.145272553</v>
      </c>
      <c r="AV30" s="8">
        <f>+MINVU_Mes_Corriente!AV30*MINVU_Mes_Constante!$AP$1</f>
        <v>44096424.145272553</v>
      </c>
      <c r="AW30" s="8">
        <f>+MINVU_Mes_Corriente!AW30*MINVU_Mes_Constante!$AP$1</f>
        <v>43897709.275260381</v>
      </c>
      <c r="AX30" s="8">
        <f>+MINVU_Mes_Corriente!AX30*MINVU_Mes_Constante!$AP$1</f>
        <v>43897709.275260381</v>
      </c>
      <c r="AY30" s="8">
        <f>+MINVU_Mes_Corriente!AY30*MINVU_Mes_Constante!$AP$1</f>
        <v>43950793.408088729</v>
      </c>
      <c r="AZ30" s="8">
        <f>+MINVU_Mes_Corriente!AZ30*MINVU_Mes_Constante!$AP$1</f>
        <v>43212433.451913968</v>
      </c>
      <c r="BA30" s="8">
        <f>+MINVU_Mes_Corriente!BA30*MINVU_Mes_Constante!$AP$1</f>
        <v>43040601.300689839</v>
      </c>
      <c r="BB30" s="9">
        <f t="shared" ref="BB30:BB47" si="22">BA30</f>
        <v>43040601.300689839</v>
      </c>
      <c r="BC30" s="8">
        <f>+MINVU_Mes_Corriente!BC30*MINVU_Mes_Constante!$BC$1</f>
        <v>65477804.823948324</v>
      </c>
      <c r="BD30" s="8">
        <f>+MINVU_Mes_Corriente!BD30*MINVU_Mes_Constante!$BC$1</f>
        <v>46916277.139654502</v>
      </c>
      <c r="BE30" s="8">
        <f>+MINVU_Mes_Corriente!BE30*MINVU_Mes_Constante!$BC$1</f>
        <v>46916277.139654502</v>
      </c>
      <c r="BF30" s="8">
        <f>+MINVU_Mes_Corriente!BF30*MINVU_Mes_Constante!$BC$1</f>
        <v>46916277.139654502</v>
      </c>
      <c r="BG30" s="8">
        <f>+MINVU_Mes_Corriente!BG30*MINVU_Mes_Constante!$BC$1</f>
        <v>46916277.139654502</v>
      </c>
      <c r="BH30" s="8">
        <f>+MINVU_Mes_Corriente!BH30*MINVU_Mes_Constante!$BC$1</f>
        <v>46916277.139654502</v>
      </c>
      <c r="BI30" s="8">
        <f>+MINVU_Mes_Corriente!BI30*MINVU_Mes_Constante!$BC$1</f>
        <v>46834010.108664125</v>
      </c>
      <c r="BJ30" s="8">
        <f>+MINVU_Mes_Corriente!BJ30*MINVU_Mes_Constante!$BC$1</f>
        <v>47163468.704206787</v>
      </c>
      <c r="BK30" s="8">
        <f>+MINVU_Mes_Corriente!BK30*MINVU_Mes_Constante!$BC$1</f>
        <v>47163468.704206787</v>
      </c>
      <c r="BL30" s="8">
        <f>+MINVU_Mes_Corriente!BL30*MINVU_Mes_Constante!$BC$1</f>
        <v>46053584.213108279</v>
      </c>
      <c r="BM30" s="8">
        <f>+MINVU_Mes_Corriente!BM30*MINVU_Mes_Constante!$BC$1</f>
        <v>45396610.734801538</v>
      </c>
      <c r="BN30" s="8">
        <f>+MINVU_Mes_Corriente!BN30*MINVU_Mes_Constante!$BC$1</f>
        <v>44024950.349465922</v>
      </c>
      <c r="BO30" s="9">
        <f t="shared" ref="BO30:BO47" si="23">BN30</f>
        <v>44024950.349465922</v>
      </c>
      <c r="BP30" s="8">
        <f>+MINVU_Mes_Corriente!BP30*MINVU_Mes_Constante!$BP$1</f>
        <v>71656797.205889896</v>
      </c>
      <c r="BQ30" s="8">
        <f>+MINVU_Mes_Corriente!BQ30*MINVU_Mes_Constante!$BP$1</f>
        <v>71656797.205889896</v>
      </c>
      <c r="BR30" s="8">
        <f>+MINVU_Mes_Corriente!BR30*MINVU_Mes_Constante!$BP$1</f>
        <v>50400430.683994882</v>
      </c>
      <c r="BS30" s="8">
        <f>+MINVU_Mes_Corriente!BS30*MINVU_Mes_Constante!$BP$1</f>
        <v>50400430.683994882</v>
      </c>
      <c r="BT30" s="8">
        <f>+MINVU_Mes_Corriente!BT30*MINVU_Mes_Constante!$BP$1</f>
        <v>50400430.683994882</v>
      </c>
      <c r="BU30" s="8">
        <f>+MINVU_Mes_Corriente!BU30*MINVU_Mes_Constante!$BP$1</f>
        <v>50400430.683994882</v>
      </c>
      <c r="BV30" s="8">
        <f>+MINVU_Mes_Corriente!BV30*MINVU_Mes_Constante!$BP$1</f>
        <v>48889709.03201025</v>
      </c>
      <c r="BW30" s="8">
        <f>+MINVU_Mes_Corriente!BW30*MINVU_Mes_Constante!$BP$1</f>
        <v>48607930.150064029</v>
      </c>
      <c r="BX30" s="8">
        <f>+MINVU_Mes_Corriente!BX30*MINVU_Mes_Constante!$BP$1</f>
        <v>50400430.683994882</v>
      </c>
      <c r="BY30" s="8">
        <f>+MINVU_Mes_Corriente!BY30*MINVU_Mes_Constante!$BP$1</f>
        <v>71656797.205889896</v>
      </c>
      <c r="BZ30" s="8">
        <f>+MINVU_Mes_Corriente!BZ30*MINVU_Mes_Constante!$BP$1</f>
        <v>71656797.205889896</v>
      </c>
      <c r="CA30" s="8">
        <f>+MINVU_Mes_Corriente!CA30*MINVU_Mes_Constante!$BP$1</f>
        <v>53275083.667605639</v>
      </c>
      <c r="CB30" s="9">
        <f t="shared" ref="CB30:CB47" si="24">CA30</f>
        <v>53275083.667605639</v>
      </c>
      <c r="CC30" s="8">
        <f>+MINVU_Mes_Corriente!CC30*MINVU_Mes_Constante!$CC$1</f>
        <v>70079383.018276766</v>
      </c>
      <c r="CD30" s="8">
        <f>+MINVU_Mes_Corriente!CD30*MINVU_Mes_Constante!$CC$1</f>
        <v>70079383.018276766</v>
      </c>
      <c r="CE30" s="8">
        <f>+MINVU_Mes_Corriente!CE30*MINVU_Mes_Constante!$CC$1</f>
        <v>70079383.018276766</v>
      </c>
      <c r="CF30" s="8">
        <f>+MINVU_Mes_Corriente!CF30*MINVU_Mes_Constante!$CC$1</f>
        <v>62186912.271540478</v>
      </c>
      <c r="CG30" s="8">
        <f>+MINVU_Mes_Corriente!CG30*MINVU_Mes_Constante!$CC$1</f>
        <v>62186912.271540478</v>
      </c>
      <c r="CH30" s="8">
        <f>+MINVU_Mes_Corriente!CH30*MINVU_Mes_Constante!$CC$1</f>
        <v>62379648.922044016</v>
      </c>
      <c r="CI30" s="8">
        <f>+MINVU_Mes_Corriente!CI30*MINVU_Mes_Constante!$CC$1</f>
        <v>62924993.932860881</v>
      </c>
      <c r="CJ30" s="8">
        <f>+MINVU_Mes_Corriente!CJ30*MINVU_Mes_Constante!$CC$1</f>
        <v>62924993.932860881</v>
      </c>
      <c r="CK30" s="8">
        <f>+MINVU_Mes_Corriente!CK30*MINVU_Mes_Constante!$CC$1</f>
        <v>49806485.480790757</v>
      </c>
      <c r="CL30" s="8">
        <f>+MINVU_Mes_Corriente!CL30*MINVU_Mes_Constante!$CC$1</f>
        <v>49043263.016038798</v>
      </c>
      <c r="CM30" s="8">
        <f>+MINVU_Mes_Corriente!CM30*MINVU_Mes_Constante!$CC$1</f>
        <v>49023508.460276023</v>
      </c>
      <c r="CN30" s="8">
        <f>+MINVU_Mes_Corriente!CN30*MINVU_Mes_Constante!$CC$1</f>
        <v>47721721.000372998</v>
      </c>
      <c r="CO30" s="9">
        <f t="shared" ref="CO30:CO47" si="25">CN30</f>
        <v>47721721.000372998</v>
      </c>
      <c r="CP30" s="8">
        <f>+MINVU_Mes_Corriente!CP30*MINVU_Mes_Constante!$CP$1</f>
        <v>44793187.843155444</v>
      </c>
      <c r="CQ30" s="8">
        <f>+MINVU_Mes_Corriente!CQ30*MINVU_Mes_Constante!$CP$1</f>
        <v>43216109.736890942</v>
      </c>
      <c r="CR30" s="8">
        <f>+MINVU_Mes_Corriente!CR30*MINVU_Mes_Constante!$CP$1</f>
        <v>39167254.818793498</v>
      </c>
      <c r="CS30" s="8">
        <f>+MINVU_Mes_Corriente!CS30*MINVU_Mes_Constante!$CP$1</f>
        <v>38025731.182134561</v>
      </c>
      <c r="CT30" s="8">
        <f>+MINVU_Mes_Corriente!CT30*MINVU_Mes_Constante!$CP$1</f>
        <v>36037282.838283055</v>
      </c>
      <c r="CU30" s="8">
        <f>+MINVU_Mes_Corriente!CU30*MINVU_Mes_Constante!$CP$1</f>
        <v>36102333.098839901</v>
      </c>
      <c r="CV30" s="8">
        <f>+MINVU_Mes_Corriente!CV30*MINVU_Mes_Constante!$CP$1</f>
        <v>36102333.098839901</v>
      </c>
      <c r="CW30" s="8">
        <f>+MINVU_Mes_Corriente!CW30*MINVU_Mes_Constante!$CP$1</f>
        <v>36102333.098839901</v>
      </c>
      <c r="CX30" s="8">
        <f>+MINVU_Mes_Corriente!CX30*MINVU_Mes_Constante!$CP$1</f>
        <v>36102333.098839901</v>
      </c>
      <c r="CY30" s="8">
        <f>+MINVU_Mes_Corriente!CY30*MINVU_Mes_Constante!$CP$1</f>
        <v>33645095.979118325</v>
      </c>
      <c r="CZ30" s="8">
        <f>+MINVU_Mes_Corriente!CZ30*MINVU_Mes_Constante!$CP$1</f>
        <v>34731334.309280738</v>
      </c>
      <c r="DA30" s="8">
        <f>+MINVU_Mes_Corriente!DA30*MINVU_Mes_Constante!$CP$1</f>
        <v>33663712.007192567</v>
      </c>
      <c r="DB30" s="9">
        <f t="shared" ref="DB30:DB47" si="26">DA30</f>
        <v>33663712.007192567</v>
      </c>
      <c r="DC30" s="8">
        <f>+MINVU_Mes_Corriente!DC30*MINVU_Mes_Constante!$DC$1</f>
        <v>25572101.249459945</v>
      </c>
      <c r="DD30" s="8">
        <f>+MINVU_Mes_Corriente!DD30*MINVU_Mes_Constante!$DC$1</f>
        <v>15918191.792613937</v>
      </c>
      <c r="DE30" s="8">
        <f>+MINVU_Mes_Corriente!DE30*MINVU_Mes_Constante!$DC$1</f>
        <v>15918191.792613937</v>
      </c>
      <c r="DF30" s="8">
        <f>+MINVU_Mes_Corriente!DF30*MINVU_Mes_Constante!$DC$1</f>
        <v>15918191.792613937</v>
      </c>
      <c r="DG30" s="8">
        <f>+MINVU_Mes_Corriente!DG30*MINVU_Mes_Constante!$DC$1</f>
        <v>15841368.109248027</v>
      </c>
      <c r="DH30" s="8">
        <f>+MINVU_Mes_Corriente!DH30*MINVU_Mes_Constante!$DC$1</f>
        <v>15841368.109248027</v>
      </c>
      <c r="DI30" s="8">
        <f>+MINVU_Mes_Corriente!DI30*MINVU_Mes_Constante!$DC$1</f>
        <v>15729048.694373013</v>
      </c>
      <c r="DJ30" s="8">
        <f>+MINVU_Mes_Corriente!DJ30*MINVU_Mes_Constante!$DC$1</f>
        <v>15960022.15389364</v>
      </c>
      <c r="DK30" s="8">
        <f>+MINVU_Mes_Corriente!DK30*MINVU_Mes_Constante!$DC$1</f>
        <v>15960022.15389364</v>
      </c>
      <c r="DL30" s="8">
        <f>+MINVU_Mes_Corriente!DL30*MINVU_Mes_Constante!$DC$1</f>
        <v>15977708.763913184</v>
      </c>
      <c r="DM30" s="8">
        <f>+MINVU_Mes_Corriente!DM30*MINVU_Mes_Constante!$DC$1</f>
        <v>14900929.602921518</v>
      </c>
      <c r="DN30" s="8">
        <f>+MINVU_Mes_Corriente!DN30*MINVU_Mes_Constante!$DC$1</f>
        <v>12940844.99105031</v>
      </c>
      <c r="DO30" s="9">
        <f t="shared" ref="DO30:DO47" si="27">DN30</f>
        <v>12940844.99105031</v>
      </c>
      <c r="DP30" s="8">
        <f>+MINVU_Mes_Corriente!DP30*MINVU_Mes_Constante!$DP$1</f>
        <v>24143126.185866985</v>
      </c>
      <c r="DQ30" s="8">
        <f>+MINVU_Mes_Corriente!DQ30*MINVU_Mes_Constante!$DP$1</f>
        <v>13423871.323040381</v>
      </c>
      <c r="DR30" s="8">
        <f>+MINVU_Mes_Corriente!DR30*MINVU_Mes_Constante!$DP$1</f>
        <v>13423871.323040381</v>
      </c>
      <c r="DS30" s="8">
        <f>+MINVU_Mes_Corriente!DS30*MINVU_Mes_Constante!$DP$1</f>
        <v>13159492.184679337</v>
      </c>
      <c r="DT30" s="8">
        <f>+MINVU_Mes_Corriente!DT30*MINVU_Mes_Constante!$DP$1</f>
        <v>12645933.418646082</v>
      </c>
      <c r="DU30" s="8">
        <f>+MINVU_Mes_Corriente!DU30*MINVU_Mes_Constante!$DP$1</f>
        <v>12385327.124109264</v>
      </c>
      <c r="DV30" s="8">
        <f>+MINVU_Mes_Corriente!DV30*MINVU_Mes_Constante!$DP$1</f>
        <v>12119714.160926366</v>
      </c>
      <c r="DW30" s="8">
        <f>+MINVU_Mes_Corriente!DW30*MINVU_Mes_Constante!$DP$1</f>
        <v>12084684.782066509</v>
      </c>
      <c r="DX30" s="8">
        <f>+MINVU_Mes_Corriente!DX30*MINVU_Mes_Constante!$DP$1</f>
        <v>12084684.782066509</v>
      </c>
      <c r="DY30" s="8">
        <f>+MINVU_Mes_Corriente!DY30*MINVU_Mes_Constante!$DP$1</f>
        <v>12084684.782066509</v>
      </c>
      <c r="DZ30" s="8">
        <f>+MINVU_Mes_Corriente!DZ30*MINVU_Mes_Constante!$DP$1</f>
        <v>3573302.6668646084</v>
      </c>
      <c r="EA30" s="8">
        <f>+MINVU_Mes_Corriente!EA30*MINVU_Mes_Constante!$DP$1</f>
        <v>2442580.6157957246</v>
      </c>
      <c r="EB30" s="9">
        <f t="shared" ref="EB30:EB47" si="28">EA30</f>
        <v>2442580.6157957246</v>
      </c>
      <c r="EC30" s="8">
        <f>+MINVU_Mes_Corriente!EC30*MINVU_Mes_Constante!$EC$1</f>
        <v>68156330.070062473</v>
      </c>
      <c r="ED30" s="8">
        <f>+MINVU_Mes_Corriente!ED30*MINVU_Mes_Constante!$EC$1</f>
        <v>68156330.070062473</v>
      </c>
      <c r="EE30" s="8">
        <f>+MINVU_Mes_Corriente!EE30*MINVU_Mes_Constante!$EC$1</f>
        <v>42271678.157167189</v>
      </c>
      <c r="EF30" s="8">
        <f>+MINVU_Mes_Corriente!EF30*MINVU_Mes_Constante!$EC$1</f>
        <v>42271678.157167189</v>
      </c>
      <c r="EG30" s="8">
        <f>+MINVU_Mes_Corriente!EG30*MINVU_Mes_Constante!$EC$1</f>
        <v>41835174.009089172</v>
      </c>
      <c r="EH30" s="8">
        <f>+MINVU_Mes_Corriente!EH30*MINVU_Mes_Constante!$EC$1</f>
        <v>41513169.416966468</v>
      </c>
      <c r="EI30" s="8">
        <f>+MINVU_Mes_Corriente!EI30*MINVU_Mes_Constante!$EC$1</f>
        <v>41493242.552925572</v>
      </c>
      <c r="EJ30" s="8">
        <f>+MINVU_Mes_Corriente!EJ30*MINVU_Mes_Constante!$EC$1</f>
        <v>36539948.418291979</v>
      </c>
      <c r="EK30" s="8">
        <f>+MINVU_Mes_Corriente!EK30*MINVU_Mes_Constante!$EC$1</f>
        <v>33056244.731111523</v>
      </c>
      <c r="EL30" s="8">
        <f>+MINVU_Mes_Corriente!EL30*MINVU_Mes_Constante!$EC$1</f>
        <v>32981299.943381924</v>
      </c>
      <c r="EM30" s="8">
        <f>+MINVU_Mes_Corriente!EM30*MINVU_Mes_Constante!$EC$1</f>
        <v>20308237.508805145</v>
      </c>
      <c r="EN30" s="8">
        <f>+MINVU_Mes_Corriente!EN30*MINVU_Mes_Constante!$EC$1</f>
        <v>1922650.1441014954</v>
      </c>
      <c r="EO30" s="9">
        <f t="shared" ref="EO30:EO47" si="29">EN30</f>
        <v>1922650.1441014954</v>
      </c>
      <c r="EP30" s="8">
        <f>+MINVU_Mes_Corriente!EP30*MINVU_Mes_Constante!$EP$1</f>
        <v>31496963</v>
      </c>
      <c r="EQ30" s="8">
        <f>+MINVU_Mes_Corriente!EQ30*MINVU_Mes_Constante!$EP$1</f>
        <v>21938918</v>
      </c>
      <c r="ER30" s="8">
        <f>+MINVU_Mes_Corriente!ER30*MINVU_Mes_Constante!$EP$1</f>
        <v>17774772</v>
      </c>
      <c r="ES30" s="8">
        <f>+MINVU_Mes_Corriente!ES30*MINVU_Mes_Constante!$EP$1</f>
        <v>17594772</v>
      </c>
      <c r="ET30" s="8">
        <f>+MINVU_Mes_Corriente!ET30*MINVU_Mes_Constante!$EP$1</f>
        <v>17439772</v>
      </c>
      <c r="EU30" s="8">
        <f>+MINVU_Mes_Corriente!EU30*MINVU_Mes_Constante!$EP$1</f>
        <v>16908124</v>
      </c>
      <c r="EV30" s="8">
        <f>+MINVU_Mes_Corriente!EV30*MINVU_Mes_Constante!$EP$1</f>
        <v>10908124</v>
      </c>
      <c r="EW30" s="8">
        <f>+MINVU_Mes_Corriente!EW30*MINVU_Mes_Constante!$EP$1</f>
        <v>10908124</v>
      </c>
      <c r="EX30" s="8">
        <f>+MINVU_Mes_Corriente!EX30*MINVU_Mes_Constante!$EP$1</f>
        <v>10908124</v>
      </c>
      <c r="EY30" s="8">
        <f>+MINVU_Mes_Corriente!EY30*MINVU_Mes_Constante!$EP$1</f>
        <v>4377527</v>
      </c>
      <c r="EZ30" s="8">
        <f>+MINVU_Mes_Corriente!EZ30*MINVU_Mes_Constante!$EP$1</f>
        <v>4377527</v>
      </c>
      <c r="FA30" s="8">
        <f>+MINVU_Mes_Corriente!FA30*MINVU_Mes_Constante!$EP$1</f>
        <v>2042428</v>
      </c>
      <c r="FB30" s="9">
        <f t="shared" ref="FB30:FB47" si="30">FA30</f>
        <v>2042428</v>
      </c>
      <c r="FC30" s="8">
        <f>+MINVU_Mes_Corriente!FC30*MINVU_Mes_Constante!$FC$1</f>
        <v>15772873</v>
      </c>
      <c r="FD30" s="8">
        <f>+MINVU_Mes_Corriente!FD30*MINVU_Mes_Constante!$FC$1</f>
        <v>15772873</v>
      </c>
      <c r="FE30" s="8">
        <f>+MINVU_Mes_Corriente!FE30*MINVU_Mes_Constante!$FC$1</f>
        <v>15772873</v>
      </c>
      <c r="FF30" s="8">
        <f>+MINVU_Mes_Corriente!FF30*MINVU_Mes_Constante!$FC$1</f>
        <v>15772873</v>
      </c>
      <c r="FG30" s="8">
        <f>+MINVU_Mes_Corriente!FG30*MINVU_Mes_Constante!$FC$1</f>
        <v>3763881</v>
      </c>
      <c r="FH30" s="8">
        <f>+MINVU_Mes_Corriente!FH30*MINVU_Mes_Constante!$FC$1</f>
        <v>3874066</v>
      </c>
      <c r="FI30" s="8">
        <f>+MINVU_Mes_Corriente!FI30*MINVU_Mes_Constante!$FC$1</f>
        <v>2591940</v>
      </c>
      <c r="FJ30" s="8"/>
      <c r="FK30" s="8"/>
      <c r="FL30" s="8"/>
      <c r="FM30" s="8"/>
      <c r="FN30" s="8"/>
      <c r="FO30" s="9">
        <f t="shared" ref="FO30:FO47" si="31">FI30</f>
        <v>2591940</v>
      </c>
    </row>
    <row r="31" spans="2:171" ht="14.25" customHeight="1" x14ac:dyDescent="0.3">
      <c r="B31" s="7" t="s">
        <v>44</v>
      </c>
      <c r="C31" s="8">
        <f>+MINVU_Mes_Corriente!C31*MINVU_Mes_Constante!$C$1</f>
        <v>19205697.846655793</v>
      </c>
      <c r="D31" s="8">
        <f>+MINVU_Mes_Corriente!D31*MINVU_Mes_Constante!$C$1</f>
        <v>19205697.846655793</v>
      </c>
      <c r="E31" s="8">
        <f>+MINVU_Mes_Corriente!E31*MINVU_Mes_Constante!$C$1</f>
        <v>19205697.846655793</v>
      </c>
      <c r="F31" s="8">
        <f>+MINVU_Mes_Corriente!F31*MINVU_Mes_Constante!$C$1</f>
        <v>19205697.846655793</v>
      </c>
      <c r="G31" s="8">
        <f>+MINVU_Mes_Corriente!G31*MINVU_Mes_Constante!$C$1</f>
        <v>19205697.846655793</v>
      </c>
      <c r="H31" s="8">
        <f>+MINVU_Mes_Corriente!H31*MINVU_Mes_Constante!$C$1</f>
        <v>19205697.846655793</v>
      </c>
      <c r="I31" s="8">
        <f>+MINVU_Mes_Corriente!I31*MINVU_Mes_Constante!$C$1</f>
        <v>19205697.846655793</v>
      </c>
      <c r="J31" s="8">
        <f>+MINVU_Mes_Corriente!J31*MINVU_Mes_Constante!$C$1</f>
        <v>19205697.846655793</v>
      </c>
      <c r="K31" s="8">
        <f>+MINVU_Mes_Corriente!K31*MINVU_Mes_Constante!$C$1</f>
        <v>19205697.846655793</v>
      </c>
      <c r="L31" s="8">
        <f>+MINVU_Mes_Corriente!L31*MINVU_Mes_Constante!$C$1</f>
        <v>19205697.846655793</v>
      </c>
      <c r="M31" s="8">
        <f>+MINVU_Mes_Corriente!M31*MINVU_Mes_Constante!$C$1</f>
        <v>19205697.846655793</v>
      </c>
      <c r="N31" s="8">
        <f>+MINVU_Mes_Corriente!N31*MINVU_Mes_Constante!$C$1</f>
        <v>18834507.129467599</v>
      </c>
      <c r="O31" s="9">
        <f t="shared" si="19"/>
        <v>18834507.129467599</v>
      </c>
      <c r="P31" s="8">
        <f>+MINVU_Mes_Corriente!P31*MINVU_Mes_Constante!$P$1</f>
        <v>19297548.076715436</v>
      </c>
      <c r="Q31" s="8">
        <f>+MINVU_Mes_Corriente!Q31*MINVU_Mes_Constante!$P$1</f>
        <v>23985183.920159105</v>
      </c>
      <c r="R31" s="8">
        <f>+MINVU_Mes_Corriente!R31*MINVU_Mes_Constante!$P$1</f>
        <v>23985183.920159105</v>
      </c>
      <c r="S31" s="8">
        <f>+MINVU_Mes_Corriente!S31*MINVU_Mes_Constante!$P$1</f>
        <v>23985183.920159105</v>
      </c>
      <c r="T31" s="8">
        <f>+MINVU_Mes_Corriente!T31*MINVU_Mes_Constante!$P$1</f>
        <v>23985183.920159105</v>
      </c>
      <c r="U31" s="8">
        <f>+MINVU_Mes_Corriente!U31*MINVU_Mes_Constante!$P$1</f>
        <v>23985183.920159105</v>
      </c>
      <c r="V31" s="8">
        <f>+MINVU_Mes_Corriente!V31*MINVU_Mes_Constante!$P$1</f>
        <v>23985183.920159105</v>
      </c>
      <c r="W31" s="8">
        <f>+MINVU_Mes_Corriente!W31*MINVU_Mes_Constante!$P$1</f>
        <v>24002338.935360126</v>
      </c>
      <c r="X31" s="8">
        <f>+MINVU_Mes_Corriente!X31*MINVU_Mes_Constante!$P$1</f>
        <v>24002338.935360126</v>
      </c>
      <c r="Y31" s="8">
        <f>+MINVU_Mes_Corriente!Y31*MINVU_Mes_Constante!$P$1</f>
        <v>24297991.310981665</v>
      </c>
      <c r="Z31" s="8">
        <f>+MINVU_Mes_Corriente!Z31*MINVU_Mes_Constante!$P$1</f>
        <v>24297991.310981665</v>
      </c>
      <c r="AA31" s="8">
        <f>+MINVU_Mes_Corriente!AA31*MINVU_Mes_Constante!$P$1</f>
        <v>24297991.310981665</v>
      </c>
      <c r="AB31" s="9">
        <f t="shared" si="20"/>
        <v>24297991.310981665</v>
      </c>
      <c r="AC31" s="8">
        <f>+MINVU_Mes_Corriente!AC31*MINVU_Mes_Constante!$AC$1</f>
        <v>23240711.376677271</v>
      </c>
      <c r="AD31" s="8">
        <f>+MINVU_Mes_Corriente!AD31*MINVU_Mes_Constante!$AC$1</f>
        <v>23240711.376677271</v>
      </c>
      <c r="AE31" s="8">
        <f>+MINVU_Mes_Corriente!AE31*MINVU_Mes_Constante!$AC$1</f>
        <v>23496292.719324943</v>
      </c>
      <c r="AF31" s="8">
        <f>+MINVU_Mes_Corriente!AF31*MINVU_Mes_Constante!$AC$1</f>
        <v>23496292.719324943</v>
      </c>
      <c r="AG31" s="8">
        <f>+MINVU_Mes_Corriente!AG31*MINVU_Mes_Constante!$AC$1</f>
        <v>23496292.719324943</v>
      </c>
      <c r="AH31" s="8">
        <f>+MINVU_Mes_Corriente!AH31*MINVU_Mes_Constante!$AC$1</f>
        <v>23496292.719324943</v>
      </c>
      <c r="AI31" s="8">
        <f>+MINVU_Mes_Corriente!AI31*MINVU_Mes_Constante!$AC$1</f>
        <v>23496292.719324943</v>
      </c>
      <c r="AJ31" s="8">
        <f>+MINVU_Mes_Corriente!AJ31*MINVU_Mes_Constante!$AC$1</f>
        <v>24337393.70148015</v>
      </c>
      <c r="AK31" s="8">
        <f>+MINVU_Mes_Corriente!AK31*MINVU_Mes_Constante!$AC$1</f>
        <v>24337393.70148015</v>
      </c>
      <c r="AL31" s="8">
        <f>+MINVU_Mes_Corriente!AL31*MINVU_Mes_Constante!$AC$1</f>
        <v>24337393.70148015</v>
      </c>
      <c r="AM31" s="8">
        <f>+MINVU_Mes_Corriente!AM31*MINVU_Mes_Constante!$AC$1</f>
        <v>24337393.70148015</v>
      </c>
      <c r="AN31" s="8">
        <f>+MINVU_Mes_Corriente!AN31*MINVU_Mes_Constante!$AC$1</f>
        <v>24337393.70148015</v>
      </c>
      <c r="AO31" s="9">
        <f t="shared" si="21"/>
        <v>24337393.70148015</v>
      </c>
      <c r="AP31" s="8">
        <f>+MINVU_Mes_Corriente!AP31*MINVU_Mes_Constante!$AP$1</f>
        <v>28264729.951034762</v>
      </c>
      <c r="AQ31" s="8">
        <f>+MINVU_Mes_Corriente!AQ31*MINVU_Mes_Constante!$AP$1</f>
        <v>28264729.951034762</v>
      </c>
      <c r="AR31" s="8">
        <f>+MINVU_Mes_Corriente!AR31*MINVU_Mes_Constante!$AP$1</f>
        <v>28264729.951034762</v>
      </c>
      <c r="AS31" s="8">
        <f>+MINVU_Mes_Corriente!AS31*MINVU_Mes_Constante!$AP$1</f>
        <v>28264729.951034762</v>
      </c>
      <c r="AT31" s="8">
        <f>+MINVU_Mes_Corriente!AT31*MINVU_Mes_Constante!$AP$1</f>
        <v>28264729.951034762</v>
      </c>
      <c r="AU31" s="8">
        <f>+MINVU_Mes_Corriente!AU31*MINVU_Mes_Constante!$AP$1</f>
        <v>28264729.951034762</v>
      </c>
      <c r="AV31" s="8">
        <f>+MINVU_Mes_Corriente!AV31*MINVU_Mes_Constante!$AP$1</f>
        <v>28264729.951034762</v>
      </c>
      <c r="AW31" s="8">
        <f>+MINVU_Mes_Corriente!AW31*MINVU_Mes_Constante!$AP$1</f>
        <v>28264729.951034762</v>
      </c>
      <c r="AX31" s="8">
        <f>+MINVU_Mes_Corriente!AX31*MINVU_Mes_Constante!$AP$1</f>
        <v>28264729.951034762</v>
      </c>
      <c r="AY31" s="8">
        <f>+MINVU_Mes_Corriente!AY31*MINVU_Mes_Constante!$AP$1</f>
        <v>28264729.951034762</v>
      </c>
      <c r="AZ31" s="8">
        <f>+MINVU_Mes_Corriente!AZ31*MINVU_Mes_Constante!$AP$1</f>
        <v>28264729.951034762</v>
      </c>
      <c r="BA31" s="8">
        <f>+MINVU_Mes_Corriente!BA31*MINVU_Mes_Constante!$AP$1</f>
        <v>28264729.951034762</v>
      </c>
      <c r="BB31" s="9">
        <f t="shared" si="22"/>
        <v>28264729.951034762</v>
      </c>
      <c r="BC31" s="8">
        <f>+MINVU_Mes_Corriente!BC31*MINVU_Mes_Constante!$BC$1</f>
        <v>32959763.800606627</v>
      </c>
      <c r="BD31" s="8">
        <f>+MINVU_Mes_Corriente!BD31*MINVU_Mes_Constante!$BC$1</f>
        <v>32959763.800606627</v>
      </c>
      <c r="BE31" s="8">
        <f>+MINVU_Mes_Corriente!BE31*MINVU_Mes_Constante!$BC$1</f>
        <v>32959763.800606627</v>
      </c>
      <c r="BF31" s="8">
        <f>+MINVU_Mes_Corriente!BF31*MINVU_Mes_Constante!$BC$1</f>
        <v>32959763.800606627</v>
      </c>
      <c r="BG31" s="8">
        <f>+MINVU_Mes_Corriente!BG31*MINVU_Mes_Constante!$BC$1</f>
        <v>32959763.800606627</v>
      </c>
      <c r="BH31" s="8">
        <f>+MINVU_Mes_Corriente!BH31*MINVU_Mes_Constante!$BC$1</f>
        <v>32959763.800606627</v>
      </c>
      <c r="BI31" s="8">
        <f>+MINVU_Mes_Corriente!BI31*MINVU_Mes_Constante!$BC$1</f>
        <v>32959763.800606627</v>
      </c>
      <c r="BJ31" s="8">
        <f>+MINVU_Mes_Corriente!BJ31*MINVU_Mes_Constante!$BC$1</f>
        <v>32959763.800606627</v>
      </c>
      <c r="BK31" s="8">
        <f>+MINVU_Mes_Corriente!BK31*MINVU_Mes_Constante!$BC$1</f>
        <v>32959763.800606627</v>
      </c>
      <c r="BL31" s="8">
        <f>+MINVU_Mes_Corriente!BL31*MINVU_Mes_Constante!$BC$1</f>
        <v>32959763.800606627</v>
      </c>
      <c r="BM31" s="8">
        <f>+MINVU_Mes_Corriente!BM31*MINVU_Mes_Constante!$BC$1</f>
        <v>32959763.800606627</v>
      </c>
      <c r="BN31" s="8">
        <f>+MINVU_Mes_Corriente!BN31*MINVU_Mes_Constante!$BC$1</f>
        <v>29622780.700250566</v>
      </c>
      <c r="BO31" s="9">
        <f t="shared" si="23"/>
        <v>29622780.700250566</v>
      </c>
      <c r="BP31" s="8">
        <f>+MINVU_Mes_Corriente!BP31*MINVU_Mes_Constante!$BP$1</f>
        <v>33303084.53393086</v>
      </c>
      <c r="BQ31" s="8">
        <f>+MINVU_Mes_Corriente!BQ31*MINVU_Mes_Constante!$BP$1</f>
        <v>33303084.53393086</v>
      </c>
      <c r="BR31" s="8">
        <f>+MINVU_Mes_Corriente!BR31*MINVU_Mes_Constante!$BP$1</f>
        <v>33303084.53393086</v>
      </c>
      <c r="BS31" s="8">
        <f>+MINVU_Mes_Corriente!BS31*MINVU_Mes_Constante!$BP$1</f>
        <v>33303084.53393086</v>
      </c>
      <c r="BT31" s="8">
        <f>+MINVU_Mes_Corriente!BT31*MINVU_Mes_Constante!$BP$1</f>
        <v>33303084.53393086</v>
      </c>
      <c r="BU31" s="8">
        <f>+MINVU_Mes_Corriente!BU31*MINVU_Mes_Constante!$BP$1</f>
        <v>33303084.53393086</v>
      </c>
      <c r="BV31" s="8">
        <f>+MINVU_Mes_Corriente!BV31*MINVU_Mes_Constante!$BP$1</f>
        <v>33303084.53393086</v>
      </c>
      <c r="BW31" s="8">
        <f>+MINVU_Mes_Corriente!BW31*MINVU_Mes_Constante!$BP$1</f>
        <v>33303084.53393086</v>
      </c>
      <c r="BX31" s="8">
        <f>+MINVU_Mes_Corriente!BX31*MINVU_Mes_Constante!$BP$1</f>
        <v>33691216.344430223</v>
      </c>
      <c r="BY31" s="8">
        <f>+MINVU_Mes_Corriente!BY31*MINVU_Mes_Constante!$BP$1</f>
        <v>33691216.344430223</v>
      </c>
      <c r="BZ31" s="8">
        <f>+MINVU_Mes_Corriente!BZ31*MINVU_Mes_Constante!$BP$1</f>
        <v>33691216.344430223</v>
      </c>
      <c r="CA31" s="8">
        <f>+MINVU_Mes_Corriente!CA31*MINVU_Mes_Constante!$BP$1</f>
        <v>32456046.73367478</v>
      </c>
      <c r="CB31" s="9">
        <f t="shared" si="24"/>
        <v>32456046.73367478</v>
      </c>
      <c r="CC31" s="8">
        <f>+MINVU_Mes_Corriente!CC31*MINVU_Mes_Constante!$CC$1</f>
        <v>40761208.303618059</v>
      </c>
      <c r="CD31" s="8">
        <f>+MINVU_Mes_Corriente!CD31*MINVU_Mes_Constante!$CC$1</f>
        <v>40761208.303618059</v>
      </c>
      <c r="CE31" s="8">
        <f>+MINVU_Mes_Corriente!CE31*MINVU_Mes_Constante!$CC$1</f>
        <v>40761208.303618059</v>
      </c>
      <c r="CF31" s="8">
        <f>+MINVU_Mes_Corriente!CF31*MINVU_Mes_Constante!$CC$1</f>
        <v>40761208.303618059</v>
      </c>
      <c r="CG31" s="8">
        <f>+MINVU_Mes_Corriente!CG31*MINVU_Mes_Constante!$CC$1</f>
        <v>40761208.303618059</v>
      </c>
      <c r="CH31" s="8">
        <f>+MINVU_Mes_Corriente!CH31*MINVU_Mes_Constante!$CC$1</f>
        <v>40761208.303618059</v>
      </c>
      <c r="CI31" s="8">
        <f>+MINVU_Mes_Corriente!CI31*MINVU_Mes_Constante!$CC$1</f>
        <v>40761208.303618059</v>
      </c>
      <c r="CJ31" s="8">
        <f>+MINVU_Mes_Corriente!CJ31*MINVU_Mes_Constante!$CC$1</f>
        <v>40761208.303618059</v>
      </c>
      <c r="CK31" s="8">
        <f>+MINVU_Mes_Corriente!CK31*MINVU_Mes_Constante!$CC$1</f>
        <v>33097163.362178296</v>
      </c>
      <c r="CL31" s="8">
        <f>+MINVU_Mes_Corriente!CL31*MINVU_Mes_Constante!$CC$1</f>
        <v>33097163.362178296</v>
      </c>
      <c r="CM31" s="8">
        <f>+MINVU_Mes_Corriente!CM31*MINVU_Mes_Constante!$CC$1</f>
        <v>33097163.362178296</v>
      </c>
      <c r="CN31" s="8">
        <f>+MINVU_Mes_Corriente!CN31*MINVU_Mes_Constante!$CC$1</f>
        <v>31942948.220813133</v>
      </c>
      <c r="CO31" s="9">
        <f t="shared" si="25"/>
        <v>31942948.220813133</v>
      </c>
      <c r="CP31" s="8">
        <f>+MINVU_Mes_Corriente!CP31*MINVU_Mes_Constante!$CP$1</f>
        <v>35887478.759164728</v>
      </c>
      <c r="CQ31" s="8">
        <f>+MINVU_Mes_Corriente!CQ31*MINVU_Mes_Constante!$CP$1</f>
        <v>39050568.434338741</v>
      </c>
      <c r="CR31" s="8">
        <f>+MINVU_Mes_Corriente!CR31*MINVU_Mes_Constante!$CP$1</f>
        <v>39050568.434338741</v>
      </c>
      <c r="CS31" s="8">
        <f>+MINVU_Mes_Corriente!CS31*MINVU_Mes_Constante!$CP$1</f>
        <v>39050568.434338741</v>
      </c>
      <c r="CT31" s="8">
        <f>+MINVU_Mes_Corriente!CT31*MINVU_Mes_Constante!$CP$1</f>
        <v>39050568.434338741</v>
      </c>
      <c r="CU31" s="8">
        <f>+MINVU_Mes_Corriente!CU31*MINVU_Mes_Constante!$CP$1</f>
        <v>39050568.434338741</v>
      </c>
      <c r="CV31" s="8">
        <f>+MINVU_Mes_Corriente!CV31*MINVU_Mes_Constante!$CP$1</f>
        <v>39050568.434338741</v>
      </c>
      <c r="CW31" s="8">
        <f>+MINVU_Mes_Corriente!CW31*MINVU_Mes_Constante!$CP$1</f>
        <v>39050568.434338741</v>
      </c>
      <c r="CX31" s="8">
        <f>+MINVU_Mes_Corriente!CX31*MINVU_Mes_Constante!$CP$1</f>
        <v>39050568.434338741</v>
      </c>
      <c r="CY31" s="8">
        <f>+MINVU_Mes_Corriente!CY31*MINVU_Mes_Constante!$CP$1</f>
        <v>39050568.434338741</v>
      </c>
      <c r="CZ31" s="8">
        <f>+MINVU_Mes_Corriente!CZ31*MINVU_Mes_Constante!$CP$1</f>
        <v>39050568.434338741</v>
      </c>
      <c r="DA31" s="8">
        <f>+MINVU_Mes_Corriente!DA31*MINVU_Mes_Constante!$CP$1</f>
        <v>38504011.128306255</v>
      </c>
      <c r="DB31" s="9">
        <f t="shared" si="26"/>
        <v>38504011.128306255</v>
      </c>
      <c r="DC31" s="8">
        <f>+MINVU_Mes_Corriente!DC31*MINVU_Mes_Constante!$DC$1</f>
        <v>29537080.448307801</v>
      </c>
      <c r="DD31" s="8">
        <f>+MINVU_Mes_Corriente!DD31*MINVU_Mes_Constante!$DC$1</f>
        <v>29537080.448307801</v>
      </c>
      <c r="DE31" s="8">
        <f>+MINVU_Mes_Corriente!DE31*MINVU_Mes_Constante!$DC$1</f>
        <v>29537080.448307801</v>
      </c>
      <c r="DF31" s="8">
        <f>+MINVU_Mes_Corriente!DF31*MINVU_Mes_Constante!$DC$1</f>
        <v>29537080.448307801</v>
      </c>
      <c r="DG31" s="8">
        <f>+MINVU_Mes_Corriente!DG31*MINVU_Mes_Constante!$DC$1</f>
        <v>29537080.448307801</v>
      </c>
      <c r="DH31" s="8">
        <f>+MINVU_Mes_Corriente!DH31*MINVU_Mes_Constante!$DC$1</f>
        <v>29537080.448307801</v>
      </c>
      <c r="DI31" s="8">
        <f>+MINVU_Mes_Corriente!DI31*MINVU_Mes_Constante!$DC$1</f>
        <v>29537080.448307801</v>
      </c>
      <c r="DJ31" s="8">
        <f>+MINVU_Mes_Corriente!DJ31*MINVU_Mes_Constante!$DC$1</f>
        <v>29537080.448307801</v>
      </c>
      <c r="DK31" s="8">
        <f>+MINVU_Mes_Corriente!DK31*MINVU_Mes_Constante!$DC$1</f>
        <v>29537080.448307801</v>
      </c>
      <c r="DL31" s="8">
        <f>+MINVU_Mes_Corriente!DL31*MINVU_Mes_Constante!$DC$1</f>
        <v>29537080.448307801</v>
      </c>
      <c r="DM31" s="8">
        <f>+MINVU_Mes_Corriente!DM31*MINVU_Mes_Constante!$DC$1</f>
        <v>26303374.461886648</v>
      </c>
      <c r="DN31" s="8">
        <f>+MINVU_Mes_Corriente!DN31*MINVU_Mes_Constante!$DC$1</f>
        <v>26305060.399547383</v>
      </c>
      <c r="DO31" s="9">
        <f t="shared" si="27"/>
        <v>26305060.399547383</v>
      </c>
      <c r="DP31" s="8">
        <f>+MINVU_Mes_Corriente!DP31*MINVU_Mes_Constante!$DP$1</f>
        <v>25867166.586698338</v>
      </c>
      <c r="DQ31" s="8">
        <f>+MINVU_Mes_Corriente!DQ31*MINVU_Mes_Constante!$DP$1</f>
        <v>25867166.586698338</v>
      </c>
      <c r="DR31" s="8">
        <f>+MINVU_Mes_Corriente!DR31*MINVU_Mes_Constante!$DP$1</f>
        <v>25867166.586698338</v>
      </c>
      <c r="DS31" s="8">
        <f>+MINVU_Mes_Corriente!DS31*MINVU_Mes_Constante!$DP$1</f>
        <v>25867166.586698338</v>
      </c>
      <c r="DT31" s="8">
        <f>+MINVU_Mes_Corriente!DT31*MINVU_Mes_Constante!$DP$1</f>
        <v>25867166.586698338</v>
      </c>
      <c r="DU31" s="8">
        <f>+MINVU_Mes_Corriente!DU31*MINVU_Mes_Constante!$DP$1</f>
        <v>25867166.586698338</v>
      </c>
      <c r="DV31" s="8">
        <f>+MINVU_Mes_Corriente!DV31*MINVU_Mes_Constante!$DP$1</f>
        <v>25951077.488123517</v>
      </c>
      <c r="DW31" s="8">
        <f>+MINVU_Mes_Corriente!DW31*MINVU_Mes_Constante!$DP$1</f>
        <v>25951077.488123517</v>
      </c>
      <c r="DX31" s="8">
        <f>+MINVU_Mes_Corriente!DX31*MINVU_Mes_Constante!$DP$1</f>
        <v>25951077.488123517</v>
      </c>
      <c r="DY31" s="8">
        <f>+MINVU_Mes_Corriente!DY31*MINVU_Mes_Constante!$DP$1</f>
        <v>25951077.488123517</v>
      </c>
      <c r="DZ31" s="8">
        <f>+MINVU_Mes_Corriente!DZ31*MINVU_Mes_Constante!$DP$1</f>
        <v>25118185.177553445</v>
      </c>
      <c r="EA31" s="8">
        <f>+MINVU_Mes_Corriente!EA31*MINVU_Mes_Constante!$DP$1</f>
        <v>24052290.293942995</v>
      </c>
      <c r="EB31" s="9">
        <f t="shared" si="28"/>
        <v>24052290.293942995</v>
      </c>
      <c r="EC31" s="8">
        <f>+MINVU_Mes_Corriente!EC31*MINVU_Mes_Constante!$EC$1</f>
        <v>33747414.056807414</v>
      </c>
      <c r="ED31" s="8">
        <f>+MINVU_Mes_Corriente!ED31*MINVU_Mes_Constante!$EC$1</f>
        <v>33747414.056807414</v>
      </c>
      <c r="EE31" s="8">
        <f>+MINVU_Mes_Corriente!EE31*MINVU_Mes_Constante!$EC$1</f>
        <v>33747414.056807414</v>
      </c>
      <c r="EF31" s="8">
        <f>+MINVU_Mes_Corriente!EF31*MINVU_Mes_Constante!$EC$1</f>
        <v>33747414.056807414</v>
      </c>
      <c r="EG31" s="8">
        <f>+MINVU_Mes_Corriente!EG31*MINVU_Mes_Constante!$EC$1</f>
        <v>33747414.056807414</v>
      </c>
      <c r="EH31" s="8">
        <f>+MINVU_Mes_Corriente!EH31*MINVU_Mes_Constante!$EC$1</f>
        <v>33747414.056807414</v>
      </c>
      <c r="EI31" s="8">
        <f>+MINVU_Mes_Corriente!EI31*MINVU_Mes_Constante!$EC$1</f>
        <v>33747414.056807414</v>
      </c>
      <c r="EJ31" s="8">
        <f>+MINVU_Mes_Corriente!EJ31*MINVU_Mes_Constante!$EC$1</f>
        <v>33505197.608975563</v>
      </c>
      <c r="EK31" s="8">
        <f>+MINVU_Mes_Corriente!EK31*MINVU_Mes_Constante!$EC$1</f>
        <v>33071650.991100159</v>
      </c>
      <c r="EL31" s="8">
        <f>+MINVU_Mes_Corriente!EL31*MINVU_Mes_Constante!$EC$1</f>
        <v>33071650.991100159</v>
      </c>
      <c r="EM31" s="8">
        <f>+MINVU_Mes_Corriente!EM31*MINVU_Mes_Constante!$EC$1</f>
        <v>29969909.381367154</v>
      </c>
      <c r="EN31" s="8">
        <f>+MINVU_Mes_Corriente!EN31*MINVU_Mes_Constante!$EC$1</f>
        <v>28896090.060215861</v>
      </c>
      <c r="EO31" s="9">
        <f t="shared" si="29"/>
        <v>28896090.060215861</v>
      </c>
      <c r="EP31" s="8">
        <f>+MINVU_Mes_Corriente!EP31*MINVU_Mes_Constante!$EP$1</f>
        <v>31388552</v>
      </c>
      <c r="EQ31" s="8">
        <f>+MINVU_Mes_Corriente!EQ31*MINVU_Mes_Constante!$EP$1</f>
        <v>31388552</v>
      </c>
      <c r="ER31" s="8">
        <f>+MINVU_Mes_Corriente!ER31*MINVU_Mes_Constante!$EP$1</f>
        <v>31388552</v>
      </c>
      <c r="ES31" s="8">
        <f>+MINVU_Mes_Corriente!ES31*MINVU_Mes_Constante!$EP$1</f>
        <v>31388552</v>
      </c>
      <c r="ET31" s="8">
        <f>+MINVU_Mes_Corriente!ET31*MINVU_Mes_Constante!$EP$1</f>
        <v>31388552</v>
      </c>
      <c r="EU31" s="8">
        <f>+MINVU_Mes_Corriente!EU31*MINVU_Mes_Constante!$EP$1</f>
        <v>31388552</v>
      </c>
      <c r="EV31" s="8">
        <f>+MINVU_Mes_Corriente!EV31*MINVU_Mes_Constante!$EP$1</f>
        <v>31388552</v>
      </c>
      <c r="EW31" s="8">
        <f>+MINVU_Mes_Corriente!EW31*MINVU_Mes_Constante!$EP$1</f>
        <v>31388552</v>
      </c>
      <c r="EX31" s="8">
        <f>+MINVU_Mes_Corriente!EX31*MINVU_Mes_Constante!$EP$1</f>
        <v>31388552</v>
      </c>
      <c r="EY31" s="8">
        <f>+MINVU_Mes_Corriente!EY31*MINVU_Mes_Constante!$EP$1</f>
        <v>31049772</v>
      </c>
      <c r="EZ31" s="8">
        <f>+MINVU_Mes_Corriente!EZ31*MINVU_Mes_Constante!$EP$1</f>
        <v>31049772</v>
      </c>
      <c r="FA31" s="8">
        <f>+MINVU_Mes_Corriente!FA31*MINVU_Mes_Constante!$EP$1</f>
        <v>30251792</v>
      </c>
      <c r="FB31" s="9">
        <f t="shared" si="30"/>
        <v>30251792</v>
      </c>
      <c r="FC31" s="8">
        <f>+MINVU_Mes_Corriente!FC31*MINVU_Mes_Constante!$FC$1</f>
        <v>32099544</v>
      </c>
      <c r="FD31" s="8">
        <f>+MINVU_Mes_Corriente!FD31*MINVU_Mes_Constante!$FC$1</f>
        <v>32099544</v>
      </c>
      <c r="FE31" s="8">
        <f>+MINVU_Mes_Corriente!FE31*MINVU_Mes_Constante!$FC$1</f>
        <v>32099544</v>
      </c>
      <c r="FF31" s="8">
        <f>+MINVU_Mes_Corriente!FF31*MINVU_Mes_Constante!$FC$1</f>
        <v>32099544</v>
      </c>
      <c r="FG31" s="8">
        <f>+MINVU_Mes_Corriente!FG31*MINVU_Mes_Constante!$FC$1</f>
        <v>32099544</v>
      </c>
      <c r="FH31" s="8">
        <f>+MINVU_Mes_Corriente!FH31*MINVU_Mes_Constante!$FC$1</f>
        <v>32099544</v>
      </c>
      <c r="FI31" s="8">
        <f>+MINVU_Mes_Corriente!FI31*MINVU_Mes_Constante!$FC$1</f>
        <v>32099544</v>
      </c>
      <c r="FJ31" s="8"/>
      <c r="FK31" s="8"/>
      <c r="FL31" s="8"/>
      <c r="FM31" s="8"/>
      <c r="FN31" s="8"/>
      <c r="FO31" s="9">
        <f t="shared" si="31"/>
        <v>32099544</v>
      </c>
    </row>
    <row r="32" spans="2:171" ht="14.25" customHeight="1" x14ac:dyDescent="0.3">
      <c r="B32" s="7" t="s">
        <v>45</v>
      </c>
      <c r="C32" s="8">
        <f>+MINVU_Mes_Corriente!C32*MINVU_Mes_Constante!$C$1</f>
        <v>8915658.1290226914</v>
      </c>
      <c r="D32" s="8">
        <f>+MINVU_Mes_Corriente!D32*MINVU_Mes_Constante!$C$1</f>
        <v>8915658.1290226914</v>
      </c>
      <c r="E32" s="8">
        <f>+MINVU_Mes_Corriente!E32*MINVU_Mes_Constante!$C$1</f>
        <v>9682015.8383508846</v>
      </c>
      <c r="F32" s="8">
        <f>+MINVU_Mes_Corriente!F32*MINVU_Mes_Constante!$C$1</f>
        <v>9682015.8383508846</v>
      </c>
      <c r="G32" s="8">
        <f>+MINVU_Mes_Corriente!G32*MINVU_Mes_Constante!$C$1</f>
        <v>9682015.8383508846</v>
      </c>
      <c r="H32" s="8">
        <f>+MINVU_Mes_Corriente!H32*MINVU_Mes_Constante!$C$1</f>
        <v>9682015.8383508846</v>
      </c>
      <c r="I32" s="8">
        <f>+MINVU_Mes_Corriente!I32*MINVU_Mes_Constante!$C$1</f>
        <v>9682015.8383508846</v>
      </c>
      <c r="J32" s="8">
        <f>+MINVU_Mes_Corriente!J32*MINVU_Mes_Constante!$C$1</f>
        <v>9845427.8359780535</v>
      </c>
      <c r="K32" s="8">
        <f>+MINVU_Mes_Corriente!K32*MINVU_Mes_Constante!$C$1</f>
        <v>9853331.8887735438</v>
      </c>
      <c r="L32" s="8">
        <f>+MINVU_Mes_Corriente!L32*MINVU_Mes_Constante!$C$1</f>
        <v>9835858.066439271</v>
      </c>
      <c r="M32" s="8">
        <f>+MINVU_Mes_Corriente!M32*MINVU_Mes_Constante!$C$1</f>
        <v>9835858.066439271</v>
      </c>
      <c r="N32" s="8">
        <f>+MINVU_Mes_Corriente!N32*MINVU_Mes_Constante!$C$1</f>
        <v>9278492.7165949885</v>
      </c>
      <c r="O32" s="9">
        <f t="shared" si="19"/>
        <v>9278492.7165949885</v>
      </c>
      <c r="P32" s="8">
        <f>+MINVU_Mes_Corriente!P32*MINVU_Mes_Constante!$P$1</f>
        <v>11046289.998011077</v>
      </c>
      <c r="Q32" s="8">
        <f>+MINVU_Mes_Corriente!Q32*MINVU_Mes_Constante!$P$1</f>
        <v>12290654.140360842</v>
      </c>
      <c r="R32" s="8">
        <f>+MINVU_Mes_Corriente!R32*MINVU_Mes_Constante!$P$1</f>
        <v>12290654.140360842</v>
      </c>
      <c r="S32" s="8">
        <f>+MINVU_Mes_Corriente!S32*MINVU_Mes_Constante!$P$1</f>
        <v>12290654.140360842</v>
      </c>
      <c r="T32" s="8">
        <f>+MINVU_Mes_Corriente!T32*MINVU_Mes_Constante!$P$1</f>
        <v>12524382.685324615</v>
      </c>
      <c r="U32" s="8">
        <f>+MINVU_Mes_Corriente!U32*MINVU_Mes_Constante!$P$1</f>
        <v>12524382.685324615</v>
      </c>
      <c r="V32" s="8">
        <f>+MINVU_Mes_Corriente!V32*MINVU_Mes_Constante!$P$1</f>
        <v>12524382.685324615</v>
      </c>
      <c r="W32" s="8">
        <f>+MINVU_Mes_Corriente!W32*MINVU_Mes_Constante!$P$1</f>
        <v>13226897.01122318</v>
      </c>
      <c r="X32" s="8">
        <f>+MINVU_Mes_Corriente!X32*MINVU_Mes_Constante!$P$1</f>
        <v>13226897.01122318</v>
      </c>
      <c r="Y32" s="8">
        <f>+MINVU_Mes_Corriente!Y32*MINVU_Mes_Constante!$P$1</f>
        <v>13568156.39522659</v>
      </c>
      <c r="Z32" s="8">
        <f>+MINVU_Mes_Corriente!Z32*MINVU_Mes_Constante!$P$1</f>
        <v>13568156.39522659</v>
      </c>
      <c r="AA32" s="8">
        <f>+MINVU_Mes_Corriente!AA32*MINVU_Mes_Constante!$P$1</f>
        <v>12498257.453615565</v>
      </c>
      <c r="AB32" s="9">
        <f t="shared" si="20"/>
        <v>12498257.453615565</v>
      </c>
      <c r="AC32" s="8">
        <f>+MINVU_Mes_Corriente!AC32*MINVU_Mes_Constante!$AC$1</f>
        <v>10758600.500484161</v>
      </c>
      <c r="AD32" s="8">
        <f>+MINVU_Mes_Corriente!AD32*MINVU_Mes_Constante!$AC$1</f>
        <v>12549844.82141375</v>
      </c>
      <c r="AE32" s="8">
        <f>+MINVU_Mes_Corriente!AE32*MINVU_Mes_Constante!$AC$1</f>
        <v>14822783.820722092</v>
      </c>
      <c r="AF32" s="8">
        <f>+MINVU_Mes_Corriente!AF32*MINVU_Mes_Constante!$AC$1</f>
        <v>14822783.820722092</v>
      </c>
      <c r="AG32" s="8">
        <f>+MINVU_Mes_Corriente!AG32*MINVU_Mes_Constante!$AC$1</f>
        <v>14822783.820722092</v>
      </c>
      <c r="AH32" s="8">
        <f>+MINVU_Mes_Corriente!AH32*MINVU_Mes_Constante!$AC$1</f>
        <v>14822783.820722092</v>
      </c>
      <c r="AI32" s="8">
        <f>+MINVU_Mes_Corriente!AI32*MINVU_Mes_Constante!$AC$1</f>
        <v>15915761.673813805</v>
      </c>
      <c r="AJ32" s="8">
        <f>+MINVU_Mes_Corriente!AJ32*MINVU_Mes_Constante!$AC$1</f>
        <v>15915761.673813805</v>
      </c>
      <c r="AK32" s="8">
        <f>+MINVU_Mes_Corriente!AK32*MINVU_Mes_Constante!$AC$1</f>
        <v>15915761.673813805</v>
      </c>
      <c r="AL32" s="8">
        <f>+MINVU_Mes_Corriente!AL32*MINVU_Mes_Constante!$AC$1</f>
        <v>15915761.673813805</v>
      </c>
      <c r="AM32" s="8">
        <f>+MINVU_Mes_Corriente!AM32*MINVU_Mes_Constante!$AC$1</f>
        <v>15105614.416931802</v>
      </c>
      <c r="AN32" s="8">
        <f>+MINVU_Mes_Corriente!AN32*MINVU_Mes_Constante!$AC$1</f>
        <v>14236289.320237931</v>
      </c>
      <c r="AO32" s="9">
        <f t="shared" si="21"/>
        <v>14236289.320237931</v>
      </c>
      <c r="AP32" s="8">
        <f>+MINVU_Mes_Corriente!AP32*MINVU_Mes_Constante!$AP$1</f>
        <v>9400059.1448667645</v>
      </c>
      <c r="AQ32" s="8">
        <f>+MINVU_Mes_Corriente!AQ32*MINVU_Mes_Constante!$AP$1</f>
        <v>10948935.289327743</v>
      </c>
      <c r="AR32" s="8">
        <f>+MINVU_Mes_Corriente!AR32*MINVU_Mes_Constante!$AP$1</f>
        <v>10948935.289327743</v>
      </c>
      <c r="AS32" s="8">
        <f>+MINVU_Mes_Corriente!AS32*MINVU_Mes_Constante!$AP$1</f>
        <v>10948935.289327743</v>
      </c>
      <c r="AT32" s="8">
        <f>+MINVU_Mes_Corriente!AT32*MINVU_Mes_Constante!$AP$1</f>
        <v>10948935.289327743</v>
      </c>
      <c r="AU32" s="8">
        <f>+MINVU_Mes_Corriente!AU32*MINVU_Mes_Constante!$AP$1</f>
        <v>11146289.027728932</v>
      </c>
      <c r="AV32" s="8">
        <f>+MINVU_Mes_Corriente!AV32*MINVU_Mes_Constante!$AP$1</f>
        <v>11358505.850399025</v>
      </c>
      <c r="AW32" s="8">
        <f>+MINVU_Mes_Corriente!AW32*MINVU_Mes_Constante!$AP$1</f>
        <v>11358505.850399025</v>
      </c>
      <c r="AX32" s="8">
        <f>+MINVU_Mes_Corriente!AX32*MINVU_Mes_Constante!$AP$1</f>
        <v>12918622.784255376</v>
      </c>
      <c r="AY32" s="8">
        <f>+MINVU_Mes_Corriente!AY32*MINVU_Mes_Constante!$AP$1</f>
        <v>14382641.757338021</v>
      </c>
      <c r="AZ32" s="8">
        <f>+MINVU_Mes_Corriente!AZ32*MINVU_Mes_Constante!$AP$1</f>
        <v>14353382.600297578</v>
      </c>
      <c r="BA32" s="8">
        <f>+MINVU_Mes_Corriente!BA32*MINVU_Mes_Constante!$AP$1</f>
        <v>13781320.117949411</v>
      </c>
      <c r="BB32" s="9">
        <f t="shared" si="22"/>
        <v>13781320.117949411</v>
      </c>
      <c r="BC32" s="8">
        <f>+MINVU_Mes_Corriente!BC32*MINVU_Mes_Constante!$BC$1</f>
        <v>12831123.812211528</v>
      </c>
      <c r="BD32" s="8">
        <f>+MINVU_Mes_Corriente!BD32*MINVU_Mes_Constante!$BC$1</f>
        <v>14055135.509956485</v>
      </c>
      <c r="BE32" s="8">
        <f>+MINVU_Mes_Corriente!BE32*MINVU_Mes_Constante!$BC$1</f>
        <v>14055135.509956485</v>
      </c>
      <c r="BF32" s="8">
        <f>+MINVU_Mes_Corriente!BF32*MINVU_Mes_Constante!$BC$1</f>
        <v>14055135.509956485</v>
      </c>
      <c r="BG32" s="8">
        <f>+MINVU_Mes_Corriente!BG32*MINVU_Mes_Constante!$BC$1</f>
        <v>14055135.509956485</v>
      </c>
      <c r="BH32" s="8">
        <f>+MINVU_Mes_Corriente!BH32*MINVU_Mes_Constante!$BC$1</f>
        <v>14055135.509956485</v>
      </c>
      <c r="BI32" s="8">
        <f>+MINVU_Mes_Corriente!BI32*MINVU_Mes_Constante!$BC$1</f>
        <v>14013352.16906238</v>
      </c>
      <c r="BJ32" s="8">
        <f>+MINVU_Mes_Corriente!BJ32*MINVU_Mes_Constante!$BC$1</f>
        <v>12862440.78570487</v>
      </c>
      <c r="BK32" s="8">
        <f>+MINVU_Mes_Corriente!BK32*MINVU_Mes_Constante!$BC$1</f>
        <v>12862440.78570487</v>
      </c>
      <c r="BL32" s="8">
        <f>+MINVU_Mes_Corriente!BL32*MINVU_Mes_Constante!$BC$1</f>
        <v>10268902.608202562</v>
      </c>
      <c r="BM32" s="8">
        <f>+MINVU_Mes_Corriente!BM32*MINVU_Mes_Constante!$BC$1</f>
        <v>10268902.608202562</v>
      </c>
      <c r="BN32" s="8">
        <f>+MINVU_Mes_Corriente!BN32*MINVU_Mes_Constante!$BC$1</f>
        <v>8259092.0683106966</v>
      </c>
      <c r="BO32" s="9">
        <f t="shared" si="23"/>
        <v>8259092.0683106966</v>
      </c>
      <c r="BP32" s="8">
        <f>+MINVU_Mes_Corriente!BP32*MINVU_Mes_Constante!$BP$1</f>
        <v>7914973.4688860448</v>
      </c>
      <c r="BQ32" s="8">
        <f>+MINVU_Mes_Corriente!BQ32*MINVU_Mes_Constante!$BP$1</f>
        <v>7914973.4688860448</v>
      </c>
      <c r="BR32" s="8">
        <f>+MINVU_Mes_Corriente!BR32*MINVU_Mes_Constante!$BP$1</f>
        <v>8912907.5830985922</v>
      </c>
      <c r="BS32" s="8">
        <f>+MINVU_Mes_Corriente!BS32*MINVU_Mes_Constante!$BP$1</f>
        <v>8912907.5830985922</v>
      </c>
      <c r="BT32" s="8">
        <f>+MINVU_Mes_Corriente!BT32*MINVU_Mes_Constante!$BP$1</f>
        <v>8702424.6983354688</v>
      </c>
      <c r="BU32" s="8">
        <f>+MINVU_Mes_Corriente!BU32*MINVU_Mes_Constante!$BP$1</f>
        <v>8331136.5549295787</v>
      </c>
      <c r="BV32" s="8">
        <f>+MINVU_Mes_Corriente!BV32*MINVU_Mes_Constante!$BP$1</f>
        <v>8331136.5549295787</v>
      </c>
      <c r="BW32" s="8">
        <f>+MINVU_Mes_Corriente!BW32*MINVU_Mes_Constante!$BP$1</f>
        <v>7354075.1577464798</v>
      </c>
      <c r="BX32" s="8">
        <f>+MINVU_Mes_Corriente!BX32*MINVU_Mes_Constante!$BP$1</f>
        <v>7354075.1577464798</v>
      </c>
      <c r="BY32" s="8">
        <f>+MINVU_Mes_Corriente!BY32*MINVU_Mes_Constante!$BP$1</f>
        <v>7354075.1577464798</v>
      </c>
      <c r="BZ32" s="8">
        <f>+MINVU_Mes_Corriente!BZ32*MINVU_Mes_Constante!$BP$1</f>
        <v>7354075.1577464798</v>
      </c>
      <c r="CA32" s="8">
        <f>+MINVU_Mes_Corriente!CA32*MINVU_Mes_Constante!$BP$1</f>
        <v>4916467.7700384129</v>
      </c>
      <c r="CB32" s="9">
        <f t="shared" si="24"/>
        <v>4916467.7700384129</v>
      </c>
      <c r="CC32" s="8">
        <f>+MINVU_Mes_Corriente!CC32*MINVU_Mes_Constante!$CC$1</f>
        <v>11475793.929130923</v>
      </c>
      <c r="CD32" s="8">
        <f>+MINVU_Mes_Corriente!CD32*MINVU_Mes_Constante!$CC$1</f>
        <v>11475793.929130923</v>
      </c>
      <c r="CE32" s="8">
        <f>+MINVU_Mes_Corriente!CE32*MINVU_Mes_Constante!$CC$1</f>
        <v>11475793.929130923</v>
      </c>
      <c r="CF32" s="8">
        <f>+MINVU_Mes_Corriente!CF32*MINVU_Mes_Constante!$CC$1</f>
        <v>10802961.258485641</v>
      </c>
      <c r="CG32" s="8">
        <f>+MINVU_Mes_Corriente!CG32*MINVU_Mes_Constante!$CC$1</f>
        <v>10802961.258485641</v>
      </c>
      <c r="CH32" s="8">
        <f>+MINVU_Mes_Corriente!CH32*MINVU_Mes_Constante!$CC$1</f>
        <v>10802961.258485641</v>
      </c>
      <c r="CI32" s="8">
        <f>+MINVU_Mes_Corriente!CI32*MINVU_Mes_Constante!$CC$1</f>
        <v>10802961.258485641</v>
      </c>
      <c r="CJ32" s="8">
        <f>+MINVU_Mes_Corriente!CJ32*MINVU_Mes_Constante!$CC$1</f>
        <v>10802961.258485641</v>
      </c>
      <c r="CK32" s="8">
        <f>+MINVU_Mes_Corriente!CK32*MINVU_Mes_Constante!$CC$1</f>
        <v>10802961.258485641</v>
      </c>
      <c r="CL32" s="8">
        <f>+MINVU_Mes_Corriente!CL32*MINVU_Mes_Constante!$CC$1</f>
        <v>10687979.474076837</v>
      </c>
      <c r="CM32" s="8">
        <f>+MINVU_Mes_Corriente!CM32*MINVU_Mes_Constante!$CC$1</f>
        <v>10687979.474076837</v>
      </c>
      <c r="CN32" s="8">
        <f>+MINVU_Mes_Corriente!CN32*MINVU_Mes_Constante!$CC$1</f>
        <v>7794272.5915703103</v>
      </c>
      <c r="CO32" s="9">
        <f t="shared" si="25"/>
        <v>7794272.5915703103</v>
      </c>
      <c r="CP32" s="8">
        <f>+MINVU_Mes_Corriente!CP32*MINVU_Mes_Constante!$CP$1</f>
        <v>13047708.785846865</v>
      </c>
      <c r="CQ32" s="8">
        <f>+MINVU_Mes_Corriente!CQ32*MINVU_Mes_Constante!$CP$1</f>
        <v>12782084.03665893</v>
      </c>
      <c r="CR32" s="8">
        <f>+MINVU_Mes_Corriente!CR32*MINVU_Mes_Constante!$CP$1</f>
        <v>12782084.03665893</v>
      </c>
      <c r="CS32" s="8">
        <f>+MINVU_Mes_Corriente!CS32*MINVU_Mes_Constante!$CP$1</f>
        <v>12782084.03665893</v>
      </c>
      <c r="CT32" s="8">
        <f>+MINVU_Mes_Corriente!CT32*MINVU_Mes_Constante!$CP$1</f>
        <v>12361174.463109046</v>
      </c>
      <c r="CU32" s="8">
        <f>+MINVU_Mes_Corriente!CU32*MINVU_Mes_Constante!$CP$1</f>
        <v>12244616.097911831</v>
      </c>
      <c r="CV32" s="8">
        <f>+MINVU_Mes_Corriente!CV32*MINVU_Mes_Constante!$CP$1</f>
        <v>12906857.182134569</v>
      </c>
      <c r="CW32" s="8">
        <f>+MINVU_Mes_Corriente!CW32*MINVU_Mes_Constante!$CP$1</f>
        <v>12906857.182134569</v>
      </c>
      <c r="CX32" s="8">
        <f>+MINVU_Mes_Corriente!CX32*MINVU_Mes_Constante!$CP$1</f>
        <v>12906857.182134569</v>
      </c>
      <c r="CY32" s="8">
        <f>+MINVU_Mes_Corriente!CY32*MINVU_Mes_Constante!$CP$1</f>
        <v>13108505.258004637</v>
      </c>
      <c r="CZ32" s="8">
        <f>+MINVU_Mes_Corriente!CZ32*MINVU_Mes_Constante!$CP$1</f>
        <v>12148856.425754057</v>
      </c>
      <c r="DA32" s="8">
        <f>+MINVU_Mes_Corriente!DA32*MINVU_Mes_Constante!$CP$1</f>
        <v>10491985.56403712</v>
      </c>
      <c r="DB32" s="9">
        <f t="shared" si="26"/>
        <v>10491985.56403712</v>
      </c>
      <c r="DC32" s="8">
        <f>+MINVU_Mes_Corriente!DC32*MINVU_Mes_Constante!$DC$1</f>
        <v>9022603.3560333345</v>
      </c>
      <c r="DD32" s="8">
        <f>+MINVU_Mes_Corriente!DD32*MINVU_Mes_Constante!$DC$1</f>
        <v>10097376.251208728</v>
      </c>
      <c r="DE32" s="8">
        <f>+MINVU_Mes_Corriente!DE32*MINVU_Mes_Constante!$DC$1</f>
        <v>10097376.251208728</v>
      </c>
      <c r="DF32" s="8">
        <f>+MINVU_Mes_Corriente!DF32*MINVU_Mes_Constante!$DC$1</f>
        <v>10097376.251208728</v>
      </c>
      <c r="DG32" s="8">
        <f>+MINVU_Mes_Corriente!DG32*MINVU_Mes_Constante!$DC$1</f>
        <v>10097376.251208728</v>
      </c>
      <c r="DH32" s="8">
        <f>+MINVU_Mes_Corriente!DH32*MINVU_Mes_Constante!$DC$1</f>
        <v>10097376.251208728</v>
      </c>
      <c r="DI32" s="8">
        <f>+MINVU_Mes_Corriente!DI32*MINVU_Mes_Constante!$DC$1</f>
        <v>9443961.887871623</v>
      </c>
      <c r="DJ32" s="8">
        <f>+MINVU_Mes_Corriente!DJ32*MINVU_Mes_Constante!$DC$1</f>
        <v>9443961.887871623</v>
      </c>
      <c r="DK32" s="8">
        <f>+MINVU_Mes_Corriente!DK32*MINVU_Mes_Constante!$DC$1</f>
        <v>9443961.887871623</v>
      </c>
      <c r="DL32" s="8">
        <f>+MINVU_Mes_Corriente!DL32*MINVU_Mes_Constante!$DC$1</f>
        <v>9443961.887871623</v>
      </c>
      <c r="DM32" s="8">
        <f>+MINVU_Mes_Corriente!DM32*MINVU_Mes_Constante!$DC$1</f>
        <v>7989722.6398518709</v>
      </c>
      <c r="DN32" s="8">
        <f>+MINVU_Mes_Corriente!DN32*MINVU_Mes_Constante!$DC$1</f>
        <v>7538617.4239275828</v>
      </c>
      <c r="DO32" s="9">
        <f t="shared" si="27"/>
        <v>7538617.4239275828</v>
      </c>
      <c r="DP32" s="8">
        <f>+MINVU_Mes_Corriente!DP32*MINVU_Mes_Constante!$DP$1</f>
        <v>10406621.387173397</v>
      </c>
      <c r="DQ32" s="8">
        <f>+MINVU_Mes_Corriente!DQ32*MINVU_Mes_Constante!$DP$1</f>
        <v>10427675.347980998</v>
      </c>
      <c r="DR32" s="8">
        <f>+MINVU_Mes_Corriente!DR32*MINVU_Mes_Constante!$DP$1</f>
        <v>10427675.347980998</v>
      </c>
      <c r="DS32" s="8">
        <f>+MINVU_Mes_Corriente!DS32*MINVU_Mes_Constante!$DP$1</f>
        <v>10427675.347980998</v>
      </c>
      <c r="DT32" s="8">
        <f>+MINVU_Mes_Corriente!DT32*MINVU_Mes_Constante!$DP$1</f>
        <v>10427675.347980998</v>
      </c>
      <c r="DU32" s="8">
        <f>+MINVU_Mes_Corriente!DU32*MINVU_Mes_Constante!$DP$1</f>
        <v>10427675.347980998</v>
      </c>
      <c r="DV32" s="8">
        <f>+MINVU_Mes_Corriente!DV32*MINVU_Mes_Constante!$DP$1</f>
        <v>10427675.347980998</v>
      </c>
      <c r="DW32" s="8">
        <f>+MINVU_Mes_Corriente!DW32*MINVU_Mes_Constante!$DP$1</f>
        <v>7474238.2695962004</v>
      </c>
      <c r="DX32" s="8">
        <f>+MINVU_Mes_Corriente!DX32*MINVU_Mes_Constante!$DP$1</f>
        <v>7474238.2695962004</v>
      </c>
      <c r="DY32" s="8">
        <f>+MINVU_Mes_Corriente!DY32*MINVU_Mes_Constante!$DP$1</f>
        <v>7474238.2695962004</v>
      </c>
      <c r="DZ32" s="8">
        <f>+MINVU_Mes_Corriente!DZ32*MINVU_Mes_Constante!$DP$1</f>
        <v>5781415.4750593826</v>
      </c>
      <c r="EA32" s="8">
        <f>+MINVU_Mes_Corriente!EA32*MINVU_Mes_Constante!$DP$1</f>
        <v>5784058.3040380049</v>
      </c>
      <c r="EB32" s="9">
        <f t="shared" si="28"/>
        <v>5784058.3040380049</v>
      </c>
      <c r="EC32" s="8">
        <f>+MINVU_Mes_Corriente!EC32*MINVU_Mes_Constante!$EC$1</f>
        <v>7243344.2181405015</v>
      </c>
      <c r="ED32" s="8">
        <f>+MINVU_Mes_Corriente!ED32*MINVU_Mes_Constante!$EC$1</f>
        <v>7243344.2181405015</v>
      </c>
      <c r="EE32" s="8">
        <f>+MINVU_Mes_Corriente!EE32*MINVU_Mes_Constante!$EC$1</f>
        <v>7418803.6542321509</v>
      </c>
      <c r="EF32" s="8">
        <f>+MINVU_Mes_Corriente!EF32*MINVU_Mes_Constante!$EC$1</f>
        <v>7418803.6542321509</v>
      </c>
      <c r="EG32" s="8">
        <f>+MINVU_Mes_Corriente!EG32*MINVU_Mes_Constante!$EC$1</f>
        <v>6875068.0884302193</v>
      </c>
      <c r="EH32" s="8">
        <f>+MINVU_Mes_Corriente!EH32*MINVU_Mes_Constante!$EC$1</f>
        <v>6875068.0884302193</v>
      </c>
      <c r="EI32" s="8">
        <f>+MINVU_Mes_Corriente!EI32*MINVU_Mes_Constante!$EC$1</f>
        <v>6875068.0884302193</v>
      </c>
      <c r="EJ32" s="8">
        <f>+MINVU_Mes_Corriente!EJ32*MINVU_Mes_Constante!$EC$1</f>
        <v>6875068.0884302193</v>
      </c>
      <c r="EK32" s="8">
        <f>+MINVU_Mes_Corriente!EK32*MINVU_Mes_Constante!$EC$1</f>
        <v>6875068.0884302193</v>
      </c>
      <c r="EL32" s="8">
        <f>+MINVU_Mes_Corriente!EL32*MINVU_Mes_Constante!$EC$1</f>
        <v>6875068.0884302193</v>
      </c>
      <c r="EM32" s="8">
        <f>+MINVU_Mes_Corriente!EM32*MINVU_Mes_Constante!$EC$1</f>
        <v>6875068.0884302193</v>
      </c>
      <c r="EN32" s="8">
        <f>+MINVU_Mes_Corriente!EN32*MINVU_Mes_Constante!$EC$1</f>
        <v>4554958.5741336858</v>
      </c>
      <c r="EO32" s="9">
        <f t="shared" si="29"/>
        <v>4554958.5741336858</v>
      </c>
      <c r="EP32" s="8">
        <f>+MINVU_Mes_Corriente!EP32*MINVU_Mes_Constante!$EP$1</f>
        <v>7819491</v>
      </c>
      <c r="EQ32" s="8">
        <f>+MINVU_Mes_Corriente!EQ32*MINVU_Mes_Constante!$EP$1</f>
        <v>8230260</v>
      </c>
      <c r="ER32" s="8">
        <f>+MINVU_Mes_Corriente!ER32*MINVU_Mes_Constante!$EP$1</f>
        <v>10011051</v>
      </c>
      <c r="ES32" s="8">
        <f>+MINVU_Mes_Corriente!ES32*MINVU_Mes_Constante!$EP$1</f>
        <v>10424875</v>
      </c>
      <c r="ET32" s="8">
        <f>+MINVU_Mes_Corriente!ET32*MINVU_Mes_Constante!$EP$1</f>
        <v>10424875</v>
      </c>
      <c r="EU32" s="8">
        <f>+MINVU_Mes_Corriente!EU32*MINVU_Mes_Constante!$EP$1</f>
        <v>10424875</v>
      </c>
      <c r="EV32" s="8">
        <f>+MINVU_Mes_Corriente!EV32*MINVU_Mes_Constante!$EP$1</f>
        <v>10424875</v>
      </c>
      <c r="EW32" s="8">
        <f>+MINVU_Mes_Corriente!EW32*MINVU_Mes_Constante!$EP$1</f>
        <v>10424875</v>
      </c>
      <c r="EX32" s="8">
        <f>+MINVU_Mes_Corriente!EX32*MINVU_Mes_Constante!$EP$1</f>
        <v>10424875</v>
      </c>
      <c r="EY32" s="8">
        <f>+MINVU_Mes_Corriente!EY32*MINVU_Mes_Constante!$EP$1</f>
        <v>10350160</v>
      </c>
      <c r="EZ32" s="8">
        <f>+MINVU_Mes_Corriente!EZ32*MINVU_Mes_Constante!$EP$1</f>
        <v>10350160</v>
      </c>
      <c r="FA32" s="8">
        <f>+MINVU_Mes_Corriente!FA32*MINVU_Mes_Constante!$EP$1</f>
        <v>9544096</v>
      </c>
      <c r="FB32" s="9">
        <f t="shared" si="30"/>
        <v>9544096</v>
      </c>
      <c r="FC32" s="8">
        <f>+MINVU_Mes_Corriente!FC32*MINVU_Mes_Constante!$FC$1</f>
        <v>2323330</v>
      </c>
      <c r="FD32" s="8">
        <f>+MINVU_Mes_Corriente!FD32*MINVU_Mes_Constante!$FC$1</f>
        <v>2323330</v>
      </c>
      <c r="FE32" s="8">
        <f>+MINVU_Mes_Corriente!FE32*MINVU_Mes_Constante!$FC$1</f>
        <v>2323330</v>
      </c>
      <c r="FF32" s="8">
        <f>+MINVU_Mes_Corriente!FF32*MINVU_Mes_Constante!$FC$1</f>
        <v>2323330</v>
      </c>
      <c r="FG32" s="8">
        <f>+MINVU_Mes_Corriente!FG32*MINVU_Mes_Constante!$FC$1</f>
        <v>2764330</v>
      </c>
      <c r="FH32" s="8">
        <f>+MINVU_Mes_Corriente!FH32*MINVU_Mes_Constante!$FC$1</f>
        <v>3209529</v>
      </c>
      <c r="FI32" s="8">
        <f>+MINVU_Mes_Corriente!FI32*MINVU_Mes_Constante!$FC$1</f>
        <v>3209529</v>
      </c>
      <c r="FJ32" s="8"/>
      <c r="FK32" s="8"/>
      <c r="FL32" s="8"/>
      <c r="FM32" s="8"/>
      <c r="FN32" s="8"/>
      <c r="FO32" s="9">
        <f t="shared" si="31"/>
        <v>3209529</v>
      </c>
    </row>
    <row r="33" spans="2:171" ht="14.25" customHeight="1" x14ac:dyDescent="0.3">
      <c r="B33" s="7" t="s">
        <v>46</v>
      </c>
      <c r="C33" s="8">
        <f>+MINVU_Mes_Corriente!C33*MINVU_Mes_Constante!$C$1</f>
        <v>28781018.694349699</v>
      </c>
      <c r="D33" s="8">
        <f>+MINVU_Mes_Corriente!D33*MINVU_Mes_Constante!$C$1</f>
        <v>28781018.694349699</v>
      </c>
      <c r="E33" s="8">
        <f>+MINVU_Mes_Corriente!E33*MINVU_Mes_Constante!$C$1</f>
        <v>27291579.504078306</v>
      </c>
      <c r="F33" s="8">
        <f>+MINVU_Mes_Corriente!F33*MINVU_Mes_Constante!$C$1</f>
        <v>25564649.290820114</v>
      </c>
      <c r="G33" s="8">
        <f>+MINVU_Mes_Corriente!G33*MINVU_Mes_Constante!$C$1</f>
        <v>24837986.842948247</v>
      </c>
      <c r="H33" s="8">
        <f>+MINVU_Mes_Corriente!H33*MINVU_Mes_Constante!$C$1</f>
        <v>24837986.842948247</v>
      </c>
      <c r="I33" s="8">
        <f>+MINVU_Mes_Corriente!I33*MINVU_Mes_Constante!$C$1</f>
        <v>24837986.842948247</v>
      </c>
      <c r="J33" s="8">
        <f>+MINVU_Mes_Corriente!J33*MINVU_Mes_Constante!$C$1</f>
        <v>23299512.710959516</v>
      </c>
      <c r="K33" s="8">
        <f>+MINVU_Mes_Corriente!K33*MINVU_Mes_Constante!$C$1</f>
        <v>24477214.957140744</v>
      </c>
      <c r="L33" s="8">
        <f>+MINVU_Mes_Corriente!L33*MINVU_Mes_Constante!$C$1</f>
        <v>20897643.147263832</v>
      </c>
      <c r="M33" s="8">
        <f>+MINVU_Mes_Corriente!M33*MINVU_Mes_Constante!$C$1</f>
        <v>18198237.360818628</v>
      </c>
      <c r="N33" s="8">
        <f>+MINVU_Mes_Corriente!N33*MINVU_Mes_Constante!$C$1</f>
        <v>16589236.004152456</v>
      </c>
      <c r="O33" s="9">
        <f t="shared" si="19"/>
        <v>16589236.004152456</v>
      </c>
      <c r="P33" s="8">
        <f>+MINVU_Mes_Corriente!P33*MINVU_Mes_Constante!$P$1</f>
        <v>33844189.161812745</v>
      </c>
      <c r="Q33" s="8">
        <f>+MINVU_Mes_Corriente!Q33*MINVU_Mes_Constante!$P$1</f>
        <v>34354021.560733043</v>
      </c>
      <c r="R33" s="8">
        <f>+MINVU_Mes_Corriente!R33*MINVU_Mes_Constante!$P$1</f>
        <v>38707725.999431722</v>
      </c>
      <c r="S33" s="8">
        <f>+MINVU_Mes_Corriente!S33*MINVU_Mes_Constante!$P$1</f>
        <v>39699353.243926682</v>
      </c>
      <c r="T33" s="8">
        <f>+MINVU_Mes_Corriente!T33*MINVU_Mes_Constante!$P$1</f>
        <v>39936131.879812457</v>
      </c>
      <c r="U33" s="8">
        <f>+MINVU_Mes_Corriente!U33*MINVU_Mes_Constante!$P$1</f>
        <v>39936131.879812457</v>
      </c>
      <c r="V33" s="8">
        <f>+MINVU_Mes_Corriente!V33*MINVU_Mes_Constante!$P$1</f>
        <v>40211037.428327873</v>
      </c>
      <c r="W33" s="8">
        <f>+MINVU_Mes_Corriente!W33*MINVU_Mes_Constante!$P$1</f>
        <v>40211037.428327873</v>
      </c>
      <c r="X33" s="8">
        <f>+MINVU_Mes_Corriente!X33*MINVU_Mes_Constante!$P$1</f>
        <v>40211037.428327873</v>
      </c>
      <c r="Y33" s="8">
        <f>+MINVU_Mes_Corriente!Y33*MINVU_Mes_Constante!$P$1</f>
        <v>39946134.315385692</v>
      </c>
      <c r="Z33" s="8">
        <f>+MINVU_Mes_Corriente!Z33*MINVU_Mes_Constante!$P$1</f>
        <v>37030831.024577342</v>
      </c>
      <c r="AA33" s="8">
        <f>+MINVU_Mes_Corriente!AA33*MINVU_Mes_Constante!$P$1</f>
        <v>33496587.451342508</v>
      </c>
      <c r="AB33" s="9">
        <f t="shared" si="20"/>
        <v>33496587.451342508</v>
      </c>
      <c r="AC33" s="8">
        <f>+MINVU_Mes_Corriente!AC33*MINVU_Mes_Constante!$AC$1</f>
        <v>31367589.275971781</v>
      </c>
      <c r="AD33" s="8">
        <f>+MINVU_Mes_Corriente!AD33*MINVU_Mes_Constante!$AC$1</f>
        <v>32114143.85751833</v>
      </c>
      <c r="AE33" s="8">
        <f>+MINVU_Mes_Corriente!AE33*MINVU_Mes_Constante!$AC$1</f>
        <v>32114143.85751833</v>
      </c>
      <c r="AF33" s="8">
        <f>+MINVU_Mes_Corriente!AF33*MINVU_Mes_Constante!$AC$1</f>
        <v>32114143.85751833</v>
      </c>
      <c r="AG33" s="8">
        <f>+MINVU_Mes_Corriente!AG33*MINVU_Mes_Constante!$AC$1</f>
        <v>36208108.047032781</v>
      </c>
      <c r="AH33" s="8">
        <f>+MINVU_Mes_Corriente!AH33*MINVU_Mes_Constante!$AC$1</f>
        <v>36208108.047032781</v>
      </c>
      <c r="AI33" s="8">
        <f>+MINVU_Mes_Corriente!AI33*MINVU_Mes_Constante!$AC$1</f>
        <v>36208108.047032781</v>
      </c>
      <c r="AJ33" s="8">
        <f>+MINVU_Mes_Corriente!AJ33*MINVU_Mes_Constante!$AC$1</f>
        <v>36208108.047032781</v>
      </c>
      <c r="AK33" s="8">
        <f>+MINVU_Mes_Corriente!AK33*MINVU_Mes_Constante!$AC$1</f>
        <v>36208108.047032781</v>
      </c>
      <c r="AL33" s="8">
        <f>+MINVU_Mes_Corriente!AL33*MINVU_Mes_Constante!$AC$1</f>
        <v>36208108.047032781</v>
      </c>
      <c r="AM33" s="8">
        <f>+MINVU_Mes_Corriente!AM33*MINVU_Mes_Constante!$AC$1</f>
        <v>34585668.839120209</v>
      </c>
      <c r="AN33" s="8">
        <f>+MINVU_Mes_Corriente!AN33*MINVU_Mes_Constante!$AC$1</f>
        <v>31863665.043021165</v>
      </c>
      <c r="AO33" s="9">
        <f t="shared" si="21"/>
        <v>31863665.043021165</v>
      </c>
      <c r="AP33" s="8">
        <f>+MINVU_Mes_Corriente!AP33*MINVU_Mes_Constante!$AP$1</f>
        <v>29122406.911132149</v>
      </c>
      <c r="AQ33" s="8">
        <f>+MINVU_Mes_Corriente!AQ33*MINVU_Mes_Constante!$AP$1</f>
        <v>30291995.825510617</v>
      </c>
      <c r="AR33" s="8">
        <f>+MINVU_Mes_Corriente!AR33*MINVU_Mes_Constante!$AP$1</f>
        <v>30291995.825510617</v>
      </c>
      <c r="AS33" s="8">
        <f>+MINVU_Mes_Corriente!AS33*MINVU_Mes_Constante!$AP$1</f>
        <v>30291995.825510617</v>
      </c>
      <c r="AT33" s="8">
        <f>+MINVU_Mes_Corriente!AT33*MINVU_Mes_Constante!$AP$1</f>
        <v>27631803.751927499</v>
      </c>
      <c r="AU33" s="8">
        <f>+MINVU_Mes_Corriente!AU33*MINVU_Mes_Constante!$AP$1</f>
        <v>27249312.468280803</v>
      </c>
      <c r="AV33" s="8">
        <f>+MINVU_Mes_Corriente!AV33*MINVU_Mes_Constante!$AP$1</f>
        <v>26886964.750169076</v>
      </c>
      <c r="AW33" s="8">
        <f>+MINVU_Mes_Corriente!AW33*MINVU_Mes_Constante!$AP$1</f>
        <v>26960858.974435274</v>
      </c>
      <c r="AX33" s="8">
        <f>+MINVU_Mes_Corriente!AX33*MINVU_Mes_Constante!$AP$1</f>
        <v>22902568.965237387</v>
      </c>
      <c r="AY33" s="8">
        <f>+MINVU_Mes_Corriente!AY33*MINVU_Mes_Constante!$AP$1</f>
        <v>23524317.923982143</v>
      </c>
      <c r="AZ33" s="8">
        <f>+MINVU_Mes_Corriente!AZ33*MINVU_Mes_Constante!$AP$1</f>
        <v>22005620.180711482</v>
      </c>
      <c r="BA33" s="8">
        <f>+MINVU_Mes_Corriente!BA33*MINVU_Mes_Constante!$AP$1</f>
        <v>19400899.023400512</v>
      </c>
      <c r="BB33" s="9">
        <f t="shared" si="22"/>
        <v>19400899.023400512</v>
      </c>
      <c r="BC33" s="8">
        <f>+MINVU_Mes_Corriente!BC33*MINVU_Mes_Constante!$BC$1</f>
        <v>29822493.225900047</v>
      </c>
      <c r="BD33" s="8">
        <f>+MINVU_Mes_Corriente!BD33*MINVU_Mes_Constante!$BC$1</f>
        <v>30771223.899775822</v>
      </c>
      <c r="BE33" s="8">
        <f>+MINVU_Mes_Corriente!BE33*MINVU_Mes_Constante!$BC$1</f>
        <v>30771223.899775822</v>
      </c>
      <c r="BF33" s="8">
        <f>+MINVU_Mes_Corriente!BF33*MINVU_Mes_Constante!$BC$1</f>
        <v>30771223.899775822</v>
      </c>
      <c r="BG33" s="8">
        <f>+MINVU_Mes_Corriente!BG33*MINVU_Mes_Constante!$BC$1</f>
        <v>30771223.899775822</v>
      </c>
      <c r="BH33" s="8">
        <f>+MINVU_Mes_Corriente!BH33*MINVU_Mes_Constante!$BC$1</f>
        <v>30771223.899775822</v>
      </c>
      <c r="BI33" s="8">
        <f>+MINVU_Mes_Corriente!BI33*MINVU_Mes_Constante!$BC$1</f>
        <v>30771223.899775822</v>
      </c>
      <c r="BJ33" s="8">
        <f>+MINVU_Mes_Corriente!BJ33*MINVU_Mes_Constante!$BC$1</f>
        <v>31746964.832915742</v>
      </c>
      <c r="BK33" s="8">
        <f>+MINVU_Mes_Corriente!BK33*MINVU_Mes_Constante!$BC$1</f>
        <v>31746964.832915742</v>
      </c>
      <c r="BL33" s="8">
        <f>+MINVU_Mes_Corriente!BL33*MINVU_Mes_Constante!$BC$1</f>
        <v>25763705.397072405</v>
      </c>
      <c r="BM33" s="8">
        <f>+MINVU_Mes_Corriente!BM33*MINVU_Mes_Constante!$BC$1</f>
        <v>25763705.397072405</v>
      </c>
      <c r="BN33" s="8">
        <f>+MINVU_Mes_Corriente!BN33*MINVU_Mes_Constante!$BC$1</f>
        <v>17439887.260978509</v>
      </c>
      <c r="BO33" s="9">
        <f t="shared" si="23"/>
        <v>17439887.260978509</v>
      </c>
      <c r="BP33" s="8">
        <f>+MINVU_Mes_Corriente!BP33*MINVU_Mes_Constante!$BP$1</f>
        <v>17640020.005121641</v>
      </c>
      <c r="BQ33" s="8">
        <f>+MINVU_Mes_Corriente!BQ33*MINVU_Mes_Constante!$BP$1</f>
        <v>18983652.199743919</v>
      </c>
      <c r="BR33" s="8">
        <f>+MINVU_Mes_Corriente!BR33*MINVU_Mes_Constante!$BP$1</f>
        <v>19072323.474775929</v>
      </c>
      <c r="BS33" s="8">
        <f>+MINVU_Mes_Corriente!BS33*MINVU_Mes_Constante!$BP$1</f>
        <v>19357154.921638928</v>
      </c>
      <c r="BT33" s="8">
        <f>+MINVU_Mes_Corriente!BT33*MINVU_Mes_Constante!$BP$1</f>
        <v>19468359.497823305</v>
      </c>
      <c r="BU33" s="8">
        <f>+MINVU_Mes_Corriente!BU33*MINVU_Mes_Constante!$BP$1</f>
        <v>20104026.063764408</v>
      </c>
      <c r="BV33" s="8">
        <f>+MINVU_Mes_Corriente!BV33*MINVU_Mes_Constante!$BP$1</f>
        <v>21026373.522407174</v>
      </c>
      <c r="BW33" s="8">
        <f>+MINVU_Mes_Corriente!BW33*MINVU_Mes_Constante!$BP$1</f>
        <v>21026373.522407174</v>
      </c>
      <c r="BX33" s="8">
        <f>+MINVU_Mes_Corriente!BX33*MINVU_Mes_Constante!$BP$1</f>
        <v>21026373.522407174</v>
      </c>
      <c r="BY33" s="8">
        <f>+MINVU_Mes_Corriente!BY33*MINVU_Mes_Constante!$BP$1</f>
        <v>21026373.522407174</v>
      </c>
      <c r="BZ33" s="8">
        <f>+MINVU_Mes_Corriente!BZ33*MINVU_Mes_Constante!$BP$1</f>
        <v>21026373.522407174</v>
      </c>
      <c r="CA33" s="8">
        <f>+MINVU_Mes_Corriente!CA33*MINVU_Mes_Constante!$BP$1</f>
        <v>17429984.792573627</v>
      </c>
      <c r="CB33" s="9">
        <f t="shared" si="24"/>
        <v>17429984.792573627</v>
      </c>
      <c r="CC33" s="8">
        <f>+MINVU_Mes_Corriente!CC33*MINVU_Mes_Constante!$CC$1</f>
        <v>11825103.976874301</v>
      </c>
      <c r="CD33" s="8">
        <f>+MINVU_Mes_Corriente!CD33*MINVU_Mes_Constante!$CC$1</f>
        <v>11825103.976874301</v>
      </c>
      <c r="CE33" s="8">
        <f>+MINVU_Mes_Corriente!CE33*MINVU_Mes_Constante!$CC$1</f>
        <v>11825103.976874301</v>
      </c>
      <c r="CF33" s="8">
        <f>+MINVU_Mes_Corriente!CF33*MINVU_Mes_Constante!$CC$1</f>
        <v>14317386.657963447</v>
      </c>
      <c r="CG33" s="8">
        <f>+MINVU_Mes_Corriente!CG33*MINVU_Mes_Constante!$CC$1</f>
        <v>14317386.657963447</v>
      </c>
      <c r="CH33" s="8">
        <f>+MINVU_Mes_Corriente!CH33*MINVU_Mes_Constante!$CC$1</f>
        <v>14317386.657963447</v>
      </c>
      <c r="CI33" s="8">
        <f>+MINVU_Mes_Corriente!CI33*MINVU_Mes_Constante!$CC$1</f>
        <v>14317386.657963447</v>
      </c>
      <c r="CJ33" s="8">
        <f>+MINVU_Mes_Corriente!CJ33*MINVU_Mes_Constante!$CC$1</f>
        <v>14317386.657963447</v>
      </c>
      <c r="CK33" s="8">
        <f>+MINVU_Mes_Corriente!CK33*MINVU_Mes_Constante!$CC$1</f>
        <v>14317386.657963447</v>
      </c>
      <c r="CL33" s="8">
        <f>+MINVU_Mes_Corriente!CL33*MINVU_Mes_Constante!$CC$1</f>
        <v>15157876.305856025</v>
      </c>
      <c r="CM33" s="8">
        <f>+MINVU_Mes_Corriente!CM33*MINVU_Mes_Constante!$CC$1</f>
        <v>15157876.305856025</v>
      </c>
      <c r="CN33" s="8">
        <f>+MINVU_Mes_Corriente!CN33*MINVU_Mes_Constante!$CC$1</f>
        <v>13757548.361805297</v>
      </c>
      <c r="CO33" s="9">
        <f t="shared" si="25"/>
        <v>13757548.361805297</v>
      </c>
      <c r="CP33" s="8">
        <f>+MINVU_Mes_Corriente!CP33*MINVU_Mes_Constante!$CP$1</f>
        <v>13443800.368677491</v>
      </c>
      <c r="CQ33" s="8">
        <f>+MINVU_Mes_Corriente!CQ33*MINVU_Mes_Constante!$CP$1</f>
        <v>13919320.929466354</v>
      </c>
      <c r="CR33" s="8">
        <f>+MINVU_Mes_Corriente!CR33*MINVU_Mes_Constante!$CP$1</f>
        <v>13919320.929466354</v>
      </c>
      <c r="CS33" s="8">
        <f>+MINVU_Mes_Corriente!CS33*MINVU_Mes_Constante!$CP$1</f>
        <v>13919320.929466354</v>
      </c>
      <c r="CT33" s="8">
        <f>+MINVU_Mes_Corriente!CT33*MINVU_Mes_Constante!$CP$1</f>
        <v>12052807.759628767</v>
      </c>
      <c r="CU33" s="8">
        <f>+MINVU_Mes_Corriente!CU33*MINVU_Mes_Constante!$CP$1</f>
        <v>12710609.99791183</v>
      </c>
      <c r="CV33" s="8">
        <f>+MINVU_Mes_Corriente!CV33*MINVU_Mes_Constante!$CP$1</f>
        <v>11884321.74153132</v>
      </c>
      <c r="CW33" s="8">
        <f>+MINVU_Mes_Corriente!CW33*MINVU_Mes_Constante!$CP$1</f>
        <v>11947697.611600926</v>
      </c>
      <c r="CX33" s="8">
        <f>+MINVU_Mes_Corriente!CX33*MINVU_Mes_Constante!$CP$1</f>
        <v>11947697.611600926</v>
      </c>
      <c r="CY33" s="8">
        <f>+MINVU_Mes_Corriente!CY33*MINVU_Mes_Constante!$CP$1</f>
        <v>11947697.611600926</v>
      </c>
      <c r="CZ33" s="8">
        <f>+MINVU_Mes_Corriente!CZ33*MINVU_Mes_Constante!$CP$1</f>
        <v>10616128.753364267</v>
      </c>
      <c r="DA33" s="8">
        <f>+MINVU_Mes_Corriente!DA33*MINVU_Mes_Constante!$CP$1</f>
        <v>6394568.251740138</v>
      </c>
      <c r="DB33" s="9">
        <f t="shared" si="26"/>
        <v>6394568.251740138</v>
      </c>
      <c r="DC33" s="8">
        <f>+MINVU_Mes_Corriente!DC33*MINVU_Mes_Constante!$DC$1</f>
        <v>5236840.4544799943</v>
      </c>
      <c r="DD33" s="8">
        <f>+MINVU_Mes_Corriente!DD33*MINVU_Mes_Constante!$DC$1</f>
        <v>9315168.6141343527</v>
      </c>
      <c r="DE33" s="8">
        <f>+MINVU_Mes_Corriente!DE33*MINVU_Mes_Constante!$DC$1</f>
        <v>9315168.6141343527</v>
      </c>
      <c r="DF33" s="8">
        <f>+MINVU_Mes_Corriente!DF33*MINVU_Mes_Constante!$DC$1</f>
        <v>9315168.6141343527</v>
      </c>
      <c r="DG33" s="8">
        <f>+MINVU_Mes_Corriente!DG33*MINVU_Mes_Constante!$DC$1</f>
        <v>9090610.7093920428</v>
      </c>
      <c r="DH33" s="8">
        <f>+MINVU_Mes_Corriente!DH33*MINVU_Mes_Constante!$DC$1</f>
        <v>10212147.019442448</v>
      </c>
      <c r="DI33" s="8">
        <f>+MINVU_Mes_Corriente!DI33*MINVU_Mes_Constante!$DC$1</f>
        <v>9251062.5205225851</v>
      </c>
      <c r="DJ33" s="8">
        <f>+MINVU_Mes_Corriente!DJ33*MINVU_Mes_Constante!$DC$1</f>
        <v>10280046.472790871</v>
      </c>
      <c r="DK33" s="8">
        <f>+MINVU_Mes_Corriente!DK33*MINVU_Mes_Constante!$DC$1</f>
        <v>10296075.244110692</v>
      </c>
      <c r="DL33" s="8">
        <f>+MINVU_Mes_Corriente!DL33*MINVU_Mes_Constante!$DC$1</f>
        <v>10373592.409834385</v>
      </c>
      <c r="DM33" s="8">
        <f>+MINVU_Mes_Corriente!DM33*MINVU_Mes_Constante!$DC$1</f>
        <v>9235637.3148853034</v>
      </c>
      <c r="DN33" s="8">
        <f>+MINVU_Mes_Corriente!DN33*MINVU_Mes_Constante!$DC$1</f>
        <v>6729565.1634605527</v>
      </c>
      <c r="DO33" s="9">
        <f t="shared" si="27"/>
        <v>6729565.1634605527</v>
      </c>
      <c r="DP33" s="8">
        <f>+MINVU_Mes_Corriente!DP33*MINVU_Mes_Constante!$DP$1</f>
        <v>9746573.7684085518</v>
      </c>
      <c r="DQ33" s="8">
        <f>+MINVU_Mes_Corriente!DQ33*MINVU_Mes_Constante!$DP$1</f>
        <v>9746573.7684085518</v>
      </c>
      <c r="DR33" s="8">
        <f>+MINVU_Mes_Corriente!DR33*MINVU_Mes_Constante!$DP$1</f>
        <v>9746573.7684085518</v>
      </c>
      <c r="DS33" s="8">
        <f>+MINVU_Mes_Corriente!DS33*MINVU_Mes_Constante!$DP$1</f>
        <v>9746573.7684085518</v>
      </c>
      <c r="DT33" s="8">
        <f>+MINVU_Mes_Corriente!DT33*MINVU_Mes_Constante!$DP$1</f>
        <v>9746573.7684085518</v>
      </c>
      <c r="DU33" s="8">
        <f>+MINVU_Mes_Corriente!DU33*MINVU_Mes_Constante!$DP$1</f>
        <v>9746573.7684085518</v>
      </c>
      <c r="DV33" s="8">
        <f>+MINVU_Mes_Corriente!DV33*MINVU_Mes_Constante!$DP$1</f>
        <v>9746573.7684085518</v>
      </c>
      <c r="DW33" s="8">
        <f>+MINVU_Mes_Corriente!DW33*MINVU_Mes_Constante!$DP$1</f>
        <v>9746573.7684085518</v>
      </c>
      <c r="DX33" s="8">
        <f>+MINVU_Mes_Corriente!DX33*MINVU_Mes_Constante!$DP$1</f>
        <v>9746573.7684085518</v>
      </c>
      <c r="DY33" s="8">
        <f>+MINVU_Mes_Corriente!DY33*MINVU_Mes_Constante!$DP$1</f>
        <v>9746573.7684085518</v>
      </c>
      <c r="DZ33" s="8">
        <f>+MINVU_Mes_Corriente!DZ33*MINVU_Mes_Constante!$DP$1</f>
        <v>9547431.6306413319</v>
      </c>
      <c r="EA33" s="8">
        <f>+MINVU_Mes_Corriente!EA33*MINVU_Mes_Constante!$DP$1</f>
        <v>7402734.8230403811</v>
      </c>
      <c r="EB33" s="9">
        <f t="shared" si="28"/>
        <v>7402734.8230403811</v>
      </c>
      <c r="EC33" s="8">
        <f>+MINVU_Mes_Corriente!EC33*MINVU_Mes_Constante!$EC$1</f>
        <v>12255115.52130278</v>
      </c>
      <c r="ED33" s="8">
        <f>+MINVU_Mes_Corriente!ED33*MINVU_Mes_Constante!$EC$1</f>
        <v>12255115.52130278</v>
      </c>
      <c r="EE33" s="8">
        <f>+MINVU_Mes_Corriente!EE33*MINVU_Mes_Constante!$EC$1</f>
        <v>14471056.663321337</v>
      </c>
      <c r="EF33" s="8">
        <f>+MINVU_Mes_Corriente!EF33*MINVU_Mes_Constante!$EC$1</f>
        <v>14471056.663321337</v>
      </c>
      <c r="EG33" s="8">
        <f>+MINVU_Mes_Corriente!EG33*MINVU_Mes_Constante!$EC$1</f>
        <v>15033461.185949625</v>
      </c>
      <c r="EH33" s="8">
        <f>+MINVU_Mes_Corriente!EH33*MINVU_Mes_Constante!$EC$1</f>
        <v>15873232.180458242</v>
      </c>
      <c r="EI33" s="8">
        <f>+MINVU_Mes_Corriente!EI33*MINVU_Mes_Constante!$EC$1</f>
        <v>15883938.874266233</v>
      </c>
      <c r="EJ33" s="8">
        <f>+MINVU_Mes_Corriente!EJ33*MINVU_Mes_Constante!$EC$1</f>
        <v>15883938.874266233</v>
      </c>
      <c r="EK33" s="8">
        <f>+MINVU_Mes_Corriente!EK33*MINVU_Mes_Constante!$EC$1</f>
        <v>16277469.353342164</v>
      </c>
      <c r="EL33" s="8">
        <f>+MINVU_Mes_Corriente!EL33*MINVU_Mes_Constante!$EC$1</f>
        <v>16277469.353342164</v>
      </c>
      <c r="EM33" s="8">
        <f>+MINVU_Mes_Corriente!EM33*MINVU_Mes_Constante!$EC$1</f>
        <v>16282122.36868017</v>
      </c>
      <c r="EN33" s="8">
        <f>+MINVU_Mes_Corriente!EN33*MINVU_Mes_Constante!$EC$1</f>
        <v>9308559.9384586215</v>
      </c>
      <c r="EO33" s="9">
        <f t="shared" si="29"/>
        <v>9308559.9384586215</v>
      </c>
      <c r="EP33" s="8">
        <f>+MINVU_Mes_Corriente!EP33*MINVU_Mes_Constante!$EP$1</f>
        <v>9956278</v>
      </c>
      <c r="EQ33" s="8">
        <f>+MINVU_Mes_Corriente!EQ33*MINVU_Mes_Constante!$EP$1</f>
        <v>9956278</v>
      </c>
      <c r="ER33" s="8">
        <f>+MINVU_Mes_Corriente!ER33*MINVU_Mes_Constante!$EP$1</f>
        <v>11346159</v>
      </c>
      <c r="ES33" s="8">
        <f>+MINVU_Mes_Corriente!ES33*MINVU_Mes_Constante!$EP$1</f>
        <v>11346159</v>
      </c>
      <c r="ET33" s="8">
        <f>+MINVU_Mes_Corriente!ET33*MINVU_Mes_Constante!$EP$1</f>
        <v>11346159</v>
      </c>
      <c r="EU33" s="8">
        <f>+MINVU_Mes_Corriente!EU33*MINVU_Mes_Constante!$EP$1</f>
        <v>11544512</v>
      </c>
      <c r="EV33" s="8">
        <f>+MINVU_Mes_Corriente!EV33*MINVU_Mes_Constante!$EP$1</f>
        <v>11544512</v>
      </c>
      <c r="EW33" s="8">
        <f>+MINVU_Mes_Corriente!EW33*MINVU_Mes_Constante!$EP$1</f>
        <v>11544512</v>
      </c>
      <c r="EX33" s="8">
        <f>+MINVU_Mes_Corriente!EX33*MINVU_Mes_Constante!$EP$1</f>
        <v>11544512</v>
      </c>
      <c r="EY33" s="8">
        <f>+MINVU_Mes_Corriente!EY33*MINVU_Mes_Constante!$EP$1</f>
        <v>11559267</v>
      </c>
      <c r="EZ33" s="8">
        <f>+MINVU_Mes_Corriente!EZ33*MINVU_Mes_Constante!$EP$1</f>
        <v>11166267</v>
      </c>
      <c r="FA33" s="8">
        <f>+MINVU_Mes_Corriente!FA33*MINVU_Mes_Constante!$EP$1</f>
        <v>10095312</v>
      </c>
      <c r="FB33" s="9">
        <f t="shared" si="30"/>
        <v>10095312</v>
      </c>
      <c r="FC33" s="8">
        <f>+MINVU_Mes_Corriente!FC33*MINVU_Mes_Constante!$FC$1</f>
        <v>8706346</v>
      </c>
      <c r="FD33" s="8">
        <f>+MINVU_Mes_Corriente!FD33*MINVU_Mes_Constante!$FC$1</f>
        <v>8706346</v>
      </c>
      <c r="FE33" s="8">
        <f>+MINVU_Mes_Corriente!FE33*MINVU_Mes_Constante!$FC$1</f>
        <v>8811028</v>
      </c>
      <c r="FF33" s="8">
        <f>+MINVU_Mes_Corriente!FF33*MINVU_Mes_Constante!$FC$1</f>
        <v>8811028</v>
      </c>
      <c r="FG33" s="8">
        <f>+MINVU_Mes_Corriente!FG33*MINVU_Mes_Constante!$FC$1</f>
        <v>9302509</v>
      </c>
      <c r="FH33" s="8">
        <f>+MINVU_Mes_Corriente!FH33*MINVU_Mes_Constante!$FC$1</f>
        <v>9302509</v>
      </c>
      <c r="FI33" s="8">
        <f>+MINVU_Mes_Corriente!FI33*MINVU_Mes_Constante!$FC$1</f>
        <v>9302509</v>
      </c>
      <c r="FJ33" s="8"/>
      <c r="FK33" s="8"/>
      <c r="FL33" s="8"/>
      <c r="FM33" s="8"/>
      <c r="FN33" s="8"/>
      <c r="FO33" s="9">
        <f t="shared" si="31"/>
        <v>9302509</v>
      </c>
    </row>
    <row r="34" spans="2:171" ht="14.25" customHeight="1" x14ac:dyDescent="0.3">
      <c r="B34" s="7" t="s">
        <v>47</v>
      </c>
      <c r="C34" s="8">
        <f>+MINVU_Mes_Corriente!C34*MINVU_Mes_Constante!$C$1</f>
        <v>14296404.452914136</v>
      </c>
      <c r="D34" s="8">
        <f>+MINVU_Mes_Corriente!D34*MINVU_Mes_Constante!$C$1</f>
        <v>14296404.452914136</v>
      </c>
      <c r="E34" s="8">
        <f>+MINVU_Mes_Corriente!E34*MINVU_Mes_Constante!$C$1</f>
        <v>15402762.819516538</v>
      </c>
      <c r="F34" s="8">
        <f>+MINVU_Mes_Corriente!F34*MINVU_Mes_Constante!$C$1</f>
        <v>15402762.819516538</v>
      </c>
      <c r="G34" s="8">
        <f>+MINVU_Mes_Corriente!G34*MINVU_Mes_Constante!$C$1</f>
        <v>15402762.819516538</v>
      </c>
      <c r="H34" s="8">
        <f>+MINVU_Mes_Corriente!H34*MINVU_Mes_Constante!$C$1</f>
        <v>15402762.819516538</v>
      </c>
      <c r="I34" s="8">
        <f>+MINVU_Mes_Corriente!I34*MINVU_Mes_Constante!$C$1</f>
        <v>15582167.642295716</v>
      </c>
      <c r="J34" s="8">
        <f>+MINVU_Mes_Corriente!J34*MINVU_Mes_Constante!$C$1</f>
        <v>16249475.158238176</v>
      </c>
      <c r="K34" s="8">
        <f>+MINVU_Mes_Corriente!K34*MINVU_Mes_Constante!$C$1</f>
        <v>16249475.158238176</v>
      </c>
      <c r="L34" s="8">
        <f>+MINVU_Mes_Corriente!L34*MINVU_Mes_Constante!$C$1</f>
        <v>16281882.098769097</v>
      </c>
      <c r="M34" s="8">
        <f>+MINVU_Mes_Corriente!M34*MINVU_Mes_Constante!$C$1</f>
        <v>16341834.938751301</v>
      </c>
      <c r="N34" s="8">
        <f>+MINVU_Mes_Corriente!N34*MINVU_Mes_Constante!$C$1</f>
        <v>11948016.06317663</v>
      </c>
      <c r="O34" s="9">
        <f t="shared" si="19"/>
        <v>11948016.06317663</v>
      </c>
      <c r="P34" s="8">
        <f>+MINVU_Mes_Corriente!P34*MINVU_Mes_Constante!$P$1</f>
        <v>14382015.337974139</v>
      </c>
      <c r="Q34" s="8">
        <f>+MINVU_Mes_Corriente!Q34*MINVU_Mes_Constante!$P$1</f>
        <v>23377157.220059659</v>
      </c>
      <c r="R34" s="8">
        <f>+MINVU_Mes_Corriente!R34*MINVU_Mes_Constante!$P$1</f>
        <v>30558314.569967315</v>
      </c>
      <c r="S34" s="8">
        <f>+MINVU_Mes_Corriente!S34*MINVU_Mes_Constante!$P$1</f>
        <v>30558314.569967315</v>
      </c>
      <c r="T34" s="8">
        <f>+MINVU_Mes_Corriente!T34*MINVU_Mes_Constante!$P$1</f>
        <v>24839890.798124723</v>
      </c>
      <c r="U34" s="8">
        <f>+MINVU_Mes_Corriente!U34*MINVU_Mes_Constante!$P$1</f>
        <v>24839890.798124723</v>
      </c>
      <c r="V34" s="8">
        <f>+MINVU_Mes_Corriente!V34*MINVU_Mes_Constante!$P$1</f>
        <v>24839890.798124723</v>
      </c>
      <c r="W34" s="8">
        <f>+MINVU_Mes_Corriente!W34*MINVU_Mes_Constante!$P$1</f>
        <v>24839890.798124723</v>
      </c>
      <c r="X34" s="8">
        <f>+MINVU_Mes_Corriente!X34*MINVU_Mes_Constante!$P$1</f>
        <v>24839890.798124723</v>
      </c>
      <c r="Y34" s="8">
        <f>+MINVU_Mes_Corriente!Y34*MINVU_Mes_Constante!$P$1</f>
        <v>24867194.156556319</v>
      </c>
      <c r="Z34" s="8">
        <f>+MINVU_Mes_Corriente!Z34*MINVU_Mes_Constante!$P$1</f>
        <v>24867194.156556319</v>
      </c>
      <c r="AA34" s="8">
        <f>+MINVU_Mes_Corriente!AA34*MINVU_Mes_Constante!$P$1</f>
        <v>23740076.130132113</v>
      </c>
      <c r="AB34" s="9">
        <f t="shared" si="20"/>
        <v>23740076.130132113</v>
      </c>
      <c r="AC34" s="8">
        <f>+MINVU_Mes_Corriente!AC34*MINVU_Mes_Constante!$AC$1</f>
        <v>26829718.740074698</v>
      </c>
      <c r="AD34" s="8">
        <f>+MINVU_Mes_Corriente!AD34*MINVU_Mes_Constante!$AC$1</f>
        <v>41500209.627887674</v>
      </c>
      <c r="AE34" s="8">
        <f>+MINVU_Mes_Corriente!AE34*MINVU_Mes_Constante!$AC$1</f>
        <v>41500209.627887674</v>
      </c>
      <c r="AF34" s="8">
        <f>+MINVU_Mes_Corriente!AF34*MINVU_Mes_Constante!$AC$1</f>
        <v>41500209.627887674</v>
      </c>
      <c r="AG34" s="8">
        <f>+MINVU_Mes_Corriente!AG34*MINVU_Mes_Constante!$AC$1</f>
        <v>41500209.627887674</v>
      </c>
      <c r="AH34" s="8">
        <f>+MINVU_Mes_Corriente!AH34*MINVU_Mes_Constante!$AC$1</f>
        <v>41500209.627887674</v>
      </c>
      <c r="AI34" s="8">
        <f>+MINVU_Mes_Corriente!AI34*MINVU_Mes_Constante!$AC$1</f>
        <v>39761057.645594135</v>
      </c>
      <c r="AJ34" s="8">
        <f>+MINVU_Mes_Corriente!AJ34*MINVU_Mes_Constante!$AC$1</f>
        <v>39761057.645594135</v>
      </c>
      <c r="AK34" s="8">
        <f>+MINVU_Mes_Corriente!AK34*MINVU_Mes_Constante!$AC$1</f>
        <v>39761057.645594135</v>
      </c>
      <c r="AL34" s="8">
        <f>+MINVU_Mes_Corriente!AL34*MINVU_Mes_Constante!$AC$1</f>
        <v>39614042.564670078</v>
      </c>
      <c r="AM34" s="8">
        <f>+MINVU_Mes_Corriente!AM34*MINVU_Mes_Constante!$AC$1</f>
        <v>37482969.264351912</v>
      </c>
      <c r="AN34" s="8">
        <f>+MINVU_Mes_Corriente!AN34*MINVU_Mes_Constante!$AC$1</f>
        <v>36566228.138885044</v>
      </c>
      <c r="AO34" s="9">
        <f t="shared" si="21"/>
        <v>36566228.138885044</v>
      </c>
      <c r="AP34" s="8">
        <f>+MINVU_Mes_Corriente!AP34*MINVU_Mes_Constante!$AP$1</f>
        <v>34603781.448938183</v>
      </c>
      <c r="AQ34" s="8">
        <f>+MINVU_Mes_Corriente!AQ34*MINVU_Mes_Constante!$AP$1</f>
        <v>36073476.976328954</v>
      </c>
      <c r="AR34" s="8">
        <f>+MINVU_Mes_Corriente!AR34*MINVU_Mes_Constante!$AP$1</f>
        <v>35413971.024753146</v>
      </c>
      <c r="AS34" s="8">
        <f>+MINVU_Mes_Corriente!AS34*MINVU_Mes_Constante!$AP$1</f>
        <v>34496458.955498442</v>
      </c>
      <c r="AT34" s="8">
        <f>+MINVU_Mes_Corriente!AT34*MINVU_Mes_Constante!$AP$1</f>
        <v>34496458.955498442</v>
      </c>
      <c r="AU34" s="8">
        <f>+MINVU_Mes_Corriente!AU34*MINVU_Mes_Constante!$AP$1</f>
        <v>33117319.322061408</v>
      </c>
      <c r="AV34" s="8">
        <f>+MINVU_Mes_Corriente!AV34*MINVU_Mes_Constante!$AP$1</f>
        <v>28066452.534830242</v>
      </c>
      <c r="AW34" s="8">
        <f>+MINVU_Mes_Corriente!AW34*MINVU_Mes_Constante!$AP$1</f>
        <v>27547339.697822262</v>
      </c>
      <c r="AX34" s="8">
        <f>+MINVU_Mes_Corriente!AX34*MINVU_Mes_Constante!$AP$1</f>
        <v>25866482.557283916</v>
      </c>
      <c r="AY34" s="8">
        <f>+MINVU_Mes_Corriente!AY34*MINVU_Mes_Constante!$AP$1</f>
        <v>25282707.840389557</v>
      </c>
      <c r="AZ34" s="8">
        <f>+MINVU_Mes_Corriente!AZ34*MINVU_Mes_Constante!$AP$1</f>
        <v>25225642.286757741</v>
      </c>
      <c r="BA34" s="8">
        <f>+MINVU_Mes_Corriente!BA34*MINVU_Mes_Constante!$AP$1</f>
        <v>24463631.745164342</v>
      </c>
      <c r="BB34" s="9">
        <f t="shared" si="22"/>
        <v>24463631.745164342</v>
      </c>
      <c r="BC34" s="8">
        <f>+MINVU_Mes_Corriente!BC34*MINVU_Mes_Constante!$BC$1</f>
        <v>23800226.975867078</v>
      </c>
      <c r="BD34" s="8">
        <f>+MINVU_Mes_Corriente!BD34*MINVU_Mes_Constante!$BC$1</f>
        <v>25144794.973229598</v>
      </c>
      <c r="BE34" s="8">
        <f>+MINVU_Mes_Corriente!BE34*MINVU_Mes_Constante!$BC$1</f>
        <v>25144794.973229598</v>
      </c>
      <c r="BF34" s="8">
        <f>+MINVU_Mes_Corriente!BF34*MINVU_Mes_Constante!$BC$1</f>
        <v>25144794.973229598</v>
      </c>
      <c r="BG34" s="8">
        <f>+MINVU_Mes_Corriente!BG34*MINVU_Mes_Constante!$BC$1</f>
        <v>25144794.973229598</v>
      </c>
      <c r="BH34" s="8">
        <f>+MINVU_Mes_Corriente!BH34*MINVU_Mes_Constante!$BC$1</f>
        <v>25144794.973229598</v>
      </c>
      <c r="BI34" s="8">
        <f>+MINVU_Mes_Corriente!BI34*MINVU_Mes_Constante!$BC$1</f>
        <v>25144794.973229598</v>
      </c>
      <c r="BJ34" s="8">
        <f>+MINVU_Mes_Corriente!BJ34*MINVU_Mes_Constante!$BC$1</f>
        <v>25144794.973229598</v>
      </c>
      <c r="BK34" s="8">
        <f>+MINVU_Mes_Corriente!BK34*MINVU_Mes_Constante!$BC$1</f>
        <v>25127055.172095481</v>
      </c>
      <c r="BL34" s="8">
        <f>+MINVU_Mes_Corriente!BL34*MINVU_Mes_Constante!$BC$1</f>
        <v>24122528.846894376</v>
      </c>
      <c r="BM34" s="8">
        <f>+MINVU_Mes_Corriente!BM34*MINVU_Mes_Constante!$BC$1</f>
        <v>24122528.846894376</v>
      </c>
      <c r="BN34" s="8">
        <f>+MINVU_Mes_Corriente!BN34*MINVU_Mes_Constante!$BC$1</f>
        <v>20988161.594092052</v>
      </c>
      <c r="BO34" s="9">
        <f t="shared" si="23"/>
        <v>20988161.594092052</v>
      </c>
      <c r="BP34" s="8">
        <f>+MINVU_Mes_Corriente!BP34*MINVU_Mes_Constante!$BP$1</f>
        <v>13464572.860947505</v>
      </c>
      <c r="BQ34" s="8">
        <f>+MINVU_Mes_Corriente!BQ34*MINVU_Mes_Constante!$BP$1</f>
        <v>13464572.860947505</v>
      </c>
      <c r="BR34" s="8">
        <f>+MINVU_Mes_Corriente!BR34*MINVU_Mes_Constante!$BP$1</f>
        <v>15105586.713188222</v>
      </c>
      <c r="BS34" s="8">
        <f>+MINVU_Mes_Corriente!BS34*MINVU_Mes_Constante!$BP$1</f>
        <v>15105586.713188222</v>
      </c>
      <c r="BT34" s="8">
        <f>+MINVU_Mes_Corriente!BT34*MINVU_Mes_Constante!$BP$1</f>
        <v>15397972.628681179</v>
      </c>
      <c r="BU34" s="8">
        <f>+MINVU_Mes_Corriente!BU34*MINVU_Mes_Constante!$BP$1</f>
        <v>17201782.481946226</v>
      </c>
      <c r="BV34" s="8">
        <f>+MINVU_Mes_Corriente!BV34*MINVU_Mes_Constante!$BP$1</f>
        <v>22166053.250704229</v>
      </c>
      <c r="BW34" s="8">
        <f>+MINVU_Mes_Corriente!BW34*MINVU_Mes_Constante!$BP$1</f>
        <v>22219980.964916777</v>
      </c>
      <c r="BX34" s="8">
        <f>+MINVU_Mes_Corriente!BX34*MINVU_Mes_Constante!$BP$1</f>
        <v>21555731.927016649</v>
      </c>
      <c r="BY34" s="8">
        <f>+MINVU_Mes_Corriente!BY34*MINVU_Mes_Constante!$BP$1</f>
        <v>21555731.927016649</v>
      </c>
      <c r="BZ34" s="8">
        <f>+MINVU_Mes_Corriente!BZ34*MINVU_Mes_Constante!$BP$1</f>
        <v>21555731.927016649</v>
      </c>
      <c r="CA34" s="8">
        <f>+MINVU_Mes_Corriente!CA34*MINVU_Mes_Constante!$BP$1</f>
        <v>19976629.74314981</v>
      </c>
      <c r="CB34" s="9">
        <f t="shared" si="24"/>
        <v>19976629.74314981</v>
      </c>
      <c r="CC34" s="8">
        <f>+MINVU_Mes_Corriente!CC34*MINVU_Mes_Constante!$CC$1</f>
        <v>34464118.305856027</v>
      </c>
      <c r="CD34" s="8">
        <f>+MINVU_Mes_Corriente!CD34*MINVU_Mes_Constante!$CC$1</f>
        <v>34464118.305856027</v>
      </c>
      <c r="CE34" s="8">
        <f>+MINVU_Mes_Corriente!CE34*MINVU_Mes_Constante!$CC$1</f>
        <v>45603394.695262969</v>
      </c>
      <c r="CF34" s="8">
        <f>+MINVU_Mes_Corriente!CF34*MINVU_Mes_Constante!$CC$1</f>
        <v>34402660.744498327</v>
      </c>
      <c r="CG34" s="8">
        <f>+MINVU_Mes_Corriente!CG34*MINVU_Mes_Constante!$CC$1</f>
        <v>34402660.744498327</v>
      </c>
      <c r="CH34" s="8">
        <f>+MINVU_Mes_Corriente!CH34*MINVU_Mes_Constante!$CC$1</f>
        <v>34402660.744498327</v>
      </c>
      <c r="CI34" s="8">
        <f>+MINVU_Mes_Corriente!CI34*MINVU_Mes_Constante!$CC$1</f>
        <v>27804140.569190603</v>
      </c>
      <c r="CJ34" s="8">
        <f>+MINVU_Mes_Corriente!CJ34*MINVU_Mes_Constante!$CC$1</f>
        <v>27804140.569190603</v>
      </c>
      <c r="CK34" s="8">
        <f>+MINVU_Mes_Corriente!CK34*MINVU_Mes_Constante!$CC$1</f>
        <v>29165554.402088776</v>
      </c>
      <c r="CL34" s="8">
        <f>+MINVU_Mes_Corriente!CL34*MINVU_Mes_Constante!$CC$1</f>
        <v>29240266.343901534</v>
      </c>
      <c r="CM34" s="8">
        <f>+MINVU_Mes_Corriente!CM34*MINVU_Mes_Constante!$CC$1</f>
        <v>29114035.248787768</v>
      </c>
      <c r="CN34" s="8">
        <f>+MINVU_Mes_Corriente!CN34*MINVU_Mes_Constante!$CC$1</f>
        <v>24095614.637075718</v>
      </c>
      <c r="CO34" s="9">
        <f t="shared" si="25"/>
        <v>24095614.637075718</v>
      </c>
      <c r="CP34" s="8">
        <f>+MINVU_Mes_Corriente!CP34*MINVU_Mes_Constante!$CP$1</f>
        <v>52561553.562877022</v>
      </c>
      <c r="CQ34" s="8">
        <f>+MINVU_Mes_Corriente!CQ34*MINVU_Mes_Constante!$CP$1</f>
        <v>45941589.029234327</v>
      </c>
      <c r="CR34" s="8">
        <f>+MINVU_Mes_Corriente!CR34*MINVU_Mes_Constante!$CP$1</f>
        <v>46471791.558236651</v>
      </c>
      <c r="CS34" s="8">
        <f>+MINVU_Mes_Corriente!CS34*MINVU_Mes_Constante!$CP$1</f>
        <v>46515614.704872377</v>
      </c>
      <c r="CT34" s="8">
        <f>+MINVU_Mes_Corriente!CT34*MINVU_Mes_Constante!$CP$1</f>
        <v>46559436.583990708</v>
      </c>
      <c r="CU34" s="8">
        <f>+MINVU_Mes_Corriente!CU34*MINVU_Mes_Constante!$CP$1</f>
        <v>45968230.977494188</v>
      </c>
      <c r="CV34" s="8">
        <f>+MINVU_Mes_Corriente!CV34*MINVU_Mes_Constante!$CP$1</f>
        <v>45324915.195591636</v>
      </c>
      <c r="CW34" s="8">
        <f>+MINVU_Mes_Corriente!CW34*MINVU_Mes_Constante!$CP$1</f>
        <v>45324915.195591636</v>
      </c>
      <c r="CX34" s="8">
        <f>+MINVU_Mes_Corriente!CX34*MINVU_Mes_Constante!$CP$1</f>
        <v>45324915.195591636</v>
      </c>
      <c r="CY34" s="8">
        <f>+MINVU_Mes_Corriente!CY34*MINVU_Mes_Constante!$CP$1</f>
        <v>45452440.121345699</v>
      </c>
      <c r="CZ34" s="8">
        <f>+MINVU_Mes_Corriente!CZ34*MINVU_Mes_Constante!$CP$1</f>
        <v>44208786.270069599</v>
      </c>
      <c r="DA34" s="8">
        <f>+MINVU_Mes_Corriente!DA34*MINVU_Mes_Constante!$CP$1</f>
        <v>37919906.154292338</v>
      </c>
      <c r="DB34" s="9">
        <f t="shared" si="26"/>
        <v>37919906.154292338</v>
      </c>
      <c r="DC34" s="8">
        <f>+MINVU_Mes_Corriente!DC34*MINVU_Mes_Constante!$DC$1</f>
        <v>39954918.606110498</v>
      </c>
      <c r="DD34" s="8">
        <f>+MINVU_Mes_Corriente!DD34*MINVU_Mes_Constante!$DC$1</f>
        <v>46335692.490484543</v>
      </c>
      <c r="DE34" s="8">
        <f>+MINVU_Mes_Corriente!DE34*MINVU_Mes_Constante!$DC$1</f>
        <v>46933407.969344743</v>
      </c>
      <c r="DF34" s="8">
        <f>+MINVU_Mes_Corriente!DF34*MINVU_Mes_Constante!$DC$1</f>
        <v>46933407.969344743</v>
      </c>
      <c r="DG34" s="8">
        <f>+MINVU_Mes_Corriente!DG34*MINVU_Mes_Constante!$DC$1</f>
        <v>46949704.242773399</v>
      </c>
      <c r="DH34" s="8">
        <f>+MINVU_Mes_Corriente!DH34*MINVU_Mes_Constante!$DC$1</f>
        <v>46949704.242773399</v>
      </c>
      <c r="DI34" s="8">
        <f>+MINVU_Mes_Corriente!DI34*MINVU_Mes_Constante!$DC$1</f>
        <v>46998594.187017821</v>
      </c>
      <c r="DJ34" s="8">
        <f>+MINVU_Mes_Corriente!DJ34*MINVU_Mes_Constante!$DC$1</f>
        <v>45322175.330315836</v>
      </c>
      <c r="DK34" s="8">
        <f>+MINVU_Mes_Corriente!DK34*MINVU_Mes_Constante!$DC$1</f>
        <v>36973306.382265218</v>
      </c>
      <c r="DL34" s="8">
        <f>+MINVU_Mes_Corriente!DL34*MINVU_Mes_Constante!$DC$1</f>
        <v>36973306.382265218</v>
      </c>
      <c r="DM34" s="8">
        <f>+MINVU_Mes_Corriente!DM34*MINVU_Mes_Constante!$DC$1</f>
        <v>32279506.448307801</v>
      </c>
      <c r="DN34" s="8">
        <f>+MINVU_Mes_Corriente!DN34*MINVU_Mes_Constante!$DC$1</f>
        <v>29707827.71875323</v>
      </c>
      <c r="DO34" s="9">
        <f t="shared" si="27"/>
        <v>29707827.71875323</v>
      </c>
      <c r="DP34" s="8">
        <f>+MINVU_Mes_Corriente!DP34*MINVU_Mes_Constante!$DP$1</f>
        <v>32725089.352731593</v>
      </c>
      <c r="DQ34" s="8">
        <f>+MINVU_Mes_Corriente!DQ34*MINVU_Mes_Constante!$DP$1</f>
        <v>33920509.890142523</v>
      </c>
      <c r="DR34" s="8">
        <f>+MINVU_Mes_Corriente!DR34*MINVU_Mes_Constante!$DP$1</f>
        <v>33920509.890142523</v>
      </c>
      <c r="DS34" s="8">
        <f>+MINVU_Mes_Corriente!DS34*MINVU_Mes_Constante!$DP$1</f>
        <v>33920509.890142523</v>
      </c>
      <c r="DT34" s="8">
        <f>+MINVU_Mes_Corriente!DT34*MINVU_Mes_Constante!$DP$1</f>
        <v>33920509.890142523</v>
      </c>
      <c r="DU34" s="8">
        <f>+MINVU_Mes_Corriente!DU34*MINVU_Mes_Constante!$DP$1</f>
        <v>33920509.890142523</v>
      </c>
      <c r="DV34" s="8">
        <f>+MINVU_Mes_Corriente!DV34*MINVU_Mes_Constante!$DP$1</f>
        <v>33920509.890142523</v>
      </c>
      <c r="DW34" s="8">
        <f>+MINVU_Mes_Corriente!DW34*MINVU_Mes_Constante!$DP$1</f>
        <v>33920509.890142523</v>
      </c>
      <c r="DX34" s="8">
        <f>+MINVU_Mes_Corriente!DX34*MINVU_Mes_Constante!$DP$1</f>
        <v>33920509.890142523</v>
      </c>
      <c r="DY34" s="8">
        <f>+MINVU_Mes_Corriente!DY34*MINVU_Mes_Constante!$DP$1</f>
        <v>33920509.890142523</v>
      </c>
      <c r="DZ34" s="8">
        <f>+MINVU_Mes_Corriente!DZ34*MINVU_Mes_Constante!$DP$1</f>
        <v>26977670.563539196</v>
      </c>
      <c r="EA34" s="8">
        <f>+MINVU_Mes_Corriente!EA34*MINVU_Mes_Constante!$DP$1</f>
        <v>19441722.669833731</v>
      </c>
      <c r="EB34" s="9">
        <f t="shared" si="28"/>
        <v>19441722.669833731</v>
      </c>
      <c r="EC34" s="8">
        <f>+MINVU_Mes_Corriente!EC34*MINVU_Mes_Constante!$EC$1</f>
        <v>11253722.070062485</v>
      </c>
      <c r="ED34" s="8">
        <f>+MINVU_Mes_Corriente!ED34*MINVU_Mes_Constante!$EC$1</f>
        <v>11253722.070062485</v>
      </c>
      <c r="EE34" s="8">
        <f>+MINVU_Mes_Corriente!EE34*MINVU_Mes_Constante!$EC$1</f>
        <v>18256589.807422832</v>
      </c>
      <c r="EF34" s="8">
        <f>+MINVU_Mes_Corriente!EF34*MINVU_Mes_Constante!$EC$1</f>
        <v>18460373.879568256</v>
      </c>
      <c r="EG34" s="8">
        <f>+MINVU_Mes_Corriente!EG34*MINVU_Mes_Constante!$EC$1</f>
        <v>18487653.707820483</v>
      </c>
      <c r="EH34" s="8">
        <f>+MINVU_Mes_Corriente!EH34*MINVU_Mes_Constante!$EC$1</f>
        <v>20397482.715394806</v>
      </c>
      <c r="EI34" s="8">
        <f>+MINVU_Mes_Corriente!EI34*MINVU_Mes_Constante!$EC$1</f>
        <v>20397482.715394806</v>
      </c>
      <c r="EJ34" s="8">
        <f>+MINVU_Mes_Corriente!EJ34*MINVU_Mes_Constante!$EC$1</f>
        <v>20397482.715394806</v>
      </c>
      <c r="EK34" s="8">
        <f>+MINVU_Mes_Corriente!EK34*MINVU_Mes_Constante!$EC$1</f>
        <v>20152110.120431729</v>
      </c>
      <c r="EL34" s="8">
        <f>+MINVU_Mes_Corriente!EL34*MINVU_Mes_Constante!$EC$1</f>
        <v>20152110.120431729</v>
      </c>
      <c r="EM34" s="8">
        <f>+MINVU_Mes_Corriente!EM34*MINVU_Mes_Constante!$EC$1</f>
        <v>19555259.008710466</v>
      </c>
      <c r="EN34" s="8">
        <f>+MINVU_Mes_Corriente!EN34*MINVU_Mes_Constante!$EC$1</f>
        <v>15998597.737549702</v>
      </c>
      <c r="EO34" s="9">
        <f t="shared" si="29"/>
        <v>15998597.737549702</v>
      </c>
      <c r="EP34" s="8">
        <f>+MINVU_Mes_Corriente!EP34*MINVU_Mes_Constante!$EP$1</f>
        <v>13585888</v>
      </c>
      <c r="EQ34" s="8">
        <f>+MINVU_Mes_Corriente!EQ34*MINVU_Mes_Constante!$EP$1</f>
        <v>14789146</v>
      </c>
      <c r="ER34" s="8">
        <f>+MINVU_Mes_Corriente!ER34*MINVU_Mes_Constante!$EP$1</f>
        <v>15123006</v>
      </c>
      <c r="ES34" s="8">
        <f>+MINVU_Mes_Corriente!ES34*MINVU_Mes_Constante!$EP$1</f>
        <v>15123006</v>
      </c>
      <c r="ET34" s="8">
        <f>+MINVU_Mes_Corriente!ET34*MINVU_Mes_Constante!$EP$1</f>
        <v>15123006</v>
      </c>
      <c r="EU34" s="8">
        <f>+MINVU_Mes_Corriente!EU34*MINVU_Mes_Constante!$EP$1</f>
        <v>15123006</v>
      </c>
      <c r="EV34" s="8">
        <f>+MINVU_Mes_Corriente!EV34*MINVU_Mes_Constante!$EP$1</f>
        <v>15123006</v>
      </c>
      <c r="EW34" s="8">
        <f>+MINVU_Mes_Corriente!EW34*MINVU_Mes_Constante!$EP$1</f>
        <v>15123006</v>
      </c>
      <c r="EX34" s="8">
        <f>+MINVU_Mes_Corriente!EX34*MINVU_Mes_Constante!$EP$1</f>
        <v>15123006</v>
      </c>
      <c r="EY34" s="8">
        <f>+MINVU_Mes_Corriente!EY34*MINVU_Mes_Constante!$EP$1</f>
        <v>14248096</v>
      </c>
      <c r="EZ34" s="8">
        <f>+MINVU_Mes_Corriente!EZ34*MINVU_Mes_Constante!$EP$1</f>
        <v>14248096</v>
      </c>
      <c r="FA34" s="8">
        <f>+MINVU_Mes_Corriente!FA34*MINVU_Mes_Constante!$EP$1</f>
        <v>12638840</v>
      </c>
      <c r="FB34" s="9">
        <f t="shared" si="30"/>
        <v>12638840</v>
      </c>
      <c r="FC34" s="8">
        <f>+MINVU_Mes_Corriente!FC34*MINVU_Mes_Constante!$FC$1</f>
        <v>13197867</v>
      </c>
      <c r="FD34" s="8">
        <f>+MINVU_Mes_Corriente!FD34*MINVU_Mes_Constante!$FC$1</f>
        <v>12480252</v>
      </c>
      <c r="FE34" s="8">
        <f>+MINVU_Mes_Corriente!FE34*MINVU_Mes_Constante!$FC$1</f>
        <v>12480252</v>
      </c>
      <c r="FF34" s="8">
        <f>+MINVU_Mes_Corriente!FF34*MINVU_Mes_Constante!$FC$1</f>
        <v>12480252</v>
      </c>
      <c r="FG34" s="8">
        <f>+MINVU_Mes_Corriente!FG34*MINVU_Mes_Constante!$FC$1</f>
        <v>14209379</v>
      </c>
      <c r="FH34" s="8">
        <f>+MINVU_Mes_Corriente!FH34*MINVU_Mes_Constante!$FC$1</f>
        <v>14209379</v>
      </c>
      <c r="FI34" s="8">
        <f>+MINVU_Mes_Corriente!FI34*MINVU_Mes_Constante!$FC$1</f>
        <v>14209379</v>
      </c>
      <c r="FJ34" s="8"/>
      <c r="FK34" s="8"/>
      <c r="FL34" s="8"/>
      <c r="FM34" s="8"/>
      <c r="FN34" s="8"/>
      <c r="FO34" s="9">
        <f t="shared" si="31"/>
        <v>14209379</v>
      </c>
    </row>
    <row r="35" spans="2:171" ht="14.25" customHeight="1" x14ac:dyDescent="0.3">
      <c r="B35" s="7" t="s">
        <v>48</v>
      </c>
      <c r="C35" s="8">
        <f>+MINVU_Mes_Corriente!C35*MINVU_Mes_Constante!$C$1</f>
        <v>8593303.0508675668</v>
      </c>
      <c r="D35" s="8">
        <f>+MINVU_Mes_Corriente!D35*MINVU_Mes_Constante!$C$1</f>
        <v>8593303.0508675668</v>
      </c>
      <c r="E35" s="8">
        <f>+MINVU_Mes_Corriente!E35*MINVU_Mes_Constante!$C$1</f>
        <v>10747147.715556875</v>
      </c>
      <c r="F35" s="8">
        <f>+MINVU_Mes_Corriente!F35*MINVU_Mes_Constante!$C$1</f>
        <v>11496686.22274952</v>
      </c>
      <c r="G35" s="8">
        <f>+MINVU_Mes_Corriente!G35*MINVU_Mes_Constante!$C$1</f>
        <v>13584582.763458403</v>
      </c>
      <c r="H35" s="8">
        <f>+MINVU_Mes_Corriente!H35*MINVU_Mes_Constante!$C$1</f>
        <v>13584582.763458403</v>
      </c>
      <c r="I35" s="8">
        <f>+MINVU_Mes_Corriente!I35*MINVU_Mes_Constante!$C$1</f>
        <v>13584582.763458403</v>
      </c>
      <c r="J35" s="8">
        <f>+MINVU_Mes_Corriente!J35*MINVU_Mes_Constante!$C$1</f>
        <v>18700875.48984132</v>
      </c>
      <c r="K35" s="8">
        <f>+MINVU_Mes_Corriente!K35*MINVU_Mes_Constante!$C$1</f>
        <v>18721739.078155126</v>
      </c>
      <c r="L35" s="8">
        <f>+MINVU_Mes_Corriente!L35*MINVU_Mes_Constante!$C$1</f>
        <v>18721739.078155126</v>
      </c>
      <c r="M35" s="8">
        <f>+MINVU_Mes_Corriente!M35*MINVU_Mes_Constante!$C$1</f>
        <v>18784932.612190422</v>
      </c>
      <c r="N35" s="8">
        <f>+MINVU_Mes_Corriente!N35*MINVU_Mes_Constante!$C$1</f>
        <v>15144803.572890406</v>
      </c>
      <c r="O35" s="9">
        <f t="shared" si="19"/>
        <v>15144803.572890406</v>
      </c>
      <c r="P35" s="8">
        <f>+MINVU_Mes_Corriente!P35*MINVU_Mes_Constante!$P$1</f>
        <v>16272857.504759192</v>
      </c>
      <c r="Q35" s="8">
        <f>+MINVU_Mes_Corriente!Q35*MINVU_Mes_Constante!$P$1</f>
        <v>17481374.929677505</v>
      </c>
      <c r="R35" s="8">
        <f>+MINVU_Mes_Corriente!R35*MINVU_Mes_Constante!$P$1</f>
        <v>17481374.929677505</v>
      </c>
      <c r="S35" s="8">
        <f>+MINVU_Mes_Corriente!S35*MINVU_Mes_Constante!$P$1</f>
        <v>17481374.929677505</v>
      </c>
      <c r="T35" s="8">
        <f>+MINVU_Mes_Corriente!T35*MINVU_Mes_Constante!$P$1</f>
        <v>17481374.929677505</v>
      </c>
      <c r="U35" s="8">
        <f>+MINVU_Mes_Corriente!U35*MINVU_Mes_Constante!$P$1</f>
        <v>17481374.929677505</v>
      </c>
      <c r="V35" s="8">
        <f>+MINVU_Mes_Corriente!V35*MINVU_Mes_Constante!$P$1</f>
        <v>17481374.929677505</v>
      </c>
      <c r="W35" s="8">
        <f>+MINVU_Mes_Corriente!W35*MINVU_Mes_Constante!$P$1</f>
        <v>17130442.178434432</v>
      </c>
      <c r="X35" s="8">
        <f>+MINVU_Mes_Corriente!X35*MINVU_Mes_Constante!$P$1</f>
        <v>17130442.178434432</v>
      </c>
      <c r="Y35" s="8">
        <f>+MINVU_Mes_Corriente!Y35*MINVU_Mes_Constante!$P$1</f>
        <v>17130442.178434432</v>
      </c>
      <c r="Z35" s="8">
        <f>+MINVU_Mes_Corriente!Z35*MINVU_Mes_Constante!$P$1</f>
        <v>16945243.451626644</v>
      </c>
      <c r="AA35" s="8">
        <f>+MINVU_Mes_Corriente!AA35*MINVU_Mes_Constante!$P$1</f>
        <v>6348443.7229720103</v>
      </c>
      <c r="AB35" s="9">
        <f t="shared" si="20"/>
        <v>6348443.7229720103</v>
      </c>
      <c r="AC35" s="8">
        <f>+MINVU_Mes_Corriente!AC35*MINVU_Mes_Constante!$AC$1</f>
        <v>12026247.746576291</v>
      </c>
      <c r="AD35" s="8">
        <f>+MINVU_Mes_Corriente!AD35*MINVU_Mes_Constante!$AC$1</f>
        <v>13634156.235993912</v>
      </c>
      <c r="AE35" s="8">
        <f>+MINVU_Mes_Corriente!AE35*MINVU_Mes_Constante!$AC$1</f>
        <v>15193135.772859316</v>
      </c>
      <c r="AF35" s="8">
        <f>+MINVU_Mes_Corriente!AF35*MINVU_Mes_Constante!$AC$1</f>
        <v>15193135.772859316</v>
      </c>
      <c r="AG35" s="8">
        <f>+MINVU_Mes_Corriente!AG35*MINVU_Mes_Constante!$AC$1</f>
        <v>15348122.042606169</v>
      </c>
      <c r="AH35" s="8">
        <f>+MINVU_Mes_Corriente!AH35*MINVU_Mes_Constante!$AC$1</f>
        <v>15348122.042606169</v>
      </c>
      <c r="AI35" s="8">
        <f>+MINVU_Mes_Corriente!AI35*MINVU_Mes_Constante!$AC$1</f>
        <v>15446830.87287315</v>
      </c>
      <c r="AJ35" s="8">
        <f>+MINVU_Mes_Corriente!AJ35*MINVU_Mes_Constante!$AC$1</f>
        <v>22038042.771061003</v>
      </c>
      <c r="AK35" s="8">
        <f>+MINVU_Mes_Corriente!AK35*MINVU_Mes_Constante!$AC$1</f>
        <v>22038042.771061003</v>
      </c>
      <c r="AL35" s="8">
        <f>+MINVU_Mes_Corriente!AL35*MINVU_Mes_Constante!$AC$1</f>
        <v>22038042.771061003</v>
      </c>
      <c r="AM35" s="8">
        <f>+MINVU_Mes_Corriente!AM35*MINVU_Mes_Constante!$AC$1</f>
        <v>22038042.771061003</v>
      </c>
      <c r="AN35" s="8">
        <f>+MINVU_Mes_Corriente!AN35*MINVU_Mes_Constante!$AC$1</f>
        <v>21814607.658043988</v>
      </c>
      <c r="AO35" s="9">
        <f t="shared" si="21"/>
        <v>21814607.658043988</v>
      </c>
      <c r="AP35" s="8">
        <f>+MINVU_Mes_Corriente!AP35*MINVU_Mes_Constante!$AP$1</f>
        <v>33339173.429460298</v>
      </c>
      <c r="AQ35" s="8">
        <f>+MINVU_Mes_Corriente!AQ35*MINVU_Mes_Constante!$AP$1</f>
        <v>34471235.900987417</v>
      </c>
      <c r="AR35" s="8">
        <f>+MINVU_Mes_Corriente!AR35*MINVU_Mes_Constante!$AP$1</f>
        <v>34471235.900987417</v>
      </c>
      <c r="AS35" s="8">
        <f>+MINVU_Mes_Corriente!AS35*MINVU_Mes_Constante!$AP$1</f>
        <v>34471235.900987417</v>
      </c>
      <c r="AT35" s="8">
        <f>+MINVU_Mes_Corriente!AT35*MINVU_Mes_Constante!$AP$1</f>
        <v>40453765.501420259</v>
      </c>
      <c r="AU35" s="8">
        <f>+MINVU_Mes_Corriente!AU35*MINVU_Mes_Constante!$AP$1</f>
        <v>36440451.950764231</v>
      </c>
      <c r="AV35" s="8">
        <f>+MINVU_Mes_Corriente!AV35*MINVU_Mes_Constante!$AP$1</f>
        <v>36440451.950764231</v>
      </c>
      <c r="AW35" s="8">
        <f>+MINVU_Mes_Corriente!AW35*MINVU_Mes_Constante!$AP$1</f>
        <v>36535967.625050724</v>
      </c>
      <c r="AX35" s="8">
        <f>+MINVU_Mes_Corriente!AX35*MINVU_Mes_Constante!$AP$1</f>
        <v>36535967.625050724</v>
      </c>
      <c r="AY35" s="8">
        <f>+MINVU_Mes_Corriente!AY35*MINVU_Mes_Constante!$AP$1</f>
        <v>36558874.834573239</v>
      </c>
      <c r="AZ35" s="8">
        <f>+MINVU_Mes_Corriente!AZ35*MINVU_Mes_Constante!$AP$1</f>
        <v>36378670.467739753</v>
      </c>
      <c r="BA35" s="8">
        <f>+MINVU_Mes_Corriente!BA35*MINVU_Mes_Constante!$AP$1</f>
        <v>28897755.168402541</v>
      </c>
      <c r="BB35" s="9">
        <f t="shared" si="22"/>
        <v>28897755.168402541</v>
      </c>
      <c r="BC35" s="8">
        <f>+MINVU_Mes_Corriente!BC35*MINVU_Mes_Constante!$BC$1</f>
        <v>37555359.279704615</v>
      </c>
      <c r="BD35" s="8">
        <f>+MINVU_Mes_Corriente!BD35*MINVU_Mes_Constante!$BC$1</f>
        <v>38368084.811552167</v>
      </c>
      <c r="BE35" s="8">
        <f>+MINVU_Mes_Corriente!BE35*MINVU_Mes_Constante!$BC$1</f>
        <v>38235036.303046294</v>
      </c>
      <c r="BF35" s="8">
        <f>+MINVU_Mes_Corriente!BF35*MINVU_Mes_Constante!$BC$1</f>
        <v>34033252.30594752</v>
      </c>
      <c r="BG35" s="8">
        <f>+MINVU_Mes_Corriente!BG35*MINVU_Mes_Constante!$BC$1</f>
        <v>34033252.30594752</v>
      </c>
      <c r="BH35" s="8">
        <f>+MINVU_Mes_Corriente!BH35*MINVU_Mes_Constante!$BC$1</f>
        <v>29921340.170117375</v>
      </c>
      <c r="BI35" s="8">
        <f>+MINVU_Mes_Corriente!BI35*MINVU_Mes_Constante!$BC$1</f>
        <v>28793310.99775815</v>
      </c>
      <c r="BJ35" s="8">
        <f>+MINVU_Mes_Corriente!BJ35*MINVU_Mes_Constante!$BC$1</f>
        <v>27190844.445733886</v>
      </c>
      <c r="BK35" s="8">
        <f>+MINVU_Mes_Corriente!BK35*MINVU_Mes_Constante!$BC$1</f>
        <v>27190844.445733886</v>
      </c>
      <c r="BL35" s="8">
        <f>+MINVU_Mes_Corriente!BL35*MINVU_Mes_Constante!$BC$1</f>
        <v>25749989.902677048</v>
      </c>
      <c r="BM35" s="8">
        <f>+MINVU_Mes_Corriente!BM35*MINVU_Mes_Constante!$BC$1</f>
        <v>25486313.521297645</v>
      </c>
      <c r="BN35" s="8">
        <f>+MINVU_Mes_Corriente!BN35*MINVU_Mes_Constante!$BC$1</f>
        <v>21716823.349334043</v>
      </c>
      <c r="BO35" s="9">
        <f t="shared" si="23"/>
        <v>21716823.349334043</v>
      </c>
      <c r="BP35" s="8">
        <f>+MINVU_Mes_Corriente!BP35*MINVU_Mes_Constante!$BP$1</f>
        <v>23627904.485531371</v>
      </c>
      <c r="BQ35" s="8">
        <f>+MINVU_Mes_Corriente!BQ35*MINVU_Mes_Constante!$BP$1</f>
        <v>23627904.485531371</v>
      </c>
      <c r="BR35" s="8">
        <f>+MINVU_Mes_Corriente!BR35*MINVU_Mes_Constante!$BP$1</f>
        <v>24116130.20742638</v>
      </c>
      <c r="BS35" s="8">
        <f>+MINVU_Mes_Corriente!BS35*MINVU_Mes_Constante!$BP$1</f>
        <v>24116130.20742638</v>
      </c>
      <c r="BT35" s="8">
        <f>+MINVU_Mes_Corriente!BT35*MINVU_Mes_Constante!$BP$1</f>
        <v>22303401.884250961</v>
      </c>
      <c r="BU35" s="8">
        <f>+MINVU_Mes_Corriente!BU35*MINVU_Mes_Constante!$BP$1</f>
        <v>20379575.307042256</v>
      </c>
      <c r="BV35" s="8">
        <f>+MINVU_Mes_Corriente!BV35*MINVU_Mes_Constante!$BP$1</f>
        <v>20332207.389756724</v>
      </c>
      <c r="BW35" s="8">
        <f>+MINVU_Mes_Corriente!BW35*MINVU_Mes_Constante!$BP$1</f>
        <v>20344918.48271447</v>
      </c>
      <c r="BX35" s="8">
        <f>+MINVU_Mes_Corriente!BX35*MINVU_Mes_Constante!$BP$1</f>
        <v>19997870.390781052</v>
      </c>
      <c r="BY35" s="8">
        <f>+MINVU_Mes_Corriente!BY35*MINVU_Mes_Constante!$BP$1</f>
        <v>19997870.390781052</v>
      </c>
      <c r="BZ35" s="8">
        <f>+MINVU_Mes_Corriente!BZ35*MINVU_Mes_Constante!$BP$1</f>
        <v>19997870.390781052</v>
      </c>
      <c r="CA35" s="8">
        <f>+MINVU_Mes_Corriente!CA35*MINVU_Mes_Constante!$BP$1</f>
        <v>19701223.195390526</v>
      </c>
      <c r="CB35" s="9">
        <f t="shared" si="24"/>
        <v>19701223.195390526</v>
      </c>
      <c r="CC35" s="8">
        <f>+MINVU_Mes_Corriente!CC35*MINVU_Mes_Constante!$CC$1</f>
        <v>23557049.641924657</v>
      </c>
      <c r="CD35" s="8">
        <f>+MINVU_Mes_Corriente!CD35*MINVU_Mes_Constante!$CC$1</f>
        <v>23557049.641924657</v>
      </c>
      <c r="CE35" s="8">
        <f>+MINVU_Mes_Corriente!CE35*MINVU_Mes_Constante!$CC$1</f>
        <v>23557049.641924657</v>
      </c>
      <c r="CF35" s="8">
        <f>+MINVU_Mes_Corriente!CF35*MINVU_Mes_Constante!$CC$1</f>
        <v>24553976.842223052</v>
      </c>
      <c r="CG35" s="8">
        <f>+MINVU_Mes_Corriente!CG35*MINVU_Mes_Constante!$CC$1</f>
        <v>24553976.842223052</v>
      </c>
      <c r="CH35" s="8">
        <f>+MINVU_Mes_Corriente!CH35*MINVU_Mes_Constante!$CC$1</f>
        <v>24553976.842223052</v>
      </c>
      <c r="CI35" s="8">
        <f>+MINVU_Mes_Corriente!CI35*MINVU_Mes_Constante!$CC$1</f>
        <v>24509997.077209998</v>
      </c>
      <c r="CJ35" s="8">
        <f>+MINVU_Mes_Corriente!CJ35*MINVU_Mes_Constante!$CC$1</f>
        <v>24509997.077209998</v>
      </c>
      <c r="CK35" s="8">
        <f>+MINVU_Mes_Corriente!CK35*MINVU_Mes_Constante!$CC$1</f>
        <v>22264628.68332712</v>
      </c>
      <c r="CL35" s="8">
        <f>+MINVU_Mes_Corriente!CL35*MINVU_Mes_Constante!$CC$1</f>
        <v>22264628.68332712</v>
      </c>
      <c r="CM35" s="8">
        <f>+MINVU_Mes_Corriente!CM35*MINVU_Mes_Constante!$CC$1</f>
        <v>26706754.755688179</v>
      </c>
      <c r="CN35" s="8">
        <f>+MINVU_Mes_Corriente!CN35*MINVU_Mes_Constante!$CC$1</f>
        <v>17404791.972398359</v>
      </c>
      <c r="CO35" s="9">
        <f t="shared" si="25"/>
        <v>17404791.972398359</v>
      </c>
      <c r="CP35" s="8">
        <f>+MINVU_Mes_Corriente!CP35*MINVU_Mes_Constante!$CP$1</f>
        <v>26781474.040371224</v>
      </c>
      <c r="CQ35" s="8">
        <f>+MINVU_Mes_Corriente!CQ35*MINVU_Mes_Constante!$CP$1</f>
        <v>28605635.651276097</v>
      </c>
      <c r="CR35" s="8">
        <f>+MINVU_Mes_Corriente!CR35*MINVU_Mes_Constante!$CP$1</f>
        <v>28605635.651276097</v>
      </c>
      <c r="CS35" s="8">
        <f>+MINVU_Mes_Corriente!CS35*MINVU_Mes_Constante!$CP$1</f>
        <v>28866744.235962871</v>
      </c>
      <c r="CT35" s="8">
        <f>+MINVU_Mes_Corriente!CT35*MINVU_Mes_Constante!$CP$1</f>
        <v>28917444.932018556</v>
      </c>
      <c r="CU35" s="8">
        <f>+MINVU_Mes_Corriente!CU35*MINVU_Mes_Constante!$CP$1</f>
        <v>28917444.932018556</v>
      </c>
      <c r="CV35" s="8">
        <f>+MINVU_Mes_Corriente!CV35*MINVU_Mes_Constante!$CP$1</f>
        <v>28917444.932018556</v>
      </c>
      <c r="CW35" s="8">
        <f>+MINVU_Mes_Corriente!CW35*MINVU_Mes_Constante!$CP$1</f>
        <v>29450804.846867744</v>
      </c>
      <c r="CX35" s="8">
        <f>+MINVU_Mes_Corriente!CX35*MINVU_Mes_Constante!$CP$1</f>
        <v>29450804.846867744</v>
      </c>
      <c r="CY35" s="8">
        <f>+MINVU_Mes_Corriente!CY35*MINVU_Mes_Constante!$CP$1</f>
        <v>29450804.846867744</v>
      </c>
      <c r="CZ35" s="8">
        <f>+MINVU_Mes_Corriente!CZ35*MINVU_Mes_Constante!$CP$1</f>
        <v>23472086.239211131</v>
      </c>
      <c r="DA35" s="8">
        <f>+MINVU_Mes_Corriente!DA35*MINVU_Mes_Constante!$CP$1</f>
        <v>19940296.032250576</v>
      </c>
      <c r="DB35" s="9">
        <f t="shared" si="26"/>
        <v>19940296.032250576</v>
      </c>
      <c r="DC35" s="8">
        <f>+MINVU_Mes_Corriente!DC35*MINVU_Mes_Constante!$DC$1</f>
        <v>27958831.493673503</v>
      </c>
      <c r="DD35" s="8">
        <f>+MINVU_Mes_Corriente!DD35*MINVU_Mes_Constante!$DC$1</f>
        <v>34943284.580392979</v>
      </c>
      <c r="DE35" s="8">
        <f>+MINVU_Mes_Corriente!DE35*MINVU_Mes_Constante!$DC$1</f>
        <v>31120724.40345645</v>
      </c>
      <c r="DF35" s="8">
        <f>+MINVU_Mes_Corriente!DF35*MINVU_Mes_Constante!$DC$1</f>
        <v>31120724.40345645</v>
      </c>
      <c r="DG35" s="8">
        <f>+MINVU_Mes_Corriente!DG35*MINVU_Mes_Constante!$DC$1</f>
        <v>31120724.40345645</v>
      </c>
      <c r="DH35" s="8">
        <f>+MINVU_Mes_Corriente!DH35*MINVU_Mes_Constante!$DC$1</f>
        <v>31120724.40345645</v>
      </c>
      <c r="DI35" s="8">
        <f>+MINVU_Mes_Corriente!DI35*MINVU_Mes_Constante!$DC$1</f>
        <v>29055725.014916174</v>
      </c>
      <c r="DJ35" s="8">
        <f>+MINVU_Mes_Corriente!DJ35*MINVU_Mes_Constante!$DC$1</f>
        <v>29055725.014916174</v>
      </c>
      <c r="DK35" s="8">
        <f>+MINVU_Mes_Corriente!DK35*MINVU_Mes_Constante!$DC$1</f>
        <v>29050105.222713728</v>
      </c>
      <c r="DL35" s="8">
        <f>+MINVU_Mes_Corriente!DL35*MINVU_Mes_Constante!$DC$1</f>
        <v>29050105.222713728</v>
      </c>
      <c r="DM35" s="8">
        <f>+MINVU_Mes_Corriente!DM35*MINVU_Mes_Constante!$DC$1</f>
        <v>22439500.94455304</v>
      </c>
      <c r="DN35" s="8">
        <f>+MINVU_Mes_Corriente!DN35*MINVU_Mes_Constante!$DC$1</f>
        <v>20667624.297500268</v>
      </c>
      <c r="DO35" s="9">
        <f t="shared" si="27"/>
        <v>20667624.297500268</v>
      </c>
      <c r="DP35" s="8">
        <f>+MINVU_Mes_Corriente!DP35*MINVU_Mes_Constante!$DP$1</f>
        <v>23049191.795130644</v>
      </c>
      <c r="DQ35" s="8">
        <f>+MINVU_Mes_Corriente!DQ35*MINVU_Mes_Constante!$DP$1</f>
        <v>23200581.34382423</v>
      </c>
      <c r="DR35" s="8">
        <f>+MINVU_Mes_Corriente!DR35*MINVU_Mes_Constante!$DP$1</f>
        <v>23200581.34382423</v>
      </c>
      <c r="DS35" s="8">
        <f>+MINVU_Mes_Corriente!DS35*MINVU_Mes_Constante!$DP$1</f>
        <v>23200581.34382423</v>
      </c>
      <c r="DT35" s="8">
        <f>+MINVU_Mes_Corriente!DT35*MINVU_Mes_Constante!$DP$1</f>
        <v>24474004.26484561</v>
      </c>
      <c r="DU35" s="8">
        <f>+MINVU_Mes_Corriente!DU35*MINVU_Mes_Constante!$DP$1</f>
        <v>24474004.26484561</v>
      </c>
      <c r="DV35" s="8">
        <f>+MINVU_Mes_Corriente!DV35*MINVU_Mes_Constante!$DP$1</f>
        <v>24534560.084323041</v>
      </c>
      <c r="DW35" s="8">
        <f>+MINVU_Mes_Corriente!DW35*MINVU_Mes_Constante!$DP$1</f>
        <v>24534560.084323041</v>
      </c>
      <c r="DX35" s="8">
        <f>+MINVU_Mes_Corriente!DX35*MINVU_Mes_Constante!$DP$1</f>
        <v>24534560.084323041</v>
      </c>
      <c r="DY35" s="8">
        <f>+MINVU_Mes_Corriente!DY35*MINVU_Mes_Constante!$DP$1</f>
        <v>24534560.084323041</v>
      </c>
      <c r="DZ35" s="8">
        <f>+MINVU_Mes_Corriente!DZ35*MINVU_Mes_Constante!$DP$1</f>
        <v>24998867.504750594</v>
      </c>
      <c r="EA35" s="8">
        <f>+MINVU_Mes_Corriente!EA35*MINVU_Mes_Constante!$DP$1</f>
        <v>26301531.317102142</v>
      </c>
      <c r="EB35" s="9">
        <f t="shared" si="28"/>
        <v>26301531.317102142</v>
      </c>
      <c r="EC35" s="8">
        <f>+MINVU_Mes_Corriente!EC35*MINVU_Mes_Constante!$EC$1</f>
        <v>22260037.790569961</v>
      </c>
      <c r="ED35" s="8">
        <f>+MINVU_Mes_Corriente!ED35*MINVU_Mes_Constante!$EC$1</f>
        <v>22260037.790569961</v>
      </c>
      <c r="EE35" s="8">
        <f>+MINVU_Mes_Corriente!EE35*MINVU_Mes_Constante!$EC$1</f>
        <v>18426395.902291227</v>
      </c>
      <c r="EF35" s="8">
        <f>+MINVU_Mes_Corriente!EF35*MINVU_Mes_Constante!$EC$1</f>
        <v>18426395.902291227</v>
      </c>
      <c r="EG35" s="8">
        <f>+MINVU_Mes_Corriente!EG35*MINVU_Mes_Constante!$EC$1</f>
        <v>18426395.902291227</v>
      </c>
      <c r="EH35" s="8">
        <f>+MINVU_Mes_Corriente!EH35*MINVU_Mes_Constante!$EC$1</f>
        <v>18426395.902291227</v>
      </c>
      <c r="EI35" s="8">
        <f>+MINVU_Mes_Corriente!EI35*MINVU_Mes_Constante!$EC$1</f>
        <v>18426395.902291227</v>
      </c>
      <c r="EJ35" s="8">
        <f>+MINVU_Mes_Corriente!EJ35*MINVU_Mes_Constante!$EC$1</f>
        <v>18426395.902291227</v>
      </c>
      <c r="EK35" s="8">
        <f>+MINVU_Mes_Corriente!EK35*MINVU_Mes_Constante!$EC$1</f>
        <v>17780685.02613141</v>
      </c>
      <c r="EL35" s="8">
        <f>+MINVU_Mes_Corriente!EL35*MINVU_Mes_Constante!$EC$1</f>
        <v>17780685.02613141</v>
      </c>
      <c r="EM35" s="8">
        <f>+MINVU_Mes_Corriente!EM35*MINVU_Mes_Constante!$EC$1</f>
        <v>17780685.02613141</v>
      </c>
      <c r="EN35" s="8">
        <f>+MINVU_Mes_Corriente!EN35*MINVU_Mes_Constante!$EC$1</f>
        <v>8865795.2192766499</v>
      </c>
      <c r="EO35" s="9">
        <f t="shared" si="29"/>
        <v>8865795.2192766499</v>
      </c>
      <c r="EP35" s="8">
        <f>+MINVU_Mes_Corriente!EP35*MINVU_Mes_Constante!$EP$1</f>
        <v>24183340</v>
      </c>
      <c r="EQ35" s="8">
        <f>+MINVU_Mes_Corriente!EQ35*MINVU_Mes_Constante!$EP$1</f>
        <v>24535980</v>
      </c>
      <c r="ER35" s="8">
        <f>+MINVU_Mes_Corriente!ER35*MINVU_Mes_Constante!$EP$1</f>
        <v>24535980</v>
      </c>
      <c r="ES35" s="8">
        <f>+MINVU_Mes_Corriente!ES35*MINVU_Mes_Constante!$EP$1</f>
        <v>24535980</v>
      </c>
      <c r="ET35" s="8">
        <f>+MINVU_Mes_Corriente!ET35*MINVU_Mes_Constante!$EP$1</f>
        <v>24535980</v>
      </c>
      <c r="EU35" s="8">
        <f>+MINVU_Mes_Corriente!EU35*MINVU_Mes_Constante!$EP$1</f>
        <v>23536162</v>
      </c>
      <c r="EV35" s="8">
        <f>+MINVU_Mes_Corriente!EV35*MINVU_Mes_Constante!$EP$1</f>
        <v>20536162</v>
      </c>
      <c r="EW35" s="8">
        <f>+MINVU_Mes_Corriente!EW35*MINVU_Mes_Constante!$EP$1</f>
        <v>20536162</v>
      </c>
      <c r="EX35" s="8">
        <f>+MINVU_Mes_Corriente!EX35*MINVU_Mes_Constante!$EP$1</f>
        <v>20536162</v>
      </c>
      <c r="EY35" s="8">
        <f>+MINVU_Mes_Corriente!EY35*MINVU_Mes_Constante!$EP$1</f>
        <v>20589662</v>
      </c>
      <c r="EZ35" s="8">
        <f>+MINVU_Mes_Corriente!EZ35*MINVU_Mes_Constante!$EP$1</f>
        <v>20589662</v>
      </c>
      <c r="FA35" s="8">
        <f>+MINVU_Mes_Corriente!FA35*MINVU_Mes_Constante!$EP$1</f>
        <v>15483238</v>
      </c>
      <c r="FB35" s="9">
        <f t="shared" si="30"/>
        <v>15483238</v>
      </c>
      <c r="FC35" s="8">
        <f>+MINVU_Mes_Corriente!FC35*MINVU_Mes_Constante!$FC$1</f>
        <v>9416801</v>
      </c>
      <c r="FD35" s="8">
        <f>+MINVU_Mes_Corriente!FD35*MINVU_Mes_Constante!$FC$1</f>
        <v>5916801</v>
      </c>
      <c r="FE35" s="8">
        <f>+MINVU_Mes_Corriente!FE35*MINVU_Mes_Constante!$FC$1</f>
        <v>5916801</v>
      </c>
      <c r="FF35" s="8">
        <f>+MINVU_Mes_Corriente!FF35*MINVU_Mes_Constante!$FC$1</f>
        <v>5916801</v>
      </c>
      <c r="FG35" s="8">
        <f>+MINVU_Mes_Corriente!FG35*MINVU_Mes_Constante!$FC$1</f>
        <v>5916801</v>
      </c>
      <c r="FH35" s="8">
        <f>+MINVU_Mes_Corriente!FH35*MINVU_Mes_Constante!$FC$1</f>
        <v>9175869</v>
      </c>
      <c r="FI35" s="8">
        <f>+MINVU_Mes_Corriente!FI35*MINVU_Mes_Constante!$FC$1</f>
        <v>9175869</v>
      </c>
      <c r="FJ35" s="8"/>
      <c r="FK35" s="8"/>
      <c r="FL35" s="8"/>
      <c r="FM35" s="8"/>
      <c r="FN35" s="8"/>
      <c r="FO35" s="9">
        <f t="shared" si="31"/>
        <v>9175869</v>
      </c>
    </row>
    <row r="36" spans="2:171" ht="14.25" customHeight="1" x14ac:dyDescent="0.3">
      <c r="B36" s="7" t="s">
        <v>49</v>
      </c>
      <c r="C36" s="8">
        <f>+MINVU_Mes_Corriente!C36*MINVU_Mes_Constante!$C$1</f>
        <v>26029828.237283114</v>
      </c>
      <c r="D36" s="8">
        <f>+MINVU_Mes_Corriente!D36*MINVU_Mes_Constante!$C$1</f>
        <v>26029828.237283114</v>
      </c>
      <c r="E36" s="8">
        <f>+MINVU_Mes_Corriente!E36*MINVU_Mes_Constante!$C$1</f>
        <v>26029828.237283114</v>
      </c>
      <c r="F36" s="8">
        <f>+MINVU_Mes_Corriente!F36*MINVU_Mes_Constante!$C$1</f>
        <v>26029828.237283114</v>
      </c>
      <c r="G36" s="8">
        <f>+MINVU_Mes_Corriente!G36*MINVU_Mes_Constante!$C$1</f>
        <v>23437272.994809438</v>
      </c>
      <c r="H36" s="8">
        <f>+MINVU_Mes_Corriente!H36*MINVU_Mes_Constante!$C$1</f>
        <v>23394748.607444759</v>
      </c>
      <c r="I36" s="8">
        <f>+MINVU_Mes_Corriente!I36*MINVU_Mes_Constante!$C$1</f>
        <v>23008393.06243512</v>
      </c>
      <c r="J36" s="8">
        <f>+MINVU_Mes_Corriente!J36*MINVU_Mes_Constante!$C$1</f>
        <v>22413330.339018244</v>
      </c>
      <c r="K36" s="8">
        <f>+MINVU_Mes_Corriente!K36*MINVU_Mes_Constante!$C$1</f>
        <v>22796634.770576898</v>
      </c>
      <c r="L36" s="8">
        <f>+MINVU_Mes_Corriente!L36*MINVU_Mes_Constante!$C$1</f>
        <v>22796634.770576898</v>
      </c>
      <c r="M36" s="8">
        <f>+MINVU_Mes_Corriente!M36*MINVU_Mes_Constante!$C$1</f>
        <v>22796634.770576898</v>
      </c>
      <c r="N36" s="8">
        <f>+MINVU_Mes_Corriente!N36*MINVU_Mes_Constante!$C$1</f>
        <v>25540671.395521287</v>
      </c>
      <c r="O36" s="9">
        <f t="shared" si="19"/>
        <v>25540671.395521287</v>
      </c>
      <c r="P36" s="8">
        <f>+MINVU_Mes_Corriente!P36*MINVU_Mes_Constante!$P$1</f>
        <v>29932479.374627065</v>
      </c>
      <c r="Q36" s="8">
        <f>+MINVU_Mes_Corriente!Q36*MINVU_Mes_Constante!$P$1</f>
        <v>30828461.045318928</v>
      </c>
      <c r="R36" s="8">
        <f>+MINVU_Mes_Corriente!R36*MINVU_Mes_Constante!$P$1</f>
        <v>30831565.463560153</v>
      </c>
      <c r="S36" s="8">
        <f>+MINVU_Mes_Corriente!S36*MINVU_Mes_Constante!$P$1</f>
        <v>30936791.272055678</v>
      </c>
      <c r="T36" s="8">
        <f>+MINVU_Mes_Corriente!T36*MINVU_Mes_Constante!$P$1</f>
        <v>33702976.937064908</v>
      </c>
      <c r="U36" s="8">
        <f>+MINVU_Mes_Corriente!U36*MINVU_Mes_Constante!$P$1</f>
        <v>33702976.937064908</v>
      </c>
      <c r="V36" s="8">
        <f>+MINVU_Mes_Corriente!V36*MINVU_Mes_Constante!$P$1</f>
        <v>33894531.960221611</v>
      </c>
      <c r="W36" s="8">
        <f>+MINVU_Mes_Corriente!W36*MINVU_Mes_Constante!$P$1</f>
        <v>25293384.21480323</v>
      </c>
      <c r="X36" s="8">
        <f>+MINVU_Mes_Corriente!X36*MINVU_Mes_Constante!$P$1</f>
        <v>25266065.334280428</v>
      </c>
      <c r="Y36" s="8">
        <f>+MINVU_Mes_Corriente!Y36*MINVU_Mes_Constante!$P$1</f>
        <v>25189448.292086937</v>
      </c>
      <c r="Z36" s="8">
        <f>+MINVU_Mes_Corriente!Z36*MINVU_Mes_Constante!$P$1</f>
        <v>25189448.292086937</v>
      </c>
      <c r="AA36" s="8">
        <f>+MINVU_Mes_Corriente!AA36*MINVU_Mes_Constante!$P$1</f>
        <v>20232740.102003116</v>
      </c>
      <c r="AB36" s="9">
        <f t="shared" si="20"/>
        <v>20232740.102003116</v>
      </c>
      <c r="AC36" s="8">
        <f>+MINVU_Mes_Corriente!AC36*MINVU_Mes_Constante!$AC$1</f>
        <v>28067016.825840365</v>
      </c>
      <c r="AD36" s="8">
        <f>+MINVU_Mes_Corriente!AD36*MINVU_Mes_Constante!$AC$1</f>
        <v>28147726.246230461</v>
      </c>
      <c r="AE36" s="8">
        <f>+MINVU_Mes_Corriente!AE36*MINVU_Mes_Constante!$AC$1</f>
        <v>28147726.246230461</v>
      </c>
      <c r="AF36" s="8">
        <f>+MINVU_Mes_Corriente!AF36*MINVU_Mes_Constante!$AC$1</f>
        <v>28264599.230322313</v>
      </c>
      <c r="AG36" s="8">
        <f>+MINVU_Mes_Corriente!AG36*MINVU_Mes_Constante!$AC$1</f>
        <v>28698846.140268363</v>
      </c>
      <c r="AH36" s="8">
        <f>+MINVU_Mes_Corriente!AH36*MINVU_Mes_Constante!$AC$1</f>
        <v>28698846.140268363</v>
      </c>
      <c r="AI36" s="8">
        <f>+MINVU_Mes_Corriente!AI36*MINVU_Mes_Constante!$AC$1</f>
        <v>29654423.006501589</v>
      </c>
      <c r="AJ36" s="8">
        <f>+MINVU_Mes_Corriente!AJ36*MINVU_Mes_Constante!$AC$1</f>
        <v>28942756.356619172</v>
      </c>
      <c r="AK36" s="8">
        <f>+MINVU_Mes_Corriente!AK36*MINVU_Mes_Constante!$AC$1</f>
        <v>28942756.356619172</v>
      </c>
      <c r="AL36" s="8">
        <f>+MINVU_Mes_Corriente!AL36*MINVU_Mes_Constante!$AC$1</f>
        <v>28956207.92668419</v>
      </c>
      <c r="AM36" s="8">
        <f>+MINVU_Mes_Corriente!AM36*MINVU_Mes_Constante!$AC$1</f>
        <v>28201248.380965557</v>
      </c>
      <c r="AN36" s="8">
        <f>+MINVU_Mes_Corriente!AN36*MINVU_Mes_Constante!$AC$1</f>
        <v>27316071.591368102</v>
      </c>
      <c r="AO36" s="9">
        <f t="shared" si="21"/>
        <v>27316071.591368102</v>
      </c>
      <c r="AP36" s="8">
        <f>+MINVU_Mes_Corriente!AP36*MINVU_Mes_Constante!$AP$1</f>
        <v>40481999.006627887</v>
      </c>
      <c r="AQ36" s="8">
        <f>+MINVU_Mes_Corriente!AQ36*MINVU_Mes_Constante!$AP$1</f>
        <v>40543183.424320303</v>
      </c>
      <c r="AR36" s="8">
        <f>+MINVU_Mes_Corriente!AR36*MINVU_Mes_Constante!$AP$1</f>
        <v>40543183.424320303</v>
      </c>
      <c r="AS36" s="8">
        <f>+MINVU_Mes_Corriente!AS36*MINVU_Mes_Constante!$AP$1</f>
        <v>38899506.901663736</v>
      </c>
      <c r="AT36" s="8">
        <f>+MINVU_Mes_Corriente!AT36*MINVU_Mes_Constante!$AP$1</f>
        <v>32987968.960367914</v>
      </c>
      <c r="AU36" s="8">
        <f>+MINVU_Mes_Corriente!AU36*MINVU_Mes_Constante!$AP$1</f>
        <v>30316364.662789121</v>
      </c>
      <c r="AV36" s="8">
        <f>+MINVU_Mes_Corriente!AV36*MINVU_Mes_Constante!$AP$1</f>
        <v>31060860.795346949</v>
      </c>
      <c r="AW36" s="8">
        <f>+MINVU_Mes_Corriente!AW36*MINVU_Mes_Constante!$AP$1</f>
        <v>31060860.795346949</v>
      </c>
      <c r="AX36" s="8">
        <f>+MINVU_Mes_Corriente!AX36*MINVU_Mes_Constante!$AP$1</f>
        <v>31202816.033815771</v>
      </c>
      <c r="AY36" s="8">
        <f>+MINVU_Mes_Corriente!AY36*MINVU_Mes_Constante!$AP$1</f>
        <v>31375636.889760584</v>
      </c>
      <c r="AZ36" s="8">
        <f>+MINVU_Mes_Corriente!AZ36*MINVU_Mes_Constante!$AP$1</f>
        <v>30133906.522115514</v>
      </c>
      <c r="BA36" s="8">
        <f>+MINVU_Mes_Corriente!BA36*MINVU_Mes_Constante!$AP$1</f>
        <v>29745800.755309075</v>
      </c>
      <c r="BB36" s="9">
        <f t="shared" si="22"/>
        <v>29745800.755309075</v>
      </c>
      <c r="BC36" s="8">
        <f>+MINVU_Mes_Corriente!BC36*MINVU_Mes_Constante!$BC$1</f>
        <v>24447278.729790326</v>
      </c>
      <c r="BD36" s="8">
        <f>+MINVU_Mes_Corriente!BD36*MINVU_Mes_Constante!$BC$1</f>
        <v>24502607.544243708</v>
      </c>
      <c r="BE36" s="8">
        <f>+MINVU_Mes_Corriente!BE36*MINVU_Mes_Constante!$BC$1</f>
        <v>24502607.544243708</v>
      </c>
      <c r="BF36" s="8">
        <f>+MINVU_Mes_Corriente!BF36*MINVU_Mes_Constante!$BC$1</f>
        <v>24502607.544243708</v>
      </c>
      <c r="BG36" s="8">
        <f>+MINVU_Mes_Corriente!BG36*MINVU_Mes_Constante!$BC$1</f>
        <v>24502607.544243708</v>
      </c>
      <c r="BH36" s="8">
        <f>+MINVU_Mes_Corriente!BH36*MINVU_Mes_Constante!$BC$1</f>
        <v>29988267.863642365</v>
      </c>
      <c r="BI36" s="8">
        <f>+MINVU_Mes_Corriente!BI36*MINVU_Mes_Constante!$BC$1</f>
        <v>30062960.32229989</v>
      </c>
      <c r="BJ36" s="8">
        <f>+MINVU_Mes_Corriente!BJ36*MINVU_Mes_Constante!$BC$1</f>
        <v>30183863.867862333</v>
      </c>
      <c r="BK36" s="8">
        <f>+MINVU_Mes_Corriente!BK36*MINVU_Mes_Constante!$BC$1</f>
        <v>30183863.867862333</v>
      </c>
      <c r="BL36" s="8">
        <f>+MINVU_Mes_Corriente!BL36*MINVU_Mes_Constante!$BC$1</f>
        <v>30153389.794276681</v>
      </c>
      <c r="BM36" s="8">
        <f>+MINVU_Mes_Corriente!BM36*MINVU_Mes_Constante!$BC$1</f>
        <v>30153389.794276681</v>
      </c>
      <c r="BN36" s="8">
        <f>+MINVU_Mes_Corriente!BN36*MINVU_Mes_Constante!$BC$1</f>
        <v>24064965.267044712</v>
      </c>
      <c r="BO36" s="9">
        <f t="shared" si="23"/>
        <v>24064965.267044712</v>
      </c>
      <c r="BP36" s="8">
        <f>+MINVU_Mes_Corriente!BP36*MINVU_Mes_Constante!$BP$1</f>
        <v>20980829.86939821</v>
      </c>
      <c r="BQ36" s="8">
        <f>+MINVU_Mes_Corriente!BQ36*MINVU_Mes_Constante!$BP$1</f>
        <v>20980829.86939821</v>
      </c>
      <c r="BR36" s="8">
        <f>+MINVU_Mes_Corriente!BR36*MINVU_Mes_Constante!$BP$1</f>
        <v>21032312.174135726</v>
      </c>
      <c r="BS36" s="8">
        <f>+MINVU_Mes_Corriente!BS36*MINVU_Mes_Constante!$BP$1</f>
        <v>21032312.174135726</v>
      </c>
      <c r="BT36" s="8">
        <f>+MINVU_Mes_Corriente!BT36*MINVU_Mes_Constante!$BP$1</f>
        <v>21032312.174135726</v>
      </c>
      <c r="BU36" s="8">
        <f>+MINVU_Mes_Corriente!BU36*MINVU_Mes_Constante!$BP$1</f>
        <v>21032312.174135726</v>
      </c>
      <c r="BV36" s="8">
        <f>+MINVU_Mes_Corriente!BV36*MINVU_Mes_Constante!$BP$1</f>
        <v>19659378.434058901</v>
      </c>
      <c r="BW36" s="8">
        <f>+MINVU_Mes_Corriente!BW36*MINVU_Mes_Constante!$BP$1</f>
        <v>19669102.713956468</v>
      </c>
      <c r="BX36" s="8">
        <f>+MINVU_Mes_Corriente!BX36*MINVU_Mes_Constante!$BP$1</f>
        <v>19734574.775416136</v>
      </c>
      <c r="BY36" s="8">
        <f>+MINVU_Mes_Corriente!BY36*MINVU_Mes_Constante!$BP$1</f>
        <v>19734574.775416136</v>
      </c>
      <c r="BZ36" s="8">
        <f>+MINVU_Mes_Corriente!BZ36*MINVU_Mes_Constante!$BP$1</f>
        <v>19734574.775416136</v>
      </c>
      <c r="CA36" s="8">
        <f>+MINVU_Mes_Corriente!CA36*MINVU_Mes_Constante!$BP$1</f>
        <v>15392635.536491679</v>
      </c>
      <c r="CB36" s="9">
        <f t="shared" si="24"/>
        <v>15392635.536491679</v>
      </c>
      <c r="CC36" s="8">
        <f>+MINVU_Mes_Corriente!CC36*MINVU_Mes_Constante!$CC$1</f>
        <v>20931409.445729207</v>
      </c>
      <c r="CD36" s="8">
        <f>+MINVU_Mes_Corriente!CD36*MINVU_Mes_Constante!$CC$1</f>
        <v>20931409.445729207</v>
      </c>
      <c r="CE36" s="8">
        <f>+MINVU_Mes_Corriente!CE36*MINVU_Mes_Constante!$CC$1</f>
        <v>20931409.445729207</v>
      </c>
      <c r="CF36" s="8">
        <f>+MINVU_Mes_Corriente!CF36*MINVU_Mes_Constante!$CC$1</f>
        <v>20252185.275643419</v>
      </c>
      <c r="CG36" s="8">
        <f>+MINVU_Mes_Corriente!CG36*MINVU_Mes_Constante!$CC$1</f>
        <v>20252185.275643419</v>
      </c>
      <c r="CH36" s="8">
        <f>+MINVU_Mes_Corriente!CH36*MINVU_Mes_Constante!$CC$1</f>
        <v>20252185.275643419</v>
      </c>
      <c r="CI36" s="8">
        <f>+MINVU_Mes_Corriente!CI36*MINVU_Mes_Constante!$CC$1</f>
        <v>20775604.930249907</v>
      </c>
      <c r="CJ36" s="8">
        <f>+MINVU_Mes_Corriente!CJ36*MINVU_Mes_Constante!$CC$1</f>
        <v>20775604.930249907</v>
      </c>
      <c r="CK36" s="8">
        <f>+MINVU_Mes_Corriente!CK36*MINVU_Mes_Constante!$CC$1</f>
        <v>20900582.177545693</v>
      </c>
      <c r="CL36" s="8">
        <f>+MINVU_Mes_Corriente!CL36*MINVU_Mes_Constante!$CC$1</f>
        <v>20906831.039910484</v>
      </c>
      <c r="CM36" s="8">
        <f>+MINVU_Mes_Corriente!CM36*MINVU_Mes_Constante!$CC$1</f>
        <v>20906831.039910484</v>
      </c>
      <c r="CN36" s="8">
        <f>+MINVU_Mes_Corriente!CN36*MINVU_Mes_Constante!$CC$1</f>
        <v>15549889.177172698</v>
      </c>
      <c r="CO36" s="9">
        <f t="shared" si="25"/>
        <v>15549889.177172698</v>
      </c>
      <c r="CP36" s="8">
        <f>+MINVU_Mes_Corriente!CP36*MINVU_Mes_Constante!$CP$1</f>
        <v>28504170.883294657</v>
      </c>
      <c r="CQ36" s="8">
        <f>+MINVU_Mes_Corriente!CQ36*MINVU_Mes_Constante!$CP$1</f>
        <v>26145047.215545237</v>
      </c>
      <c r="CR36" s="8">
        <f>+MINVU_Mes_Corriente!CR36*MINVU_Mes_Constante!$CP$1</f>
        <v>23310264.827610206</v>
      </c>
      <c r="CS36" s="8">
        <f>+MINVU_Mes_Corriente!CS36*MINVU_Mes_Constante!$CP$1</f>
        <v>23737216.656612523</v>
      </c>
      <c r="CT36" s="8">
        <f>+MINVU_Mes_Corriente!CT36*MINVU_Mes_Constante!$CP$1</f>
        <v>24126923.754292339</v>
      </c>
      <c r="CU36" s="8">
        <f>+MINVU_Mes_Corriente!CU36*MINVU_Mes_Constante!$CP$1</f>
        <v>24265028.647795819</v>
      </c>
      <c r="CV36" s="8">
        <f>+MINVU_Mes_Corriente!CV36*MINVU_Mes_Constante!$CP$1</f>
        <v>24265028.647795819</v>
      </c>
      <c r="CW36" s="8">
        <f>+MINVU_Mes_Corriente!CW36*MINVU_Mes_Constante!$CP$1</f>
        <v>24265028.647795819</v>
      </c>
      <c r="CX36" s="8">
        <f>+MINVU_Mes_Corriente!CX36*MINVU_Mes_Constante!$CP$1</f>
        <v>24793937.041531317</v>
      </c>
      <c r="CY36" s="8">
        <f>+MINVU_Mes_Corriente!CY36*MINVU_Mes_Constante!$CP$1</f>
        <v>24793937.041531317</v>
      </c>
      <c r="CZ36" s="8">
        <f>+MINVU_Mes_Corriente!CZ36*MINVU_Mes_Constante!$CP$1</f>
        <v>24780474.739211131</v>
      </c>
      <c r="DA36" s="8">
        <f>+MINVU_Mes_Corriente!DA36*MINVU_Mes_Constante!$CP$1</f>
        <v>15973632.012528999</v>
      </c>
      <c r="DB36" s="9">
        <f t="shared" si="26"/>
        <v>15973632.012528999</v>
      </c>
      <c r="DC36" s="8">
        <f>+MINVU_Mes_Corriente!DC36*MINVU_Mes_Constante!$DC$1</f>
        <v>32922765.847135086</v>
      </c>
      <c r="DD36" s="8">
        <f>+MINVU_Mes_Corriente!DD36*MINVU_Mes_Constante!$DC$1</f>
        <v>38434308.488221392</v>
      </c>
      <c r="DE36" s="8">
        <f>+MINVU_Mes_Corriente!DE36*MINVU_Mes_Constante!$DC$1</f>
        <v>38434308.488221392</v>
      </c>
      <c r="DF36" s="8">
        <f>+MINVU_Mes_Corriente!DF36*MINVU_Mes_Constante!$DC$1</f>
        <v>38434308.488221392</v>
      </c>
      <c r="DG36" s="8">
        <f>+MINVU_Mes_Corriente!DG36*MINVU_Mes_Constante!$DC$1</f>
        <v>38490506.41024588</v>
      </c>
      <c r="DH36" s="8">
        <f>+MINVU_Mes_Corriente!DH36*MINVU_Mes_Constante!$DC$1</f>
        <v>38490506.41024588</v>
      </c>
      <c r="DI36" s="8">
        <f>+MINVU_Mes_Corriente!DI36*MINVU_Mes_Constante!$DC$1</f>
        <v>38490506.41024588</v>
      </c>
      <c r="DJ36" s="8">
        <f>+MINVU_Mes_Corriente!DJ36*MINVU_Mes_Constante!$DC$1</f>
        <v>38490506.41024588</v>
      </c>
      <c r="DK36" s="8">
        <f>+MINVU_Mes_Corriente!DK36*MINVU_Mes_Constante!$DC$1</f>
        <v>38285146.839625575</v>
      </c>
      <c r="DL36" s="8">
        <f>+MINVU_Mes_Corriente!DL36*MINVU_Mes_Constante!$DC$1</f>
        <v>38127778.046497293</v>
      </c>
      <c r="DM36" s="8">
        <f>+MINVU_Mes_Corriente!DM36*MINVU_Mes_Constante!$DC$1</f>
        <v>28476685.229503151</v>
      </c>
      <c r="DN36" s="8">
        <f>+MINVU_Mes_Corriente!DN36*MINVU_Mes_Constante!$DC$1</f>
        <v>14271855.683571655</v>
      </c>
      <c r="DO36" s="9">
        <f t="shared" si="27"/>
        <v>14271855.683571655</v>
      </c>
      <c r="DP36" s="8">
        <f>+MINVU_Mes_Corriente!DP36*MINVU_Mes_Constante!$DP$1</f>
        <v>39309531.224465564</v>
      </c>
      <c r="DQ36" s="8">
        <f>+MINVU_Mes_Corriente!DQ36*MINVU_Mes_Constante!$DP$1</f>
        <v>39329155.635391928</v>
      </c>
      <c r="DR36" s="8">
        <f>+MINVU_Mes_Corriente!DR36*MINVU_Mes_Constante!$DP$1</f>
        <v>39329155.635391928</v>
      </c>
      <c r="DS36" s="8">
        <f>+MINVU_Mes_Corriente!DS36*MINVU_Mes_Constante!$DP$1</f>
        <v>39329155.635391928</v>
      </c>
      <c r="DT36" s="8">
        <f>+MINVU_Mes_Corriente!DT36*MINVU_Mes_Constante!$DP$1</f>
        <v>39329155.635391928</v>
      </c>
      <c r="DU36" s="8">
        <f>+MINVU_Mes_Corriente!DU36*MINVU_Mes_Constante!$DP$1</f>
        <v>39319884.106888361</v>
      </c>
      <c r="DV36" s="8">
        <f>+MINVU_Mes_Corriente!DV36*MINVU_Mes_Constante!$DP$1</f>
        <v>39352324.724465564</v>
      </c>
      <c r="DW36" s="8">
        <f>+MINVU_Mes_Corriente!DW36*MINVU_Mes_Constante!$DP$1</f>
        <v>39352324.724465564</v>
      </c>
      <c r="DX36" s="8">
        <f>+MINVU_Mes_Corriente!DX36*MINVU_Mes_Constante!$DP$1</f>
        <v>39352324.724465564</v>
      </c>
      <c r="DY36" s="8">
        <f>+MINVU_Mes_Corriente!DY36*MINVU_Mes_Constante!$DP$1</f>
        <v>39352324.724465564</v>
      </c>
      <c r="DZ36" s="8">
        <f>+MINVU_Mes_Corriente!DZ36*MINVU_Mes_Constante!$DP$1</f>
        <v>38050103.185866989</v>
      </c>
      <c r="EA36" s="8">
        <f>+MINVU_Mes_Corriente!EA36*MINVU_Mes_Constante!$DP$1</f>
        <v>22814745.614608079</v>
      </c>
      <c r="EB36" s="9">
        <f t="shared" si="28"/>
        <v>22814745.614608079</v>
      </c>
      <c r="EC36" s="8">
        <f>+MINVU_Mes_Corriente!EC36*MINVU_Mes_Constante!$EC$1</f>
        <v>39573067.879189536</v>
      </c>
      <c r="ED36" s="8">
        <f>+MINVU_Mes_Corriente!ED36*MINVU_Mes_Constante!$EC$1</f>
        <v>39573067.879189536</v>
      </c>
      <c r="EE36" s="8">
        <f>+MINVU_Mes_Corriente!EE36*MINVU_Mes_Constante!$EC$1</f>
        <v>39619866.992993742</v>
      </c>
      <c r="EF36" s="8">
        <f>+MINVU_Mes_Corriente!EF36*MINVU_Mes_Constante!$EC$1</f>
        <v>39619866.992993742</v>
      </c>
      <c r="EG36" s="8">
        <f>+MINVU_Mes_Corriente!EG36*MINVU_Mes_Constante!$EC$1</f>
        <v>38335466.142207906</v>
      </c>
      <c r="EH36" s="8">
        <f>+MINVU_Mes_Corriente!EH36*MINVU_Mes_Constante!$EC$1</f>
        <v>32199744.398220025</v>
      </c>
      <c r="EI36" s="8">
        <f>+MINVU_Mes_Corriente!EI36*MINVU_Mes_Constante!$EC$1</f>
        <v>32199744.398220025</v>
      </c>
      <c r="EJ36" s="8">
        <f>+MINVU_Mes_Corriente!EJ36*MINVU_Mes_Constante!$EC$1</f>
        <v>32199744.398220025</v>
      </c>
      <c r="EK36" s="8">
        <f>+MINVU_Mes_Corriente!EK36*MINVU_Mes_Constante!$EC$1</f>
        <v>31916068.735466756</v>
      </c>
      <c r="EL36" s="8">
        <f>+MINVU_Mes_Corriente!EL36*MINVU_Mes_Constante!$EC$1</f>
        <v>32124181.001514856</v>
      </c>
      <c r="EM36" s="8">
        <f>+MINVU_Mes_Corriente!EM36*MINVU_Mes_Constante!$EC$1</f>
        <v>28651390.90077636</v>
      </c>
      <c r="EN36" s="8">
        <f>+MINVU_Mes_Corriente!EN36*MINVU_Mes_Constante!$EC$1</f>
        <v>19102895.505775414</v>
      </c>
      <c r="EO36" s="9">
        <f t="shared" si="29"/>
        <v>19102895.505775414</v>
      </c>
      <c r="EP36" s="8">
        <f>+MINVU_Mes_Corriente!EP36*MINVU_Mes_Constante!$EP$1</f>
        <v>27966487</v>
      </c>
      <c r="EQ36" s="8">
        <f>+MINVU_Mes_Corriente!EQ36*MINVU_Mes_Constante!$EP$1</f>
        <v>27966487</v>
      </c>
      <c r="ER36" s="8">
        <f>+MINVU_Mes_Corriente!ER36*MINVU_Mes_Constante!$EP$1</f>
        <v>27966487</v>
      </c>
      <c r="ES36" s="8">
        <f>+MINVU_Mes_Corriente!ES36*MINVU_Mes_Constante!$EP$1</f>
        <v>27966487</v>
      </c>
      <c r="ET36" s="8">
        <f>+MINVU_Mes_Corriente!ET36*MINVU_Mes_Constante!$EP$1</f>
        <v>27966487</v>
      </c>
      <c r="EU36" s="8">
        <f>+MINVU_Mes_Corriente!EU36*MINVU_Mes_Constante!$EP$1</f>
        <v>27958887</v>
      </c>
      <c r="EV36" s="8">
        <f>+MINVU_Mes_Corriente!EV36*MINVU_Mes_Constante!$EP$1</f>
        <v>27958887</v>
      </c>
      <c r="EW36" s="8">
        <f>+MINVU_Mes_Corriente!EW36*MINVU_Mes_Constante!$EP$1</f>
        <v>27958887</v>
      </c>
      <c r="EX36" s="8">
        <f>+MINVU_Mes_Corriente!EX36*MINVU_Mes_Constante!$EP$1</f>
        <v>27958887</v>
      </c>
      <c r="EY36" s="8">
        <f>+MINVU_Mes_Corriente!EY36*MINVU_Mes_Constante!$EP$1</f>
        <v>24576889</v>
      </c>
      <c r="EZ36" s="8">
        <f>+MINVU_Mes_Corriente!EZ36*MINVU_Mes_Constante!$EP$1</f>
        <v>24265859</v>
      </c>
      <c r="FA36" s="8">
        <f>+MINVU_Mes_Corriente!FA36*MINVU_Mes_Constante!$EP$1</f>
        <v>18613719</v>
      </c>
      <c r="FB36" s="9">
        <f t="shared" si="30"/>
        <v>18613719</v>
      </c>
      <c r="FC36" s="8">
        <f>+MINVU_Mes_Corriente!FC36*MINVU_Mes_Constante!$FC$1</f>
        <v>30615904</v>
      </c>
      <c r="FD36" s="8">
        <f>+MINVU_Mes_Corriente!FD36*MINVU_Mes_Constante!$FC$1</f>
        <v>26615904</v>
      </c>
      <c r="FE36" s="8">
        <f>+MINVU_Mes_Corriente!FE36*MINVU_Mes_Constante!$FC$1</f>
        <v>26615904</v>
      </c>
      <c r="FF36" s="8">
        <f>+MINVU_Mes_Corriente!FF36*MINVU_Mes_Constante!$FC$1</f>
        <v>26615904</v>
      </c>
      <c r="FG36" s="8">
        <f>+MINVU_Mes_Corriente!FG36*MINVU_Mes_Constante!$FC$1</f>
        <v>26615904</v>
      </c>
      <c r="FH36" s="8">
        <f>+MINVU_Mes_Corriente!FH36*MINVU_Mes_Constante!$FC$1</f>
        <v>24556836</v>
      </c>
      <c r="FI36" s="8">
        <f>+MINVU_Mes_Corriente!FI36*MINVU_Mes_Constante!$FC$1</f>
        <v>24556836</v>
      </c>
      <c r="FJ36" s="8"/>
      <c r="FK36" s="8"/>
      <c r="FL36" s="8"/>
      <c r="FM36" s="8"/>
      <c r="FN36" s="8"/>
      <c r="FO36" s="9">
        <f t="shared" si="31"/>
        <v>24556836</v>
      </c>
    </row>
    <row r="37" spans="2:171" ht="14.25" customHeight="1" x14ac:dyDescent="0.3">
      <c r="B37" s="7" t="s">
        <v>50</v>
      </c>
      <c r="C37" s="8">
        <f>+MINVU_Mes_Corriente!C37*MINVU_Mes_Constante!$C$1</f>
        <v>30516410.359780516</v>
      </c>
      <c r="D37" s="8">
        <f>+MINVU_Mes_Corriente!D37*MINVU_Mes_Constante!$C$1</f>
        <v>30516410.359780516</v>
      </c>
      <c r="E37" s="8">
        <f>+MINVU_Mes_Corriente!E37*MINVU_Mes_Constante!$C$1</f>
        <v>38453359.440605082</v>
      </c>
      <c r="F37" s="8">
        <f>+MINVU_Mes_Corriente!F37*MINVU_Mes_Constante!$C$1</f>
        <v>38453359.440605082</v>
      </c>
      <c r="G37" s="8">
        <f>+MINVU_Mes_Corriente!G37*MINVU_Mes_Constante!$C$1</f>
        <v>42113211.343912214</v>
      </c>
      <c r="H37" s="8">
        <f>+MINVU_Mes_Corriente!H37*MINVU_Mes_Constante!$C$1</f>
        <v>42204775.534035303</v>
      </c>
      <c r="I37" s="8">
        <f>+MINVU_Mes_Corriente!I37*MINVU_Mes_Constante!$C$1</f>
        <v>42204775.534035303</v>
      </c>
      <c r="J37" s="8">
        <f>+MINVU_Mes_Corriente!J37*MINVU_Mes_Constante!$C$1</f>
        <v>44438676.684265174</v>
      </c>
      <c r="K37" s="8">
        <f>+MINVU_Mes_Corriente!K37*MINVU_Mes_Constante!$C$1</f>
        <v>45303572.55731871</v>
      </c>
      <c r="L37" s="8">
        <f>+MINVU_Mes_Corriente!L37*MINVU_Mes_Constante!$C$1</f>
        <v>48495941.380691096</v>
      </c>
      <c r="M37" s="8">
        <f>+MINVU_Mes_Corriente!M37*MINVU_Mes_Constante!$C$1</f>
        <v>48495941.380691096</v>
      </c>
      <c r="N37" s="8">
        <f>+MINVU_Mes_Corriente!N37*MINVU_Mes_Constante!$C$1</f>
        <v>43638492.610410802</v>
      </c>
      <c r="O37" s="9">
        <f t="shared" si="19"/>
        <v>43638492.610410802</v>
      </c>
      <c r="P37" s="8">
        <f>+MINVU_Mes_Corriente!P37*MINVU_Mes_Constante!$P$1</f>
        <v>53509803.274044588</v>
      </c>
      <c r="Q37" s="8">
        <f>+MINVU_Mes_Corriente!Q37*MINVU_Mes_Constante!$P$1</f>
        <v>59476454.776246607</v>
      </c>
      <c r="R37" s="8">
        <f>+MINVU_Mes_Corriente!R37*MINVU_Mes_Constante!$P$1</f>
        <v>59476454.776246607</v>
      </c>
      <c r="S37" s="8">
        <f>+MINVU_Mes_Corriente!S37*MINVU_Mes_Constante!$P$1</f>
        <v>59476454.776246607</v>
      </c>
      <c r="T37" s="8">
        <f>+MINVU_Mes_Corriente!T37*MINVU_Mes_Constante!$P$1</f>
        <v>59476454.776246607</v>
      </c>
      <c r="U37" s="8">
        <f>+MINVU_Mes_Corriente!U37*MINVU_Mes_Constante!$P$1</f>
        <v>59753671.564142615</v>
      </c>
      <c r="V37" s="8">
        <f>+MINVU_Mes_Corriente!V37*MINVU_Mes_Constante!$P$1</f>
        <v>59753671.564142615</v>
      </c>
      <c r="W37" s="8">
        <f>+MINVU_Mes_Corriente!W37*MINVU_Mes_Constante!$P$1</f>
        <v>59753671.564142615</v>
      </c>
      <c r="X37" s="8">
        <f>+MINVU_Mes_Corriente!X37*MINVU_Mes_Constante!$P$1</f>
        <v>59753671.564142615</v>
      </c>
      <c r="Y37" s="8">
        <f>+MINVU_Mes_Corriente!Y37*MINVU_Mes_Constante!$P$1</f>
        <v>58949807.295922697</v>
      </c>
      <c r="Z37" s="8">
        <f>+MINVU_Mes_Corriente!Z37*MINVU_Mes_Constante!$P$1</f>
        <v>59239451.070038334</v>
      </c>
      <c r="AA37" s="8">
        <f>+MINVU_Mes_Corriente!AA37*MINVU_Mes_Constante!$P$1</f>
        <v>54548083.715868711</v>
      </c>
      <c r="AB37" s="9">
        <f t="shared" si="20"/>
        <v>54548083.715868711</v>
      </c>
      <c r="AC37" s="8">
        <f>+MINVU_Mes_Corriente!AC37*MINVU_Mes_Constante!$AC$1</f>
        <v>49813947.972333655</v>
      </c>
      <c r="AD37" s="8">
        <f>+MINVU_Mes_Corriente!AD37*MINVU_Mes_Constante!$AC$1</f>
        <v>57312229.468252867</v>
      </c>
      <c r="AE37" s="8">
        <f>+MINVU_Mes_Corriente!AE37*MINVU_Mes_Constante!$AC$1</f>
        <v>57312229.468252867</v>
      </c>
      <c r="AF37" s="8">
        <f>+MINVU_Mes_Corriente!AF37*MINVU_Mes_Constante!$AC$1</f>
        <v>57312229.468252867</v>
      </c>
      <c r="AG37" s="8">
        <f>+MINVU_Mes_Corriente!AG37*MINVU_Mes_Constante!$AC$1</f>
        <v>57545791.044127814</v>
      </c>
      <c r="AH37" s="8">
        <f>+MINVU_Mes_Corriente!AH37*MINVU_Mes_Constante!$AC$1</f>
        <v>57545791.044127814</v>
      </c>
      <c r="AI37" s="8">
        <f>+MINVU_Mes_Corriente!AI37*MINVU_Mes_Constante!$AC$1</f>
        <v>52032745.157836489</v>
      </c>
      <c r="AJ37" s="8">
        <f>+MINVU_Mes_Corriente!AJ37*MINVU_Mes_Constante!$AC$1</f>
        <v>52211091.817125469</v>
      </c>
      <c r="AK37" s="8">
        <f>+MINVU_Mes_Corriente!AK37*MINVU_Mes_Constante!$AC$1</f>
        <v>52211091.817125469</v>
      </c>
      <c r="AL37" s="8">
        <f>+MINVU_Mes_Corriente!AL37*MINVU_Mes_Constante!$AC$1</f>
        <v>47437821.827915341</v>
      </c>
      <c r="AM37" s="8">
        <f>+MINVU_Mes_Corriente!AM37*MINVU_Mes_Constante!$AC$1</f>
        <v>47476288.784064189</v>
      </c>
      <c r="AN37" s="8">
        <f>+MINVU_Mes_Corriente!AN37*MINVU_Mes_Constante!$AC$1</f>
        <v>45557327.095310554</v>
      </c>
      <c r="AO37" s="9">
        <f t="shared" si="21"/>
        <v>45557327.095310554</v>
      </c>
      <c r="AP37" s="8">
        <f>+MINVU_Mes_Corriente!AP37*MINVU_Mes_Constante!$AP$1</f>
        <v>61011827.386446632</v>
      </c>
      <c r="AQ37" s="8">
        <f>+MINVU_Mes_Corriente!AQ37*MINVU_Mes_Constante!$AP$1</f>
        <v>69407866.493710265</v>
      </c>
      <c r="AR37" s="8">
        <f>+MINVU_Mes_Corriente!AR37*MINVU_Mes_Constante!$AP$1</f>
        <v>68853473.598268628</v>
      </c>
      <c r="AS37" s="8">
        <f>+MINVU_Mes_Corriente!AS37*MINVU_Mes_Constante!$AP$1</f>
        <v>68853473.598268628</v>
      </c>
      <c r="AT37" s="8">
        <f>+MINVU_Mes_Corriente!AT37*MINVU_Mes_Constante!$AP$1</f>
        <v>65048628.955227911</v>
      </c>
      <c r="AU37" s="8">
        <f>+MINVU_Mes_Corriente!AU37*MINVU_Mes_Constante!$AP$1</f>
        <v>65711377.385364532</v>
      </c>
      <c r="AV37" s="8">
        <f>+MINVU_Mes_Corriente!AV37*MINVU_Mes_Constante!$AP$1</f>
        <v>67137166.442580819</v>
      </c>
      <c r="AW37" s="8">
        <f>+MINVU_Mes_Corriente!AW37*MINVU_Mes_Constante!$AP$1</f>
        <v>65586584.819423772</v>
      </c>
      <c r="AX37" s="8">
        <f>+MINVU_Mes_Corriente!AX37*MINVU_Mes_Constante!$AP$1</f>
        <v>65599832.57595022</v>
      </c>
      <c r="AY37" s="8">
        <f>+MINVU_Mes_Corriente!AY37*MINVU_Mes_Constante!$AP$1</f>
        <v>65466822.972271062</v>
      </c>
      <c r="AZ37" s="8">
        <f>+MINVU_Mes_Corriente!AZ37*MINVU_Mes_Constante!$AP$1</f>
        <v>61416257.865277961</v>
      </c>
      <c r="BA37" s="8">
        <f>+MINVU_Mes_Corriente!BA37*MINVU_Mes_Constante!$AP$1</f>
        <v>57513042.275125116</v>
      </c>
      <c r="BB37" s="9">
        <f t="shared" si="22"/>
        <v>57513042.275125116</v>
      </c>
      <c r="BC37" s="8">
        <f>+MINVU_Mes_Corriente!BC37*MINVU_Mes_Constante!$BC$1</f>
        <v>44045560.332849808</v>
      </c>
      <c r="BD37" s="8">
        <f>+MINVU_Mes_Corriente!BD37*MINVU_Mes_Constante!$BC$1</f>
        <v>48729919.656072803</v>
      </c>
      <c r="BE37" s="8">
        <f>+MINVU_Mes_Corriente!BE37*MINVU_Mes_Constante!$BC$1</f>
        <v>48729919.656072803</v>
      </c>
      <c r="BF37" s="8">
        <f>+MINVU_Mes_Corriente!BF37*MINVU_Mes_Constante!$BC$1</f>
        <v>48729919.656072803</v>
      </c>
      <c r="BG37" s="8">
        <f>+MINVU_Mes_Corriente!BG37*MINVU_Mes_Constante!$BC$1</f>
        <v>48729919.656072803</v>
      </c>
      <c r="BH37" s="8">
        <f>+MINVU_Mes_Corriente!BH37*MINVU_Mes_Constante!$BC$1</f>
        <v>48729919.656072803</v>
      </c>
      <c r="BI37" s="8">
        <f>+MINVU_Mes_Corriente!BI37*MINVU_Mes_Constante!$BC$1</f>
        <v>48640575.147566937</v>
      </c>
      <c r="BJ37" s="8">
        <f>+MINVU_Mes_Corriente!BJ37*MINVU_Mes_Constante!$BC$1</f>
        <v>48236415.448239498</v>
      </c>
      <c r="BK37" s="8">
        <f>+MINVU_Mes_Corriente!BK37*MINVU_Mes_Constante!$BC$1</f>
        <v>47736529.695634983</v>
      </c>
      <c r="BL37" s="8">
        <f>+MINVU_Mes_Corriente!BL37*MINVU_Mes_Constante!$BC$1</f>
        <v>45575247.88104973</v>
      </c>
      <c r="BM37" s="8">
        <f>+MINVU_Mes_Corriente!BM37*MINVU_Mes_Constante!$BC$1</f>
        <v>45540697.629961766</v>
      </c>
      <c r="BN37" s="8">
        <f>+MINVU_Mes_Corriente!BN37*MINVU_Mes_Constante!$BC$1</f>
        <v>40218248.668073334</v>
      </c>
      <c r="BO37" s="9">
        <f t="shared" si="23"/>
        <v>40218248.668073334</v>
      </c>
      <c r="BP37" s="8">
        <f>+MINVU_Mes_Corriente!BP37*MINVU_Mes_Constante!$BP$1</f>
        <v>40204371.422535218</v>
      </c>
      <c r="BQ37" s="8">
        <f>+MINVU_Mes_Corriente!BQ37*MINVU_Mes_Constante!$BP$1</f>
        <v>40204371.422535218</v>
      </c>
      <c r="BR37" s="8">
        <f>+MINVU_Mes_Corriente!BR37*MINVU_Mes_Constante!$BP$1</f>
        <v>45690567.838156216</v>
      </c>
      <c r="BS37" s="8">
        <f>+MINVU_Mes_Corriente!BS37*MINVU_Mes_Constante!$BP$1</f>
        <v>45690567.838156216</v>
      </c>
      <c r="BT37" s="8">
        <f>+MINVU_Mes_Corriente!BT37*MINVU_Mes_Constante!$BP$1</f>
        <v>45690567.838156216</v>
      </c>
      <c r="BU37" s="8">
        <f>+MINVU_Mes_Corriente!BU37*MINVU_Mes_Constante!$BP$1</f>
        <v>45690567.838156216</v>
      </c>
      <c r="BV37" s="8">
        <f>+MINVU_Mes_Corriente!BV37*MINVU_Mes_Constante!$BP$1</f>
        <v>45156436.128553145</v>
      </c>
      <c r="BW37" s="8">
        <f>+MINVU_Mes_Corriente!BW37*MINVU_Mes_Constante!$BP$1</f>
        <v>45162023.637387969</v>
      </c>
      <c r="BX37" s="8">
        <f>+MINVU_Mes_Corriente!BX37*MINVU_Mes_Constante!$BP$1</f>
        <v>45401354.799487844</v>
      </c>
      <c r="BY37" s="8">
        <f>+MINVU_Mes_Corriente!BY37*MINVU_Mes_Constante!$BP$1</f>
        <v>45401354.799487844</v>
      </c>
      <c r="BZ37" s="8">
        <f>+MINVU_Mes_Corriente!BZ37*MINVU_Mes_Constante!$BP$1</f>
        <v>45401354.799487844</v>
      </c>
      <c r="CA37" s="8">
        <f>+MINVU_Mes_Corriente!CA37*MINVU_Mes_Constante!$BP$1</f>
        <v>45915605.665813066</v>
      </c>
      <c r="CB37" s="9">
        <f t="shared" si="24"/>
        <v>45915605.665813066</v>
      </c>
      <c r="CC37" s="8">
        <f>+MINVU_Mes_Corriente!CC37*MINVU_Mes_Constante!$CC$1</f>
        <v>45320777.668780312</v>
      </c>
      <c r="CD37" s="8">
        <f>+MINVU_Mes_Corriente!CD37*MINVU_Mes_Constante!$CC$1</f>
        <v>45320777.668780312</v>
      </c>
      <c r="CE37" s="8">
        <f>+MINVU_Mes_Corriente!CE37*MINVU_Mes_Constante!$CC$1</f>
        <v>45320777.668780312</v>
      </c>
      <c r="CF37" s="8">
        <f>+MINVU_Mes_Corriente!CF37*MINVU_Mes_Constante!$CC$1</f>
        <v>47462496.4543081</v>
      </c>
      <c r="CG37" s="8">
        <f>+MINVU_Mes_Corriente!CG37*MINVU_Mes_Constante!$CC$1</f>
        <v>47462496.4543081</v>
      </c>
      <c r="CH37" s="8">
        <f>+MINVU_Mes_Corriente!CH37*MINVU_Mes_Constante!$CC$1</f>
        <v>48508129.461395003</v>
      </c>
      <c r="CI37" s="8">
        <f>+MINVU_Mes_Corriente!CI37*MINVU_Mes_Constante!$CC$1</f>
        <v>48833820.16784782</v>
      </c>
      <c r="CJ37" s="8">
        <f>+MINVU_Mes_Corriente!CJ37*MINVU_Mes_Constante!$CC$1</f>
        <v>48833820.16784782</v>
      </c>
      <c r="CK37" s="8">
        <f>+MINVU_Mes_Corriente!CK37*MINVU_Mes_Constante!$CC$1</f>
        <v>48833820.16784782</v>
      </c>
      <c r="CL37" s="8">
        <f>+MINVU_Mes_Corriente!CL37*MINVU_Mes_Constante!$CC$1</f>
        <v>51265357.114509515</v>
      </c>
      <c r="CM37" s="8">
        <f>+MINVU_Mes_Corriente!CM37*MINVU_Mes_Constante!$CC$1</f>
        <v>48041904.557254761</v>
      </c>
      <c r="CN37" s="8">
        <f>+MINVU_Mes_Corriente!CN37*MINVU_Mes_Constante!$CC$1</f>
        <v>46533709.02275271</v>
      </c>
      <c r="CO37" s="9">
        <f t="shared" si="25"/>
        <v>46533709.02275271</v>
      </c>
      <c r="CP37" s="8">
        <f>+MINVU_Mes_Corriente!CP37*MINVU_Mes_Constante!$CP$1</f>
        <v>79472551.403944299</v>
      </c>
      <c r="CQ37" s="8">
        <f>+MINVU_Mes_Corriente!CQ37*MINVU_Mes_Constante!$CP$1</f>
        <v>74814261.444083512</v>
      </c>
      <c r="CR37" s="8">
        <f>+MINVU_Mes_Corriente!CR37*MINVU_Mes_Constante!$CP$1</f>
        <v>76553910.064733163</v>
      </c>
      <c r="CS37" s="8">
        <f>+MINVU_Mes_Corriente!CS37*MINVU_Mes_Constante!$CP$1</f>
        <v>77698338.851276085</v>
      </c>
      <c r="CT37" s="8">
        <f>+MINVU_Mes_Corriente!CT37*MINVU_Mes_Constante!$CP$1</f>
        <v>77783447.574709967</v>
      </c>
      <c r="CU37" s="8">
        <f>+MINVU_Mes_Corriente!CU37*MINVU_Mes_Constante!$CP$1</f>
        <v>80296695.020881653</v>
      </c>
      <c r="CV37" s="8">
        <f>+MINVU_Mes_Corriente!CV37*MINVU_Mes_Constante!$CP$1</f>
        <v>80296695.020881653</v>
      </c>
      <c r="CW37" s="8">
        <f>+MINVU_Mes_Corriente!CW37*MINVU_Mes_Constante!$CP$1</f>
        <v>80181898.504872367</v>
      </c>
      <c r="CX37" s="8">
        <f>+MINVU_Mes_Corriente!CX37*MINVU_Mes_Constante!$CP$1</f>
        <v>78992282.722969815</v>
      </c>
      <c r="CY37" s="8">
        <f>+MINVU_Mes_Corriente!CY37*MINVU_Mes_Constante!$CP$1</f>
        <v>70472187.922969818</v>
      </c>
      <c r="CZ37" s="8">
        <f>+MINVU_Mes_Corriente!CZ37*MINVU_Mes_Constante!$CP$1</f>
        <v>70411220.335962862</v>
      </c>
      <c r="DA37" s="8">
        <f>+MINVU_Mes_Corriente!DA37*MINVU_Mes_Constante!$CP$1</f>
        <v>52553310.897215769</v>
      </c>
      <c r="DB37" s="9">
        <f t="shared" si="26"/>
        <v>52553310.897215769</v>
      </c>
      <c r="DC37" s="8">
        <f>+MINVU_Mes_Corriente!DC37*MINVU_Mes_Constante!$DC$1</f>
        <v>48522243.48853001</v>
      </c>
      <c r="DD37" s="8">
        <f>+MINVU_Mes_Corriente!DD37*MINVU_Mes_Constante!$DC$1</f>
        <v>59063739.553955384</v>
      </c>
      <c r="DE37" s="8">
        <f>+MINVU_Mes_Corriente!DE37*MINVU_Mes_Constante!$DC$1</f>
        <v>59063739.553955384</v>
      </c>
      <c r="DF37" s="8">
        <f>+MINVU_Mes_Corriente!DF37*MINVU_Mes_Constante!$DC$1</f>
        <v>59063739.553955384</v>
      </c>
      <c r="DG37" s="8">
        <f>+MINVU_Mes_Corriente!DG37*MINVU_Mes_Constante!$DC$1</f>
        <v>59063739.553955384</v>
      </c>
      <c r="DH37" s="8">
        <f>+MINVU_Mes_Corriente!DH37*MINVU_Mes_Constante!$DC$1</f>
        <v>59063739.553955384</v>
      </c>
      <c r="DI37" s="8">
        <f>+MINVU_Mes_Corriente!DI37*MINVU_Mes_Constante!$DC$1</f>
        <v>59063739.553955384</v>
      </c>
      <c r="DJ37" s="8">
        <f>+MINVU_Mes_Corriente!DJ37*MINVU_Mes_Constante!$DC$1</f>
        <v>57440508.658574246</v>
      </c>
      <c r="DK37" s="8">
        <f>+MINVU_Mes_Corriente!DK37*MINVU_Mes_Constante!$DC$1</f>
        <v>43154642.833041891</v>
      </c>
      <c r="DL37" s="8">
        <f>+MINVU_Mes_Corriente!DL37*MINVU_Mes_Constante!$DC$1</f>
        <v>43089749.968521774</v>
      </c>
      <c r="DM37" s="8">
        <f>+MINVU_Mes_Corriente!DM37*MINVU_Mes_Constante!$DC$1</f>
        <v>41277808.698899306</v>
      </c>
      <c r="DN37" s="8">
        <f>+MINVU_Mes_Corriente!DN37*MINVU_Mes_Constante!$DC$1</f>
        <v>39860613.997119658</v>
      </c>
      <c r="DO37" s="9">
        <f t="shared" si="27"/>
        <v>39860613.997119658</v>
      </c>
      <c r="DP37" s="8">
        <f>+MINVU_Mes_Corriente!DP37*MINVU_Mes_Constante!$DP$1</f>
        <v>43771670.046912119</v>
      </c>
      <c r="DQ37" s="8">
        <f>+MINVU_Mes_Corriente!DQ37*MINVU_Mes_Constante!$DP$1</f>
        <v>46080957.571852736</v>
      </c>
      <c r="DR37" s="8">
        <f>+MINVU_Mes_Corriente!DR37*MINVU_Mes_Constante!$DP$1</f>
        <v>46080957.571852736</v>
      </c>
      <c r="DS37" s="8">
        <f>+MINVU_Mes_Corriente!DS37*MINVU_Mes_Constante!$DP$1</f>
        <v>46345336.71021378</v>
      </c>
      <c r="DT37" s="8">
        <f>+MINVU_Mes_Corriente!DT37*MINVU_Mes_Constante!$DP$1</f>
        <v>46472722.364608079</v>
      </c>
      <c r="DU37" s="8">
        <f>+MINVU_Mes_Corriente!DU37*MINVU_Mes_Constante!$DP$1</f>
        <v>46580857.756532073</v>
      </c>
      <c r="DV37" s="8">
        <f>+MINVU_Mes_Corriente!DV37*MINVU_Mes_Constante!$DP$1</f>
        <v>46580857.756532073</v>
      </c>
      <c r="DW37" s="8">
        <f>+MINVU_Mes_Corriente!DW37*MINVU_Mes_Constante!$DP$1</f>
        <v>48655084.891923994</v>
      </c>
      <c r="DX37" s="8">
        <f>+MINVU_Mes_Corriente!DX37*MINVU_Mes_Constante!$DP$1</f>
        <v>48655084.891923994</v>
      </c>
      <c r="DY37" s="8">
        <f>+MINVU_Mes_Corriente!DY37*MINVU_Mes_Constante!$DP$1</f>
        <v>48655084.891923994</v>
      </c>
      <c r="DZ37" s="8">
        <f>+MINVU_Mes_Corriente!DZ37*MINVU_Mes_Constante!$DP$1</f>
        <v>50530185.028503567</v>
      </c>
      <c r="EA37" s="8">
        <f>+MINVU_Mes_Corriente!EA37*MINVU_Mes_Constante!$DP$1</f>
        <v>49087994.1199525</v>
      </c>
      <c r="EB37" s="9">
        <f t="shared" si="28"/>
        <v>49087994.1199525</v>
      </c>
      <c r="EC37" s="8">
        <f>+MINVU_Mes_Corriente!EC37*MINVU_Mes_Constante!$EC$1</f>
        <v>45787970.537587561</v>
      </c>
      <c r="ED37" s="8">
        <f>+MINVU_Mes_Corriente!ED37*MINVU_Mes_Constante!$EC$1</f>
        <v>45787970.537587561</v>
      </c>
      <c r="EE37" s="8">
        <f>+MINVU_Mes_Corriente!EE37*MINVU_Mes_Constante!$EC$1</f>
        <v>49818761.451240279</v>
      </c>
      <c r="EF37" s="8">
        <f>+MINVU_Mes_Corriente!EF37*MINVU_Mes_Constante!$EC$1</f>
        <v>49818761.451240279</v>
      </c>
      <c r="EG37" s="8">
        <f>+MINVU_Mes_Corriente!EG37*MINVU_Mes_Constante!$EC$1</f>
        <v>49924069.801931433</v>
      </c>
      <c r="EH37" s="8">
        <f>+MINVU_Mes_Corriente!EH37*MINVU_Mes_Constante!$EC$1</f>
        <v>49924069.801931433</v>
      </c>
      <c r="EI37" s="8">
        <f>+MINVU_Mes_Corriente!EI37*MINVU_Mes_Constante!$EC$1</f>
        <v>49924069.801931433</v>
      </c>
      <c r="EJ37" s="8">
        <f>+MINVU_Mes_Corriente!EJ37*MINVU_Mes_Constante!$EC$1</f>
        <v>54788557.342359386</v>
      </c>
      <c r="EK37" s="8">
        <f>+MINVU_Mes_Corriente!EK37*MINVU_Mes_Constante!$EC$1</f>
        <v>56556562.483809866</v>
      </c>
      <c r="EL37" s="8">
        <f>+MINVU_Mes_Corriente!EL37*MINVU_Mes_Constante!$EC$1</f>
        <v>56054781.640787713</v>
      </c>
      <c r="EM37" s="8">
        <f>+MINVU_Mes_Corriente!EM37*MINVU_Mes_Constante!$EC$1</f>
        <v>53811961.007763661</v>
      </c>
      <c r="EN37" s="8">
        <f>+MINVU_Mes_Corriente!EN37*MINVU_Mes_Constante!$EC$1</f>
        <v>39051177.072145417</v>
      </c>
      <c r="EO37" s="9">
        <f t="shared" si="29"/>
        <v>39051177.072145417</v>
      </c>
      <c r="EP37" s="8">
        <f>+MINVU_Mes_Corriente!EP37*MINVU_Mes_Constante!$EP$1</f>
        <v>42009797</v>
      </c>
      <c r="EQ37" s="8">
        <f>+MINVU_Mes_Corriente!EQ37*MINVU_Mes_Constante!$EP$1</f>
        <v>52978932</v>
      </c>
      <c r="ER37" s="8">
        <f>+MINVU_Mes_Corriente!ER37*MINVU_Mes_Constante!$EP$1</f>
        <v>54382452</v>
      </c>
      <c r="ES37" s="8">
        <f>+MINVU_Mes_Corriente!ES37*MINVU_Mes_Constante!$EP$1</f>
        <v>56213503</v>
      </c>
      <c r="ET37" s="8">
        <f>+MINVU_Mes_Corriente!ET37*MINVU_Mes_Constante!$EP$1</f>
        <v>56213503</v>
      </c>
      <c r="EU37" s="8">
        <f>+MINVU_Mes_Corriente!EU37*MINVU_Mes_Constante!$EP$1</f>
        <v>56953012</v>
      </c>
      <c r="EV37" s="8">
        <f>+MINVU_Mes_Corriente!EV37*MINVU_Mes_Constante!$EP$1</f>
        <v>56953012</v>
      </c>
      <c r="EW37" s="8">
        <f>+MINVU_Mes_Corriente!EW37*MINVU_Mes_Constante!$EP$1</f>
        <v>56953012</v>
      </c>
      <c r="EX37" s="8">
        <f>+MINVU_Mes_Corriente!EX37*MINVU_Mes_Constante!$EP$1</f>
        <v>56953012</v>
      </c>
      <c r="EY37" s="8">
        <f>+MINVU_Mes_Corriente!EY37*MINVU_Mes_Constante!$EP$1</f>
        <v>57115499</v>
      </c>
      <c r="EZ37" s="8">
        <f>+MINVU_Mes_Corriente!EZ37*MINVU_Mes_Constante!$EP$1</f>
        <v>57115499</v>
      </c>
      <c r="FA37" s="8">
        <f>+MINVU_Mes_Corriente!FA37*MINVU_Mes_Constante!$EP$1</f>
        <v>58076198</v>
      </c>
      <c r="FB37" s="9">
        <f t="shared" si="30"/>
        <v>58076198</v>
      </c>
      <c r="FC37" s="8">
        <f>+MINVU_Mes_Corriente!FC37*MINVU_Mes_Constante!$FC$1</f>
        <v>55214851</v>
      </c>
      <c r="FD37" s="8">
        <f>+MINVU_Mes_Corriente!FD37*MINVU_Mes_Constante!$FC$1</f>
        <v>55906268</v>
      </c>
      <c r="FE37" s="8">
        <f>+MINVU_Mes_Corriente!FE37*MINVU_Mes_Constante!$FC$1</f>
        <v>56878200</v>
      </c>
      <c r="FF37" s="8">
        <f>+MINVU_Mes_Corriente!FF37*MINVU_Mes_Constante!$FC$1</f>
        <v>56878200</v>
      </c>
      <c r="FG37" s="8">
        <f>+MINVU_Mes_Corriente!FG37*MINVU_Mes_Constante!$FC$1</f>
        <v>59441918</v>
      </c>
      <c r="FH37" s="8">
        <f>+MINVU_Mes_Corriente!FH37*MINVU_Mes_Constante!$FC$1</f>
        <v>59526130</v>
      </c>
      <c r="FI37" s="8">
        <f>+MINVU_Mes_Corriente!FI37*MINVU_Mes_Constante!$FC$1</f>
        <v>59526130</v>
      </c>
      <c r="FJ37" s="8"/>
      <c r="FK37" s="8"/>
      <c r="FL37" s="8"/>
      <c r="FM37" s="8"/>
      <c r="FN37" s="8"/>
      <c r="FO37" s="9">
        <f t="shared" si="31"/>
        <v>59526130</v>
      </c>
    </row>
    <row r="38" spans="2:171" ht="14.25" customHeight="1" x14ac:dyDescent="0.3">
      <c r="B38" s="7" t="s">
        <v>51</v>
      </c>
      <c r="C38" s="8">
        <f>+MINVU_Mes_Corriente!C38*MINVU_Mes_Constante!$C$1</f>
        <v>95486026.215037838</v>
      </c>
      <c r="D38" s="8">
        <f>+MINVU_Mes_Corriente!D38*MINVU_Mes_Constante!$C$1</f>
        <v>95486026.215037838</v>
      </c>
      <c r="E38" s="8">
        <f>+MINVU_Mes_Corriente!E38*MINVU_Mes_Constante!$C$1</f>
        <v>99326345.888773561</v>
      </c>
      <c r="F38" s="8">
        <f>+MINVU_Mes_Corriente!F38*MINVU_Mes_Constante!$C$1</f>
        <v>99326345.888773561</v>
      </c>
      <c r="G38" s="8">
        <f>+MINVU_Mes_Corriente!G38*MINVU_Mes_Constante!$C$1</f>
        <v>98898574.2737654</v>
      </c>
      <c r="H38" s="8">
        <f>+MINVU_Mes_Corriente!H38*MINVU_Mes_Constante!$C$1</f>
        <v>111537281.08082458</v>
      </c>
      <c r="I38" s="8">
        <f>+MINVU_Mes_Corriente!I38*MINVU_Mes_Constante!$C$1</f>
        <v>111537281.08082458</v>
      </c>
      <c r="J38" s="8">
        <f>+MINVU_Mes_Corriente!J38*MINVU_Mes_Constante!$C$1</f>
        <v>111537281.08082458</v>
      </c>
      <c r="K38" s="8">
        <f>+MINVU_Mes_Corriente!K38*MINVU_Mes_Constante!$C$1</f>
        <v>108556905.49962926</v>
      </c>
      <c r="L38" s="8">
        <f>+MINVU_Mes_Corriente!L38*MINVU_Mes_Constante!$C$1</f>
        <v>108556905.49962926</v>
      </c>
      <c r="M38" s="8">
        <f>+MINVU_Mes_Corriente!M38*MINVU_Mes_Constante!$C$1</f>
        <v>104688756.36571261</v>
      </c>
      <c r="N38" s="8">
        <f>+MINVU_Mes_Corriente!N38*MINVU_Mes_Constante!$C$1</f>
        <v>94967189.476790756</v>
      </c>
      <c r="O38" s="9">
        <f t="shared" si="19"/>
        <v>94967189.476790756</v>
      </c>
      <c r="P38" s="8">
        <f>+MINVU_Mes_Corriente!P38*MINVU_Mes_Constante!$P$1</f>
        <v>99246327.984941006</v>
      </c>
      <c r="Q38" s="8">
        <f>+MINVU_Mes_Corriente!Q38*MINVU_Mes_Constante!$P$1</f>
        <v>102973768.81858215</v>
      </c>
      <c r="R38" s="8">
        <f>+MINVU_Mes_Corriente!R38*MINVU_Mes_Constante!$P$1</f>
        <v>102973768.81858215</v>
      </c>
      <c r="S38" s="8">
        <f>+MINVU_Mes_Corriente!S38*MINVU_Mes_Constante!$P$1</f>
        <v>102973768.81858215</v>
      </c>
      <c r="T38" s="8">
        <f>+MINVU_Mes_Corriente!T38*MINVU_Mes_Constante!$P$1</f>
        <v>107179234.18184397</v>
      </c>
      <c r="U38" s="8">
        <f>+MINVU_Mes_Corriente!U38*MINVU_Mes_Constante!$P$1</f>
        <v>107245004.38670261</v>
      </c>
      <c r="V38" s="8">
        <f>+MINVU_Mes_Corriente!V38*MINVU_Mes_Constante!$P$1</f>
        <v>107245004.38670261</v>
      </c>
      <c r="W38" s="8">
        <f>+MINVU_Mes_Corriente!W38*MINVU_Mes_Constante!$P$1</f>
        <v>107257810.11194769</v>
      </c>
      <c r="X38" s="8">
        <f>+MINVU_Mes_Corriente!X38*MINVU_Mes_Constante!$P$1</f>
        <v>107684667.62011646</v>
      </c>
      <c r="Y38" s="8">
        <f>+MINVU_Mes_Corriente!Y38*MINVU_Mes_Constante!$P$1</f>
        <v>116555865.60392097</v>
      </c>
      <c r="Z38" s="8">
        <f>+MINVU_Mes_Corriente!Z38*MINVU_Mes_Constante!$P$1</f>
        <v>121621732.90041195</v>
      </c>
      <c r="AA38" s="8">
        <f>+MINVU_Mes_Corriente!AA38*MINVU_Mes_Constante!$P$1</f>
        <v>122238520.26878813</v>
      </c>
      <c r="AB38" s="9">
        <f t="shared" si="20"/>
        <v>122238520.26878813</v>
      </c>
      <c r="AC38" s="8">
        <f>+MINVU_Mes_Corriente!AC38*MINVU_Mes_Constante!$AC$1</f>
        <v>91595964.970258683</v>
      </c>
      <c r="AD38" s="8">
        <f>+MINVU_Mes_Corriente!AD38*MINVU_Mes_Constante!$AC$1</f>
        <v>95450940.102088809</v>
      </c>
      <c r="AE38" s="8">
        <f>+MINVU_Mes_Corriente!AE38*MINVU_Mes_Constante!$AC$1</f>
        <v>95450940.102088809</v>
      </c>
      <c r="AF38" s="8">
        <f>+MINVU_Mes_Corriente!AF38*MINVU_Mes_Constante!$AC$1</f>
        <v>95450940.102088809</v>
      </c>
      <c r="AG38" s="8">
        <f>+MINVU_Mes_Corriente!AG38*MINVU_Mes_Constante!$AC$1</f>
        <v>97194724.563286766</v>
      </c>
      <c r="AH38" s="8">
        <f>+MINVU_Mes_Corriente!AH38*MINVU_Mes_Constante!$AC$1</f>
        <v>97194724.563286766</v>
      </c>
      <c r="AI38" s="8">
        <f>+MINVU_Mes_Corriente!AI38*MINVU_Mes_Constante!$AC$1</f>
        <v>97000884.415825143</v>
      </c>
      <c r="AJ38" s="8">
        <f>+MINVU_Mes_Corriente!AJ38*MINVU_Mes_Constante!$AC$1</f>
        <v>96822537.756536171</v>
      </c>
      <c r="AK38" s="8">
        <f>+MINVU_Mes_Corriente!AK38*MINVU_Mes_Constante!$AC$1</f>
        <v>96822537.756536171</v>
      </c>
      <c r="AL38" s="8">
        <f>+MINVU_Mes_Corriente!AL38*MINVU_Mes_Constante!$AC$1</f>
        <v>96391785.231982291</v>
      </c>
      <c r="AM38" s="8">
        <f>+MINVU_Mes_Corriente!AM38*MINVU_Mes_Constante!$AC$1</f>
        <v>96352295.049661085</v>
      </c>
      <c r="AN38" s="8">
        <f>+MINVU_Mes_Corriente!AN38*MINVU_Mes_Constante!$AC$1</f>
        <v>94692465.011204869</v>
      </c>
      <c r="AO38" s="9">
        <f t="shared" si="21"/>
        <v>94692465.011204869</v>
      </c>
      <c r="AP38" s="8">
        <f>+MINVU_Mes_Corriente!AP38*MINVU_Mes_Constante!$AP$1</f>
        <v>83671073.016366825</v>
      </c>
      <c r="AQ38" s="8">
        <f>+MINVU_Mes_Corriente!AQ38*MINVU_Mes_Constante!$AP$1</f>
        <v>92198057.122683614</v>
      </c>
      <c r="AR38" s="8">
        <f>+MINVU_Mes_Corriente!AR38*MINVU_Mes_Constante!$AP$1</f>
        <v>92198057.122683614</v>
      </c>
      <c r="AS38" s="8">
        <f>+MINVU_Mes_Corriente!AS38*MINVU_Mes_Constante!$AP$1</f>
        <v>92198057.122683614</v>
      </c>
      <c r="AT38" s="8">
        <f>+MINVU_Mes_Corriente!AT38*MINVU_Mes_Constante!$AP$1</f>
        <v>99665096.564588115</v>
      </c>
      <c r="AU38" s="8">
        <f>+MINVU_Mes_Corriente!AU38*MINVU_Mes_Constante!$AP$1</f>
        <v>101345652.21669146</v>
      </c>
      <c r="AV38" s="8">
        <f>+MINVU_Mes_Corriente!AV38*MINVU_Mes_Constante!$AP$1</f>
        <v>101345652.21669146</v>
      </c>
      <c r="AW38" s="8">
        <f>+MINVU_Mes_Corriente!AW38*MINVU_Mes_Constante!$AP$1</f>
        <v>101378091.78114432</v>
      </c>
      <c r="AX38" s="8">
        <f>+MINVU_Mes_Corriente!AX38*MINVU_Mes_Constante!$AP$1</f>
        <v>102040912.62762071</v>
      </c>
      <c r="AY38" s="8">
        <f>+MINVU_Mes_Corriente!AY38*MINVU_Mes_Constante!$AP$1</f>
        <v>101567178.23373461</v>
      </c>
      <c r="AZ38" s="8">
        <f>+MINVU_Mes_Corriente!AZ38*MINVU_Mes_Constante!$AP$1</f>
        <v>101027242.00432841</v>
      </c>
      <c r="BA38" s="8">
        <f>+MINVU_Mes_Corriente!BA38*MINVU_Mes_Constante!$AP$1</f>
        <v>98489770.502637625</v>
      </c>
      <c r="BB38" s="9">
        <f t="shared" si="22"/>
        <v>98489770.502637625</v>
      </c>
      <c r="BC38" s="8">
        <f>+MINVU_Mes_Corriente!BC38*MINVU_Mes_Constante!$BC$1</f>
        <v>65405641.065013863</v>
      </c>
      <c r="BD38" s="8">
        <f>+MINVU_Mes_Corriente!BD38*MINVU_Mes_Constante!$BC$1</f>
        <v>70599921.692733765</v>
      </c>
      <c r="BE38" s="8">
        <f>+MINVU_Mes_Corriente!BE38*MINVU_Mes_Constante!$BC$1</f>
        <v>70599921.692733765</v>
      </c>
      <c r="BF38" s="8">
        <f>+MINVU_Mes_Corriente!BF38*MINVU_Mes_Constante!$BC$1</f>
        <v>73839423.778979316</v>
      </c>
      <c r="BG38" s="8">
        <f>+MINVU_Mes_Corriente!BG38*MINVU_Mes_Constante!$BC$1</f>
        <v>73839423.778979316</v>
      </c>
      <c r="BH38" s="8">
        <f>+MINVU_Mes_Corriente!BH38*MINVU_Mes_Constante!$BC$1</f>
        <v>80527203.452195719</v>
      </c>
      <c r="BI38" s="8">
        <f>+MINVU_Mes_Corriente!BI38*MINVU_Mes_Constante!$BC$1</f>
        <v>80859880.916787565</v>
      </c>
      <c r="BJ38" s="8">
        <f>+MINVU_Mes_Corriente!BJ38*MINVU_Mes_Constante!$BC$1</f>
        <v>81102654.821310848</v>
      </c>
      <c r="BK38" s="8">
        <f>+MINVU_Mes_Corriente!BK38*MINVU_Mes_Constante!$BC$1</f>
        <v>81521570.31201373</v>
      </c>
      <c r="BL38" s="8">
        <f>+MINVU_Mes_Corriente!BL38*MINVU_Mes_Constante!$BC$1</f>
        <v>86960742.900435209</v>
      </c>
      <c r="BM38" s="8">
        <f>+MINVU_Mes_Corriente!BM38*MINVU_Mes_Constante!$BC$1</f>
        <v>86800790.755901381</v>
      </c>
      <c r="BN38" s="8">
        <f>+MINVU_Mes_Corriente!BN38*MINVU_Mes_Constante!$BC$1</f>
        <v>83870778.46208626</v>
      </c>
      <c r="BO38" s="9">
        <f t="shared" si="23"/>
        <v>83870778.46208626</v>
      </c>
      <c r="BP38" s="8">
        <f>+MINVU_Mes_Corriente!BP38*MINVU_Mes_Constante!$BP$1</f>
        <v>70343332.522663265</v>
      </c>
      <c r="BQ38" s="8">
        <f>+MINVU_Mes_Corriente!BQ38*MINVU_Mes_Constante!$BP$1</f>
        <v>70343332.522663265</v>
      </c>
      <c r="BR38" s="8">
        <f>+MINVU_Mes_Corriente!BR38*MINVU_Mes_Constante!$BP$1</f>
        <v>74159240.121126771</v>
      </c>
      <c r="BS38" s="8">
        <f>+MINVU_Mes_Corriente!BS38*MINVU_Mes_Constante!$BP$1</f>
        <v>74159240.121126771</v>
      </c>
      <c r="BT38" s="8">
        <f>+MINVU_Mes_Corriente!BT38*MINVU_Mes_Constante!$BP$1</f>
        <v>74159240.121126771</v>
      </c>
      <c r="BU38" s="8">
        <f>+MINVU_Mes_Corriente!BU38*MINVU_Mes_Constante!$BP$1</f>
        <v>81108870.013060182</v>
      </c>
      <c r="BV38" s="8">
        <f>+MINVU_Mes_Corriente!BV38*MINVU_Mes_Constante!$BP$1</f>
        <v>81617201.813316271</v>
      </c>
      <c r="BW38" s="8">
        <f>+MINVU_Mes_Corriente!BW38*MINVU_Mes_Constante!$BP$1</f>
        <v>81684204.354161337</v>
      </c>
      <c r="BX38" s="8">
        <f>+MINVU_Mes_Corriente!BX38*MINVU_Mes_Constante!$BP$1</f>
        <v>81781573.060947508</v>
      </c>
      <c r="BY38" s="8">
        <f>+MINVU_Mes_Corriente!BY38*MINVU_Mes_Constante!$BP$1</f>
        <v>81781573.060947508</v>
      </c>
      <c r="BZ38" s="8">
        <f>+MINVU_Mes_Corriente!BZ38*MINVU_Mes_Constante!$BP$1</f>
        <v>81258244.241485283</v>
      </c>
      <c r="CA38" s="8">
        <f>+MINVU_Mes_Corriente!CA38*MINVU_Mes_Constante!$BP$1</f>
        <v>72304654.445838675</v>
      </c>
      <c r="CB38" s="9">
        <f t="shared" si="24"/>
        <v>72304654.445838675</v>
      </c>
      <c r="CC38" s="8">
        <f>+MINVU_Mes_Corriente!CC38*MINVU_Mes_Constante!$CC$1</f>
        <v>93645060.165609851</v>
      </c>
      <c r="CD38" s="8">
        <f>+MINVU_Mes_Corriente!CD38*MINVU_Mes_Constante!$CC$1</f>
        <v>93645060.165609851</v>
      </c>
      <c r="CE38" s="8">
        <f>+MINVU_Mes_Corriente!CE38*MINVU_Mes_Constante!$CC$1</f>
        <v>93645060.165609851</v>
      </c>
      <c r="CF38" s="8">
        <f>+MINVU_Mes_Corriente!CF38*MINVU_Mes_Constante!$CC$1</f>
        <v>102726116.15516599</v>
      </c>
      <c r="CG38" s="8">
        <f>+MINVU_Mes_Corriente!CG38*MINVU_Mes_Constante!$CC$1</f>
        <v>102726116.15516599</v>
      </c>
      <c r="CH38" s="8">
        <f>+MINVU_Mes_Corriente!CH38*MINVU_Mes_Constante!$CC$1</f>
        <v>103030222.47594182</v>
      </c>
      <c r="CI38" s="8">
        <f>+MINVU_Mes_Corriente!CI38*MINVU_Mes_Constante!$CC$1</f>
        <v>109598274.01342784</v>
      </c>
      <c r="CJ38" s="8">
        <f>+MINVU_Mes_Corriente!CJ38*MINVU_Mes_Constante!$CC$1</f>
        <v>109598274.01342784</v>
      </c>
      <c r="CK38" s="8">
        <f>+MINVU_Mes_Corriente!CK38*MINVU_Mes_Constante!$CC$1</f>
        <v>109728569.58597539</v>
      </c>
      <c r="CL38" s="8">
        <f>+MINVU_Mes_Corriente!CL38*MINVU_Mes_Constante!$CC$1</f>
        <v>107359121.87914959</v>
      </c>
      <c r="CM38" s="8">
        <f>+MINVU_Mes_Corriente!CM38*MINVU_Mes_Constante!$CC$1</f>
        <v>104853427.23759793</v>
      </c>
      <c r="CN38" s="8">
        <f>+MINVU_Mes_Corriente!CN38*MINVU_Mes_Constante!$CC$1</f>
        <v>87611539.03170459</v>
      </c>
      <c r="CO38" s="9">
        <f t="shared" si="25"/>
        <v>87611539.03170459</v>
      </c>
      <c r="CP38" s="8">
        <f>+MINVU_Mes_Corriente!CP38*MINVU_Mes_Constante!$CP$1</f>
        <v>153941859.25475636</v>
      </c>
      <c r="CQ38" s="8">
        <f>+MINVU_Mes_Corriente!CQ38*MINVU_Mes_Constante!$CP$1</f>
        <v>164425277.66867745</v>
      </c>
      <c r="CR38" s="8">
        <f>+MINVU_Mes_Corriente!CR38*MINVU_Mes_Constante!$CP$1</f>
        <v>160603864.80556843</v>
      </c>
      <c r="CS38" s="8">
        <f>+MINVU_Mes_Corriente!CS38*MINVU_Mes_Constante!$CP$1</f>
        <v>160896992.14733174</v>
      </c>
      <c r="CT38" s="8">
        <f>+MINVU_Mes_Corriente!CT38*MINVU_Mes_Constante!$CP$1</f>
        <v>167722702.64060321</v>
      </c>
      <c r="CU38" s="8">
        <f>+MINVU_Mes_Corriente!CU38*MINVU_Mes_Constante!$CP$1</f>
        <v>162735480.50742456</v>
      </c>
      <c r="CV38" s="8">
        <f>+MINVU_Mes_Corriente!CV38*MINVU_Mes_Constante!$CP$1</f>
        <v>159053701.16380507</v>
      </c>
      <c r="CW38" s="8">
        <f>+MINVU_Mes_Corriente!CW38*MINVU_Mes_Constante!$CP$1</f>
        <v>158634515.41392109</v>
      </c>
      <c r="CX38" s="8">
        <f>+MINVU_Mes_Corriente!CX38*MINVU_Mes_Constante!$CP$1</f>
        <v>156569009.61716935</v>
      </c>
      <c r="CY38" s="8">
        <f>+MINVU_Mes_Corriente!CY38*MINVU_Mes_Constante!$CP$1</f>
        <v>155542163.34988397</v>
      </c>
      <c r="CZ38" s="8">
        <f>+MINVU_Mes_Corriente!CZ38*MINVU_Mes_Constante!$CP$1</f>
        <v>139385732.512761</v>
      </c>
      <c r="DA38" s="8">
        <f>+MINVU_Mes_Corriente!DA38*MINVU_Mes_Constante!$CP$1</f>
        <v>120629262.24292341</v>
      </c>
      <c r="DB38" s="9">
        <f t="shared" si="26"/>
        <v>120629262.24292341</v>
      </c>
      <c r="DC38" s="8">
        <f>+MINVU_Mes_Corriente!DC38*MINVU_Mes_Constante!$DC$1</f>
        <v>112506522.48451811</v>
      </c>
      <c r="DD38" s="8">
        <f>+MINVU_Mes_Corriente!DD38*MINVU_Mes_Constante!$DC$1</f>
        <v>136339983.66196901</v>
      </c>
      <c r="DE38" s="8">
        <f>+MINVU_Mes_Corriente!DE38*MINVU_Mes_Constante!$DC$1</f>
        <v>136339983.66196901</v>
      </c>
      <c r="DF38" s="8">
        <f>+MINVU_Mes_Corriente!DF38*MINVU_Mes_Constante!$DC$1</f>
        <v>135516328.93344313</v>
      </c>
      <c r="DG38" s="8">
        <f>+MINVU_Mes_Corriente!DG38*MINVU_Mes_Constante!$DC$1</f>
        <v>135500723.89445537</v>
      </c>
      <c r="DH38" s="8">
        <f>+MINVU_Mes_Corriente!DH38*MINVU_Mes_Constante!$DC$1</f>
        <v>134611703.11490592</v>
      </c>
      <c r="DI38" s="8">
        <f>+MINVU_Mes_Corriente!DI38*MINVU_Mes_Constante!$DC$1</f>
        <v>135373041.09165731</v>
      </c>
      <c r="DJ38" s="8">
        <f>+MINVU_Mes_Corriente!DJ38*MINVU_Mes_Constante!$DC$1</f>
        <v>133065569.02479175</v>
      </c>
      <c r="DK38" s="8">
        <f>+MINVU_Mes_Corriente!DK38*MINVU_Mes_Constante!$DC$1</f>
        <v>133065569.02479175</v>
      </c>
      <c r="DL38" s="8">
        <f>+MINVU_Mes_Corriente!DL38*MINVU_Mes_Constante!$DC$1</f>
        <v>129342770.27507465</v>
      </c>
      <c r="DM38" s="8">
        <f>+MINVU_Mes_Corriente!DM38*MINVU_Mes_Constante!$DC$1</f>
        <v>113707357.43442038</v>
      </c>
      <c r="DN38" s="8">
        <f>+MINVU_Mes_Corriente!DN38*MINVU_Mes_Constante!$DC$1</f>
        <v>106237582.46497279</v>
      </c>
      <c r="DO38" s="9">
        <f t="shared" si="27"/>
        <v>106237582.46497279</v>
      </c>
      <c r="DP38" s="8">
        <f>+MINVU_Mes_Corriente!DP38*MINVU_Mes_Constante!$DP$1</f>
        <v>114070426.69952495</v>
      </c>
      <c r="DQ38" s="8">
        <f>+MINVU_Mes_Corriente!DQ38*MINVU_Mes_Constante!$DP$1</f>
        <v>117471800.58135393</v>
      </c>
      <c r="DR38" s="8">
        <f>+MINVU_Mes_Corriente!DR38*MINVU_Mes_Constante!$DP$1</f>
        <v>117471800.58135393</v>
      </c>
      <c r="DS38" s="8">
        <f>+MINVU_Mes_Corriente!DS38*MINVU_Mes_Constante!$DP$1</f>
        <v>117471800.58135393</v>
      </c>
      <c r="DT38" s="8">
        <f>+MINVU_Mes_Corriente!DT38*MINVU_Mes_Constante!$DP$1</f>
        <v>117471800.58135393</v>
      </c>
      <c r="DU38" s="8">
        <f>+MINVU_Mes_Corriente!DU38*MINVU_Mes_Constante!$DP$1</f>
        <v>117624271.48396675</v>
      </c>
      <c r="DV38" s="8">
        <f>+MINVU_Mes_Corriente!DV38*MINVU_Mes_Constante!$DP$1</f>
        <v>117756358.86520191</v>
      </c>
      <c r="DW38" s="8">
        <f>+MINVU_Mes_Corriente!DW38*MINVU_Mes_Constante!$DP$1</f>
        <v>117756358.86520191</v>
      </c>
      <c r="DX38" s="8">
        <f>+MINVU_Mes_Corriente!DX38*MINVU_Mes_Constante!$DP$1</f>
        <v>117756358.86520191</v>
      </c>
      <c r="DY38" s="8">
        <f>+MINVU_Mes_Corriente!DY38*MINVU_Mes_Constante!$DP$1</f>
        <v>117756358.86520191</v>
      </c>
      <c r="DZ38" s="8">
        <f>+MINVU_Mes_Corriente!DZ38*MINVU_Mes_Constante!$DP$1</f>
        <v>99891802.781472698</v>
      </c>
      <c r="EA38" s="8">
        <f>+MINVU_Mes_Corriente!EA38*MINVU_Mes_Constante!$DP$1</f>
        <v>79313175.96021378</v>
      </c>
      <c r="EB38" s="9">
        <f t="shared" si="28"/>
        <v>79313175.96021378</v>
      </c>
      <c r="EC38" s="8">
        <f>+MINVU_Mes_Corriente!EC38*MINVU_Mes_Constante!$EC$1</f>
        <v>90260610.810073823</v>
      </c>
      <c r="ED38" s="8">
        <f>+MINVU_Mes_Corriente!ED38*MINVU_Mes_Constante!$EC$1</f>
        <v>90260610.810073823</v>
      </c>
      <c r="EE38" s="8">
        <f>+MINVU_Mes_Corriente!EE38*MINVU_Mes_Constante!$EC$1</f>
        <v>97164165.945275486</v>
      </c>
      <c r="EF38" s="8">
        <f>+MINVU_Mes_Corriente!EF38*MINVU_Mes_Constante!$EC$1</f>
        <v>97164165.945275486</v>
      </c>
      <c r="EG38" s="8">
        <f>+MINVU_Mes_Corriente!EG38*MINVU_Mes_Constante!$EC$1</f>
        <v>97268409.833364859</v>
      </c>
      <c r="EH38" s="8">
        <f>+MINVU_Mes_Corriente!EH38*MINVU_Mes_Constante!$EC$1</f>
        <v>97292693.856277183</v>
      </c>
      <c r="EI38" s="8">
        <f>+MINVU_Mes_Corriente!EI38*MINVU_Mes_Constante!$EC$1</f>
        <v>99512170.793410301</v>
      </c>
      <c r="EJ38" s="8">
        <f>+MINVU_Mes_Corriente!EJ38*MINVU_Mes_Constante!$EC$1</f>
        <v>105034419.6714637</v>
      </c>
      <c r="EK38" s="8">
        <f>+MINVU_Mes_Corriente!EK38*MINVU_Mes_Constante!$EC$1</f>
        <v>105082933.92520353</v>
      </c>
      <c r="EL38" s="8">
        <f>+MINVU_Mes_Corriente!EL38*MINVU_Mes_Constante!$EC$1</f>
        <v>105062676.03294827</v>
      </c>
      <c r="EM38" s="8">
        <f>+MINVU_Mes_Corriente!EM38*MINVU_Mes_Constante!$EC$1</f>
        <v>103893706.78943379</v>
      </c>
      <c r="EN38" s="8">
        <f>+MINVU_Mes_Corriente!EN38*MINVU_Mes_Constante!$EC$1</f>
        <v>89054275.722401038</v>
      </c>
      <c r="EO38" s="9">
        <f t="shared" si="29"/>
        <v>89054275.722401038</v>
      </c>
      <c r="EP38" s="8">
        <f>+MINVU_Mes_Corriente!EP38*MINVU_Mes_Constante!$EP$1</f>
        <v>74587862</v>
      </c>
      <c r="EQ38" s="8">
        <f>+MINVU_Mes_Corriente!EQ38*MINVU_Mes_Constante!$EP$1</f>
        <v>76570114</v>
      </c>
      <c r="ER38" s="8">
        <f>+MINVU_Mes_Corriente!ER38*MINVU_Mes_Constante!$EP$1</f>
        <v>76595114</v>
      </c>
      <c r="ES38" s="8">
        <f>+MINVU_Mes_Corriente!ES38*MINVU_Mes_Constante!$EP$1</f>
        <v>76595114</v>
      </c>
      <c r="ET38" s="8">
        <f>+MINVU_Mes_Corriente!ET38*MINVU_Mes_Constante!$EP$1</f>
        <v>76595114</v>
      </c>
      <c r="EU38" s="8">
        <f>+MINVU_Mes_Corriente!EU38*MINVU_Mes_Constante!$EP$1</f>
        <v>80153860</v>
      </c>
      <c r="EV38" s="8">
        <f>+MINVU_Mes_Corriente!EV38*MINVU_Mes_Constante!$EP$1</f>
        <v>80153860</v>
      </c>
      <c r="EW38" s="8">
        <f>+MINVU_Mes_Corriente!EW38*MINVU_Mes_Constante!$EP$1</f>
        <v>80153860</v>
      </c>
      <c r="EX38" s="8">
        <f>+MINVU_Mes_Corriente!EX38*MINVU_Mes_Constante!$EP$1</f>
        <v>80153860</v>
      </c>
      <c r="EY38" s="8">
        <f>+MINVU_Mes_Corriente!EY38*MINVU_Mes_Constante!$EP$1</f>
        <v>80236491</v>
      </c>
      <c r="EZ38" s="8">
        <f>+MINVU_Mes_Corriente!EZ38*MINVU_Mes_Constante!$EP$1</f>
        <v>80236491</v>
      </c>
      <c r="FA38" s="8">
        <f>+MINVU_Mes_Corriente!FA38*MINVU_Mes_Constante!$EP$1</f>
        <v>81413921</v>
      </c>
      <c r="FB38" s="9">
        <f t="shared" si="30"/>
        <v>81413921</v>
      </c>
      <c r="FC38" s="8">
        <f>+MINVU_Mes_Corriente!FC38*MINVU_Mes_Constante!$FC$1</f>
        <v>90590002</v>
      </c>
      <c r="FD38" s="8">
        <f>+MINVU_Mes_Corriente!FD38*MINVU_Mes_Constante!$FC$1</f>
        <v>90590002</v>
      </c>
      <c r="FE38" s="8">
        <f>+MINVU_Mes_Corriente!FE38*MINVU_Mes_Constante!$FC$1</f>
        <v>90590002</v>
      </c>
      <c r="FF38" s="8">
        <f>+MINVU_Mes_Corriente!FF38*MINVU_Mes_Constante!$FC$1</f>
        <v>90590002</v>
      </c>
      <c r="FG38" s="8">
        <f>+MINVU_Mes_Corriente!FG38*MINVU_Mes_Constante!$FC$1</f>
        <v>92970431</v>
      </c>
      <c r="FH38" s="8">
        <f>+MINVU_Mes_Corriente!FH38*MINVU_Mes_Constante!$FC$1</f>
        <v>92970431</v>
      </c>
      <c r="FI38" s="8">
        <f>+MINVU_Mes_Corriente!FI38*MINVU_Mes_Constante!$FC$1</f>
        <v>93624803</v>
      </c>
      <c r="FJ38" s="8"/>
      <c r="FK38" s="8"/>
      <c r="FL38" s="8"/>
      <c r="FM38" s="8"/>
      <c r="FN38" s="8"/>
      <c r="FO38" s="9">
        <f t="shared" si="31"/>
        <v>93624803</v>
      </c>
    </row>
    <row r="39" spans="2:171" ht="14.25" customHeight="1" x14ac:dyDescent="0.3">
      <c r="B39" s="7" t="s">
        <v>52</v>
      </c>
      <c r="C39" s="8">
        <f>+MINVU_Mes_Corriente!C39*MINVU_Mes_Constante!$C$1</f>
        <v>42578725.702209704</v>
      </c>
      <c r="D39" s="8">
        <f>+MINVU_Mes_Corriente!D39*MINVU_Mes_Constante!$C$1</f>
        <v>42578725.702209704</v>
      </c>
      <c r="E39" s="8">
        <f>+MINVU_Mes_Corriente!E39*MINVU_Mes_Constante!$C$1</f>
        <v>43341547.814325973</v>
      </c>
      <c r="F39" s="8">
        <f>+MINVU_Mes_Corriente!F39*MINVU_Mes_Constante!$C$1</f>
        <v>43341547.814325973</v>
      </c>
      <c r="G39" s="8">
        <f>+MINVU_Mes_Corriente!G39*MINVU_Mes_Constante!$C$1</f>
        <v>43341547.814325973</v>
      </c>
      <c r="H39" s="8">
        <f>+MINVU_Mes_Corriente!H39*MINVU_Mes_Constante!$C$1</f>
        <v>43341547.814325973</v>
      </c>
      <c r="I39" s="8">
        <f>+MINVU_Mes_Corriente!I39*MINVU_Mes_Constante!$C$1</f>
        <v>43341547.814325973</v>
      </c>
      <c r="J39" s="8">
        <f>+MINVU_Mes_Corriente!J39*MINVU_Mes_Constante!$C$1</f>
        <v>43306590.447575271</v>
      </c>
      <c r="K39" s="8">
        <f>+MINVU_Mes_Corriente!K39*MINVU_Mes_Constante!$C$1</f>
        <v>42603165.396411099</v>
      </c>
      <c r="L39" s="8">
        <f>+MINVU_Mes_Corriente!L39*MINVU_Mes_Constante!$C$1</f>
        <v>42663215.457214899</v>
      </c>
      <c r="M39" s="8">
        <f>+MINVU_Mes_Corriente!M39*MINVU_Mes_Constante!$C$1</f>
        <v>43747394.513717934</v>
      </c>
      <c r="N39" s="8">
        <f>+MINVU_Mes_Corriente!N39*MINVU_Mes_Constante!$C$1</f>
        <v>38954644.579860605</v>
      </c>
      <c r="O39" s="9">
        <f t="shared" si="19"/>
        <v>38954644.579860605</v>
      </c>
      <c r="P39" s="8">
        <f>+MINVU_Mes_Corriente!P39*MINVU_Mes_Constante!$P$1</f>
        <v>29281195.710754357</v>
      </c>
      <c r="Q39" s="8">
        <f>+MINVU_Mes_Corriente!Q39*MINVU_Mes_Constante!$P$1</f>
        <v>30017389.870152</v>
      </c>
      <c r="R39" s="8">
        <f>+MINVU_Mes_Corriente!R39*MINVU_Mes_Constante!$P$1</f>
        <v>30017389.870152</v>
      </c>
      <c r="S39" s="8">
        <f>+MINVU_Mes_Corriente!S39*MINVU_Mes_Constante!$P$1</f>
        <v>30017389.870152</v>
      </c>
      <c r="T39" s="8">
        <f>+MINVU_Mes_Corriente!T39*MINVU_Mes_Constante!$P$1</f>
        <v>30017389.870152</v>
      </c>
      <c r="U39" s="8">
        <f>+MINVU_Mes_Corriente!U39*MINVU_Mes_Constante!$P$1</f>
        <v>30305672.356868863</v>
      </c>
      <c r="V39" s="8">
        <f>+MINVU_Mes_Corriente!V39*MINVU_Mes_Constante!$P$1</f>
        <v>30305672.356868863</v>
      </c>
      <c r="W39" s="8">
        <f>+MINVU_Mes_Corriente!W39*MINVU_Mes_Constante!$P$1</f>
        <v>30794374.533030249</v>
      </c>
      <c r="X39" s="8">
        <f>+MINVU_Mes_Corriente!X39*MINVU_Mes_Constante!$P$1</f>
        <v>30803687.787753932</v>
      </c>
      <c r="Y39" s="8">
        <f>+MINVU_Mes_Corriente!Y39*MINVU_Mes_Constante!$P$1</f>
        <v>30435062.956954103</v>
      </c>
      <c r="Z39" s="8">
        <f>+MINVU_Mes_Corriente!Z39*MINVU_Mes_Constante!$P$1</f>
        <v>30435062.956954103</v>
      </c>
      <c r="AA39" s="8">
        <f>+MINVU_Mes_Corriente!AA39*MINVU_Mes_Constante!$P$1</f>
        <v>27767293.55902826</v>
      </c>
      <c r="AB39" s="9">
        <f t="shared" si="20"/>
        <v>27767293.55902826</v>
      </c>
      <c r="AC39" s="8">
        <f>+MINVU_Mes_Corriente!AC39*MINVU_Mes_Constante!$AC$1</f>
        <v>24813633.69262692</v>
      </c>
      <c r="AD39" s="8">
        <f>+MINVU_Mes_Corriente!AD39*MINVU_Mes_Constante!$AC$1</f>
        <v>25689693.6428275</v>
      </c>
      <c r="AE39" s="8">
        <f>+MINVU_Mes_Corriente!AE39*MINVU_Mes_Constante!$AC$1</f>
        <v>25689693.6428275</v>
      </c>
      <c r="AF39" s="8">
        <f>+MINVU_Mes_Corriente!AF39*MINVU_Mes_Constante!$AC$1</f>
        <v>25689693.6428275</v>
      </c>
      <c r="AG39" s="8">
        <f>+MINVU_Mes_Corriente!AG39*MINVU_Mes_Constante!$AC$1</f>
        <v>25750150.137501728</v>
      </c>
      <c r="AH39" s="8">
        <f>+MINVU_Mes_Corriente!AH39*MINVU_Mes_Constante!$AC$1</f>
        <v>25750150.137501728</v>
      </c>
      <c r="AI39" s="8">
        <f>+MINVU_Mes_Corriente!AI39*MINVU_Mes_Constante!$AC$1</f>
        <v>24225494.77548762</v>
      </c>
      <c r="AJ39" s="8">
        <f>+MINVU_Mes_Corriente!AJ39*MINVU_Mes_Constante!$AC$1</f>
        <v>24225494.77548762</v>
      </c>
      <c r="AK39" s="8">
        <f>+MINVU_Mes_Corriente!AK39*MINVU_Mes_Constante!$AC$1</f>
        <v>24225494.77548762</v>
      </c>
      <c r="AL39" s="8">
        <f>+MINVU_Mes_Corriente!AL39*MINVU_Mes_Constante!$AC$1</f>
        <v>24448287.538248722</v>
      </c>
      <c r="AM39" s="8">
        <f>+MINVU_Mes_Corriente!AM39*MINVU_Mes_Constante!$AC$1</f>
        <v>24240589.250795405</v>
      </c>
      <c r="AN39" s="8">
        <f>+MINVU_Mes_Corriente!AN39*MINVU_Mes_Constante!$AC$1</f>
        <v>21125592.545303639</v>
      </c>
      <c r="AO39" s="9">
        <f t="shared" si="21"/>
        <v>21125592.545303639</v>
      </c>
      <c r="AP39" s="8">
        <f>+MINVU_Mes_Corriente!AP39*MINVU_Mes_Constante!$AP$1</f>
        <v>11560574.040308399</v>
      </c>
      <c r="AQ39" s="8">
        <f>+MINVU_Mes_Corriente!AQ39*MINVU_Mes_Constante!$AP$1</f>
        <v>15365947.76599486</v>
      </c>
      <c r="AR39" s="8">
        <f>+MINVU_Mes_Corriente!AR39*MINVU_Mes_Constante!$AP$1</f>
        <v>16305619.235222507</v>
      </c>
      <c r="AS39" s="8">
        <f>+MINVU_Mes_Corriente!AS39*MINVU_Mes_Constante!$AP$1</f>
        <v>16794624.609495468</v>
      </c>
      <c r="AT39" s="8">
        <f>+MINVU_Mes_Corriente!AT39*MINVU_Mes_Constante!$AP$1</f>
        <v>17849087.800351683</v>
      </c>
      <c r="AU39" s="8">
        <f>+MINVU_Mes_Corriente!AU39*MINVU_Mes_Constante!$AP$1</f>
        <v>19314429.480048694</v>
      </c>
      <c r="AV39" s="8">
        <f>+MINVU_Mes_Corriente!AV39*MINVU_Mes_Constante!$AP$1</f>
        <v>18945125.359664548</v>
      </c>
      <c r="AW39" s="8">
        <f>+MINVU_Mes_Corriente!AW39*MINVU_Mes_Constante!$AP$1</f>
        <v>18945125.359664548</v>
      </c>
      <c r="AX39" s="8">
        <f>+MINVU_Mes_Corriente!AX39*MINVU_Mes_Constante!$AP$1</f>
        <v>19282403.723251723</v>
      </c>
      <c r="AY39" s="8">
        <f>+MINVU_Mes_Corriente!AY39*MINVU_Mes_Constante!$AP$1</f>
        <v>18557915.190856215</v>
      </c>
      <c r="AZ39" s="8">
        <f>+MINVU_Mes_Corriente!AZ39*MINVU_Mes_Constante!$AP$1</f>
        <v>18438206.547544975</v>
      </c>
      <c r="BA39" s="8">
        <f>+MINVU_Mes_Corriente!BA39*MINVU_Mes_Constante!$AP$1</f>
        <v>17816664.492628161</v>
      </c>
      <c r="BB39" s="9">
        <f t="shared" si="22"/>
        <v>17816664.492628161</v>
      </c>
      <c r="BC39" s="8">
        <f>+MINVU_Mes_Corriente!BC39*MINVU_Mes_Constante!$BC$1</f>
        <v>20454110.298562579</v>
      </c>
      <c r="BD39" s="8">
        <f>+MINVU_Mes_Corriente!BD39*MINVU_Mes_Constante!$BC$1</f>
        <v>21550159.704338659</v>
      </c>
      <c r="BE39" s="8">
        <f>+MINVU_Mes_Corriente!BE39*MINVU_Mes_Constante!$BC$1</f>
        <v>21550159.704338659</v>
      </c>
      <c r="BF39" s="8">
        <f>+MINVU_Mes_Corriente!BF39*MINVU_Mes_Constante!$BC$1</f>
        <v>21550159.704338659</v>
      </c>
      <c r="BG39" s="8">
        <f>+MINVU_Mes_Corriente!BG39*MINVU_Mes_Constante!$BC$1</f>
        <v>21550159.704338659</v>
      </c>
      <c r="BH39" s="8">
        <f>+MINVU_Mes_Corriente!BH39*MINVU_Mes_Constante!$BC$1</f>
        <v>21550159.704338659</v>
      </c>
      <c r="BI39" s="8">
        <f>+MINVU_Mes_Corriente!BI39*MINVU_Mes_Constante!$BC$1</f>
        <v>22394576.831860747</v>
      </c>
      <c r="BJ39" s="8">
        <f>+MINVU_Mes_Corriente!BJ39*MINVU_Mes_Constante!$BC$1</f>
        <v>22589351.54899117</v>
      </c>
      <c r="BK39" s="8">
        <f>+MINVU_Mes_Corriente!BK39*MINVU_Mes_Constante!$BC$1</f>
        <v>22589351.54899117</v>
      </c>
      <c r="BL39" s="8">
        <f>+MINVU_Mes_Corriente!BL39*MINVU_Mes_Constante!$BC$1</f>
        <v>22589351.54899117</v>
      </c>
      <c r="BM39" s="8">
        <f>+MINVU_Mes_Corriente!BM39*MINVU_Mes_Constante!$BC$1</f>
        <v>22589351.54899117</v>
      </c>
      <c r="BN39" s="8">
        <f>+MINVU_Mes_Corriente!BN39*MINVU_Mes_Constante!$BC$1</f>
        <v>20321861.464328106</v>
      </c>
      <c r="BO39" s="9">
        <f t="shared" si="23"/>
        <v>20321861.464328106</v>
      </c>
      <c r="BP39" s="8">
        <f>+MINVU_Mes_Corriente!BP39*MINVU_Mes_Constante!$BP$1</f>
        <v>15297570.942637647</v>
      </c>
      <c r="BQ39" s="8">
        <f>+MINVU_Mes_Corriente!BQ39*MINVU_Mes_Constante!$BP$1</f>
        <v>15297570.942637647</v>
      </c>
      <c r="BR39" s="8">
        <f>+MINVU_Mes_Corriente!BR39*MINVU_Mes_Constante!$BP$1</f>
        <v>15790803.598463509</v>
      </c>
      <c r="BS39" s="8">
        <f>+MINVU_Mes_Corriente!BS39*MINVU_Mes_Constante!$BP$1</f>
        <v>15790803.598463509</v>
      </c>
      <c r="BT39" s="8">
        <f>+MINVU_Mes_Corriente!BT39*MINVU_Mes_Constante!$BP$1</f>
        <v>15790803.598463509</v>
      </c>
      <c r="BU39" s="8">
        <f>+MINVU_Mes_Corriente!BU39*MINVU_Mes_Constante!$BP$1</f>
        <v>13972135.224583868</v>
      </c>
      <c r="BV39" s="8">
        <f>+MINVU_Mes_Corriente!BV39*MINVU_Mes_Constante!$BP$1</f>
        <v>12866717.809475033</v>
      </c>
      <c r="BW39" s="8">
        <f>+MINVU_Mes_Corriente!BW39*MINVU_Mes_Constante!$BP$1</f>
        <v>17504322.16286812</v>
      </c>
      <c r="BX39" s="8">
        <f>+MINVU_Mes_Corriente!BX39*MINVU_Mes_Constante!$BP$1</f>
        <v>17612832.311907813</v>
      </c>
      <c r="BY39" s="8">
        <f>+MINVU_Mes_Corriente!BY39*MINVU_Mes_Constante!$BP$1</f>
        <v>17612832.311907813</v>
      </c>
      <c r="BZ39" s="8">
        <f>+MINVU_Mes_Corriente!BZ39*MINVU_Mes_Constante!$BP$1</f>
        <v>17612832.311907813</v>
      </c>
      <c r="CA39" s="8">
        <f>+MINVU_Mes_Corriente!CA39*MINVU_Mes_Constante!$BP$1</f>
        <v>17791744.512676056</v>
      </c>
      <c r="CB39" s="9">
        <f t="shared" si="24"/>
        <v>17791744.512676056</v>
      </c>
      <c r="CC39" s="8">
        <f>+MINVU_Mes_Corriente!CC39*MINVU_Mes_Constante!$CC$1</f>
        <v>17169198.993659083</v>
      </c>
      <c r="CD39" s="8">
        <f>+MINVU_Mes_Corriente!CD39*MINVU_Mes_Constante!$CC$1</f>
        <v>17169198.993659083</v>
      </c>
      <c r="CE39" s="8">
        <f>+MINVU_Mes_Corriente!CE39*MINVU_Mes_Constante!$CC$1</f>
        <v>20225707.759045135</v>
      </c>
      <c r="CF39" s="8">
        <f>+MINVU_Mes_Corriente!CF39*MINVU_Mes_Constante!$CC$1</f>
        <v>20845518.832525179</v>
      </c>
      <c r="CG39" s="8">
        <f>+MINVU_Mes_Corriente!CG39*MINVU_Mes_Constante!$CC$1</f>
        <v>20845518.832525179</v>
      </c>
      <c r="CH39" s="8">
        <f>+MINVU_Mes_Corriente!CH39*MINVU_Mes_Constante!$CC$1</f>
        <v>20845518.832525179</v>
      </c>
      <c r="CI39" s="8">
        <f>+MINVU_Mes_Corriente!CI39*MINVU_Mes_Constante!$CC$1</f>
        <v>20845518.832525179</v>
      </c>
      <c r="CJ39" s="8">
        <f>+MINVU_Mes_Corriente!CJ39*MINVU_Mes_Constante!$CC$1</f>
        <v>20845518.832525179</v>
      </c>
      <c r="CK39" s="8">
        <f>+MINVU_Mes_Corriente!CK39*MINVU_Mes_Constante!$CC$1</f>
        <v>20845518.832525179</v>
      </c>
      <c r="CL39" s="8">
        <f>+MINVU_Mes_Corriente!CL39*MINVU_Mes_Constante!$CC$1</f>
        <v>22919512.176053714</v>
      </c>
      <c r="CM39" s="8">
        <f>+MINVU_Mes_Corriente!CM39*MINVU_Mes_Constante!$CC$1</f>
        <v>22919512.176053714</v>
      </c>
      <c r="CN39" s="8">
        <f>+MINVU_Mes_Corriente!CN39*MINVU_Mes_Constante!$CC$1</f>
        <v>19158148.037299518</v>
      </c>
      <c r="CO39" s="9">
        <f t="shared" si="25"/>
        <v>19158148.037299518</v>
      </c>
      <c r="CP39" s="8">
        <f>+MINVU_Mes_Corriente!CP39*MINVU_Mes_Constante!$CP$1</f>
        <v>18061487.943619486</v>
      </c>
      <c r="CQ39" s="8">
        <f>+MINVU_Mes_Corriente!CQ39*MINVU_Mes_Constante!$CP$1</f>
        <v>13367633.980510438</v>
      </c>
      <c r="CR39" s="8">
        <f>+MINVU_Mes_Corriente!CR39*MINVU_Mes_Constante!$CP$1</f>
        <v>16219548.133642688</v>
      </c>
      <c r="CS39" s="8">
        <f>+MINVU_Mes_Corriente!CS39*MINVU_Mes_Constante!$CP$1</f>
        <v>19032841.03155452</v>
      </c>
      <c r="CT39" s="8">
        <f>+MINVU_Mes_Corriente!CT39*MINVU_Mes_Constante!$CP$1</f>
        <v>19881511.110208813</v>
      </c>
      <c r="CU39" s="8">
        <f>+MINVU_Mes_Corriente!CU39*MINVU_Mes_Constante!$CP$1</f>
        <v>20008255.245243616</v>
      </c>
      <c r="CV39" s="8">
        <f>+MINVU_Mes_Corriente!CV39*MINVU_Mes_Constante!$CP$1</f>
        <v>20011208.560788859</v>
      </c>
      <c r="CW39" s="8">
        <f>+MINVU_Mes_Corriente!CW39*MINVU_Mes_Constante!$CP$1</f>
        <v>20066434.293967512</v>
      </c>
      <c r="CX39" s="8">
        <f>+MINVU_Mes_Corriente!CX39*MINVU_Mes_Constante!$CP$1</f>
        <v>21020040.870765656</v>
      </c>
      <c r="CY39" s="8">
        <f>+MINVU_Mes_Corriente!CY39*MINVU_Mes_Constante!$CP$1</f>
        <v>20893289.130626447</v>
      </c>
      <c r="CZ39" s="8">
        <f>+MINVU_Mes_Corriente!CZ39*MINVU_Mes_Constante!$CP$1</f>
        <v>17541251.903944314</v>
      </c>
      <c r="DA39" s="8">
        <f>+MINVU_Mes_Corriente!DA39*MINVU_Mes_Constante!$CP$1</f>
        <v>12267321.137122968</v>
      </c>
      <c r="DB39" s="9">
        <f t="shared" si="26"/>
        <v>12267321.137122968</v>
      </c>
      <c r="DC39" s="8">
        <f>+MINVU_Mes_Corriente!DC39*MINVU_Mes_Constante!$DC$1</f>
        <v>13341454.126118718</v>
      </c>
      <c r="DD39" s="8">
        <f>+MINVU_Mes_Corriente!DD39*MINVU_Mes_Constante!$DC$1</f>
        <v>15642891.66011728</v>
      </c>
      <c r="DE39" s="8">
        <f>+MINVU_Mes_Corriente!DE39*MINVU_Mes_Constante!$DC$1</f>
        <v>16688377.570208834</v>
      </c>
      <c r="DF39" s="8">
        <f>+MINVU_Mes_Corriente!DF39*MINVU_Mes_Constante!$DC$1</f>
        <v>16688377.570208834</v>
      </c>
      <c r="DG39" s="8">
        <f>+MINVU_Mes_Corriente!DG39*MINVU_Mes_Constante!$DC$1</f>
        <v>16688377.570208834</v>
      </c>
      <c r="DH39" s="8">
        <f>+MINVU_Mes_Corriente!DH39*MINVU_Mes_Constante!$DC$1</f>
        <v>17197482.413537711</v>
      </c>
      <c r="DI39" s="8">
        <f>+MINVU_Mes_Corriente!DI39*MINVU_Mes_Constante!$DC$1</f>
        <v>17197482.413537711</v>
      </c>
      <c r="DJ39" s="8">
        <f>+MINVU_Mes_Corriente!DJ39*MINVU_Mes_Constante!$DC$1</f>
        <v>18317755.394301005</v>
      </c>
      <c r="DK39" s="8">
        <f>+MINVU_Mes_Corriente!DK39*MINVU_Mes_Constante!$DC$1</f>
        <v>18317755.394301005</v>
      </c>
      <c r="DL39" s="8">
        <f>+MINVU_Mes_Corriente!DL39*MINVU_Mes_Constante!$DC$1</f>
        <v>18317755.394301005</v>
      </c>
      <c r="DM39" s="8">
        <f>+MINVU_Mes_Corriente!DM39*MINVU_Mes_Constante!$DC$1</f>
        <v>12388056.378973363</v>
      </c>
      <c r="DN39" s="8">
        <f>+MINVU_Mes_Corriente!DN39*MINVU_Mes_Constante!$DC$1</f>
        <v>8115242.9466104349</v>
      </c>
      <c r="DO39" s="9">
        <f t="shared" si="27"/>
        <v>8115242.9466104349</v>
      </c>
      <c r="DP39" s="8">
        <f>+MINVU_Mes_Corriente!DP39*MINVU_Mes_Constante!$DP$1</f>
        <v>17814096.865795728</v>
      </c>
      <c r="DQ39" s="8">
        <f>+MINVU_Mes_Corriente!DQ39*MINVU_Mes_Constante!$DP$1</f>
        <v>17814096.865795728</v>
      </c>
      <c r="DR39" s="8">
        <f>+MINVU_Mes_Corriente!DR39*MINVU_Mes_Constante!$DP$1</f>
        <v>17814096.865795728</v>
      </c>
      <c r="DS39" s="8">
        <f>+MINVU_Mes_Corriente!DS39*MINVU_Mes_Constante!$DP$1</f>
        <v>17814096.865795728</v>
      </c>
      <c r="DT39" s="8">
        <f>+MINVU_Mes_Corriente!DT39*MINVU_Mes_Constante!$DP$1</f>
        <v>17814096.865795728</v>
      </c>
      <c r="DU39" s="8">
        <f>+MINVU_Mes_Corriente!DU39*MINVU_Mes_Constante!$DP$1</f>
        <v>18004184.827197153</v>
      </c>
      <c r="DV39" s="8">
        <f>+MINVU_Mes_Corriente!DV39*MINVU_Mes_Constante!$DP$1</f>
        <v>18004184.827197153</v>
      </c>
      <c r="DW39" s="8">
        <f>+MINVU_Mes_Corriente!DW39*MINVU_Mes_Constante!$DP$1</f>
        <v>18004184.827197153</v>
      </c>
      <c r="DX39" s="8">
        <f>+MINVU_Mes_Corriente!DX39*MINVU_Mes_Constante!$DP$1</f>
        <v>18004184.827197153</v>
      </c>
      <c r="DY39" s="8">
        <f>+MINVU_Mes_Corriente!DY39*MINVU_Mes_Constante!$DP$1</f>
        <v>18004184.827197153</v>
      </c>
      <c r="DZ39" s="8">
        <f>+MINVU_Mes_Corriente!DZ39*MINVU_Mes_Constante!$DP$1</f>
        <v>18287030.246437058</v>
      </c>
      <c r="EA39" s="8">
        <f>+MINVU_Mes_Corriente!EA39*MINVU_Mes_Constante!$DP$1</f>
        <v>10388624.413895488</v>
      </c>
      <c r="EB39" s="9">
        <f t="shared" si="28"/>
        <v>10388624.413895488</v>
      </c>
      <c r="EC39" s="8">
        <f>+MINVU_Mes_Corriente!EC39*MINVU_Mes_Constante!$EC$1</f>
        <v>17265278.234235935</v>
      </c>
      <c r="ED39" s="8">
        <f>+MINVU_Mes_Corriente!ED39*MINVU_Mes_Constante!$EC$1</f>
        <v>17265278.234235935</v>
      </c>
      <c r="EE39" s="8">
        <f>+MINVU_Mes_Corriente!EE39*MINVU_Mes_Constante!$EC$1</f>
        <v>17265278.234235935</v>
      </c>
      <c r="EF39" s="8">
        <f>+MINVU_Mes_Corriente!EF39*MINVU_Mes_Constante!$EC$1</f>
        <v>17127090.506154131</v>
      </c>
      <c r="EG39" s="8">
        <f>+MINVU_Mes_Corriente!EG39*MINVU_Mes_Constante!$EC$1</f>
        <v>15490960.798523001</v>
      </c>
      <c r="EH39" s="8">
        <f>+MINVU_Mes_Corriente!EH39*MINVU_Mes_Constante!$EC$1</f>
        <v>15313955.87445559</v>
      </c>
      <c r="EI39" s="8">
        <f>+MINVU_Mes_Corriente!EI39*MINVU_Mes_Constante!$EC$1</f>
        <v>13370972.322287442</v>
      </c>
      <c r="EJ39" s="8">
        <f>+MINVU_Mes_Corriente!EJ39*MINVU_Mes_Constante!$EC$1</f>
        <v>13370972.322287442</v>
      </c>
      <c r="EK39" s="8">
        <f>+MINVU_Mes_Corriente!EK39*MINVU_Mes_Constante!$EC$1</f>
        <v>12321831.154516187</v>
      </c>
      <c r="EL39" s="8">
        <f>+MINVU_Mes_Corriente!EL39*MINVU_Mes_Constante!$EC$1</f>
        <v>12929393.097898122</v>
      </c>
      <c r="EM39" s="8">
        <f>+MINVU_Mes_Corriente!EM39*MINVU_Mes_Constante!$EC$1</f>
        <v>12967409.619390262</v>
      </c>
      <c r="EN39" s="8">
        <f>+MINVU_Mes_Corriente!EN39*MINVU_Mes_Constante!$EC$1</f>
        <v>5705243.3438742645</v>
      </c>
      <c r="EO39" s="9">
        <f t="shared" si="29"/>
        <v>5705243.3438742645</v>
      </c>
      <c r="EP39" s="8">
        <f>+MINVU_Mes_Corriente!EP39*MINVU_Mes_Constante!$EP$1</f>
        <v>17865780</v>
      </c>
      <c r="EQ39" s="8">
        <f>+MINVU_Mes_Corriente!EQ39*MINVU_Mes_Constante!$EP$1</f>
        <v>17865780</v>
      </c>
      <c r="ER39" s="8">
        <f>+MINVU_Mes_Corriente!ER39*MINVU_Mes_Constante!$EP$1</f>
        <v>17865780</v>
      </c>
      <c r="ES39" s="8">
        <f>+MINVU_Mes_Corriente!ES39*MINVU_Mes_Constante!$EP$1</f>
        <v>17865780</v>
      </c>
      <c r="ET39" s="8">
        <f>+MINVU_Mes_Corriente!ET39*MINVU_Mes_Constante!$EP$1</f>
        <v>17865780</v>
      </c>
      <c r="EU39" s="8">
        <f>+MINVU_Mes_Corriente!EU39*MINVU_Mes_Constante!$EP$1</f>
        <v>17865780</v>
      </c>
      <c r="EV39" s="8">
        <f>+MINVU_Mes_Corriente!EV39*MINVU_Mes_Constante!$EP$1</f>
        <v>17865780</v>
      </c>
      <c r="EW39" s="8">
        <f>+MINVU_Mes_Corriente!EW39*MINVU_Mes_Constante!$EP$1</f>
        <v>17865780</v>
      </c>
      <c r="EX39" s="8">
        <f>+MINVU_Mes_Corriente!EX39*MINVU_Mes_Constante!$EP$1</f>
        <v>17865780</v>
      </c>
      <c r="EY39" s="8">
        <f>+MINVU_Mes_Corriente!EY39*MINVU_Mes_Constante!$EP$1</f>
        <v>16353696</v>
      </c>
      <c r="EZ39" s="8">
        <f>+MINVU_Mes_Corriente!EZ39*MINVU_Mes_Constante!$EP$1</f>
        <v>14508227</v>
      </c>
      <c r="FA39" s="8">
        <f>+MINVU_Mes_Corriente!FA39*MINVU_Mes_Constante!$EP$1</f>
        <v>9555042</v>
      </c>
      <c r="FB39" s="9">
        <f t="shared" si="30"/>
        <v>9555042</v>
      </c>
      <c r="FC39" s="8">
        <f>+MINVU_Mes_Corriente!FC39*MINVU_Mes_Constante!$FC$1</f>
        <v>14196992</v>
      </c>
      <c r="FD39" s="8">
        <f>+MINVU_Mes_Corriente!FD39*MINVU_Mes_Constante!$FC$1</f>
        <v>14196992</v>
      </c>
      <c r="FE39" s="8">
        <f>+MINVU_Mes_Corriente!FE39*MINVU_Mes_Constante!$FC$1</f>
        <v>14196992</v>
      </c>
      <c r="FF39" s="8">
        <f>+MINVU_Mes_Corriente!FF39*MINVU_Mes_Constante!$FC$1</f>
        <v>14196992</v>
      </c>
      <c r="FG39" s="8">
        <f>+MINVU_Mes_Corriente!FG39*MINVU_Mes_Constante!$FC$1</f>
        <v>14196992</v>
      </c>
      <c r="FH39" s="8">
        <f>+MINVU_Mes_Corriente!FH39*MINVU_Mes_Constante!$FC$1</f>
        <v>14707834</v>
      </c>
      <c r="FI39" s="8">
        <f>+MINVU_Mes_Corriente!FI39*MINVU_Mes_Constante!$FC$1</f>
        <v>15769553</v>
      </c>
      <c r="FJ39" s="8"/>
      <c r="FK39" s="8"/>
      <c r="FL39" s="8"/>
      <c r="FM39" s="8"/>
      <c r="FN39" s="8"/>
      <c r="FO39" s="9">
        <f t="shared" si="31"/>
        <v>15769553</v>
      </c>
    </row>
    <row r="40" spans="2:171" ht="14.25" customHeight="1" x14ac:dyDescent="0.3">
      <c r="B40" s="7" t="s">
        <v>53</v>
      </c>
      <c r="C40" s="8">
        <f>+MINVU_Mes_Corriente!C40*MINVU_Mes_Constante!$C$1</f>
        <v>30720640.519353408</v>
      </c>
      <c r="D40" s="8">
        <f>+MINVU_Mes_Corriente!D40*MINVU_Mes_Constante!$C$1</f>
        <v>30720640.519353408</v>
      </c>
      <c r="E40" s="8">
        <f>+MINVU_Mes_Corriente!E40*MINVU_Mes_Constante!$C$1</f>
        <v>31301348.588462114</v>
      </c>
      <c r="F40" s="8">
        <f>+MINVU_Mes_Corriente!F40*MINVU_Mes_Constante!$C$1</f>
        <v>31301348.588462114</v>
      </c>
      <c r="G40" s="8">
        <f>+MINVU_Mes_Corriente!G40*MINVU_Mes_Constante!$C$1</f>
        <v>31301348.588462114</v>
      </c>
      <c r="H40" s="8">
        <f>+MINVU_Mes_Corriente!H40*MINVU_Mes_Constante!$C$1</f>
        <v>31301348.588462114</v>
      </c>
      <c r="I40" s="8">
        <f>+MINVU_Mes_Corriente!I40*MINVU_Mes_Constante!$C$1</f>
        <v>31301348.588462114</v>
      </c>
      <c r="J40" s="8">
        <f>+MINVU_Mes_Corriente!J40*MINVU_Mes_Constante!$C$1</f>
        <v>28238991.549458701</v>
      </c>
      <c r="K40" s="8">
        <f>+MINVU_Mes_Corriente!K40*MINVU_Mes_Constante!$C$1</f>
        <v>23028195.323446542</v>
      </c>
      <c r="L40" s="8">
        <f>+MINVU_Mes_Corriente!L40*MINVU_Mes_Constante!$C$1</f>
        <v>23044236.759009346</v>
      </c>
      <c r="M40" s="8">
        <f>+MINVU_Mes_Corriente!M40*MINVU_Mes_Constante!$C$1</f>
        <v>18652098.183301203</v>
      </c>
      <c r="N40" s="8">
        <f>+MINVU_Mes_Corriente!N40*MINVU_Mes_Constante!$C$1</f>
        <v>19301586.742992736</v>
      </c>
      <c r="O40" s="9">
        <f t="shared" si="19"/>
        <v>19301586.742992736</v>
      </c>
      <c r="P40" s="8">
        <f>+MINVU_Mes_Corriente!P40*MINVU_Mes_Constante!$P$1</f>
        <v>43584298.289245613</v>
      </c>
      <c r="Q40" s="8">
        <f>+MINVU_Mes_Corriente!Q40*MINVU_Mes_Constante!$P$1</f>
        <v>42937692.983662434</v>
      </c>
      <c r="R40" s="8">
        <f>+MINVU_Mes_Corriente!R40*MINVU_Mes_Constante!$P$1</f>
        <v>38690234.154851526</v>
      </c>
      <c r="S40" s="8">
        <f>+MINVU_Mes_Corriente!S40*MINVU_Mes_Constante!$P$1</f>
        <v>36462435.327745408</v>
      </c>
      <c r="T40" s="8">
        <f>+MINVU_Mes_Corriente!T40*MINVU_Mes_Constante!$P$1</f>
        <v>36462435.327745408</v>
      </c>
      <c r="U40" s="8">
        <f>+MINVU_Mes_Corriente!U40*MINVU_Mes_Constante!$P$1</f>
        <v>36789515.28143201</v>
      </c>
      <c r="V40" s="8">
        <f>+MINVU_Mes_Corriente!V40*MINVU_Mes_Constante!$P$1</f>
        <v>38067057.893734895</v>
      </c>
      <c r="W40" s="8">
        <f>+MINVU_Mes_Corriente!W40*MINVU_Mes_Constante!$P$1</f>
        <v>38163758.969740003</v>
      </c>
      <c r="X40" s="8">
        <f>+MINVU_Mes_Corriente!X40*MINVU_Mes_Constante!$P$1</f>
        <v>38163758.969740003</v>
      </c>
      <c r="Y40" s="8">
        <f>+MINVU_Mes_Corriente!Y40*MINVU_Mes_Constante!$P$1</f>
        <v>38163758.969740003</v>
      </c>
      <c r="Z40" s="8">
        <f>+MINVU_Mes_Corriente!Z40*MINVU_Mes_Constante!$P$1</f>
        <v>38158281.223753363</v>
      </c>
      <c r="AA40" s="8">
        <f>+MINVU_Mes_Corriente!AA40*MINVU_Mes_Constante!$P$1</f>
        <v>34737799.056968309</v>
      </c>
      <c r="AB40" s="9">
        <f t="shared" si="20"/>
        <v>34737799.056968309</v>
      </c>
      <c r="AC40" s="8">
        <f>+MINVU_Mes_Corriente!AC40*MINVU_Mes_Constante!$AC$1</f>
        <v>40946062.374878958</v>
      </c>
      <c r="AD40" s="8">
        <f>+MINVU_Mes_Corriente!AD40*MINVU_Mes_Constante!$AC$1</f>
        <v>41370131.433946602</v>
      </c>
      <c r="AE40" s="8">
        <f>+MINVU_Mes_Corriente!AE40*MINVU_Mes_Constante!$AC$1</f>
        <v>41370131.433946602</v>
      </c>
      <c r="AF40" s="8">
        <f>+MINVU_Mes_Corriente!AF40*MINVU_Mes_Constante!$AC$1</f>
        <v>41370131.433946602</v>
      </c>
      <c r="AG40" s="8">
        <f>+MINVU_Mes_Corriente!AG40*MINVU_Mes_Constante!$AC$1</f>
        <v>37591600.516807303</v>
      </c>
      <c r="AH40" s="8">
        <f>+MINVU_Mes_Corriente!AH40*MINVU_Mes_Constante!$AC$1</f>
        <v>37591600.516807303</v>
      </c>
      <c r="AI40" s="8">
        <f>+MINVU_Mes_Corriente!AI40*MINVU_Mes_Constante!$AC$1</f>
        <v>38092524.894729562</v>
      </c>
      <c r="AJ40" s="8">
        <f>+MINVU_Mes_Corriente!AJ40*MINVU_Mes_Constante!$AC$1</f>
        <v>38092524.894729562</v>
      </c>
      <c r="AK40" s="8">
        <f>+MINVU_Mes_Corriente!AK40*MINVU_Mes_Constante!$AC$1</f>
        <v>38092524.894729562</v>
      </c>
      <c r="AL40" s="8">
        <f>+MINVU_Mes_Corriente!AL40*MINVU_Mes_Constante!$AC$1</f>
        <v>38335106.579609901</v>
      </c>
      <c r="AM40" s="8">
        <f>+MINVU_Mes_Corriente!AM40*MINVU_Mes_Constante!$AC$1</f>
        <v>38335106.579609901</v>
      </c>
      <c r="AN40" s="8">
        <f>+MINVU_Mes_Corriente!AN40*MINVU_Mes_Constante!$AC$1</f>
        <v>38537091.728316501</v>
      </c>
      <c r="AO40" s="9">
        <f t="shared" si="21"/>
        <v>38537091.728316501</v>
      </c>
      <c r="AP40" s="8">
        <f>+MINVU_Mes_Corriente!AP40*MINVU_Mes_Constante!$AP$1</f>
        <v>60681994.604896523</v>
      </c>
      <c r="AQ40" s="8">
        <f>+MINVU_Mes_Corriente!AQ40*MINVU_Mes_Constante!$AP$1</f>
        <v>61287146.920871094</v>
      </c>
      <c r="AR40" s="8">
        <f>+MINVU_Mes_Corriente!AR40*MINVU_Mes_Constante!$AP$1</f>
        <v>61287146.920871094</v>
      </c>
      <c r="AS40" s="8">
        <f>+MINVU_Mes_Corriente!AS40*MINVU_Mes_Constante!$AP$1</f>
        <v>61287146.920871094</v>
      </c>
      <c r="AT40" s="8">
        <f>+MINVU_Mes_Corriente!AT40*MINVU_Mes_Constante!$AP$1</f>
        <v>54331941.734884344</v>
      </c>
      <c r="AU40" s="8">
        <f>+MINVU_Mes_Corriente!AU40*MINVU_Mes_Constante!$AP$1</f>
        <v>56711758.431218714</v>
      </c>
      <c r="AV40" s="8">
        <f>+MINVU_Mes_Corriente!AV40*MINVU_Mes_Constante!$AP$1</f>
        <v>55011931.165426753</v>
      </c>
      <c r="AW40" s="8">
        <f>+MINVU_Mes_Corriente!AW40*MINVU_Mes_Constante!$AP$1</f>
        <v>49842985.841471657</v>
      </c>
      <c r="AX40" s="8">
        <f>+MINVU_Mes_Corriente!AX40*MINVU_Mes_Constante!$AP$1</f>
        <v>49346694.496686049</v>
      </c>
      <c r="AY40" s="8">
        <f>+MINVU_Mes_Corriente!AY40*MINVU_Mes_Constante!$AP$1</f>
        <v>47649647.131610982</v>
      </c>
      <c r="AZ40" s="8">
        <f>+MINVU_Mes_Corriente!AZ40*MINVU_Mes_Constante!$AP$1</f>
        <v>47603141.062626809</v>
      </c>
      <c r="BA40" s="8">
        <f>+MINVU_Mes_Corriente!BA40*MINVU_Mes_Constante!$AP$1</f>
        <v>38448660.50480184</v>
      </c>
      <c r="BB40" s="9">
        <f t="shared" si="22"/>
        <v>38448660.50480184</v>
      </c>
      <c r="BC40" s="8">
        <f>+MINVU_Mes_Corriente!BC40*MINVU_Mes_Constante!$BC$1</f>
        <v>64059872.835816972</v>
      </c>
      <c r="BD40" s="8">
        <f>+MINVU_Mes_Corriente!BD40*MINVU_Mes_Constante!$BC$1</f>
        <v>64093830.895687737</v>
      </c>
      <c r="BE40" s="8">
        <f>+MINVU_Mes_Corriente!BE40*MINVU_Mes_Constante!$BC$1</f>
        <v>64093830.895687737</v>
      </c>
      <c r="BF40" s="8">
        <f>+MINVU_Mes_Corriente!BF40*MINVU_Mes_Constante!$BC$1</f>
        <v>64093830.895687737</v>
      </c>
      <c r="BG40" s="8">
        <f>+MINVU_Mes_Corriente!BG40*MINVU_Mes_Constante!$BC$1</f>
        <v>64093830.895687737</v>
      </c>
      <c r="BH40" s="8">
        <f>+MINVU_Mes_Corriente!BH40*MINVU_Mes_Constante!$BC$1</f>
        <v>64093830.895687737</v>
      </c>
      <c r="BI40" s="8">
        <f>+MINVU_Mes_Corriente!BI40*MINVU_Mes_Constante!$BC$1</f>
        <v>64059872.835816972</v>
      </c>
      <c r="BJ40" s="8">
        <f>+MINVU_Mes_Corriente!BJ40*MINVU_Mes_Constante!$BC$1</f>
        <v>64059872.835816972</v>
      </c>
      <c r="BK40" s="8">
        <f>+MINVU_Mes_Corriente!BK40*MINVU_Mes_Constante!$BC$1</f>
        <v>64059872.835816972</v>
      </c>
      <c r="BL40" s="8">
        <f>+MINVU_Mes_Corriente!BL40*MINVU_Mes_Constante!$BC$1</f>
        <v>59737309.206646457</v>
      </c>
      <c r="BM40" s="8">
        <f>+MINVU_Mes_Corriente!BM40*MINVU_Mes_Constante!$BC$1</f>
        <v>59737309.206646457</v>
      </c>
      <c r="BN40" s="8">
        <f>+MINVU_Mes_Corriente!BN40*MINVU_Mes_Constante!$BC$1</f>
        <v>43145801.423183449</v>
      </c>
      <c r="BO40" s="9">
        <f t="shared" si="23"/>
        <v>43145801.423183449</v>
      </c>
      <c r="BP40" s="8">
        <f>+MINVU_Mes_Corriente!BP40*MINVU_Mes_Constante!$BP$1</f>
        <v>51293423.436107561</v>
      </c>
      <c r="BQ40" s="8">
        <f>+MINVU_Mes_Corriente!BQ40*MINVU_Mes_Constante!$BP$1</f>
        <v>49949791.241485283</v>
      </c>
      <c r="BR40" s="8">
        <f>+MINVU_Mes_Corriente!BR40*MINVU_Mes_Constante!$BP$1</f>
        <v>49949791.241485283</v>
      </c>
      <c r="BS40" s="8">
        <f>+MINVU_Mes_Corriente!BS40*MINVU_Mes_Constante!$BP$1</f>
        <v>49949791.241485283</v>
      </c>
      <c r="BT40" s="8">
        <f>+MINVU_Mes_Corriente!BT40*MINVU_Mes_Constante!$BP$1</f>
        <v>49949791.241485283</v>
      </c>
      <c r="BU40" s="8">
        <f>+MINVU_Mes_Corriente!BU40*MINVU_Mes_Constante!$BP$1</f>
        <v>48784128.338028178</v>
      </c>
      <c r="BV40" s="8">
        <f>+MINVU_Mes_Corriente!BV40*MINVU_Mes_Constante!$BP$1</f>
        <v>47169808.340588994</v>
      </c>
      <c r="BW40" s="8">
        <f>+MINVU_Mes_Corriente!BW40*MINVU_Mes_Constante!$BP$1</f>
        <v>47855102.169526257</v>
      </c>
      <c r="BX40" s="8">
        <f>+MINVU_Mes_Corriente!BX40*MINVU_Mes_Constante!$BP$1</f>
        <v>47155614.333418697</v>
      </c>
      <c r="BY40" s="8">
        <f>+MINVU_Mes_Corriente!BY40*MINVU_Mes_Constante!$BP$1</f>
        <v>47155614.333418697</v>
      </c>
      <c r="BZ40" s="8">
        <f>+MINVU_Mes_Corriente!BZ40*MINVU_Mes_Constante!$BP$1</f>
        <v>47030038.080153652</v>
      </c>
      <c r="CA40" s="8">
        <f>+MINVU_Mes_Corriente!CA40*MINVU_Mes_Constante!$BP$1</f>
        <v>42829002.271959029</v>
      </c>
      <c r="CB40" s="9">
        <f t="shared" si="24"/>
        <v>42829002.271959029</v>
      </c>
      <c r="CC40" s="8">
        <f>+MINVU_Mes_Corriente!CC40*MINVU_Mes_Constante!$CC$1</f>
        <v>39149539.759045139</v>
      </c>
      <c r="CD40" s="8">
        <f>+MINVU_Mes_Corriente!CD40*MINVU_Mes_Constante!$CC$1</f>
        <v>39149539.759045139</v>
      </c>
      <c r="CE40" s="8">
        <f>+MINVU_Mes_Corriente!CE40*MINVU_Mes_Constante!$CC$1</f>
        <v>39149539.759045139</v>
      </c>
      <c r="CF40" s="8">
        <f>+MINVU_Mes_Corriente!CF40*MINVU_Mes_Constante!$CC$1</f>
        <v>39458290.614696011</v>
      </c>
      <c r="CG40" s="8">
        <f>+MINVU_Mes_Corriente!CG40*MINVU_Mes_Constante!$CC$1</f>
        <v>39458290.614696011</v>
      </c>
      <c r="CH40" s="8">
        <f>+MINVU_Mes_Corriente!CH40*MINVU_Mes_Constante!$CC$1</f>
        <v>39458290.614696011</v>
      </c>
      <c r="CI40" s="8">
        <f>+MINVU_Mes_Corriente!CI40*MINVU_Mes_Constante!$CC$1</f>
        <v>39458290.614696011</v>
      </c>
      <c r="CJ40" s="8">
        <f>+MINVU_Mes_Corriente!CJ40*MINVU_Mes_Constante!$CC$1</f>
        <v>39458290.614696011</v>
      </c>
      <c r="CK40" s="8">
        <f>+MINVU_Mes_Corriente!CK40*MINVU_Mes_Constante!$CC$1</f>
        <v>40002445.624766879</v>
      </c>
      <c r="CL40" s="8">
        <f>+MINVU_Mes_Corriente!CL40*MINVU_Mes_Constante!$CC$1</f>
        <v>40002445.624766879</v>
      </c>
      <c r="CM40" s="8">
        <f>+MINVU_Mes_Corriente!CM40*MINVU_Mes_Constante!$CC$1</f>
        <v>39903190.596792243</v>
      </c>
      <c r="CN40" s="8">
        <f>+MINVU_Mes_Corriente!CN40*MINVU_Mes_Constante!$CC$1</f>
        <v>31943995.584483404</v>
      </c>
      <c r="CO40" s="9">
        <f t="shared" si="25"/>
        <v>31943995.584483404</v>
      </c>
      <c r="CP40" s="8">
        <f>+MINVU_Mes_Corriente!CP40*MINVU_Mes_Constante!$CP$1</f>
        <v>48430677.593735486</v>
      </c>
      <c r="CQ40" s="8">
        <f>+MINVU_Mes_Corriente!CQ40*MINVU_Mes_Constante!$CP$1</f>
        <v>52095721.905104399</v>
      </c>
      <c r="CR40" s="8">
        <f>+MINVU_Mes_Corriente!CR40*MINVU_Mes_Constante!$CP$1</f>
        <v>52095721.905104399</v>
      </c>
      <c r="CS40" s="8">
        <f>+MINVU_Mes_Corriente!CS40*MINVU_Mes_Constante!$CP$1</f>
        <v>50194445.80301623</v>
      </c>
      <c r="CT40" s="8">
        <f>+MINVU_Mes_Corriente!CT40*MINVU_Mes_Constante!$CP$1</f>
        <v>49464959.118097439</v>
      </c>
      <c r="CU40" s="8">
        <f>+MINVU_Mes_Corriente!CU40*MINVU_Mes_Constante!$CP$1</f>
        <v>47552718.990487233</v>
      </c>
      <c r="CV40" s="8">
        <f>+MINVU_Mes_Corriente!CV40*MINVU_Mes_Constante!$CP$1</f>
        <v>47552718.990487233</v>
      </c>
      <c r="CW40" s="8">
        <f>+MINVU_Mes_Corriente!CW40*MINVU_Mes_Constante!$CP$1</f>
        <v>47481536.480742447</v>
      </c>
      <c r="CX40" s="8">
        <f>+MINVU_Mes_Corriente!CX40*MINVU_Mes_Constante!$CP$1</f>
        <v>48892714.304408342</v>
      </c>
      <c r="CY40" s="8">
        <f>+MINVU_Mes_Corriente!CY40*MINVU_Mes_Constante!$CP$1</f>
        <v>47826085.735962868</v>
      </c>
      <c r="CZ40" s="8">
        <f>+MINVU_Mes_Corriente!CZ40*MINVU_Mes_Constante!$CP$1</f>
        <v>41327209.674709968</v>
      </c>
      <c r="DA40" s="8">
        <f>+MINVU_Mes_Corriente!DA40*MINVU_Mes_Constante!$CP$1</f>
        <v>31225336.813921109</v>
      </c>
      <c r="DB40" s="9">
        <f t="shared" si="26"/>
        <v>31225336.813921109</v>
      </c>
      <c r="DC40" s="8">
        <f>+MINVU_Mes_Corriente!DC40*MINVU_Mes_Constante!$DC$1</f>
        <v>46728847.533175625</v>
      </c>
      <c r="DD40" s="8">
        <f>+MINVU_Mes_Corriente!DD40*MINVU_Mes_Constante!$DC$1</f>
        <v>50178769.404793769</v>
      </c>
      <c r="DE40" s="8">
        <f>+MINVU_Mes_Corriente!DE40*MINVU_Mes_Constante!$DC$1</f>
        <v>50478775.267770827</v>
      </c>
      <c r="DF40" s="8">
        <f>+MINVU_Mes_Corriente!DF40*MINVU_Mes_Constante!$DC$1</f>
        <v>50478775.267770827</v>
      </c>
      <c r="DG40" s="8">
        <f>+MINVU_Mes_Corriente!DG40*MINVU_Mes_Constante!$DC$1</f>
        <v>50478775.267770827</v>
      </c>
      <c r="DH40" s="8">
        <f>+MINVU_Mes_Corriente!DH40*MINVU_Mes_Constante!$DC$1</f>
        <v>50478775.267770827</v>
      </c>
      <c r="DI40" s="8">
        <f>+MINVU_Mes_Corriente!DI40*MINVU_Mes_Constante!$DC$1</f>
        <v>50478775.267770827</v>
      </c>
      <c r="DJ40" s="8">
        <f>+MINVU_Mes_Corriente!DJ40*MINVU_Mes_Constante!$DC$1</f>
        <v>50478775.267770827</v>
      </c>
      <c r="DK40" s="8">
        <f>+MINVU_Mes_Corriente!DK40*MINVU_Mes_Constante!$DC$1</f>
        <v>42690340.09710937</v>
      </c>
      <c r="DL40" s="8">
        <f>+MINVU_Mes_Corriente!DL40*MINVU_Mes_Constante!$DC$1</f>
        <v>44258965.719576195</v>
      </c>
      <c r="DM40" s="8">
        <f>+MINVU_Mes_Corriente!DM40*MINVU_Mes_Constante!$DC$1</f>
        <v>30986884.556321383</v>
      </c>
      <c r="DN40" s="8">
        <f>+MINVU_Mes_Corriente!DN40*MINVU_Mes_Constante!$DC$1</f>
        <v>23590015.151116151</v>
      </c>
      <c r="DO40" s="9">
        <f t="shared" si="27"/>
        <v>23590015.151116151</v>
      </c>
      <c r="DP40" s="8">
        <f>+MINVU_Mes_Corriente!DP40*MINVU_Mes_Constante!$DP$1</f>
        <v>36848885.510095015</v>
      </c>
      <c r="DQ40" s="8">
        <f>+MINVU_Mes_Corriente!DQ40*MINVU_Mes_Constante!$DP$1</f>
        <v>36848885.510095015</v>
      </c>
      <c r="DR40" s="8">
        <f>+MINVU_Mes_Corriente!DR40*MINVU_Mes_Constante!$DP$1</f>
        <v>36848885.510095015</v>
      </c>
      <c r="DS40" s="8">
        <f>+MINVU_Mes_Corriente!DS40*MINVU_Mes_Constante!$DP$1</f>
        <v>36848885.510095015</v>
      </c>
      <c r="DT40" s="8">
        <f>+MINVU_Mes_Corriente!DT40*MINVU_Mes_Constante!$DP$1</f>
        <v>36848885.510095015</v>
      </c>
      <c r="DU40" s="8">
        <f>+MINVU_Mes_Corriente!DU40*MINVU_Mes_Constante!$DP$1</f>
        <v>36848885.510095015</v>
      </c>
      <c r="DV40" s="8">
        <f>+MINVU_Mes_Corriente!DV40*MINVU_Mes_Constante!$DP$1</f>
        <v>36848885.510095015</v>
      </c>
      <c r="DW40" s="8">
        <f>+MINVU_Mes_Corriente!DW40*MINVU_Mes_Constante!$DP$1</f>
        <v>36848885.510095015</v>
      </c>
      <c r="DX40" s="8">
        <f>+MINVU_Mes_Corriente!DX40*MINVU_Mes_Constante!$DP$1</f>
        <v>36848885.510095015</v>
      </c>
      <c r="DY40" s="8">
        <f>+MINVU_Mes_Corriente!DY40*MINVU_Mes_Constante!$DP$1</f>
        <v>36848885.510095015</v>
      </c>
      <c r="DZ40" s="8">
        <f>+MINVU_Mes_Corriente!DZ40*MINVU_Mes_Constante!$DP$1</f>
        <v>29085563.490498815</v>
      </c>
      <c r="EA40" s="8">
        <f>+MINVU_Mes_Corriente!EA40*MINVU_Mes_Constante!$DP$1</f>
        <v>18059443.09382423</v>
      </c>
      <c r="EB40" s="9">
        <f t="shared" si="28"/>
        <v>18059443.09382423</v>
      </c>
      <c r="EC40" s="8">
        <f>+MINVU_Mes_Corriente!EC40*MINVU_Mes_Constante!$EC$1</f>
        <v>29294916.990721446</v>
      </c>
      <c r="ED40" s="8">
        <f>+MINVU_Mes_Corriente!ED40*MINVU_Mes_Constante!$EC$1</f>
        <v>29294916.990721446</v>
      </c>
      <c r="EE40" s="8">
        <f>+MINVU_Mes_Corriente!EE40*MINVU_Mes_Constante!$EC$1</f>
        <v>29294916.990721446</v>
      </c>
      <c r="EF40" s="8">
        <f>+MINVU_Mes_Corriente!EF40*MINVU_Mes_Constante!$EC$1</f>
        <v>29294916.990721446</v>
      </c>
      <c r="EG40" s="8">
        <f>+MINVU_Mes_Corriente!EG40*MINVU_Mes_Constante!$EC$1</f>
        <v>28972932.053398967</v>
      </c>
      <c r="EH40" s="8">
        <f>+MINVU_Mes_Corriente!EH40*MINVU_Mes_Constante!$EC$1</f>
        <v>28972932.053398967</v>
      </c>
      <c r="EI40" s="8">
        <f>+MINVU_Mes_Corriente!EI40*MINVU_Mes_Constante!$EC$1</f>
        <v>27879029.664268121</v>
      </c>
      <c r="EJ40" s="8">
        <f>+MINVU_Mes_Corriente!EJ40*MINVU_Mes_Constante!$EC$1</f>
        <v>27879029.664268121</v>
      </c>
      <c r="EK40" s="8">
        <f>+MINVU_Mes_Corriente!EK40*MINVU_Mes_Constante!$EC$1</f>
        <v>27228667.841696639</v>
      </c>
      <c r="EL40" s="8">
        <f>+MINVU_Mes_Corriente!EL40*MINVU_Mes_Constante!$EC$1</f>
        <v>27228667.841696639</v>
      </c>
      <c r="EM40" s="8">
        <f>+MINVU_Mes_Corriente!EM40*MINVU_Mes_Constante!$EC$1</f>
        <v>27039034.191251647</v>
      </c>
      <c r="EN40" s="8">
        <f>+MINVU_Mes_Corriente!EN40*MINVU_Mes_Constante!$EC$1</f>
        <v>20744968.204317357</v>
      </c>
      <c r="EO40" s="9">
        <f t="shared" si="29"/>
        <v>20744968.204317357</v>
      </c>
      <c r="EP40" s="8">
        <f>+MINVU_Mes_Corriente!EP40*MINVU_Mes_Constante!$EP$1</f>
        <v>30628977</v>
      </c>
      <c r="EQ40" s="8">
        <f>+MINVU_Mes_Corriente!EQ40*MINVU_Mes_Constante!$EP$1</f>
        <v>30628977</v>
      </c>
      <c r="ER40" s="8">
        <f>+MINVU_Mes_Corriente!ER40*MINVU_Mes_Constante!$EP$1</f>
        <v>30628977</v>
      </c>
      <c r="ES40" s="8">
        <f>+MINVU_Mes_Corriente!ES40*MINVU_Mes_Constante!$EP$1</f>
        <v>30628977</v>
      </c>
      <c r="ET40" s="8">
        <f>+MINVU_Mes_Corriente!ET40*MINVU_Mes_Constante!$EP$1</f>
        <v>30628977</v>
      </c>
      <c r="EU40" s="8">
        <f>+MINVU_Mes_Corriente!EU40*MINVU_Mes_Constante!$EP$1</f>
        <v>30628977</v>
      </c>
      <c r="EV40" s="8">
        <f>+MINVU_Mes_Corriente!EV40*MINVU_Mes_Constante!$EP$1</f>
        <v>27628977</v>
      </c>
      <c r="EW40" s="8">
        <f>+MINVU_Mes_Corriente!EW40*MINVU_Mes_Constante!$EP$1</f>
        <v>27628977</v>
      </c>
      <c r="EX40" s="8">
        <f>+MINVU_Mes_Corriente!EX40*MINVU_Mes_Constante!$EP$1</f>
        <v>27628977</v>
      </c>
      <c r="EY40" s="8">
        <f>+MINVU_Mes_Corriente!EY40*MINVU_Mes_Constante!$EP$1</f>
        <v>24859588</v>
      </c>
      <c r="EZ40" s="8">
        <f>+MINVU_Mes_Corriente!EZ40*MINVU_Mes_Constante!$EP$1</f>
        <v>24859588</v>
      </c>
      <c r="FA40" s="8">
        <f>+MINVU_Mes_Corriente!FA40*MINVU_Mes_Constante!$EP$1</f>
        <v>17628176</v>
      </c>
      <c r="FB40" s="9">
        <f t="shared" si="30"/>
        <v>17628176</v>
      </c>
      <c r="FC40" s="8">
        <f>+MINVU_Mes_Corriente!FC40*MINVU_Mes_Constante!$FC$1</f>
        <v>25030745</v>
      </c>
      <c r="FD40" s="8">
        <f>+MINVU_Mes_Corriente!FD40*MINVU_Mes_Constante!$FC$1</f>
        <v>25030745</v>
      </c>
      <c r="FE40" s="8">
        <f>+MINVU_Mes_Corriente!FE40*MINVU_Mes_Constante!$FC$1</f>
        <v>25030745</v>
      </c>
      <c r="FF40" s="8">
        <f>+MINVU_Mes_Corriente!FF40*MINVU_Mes_Constante!$FC$1</f>
        <v>25030745</v>
      </c>
      <c r="FG40" s="8">
        <f>+MINVU_Mes_Corriente!FG40*MINVU_Mes_Constante!$FC$1</f>
        <v>25030745</v>
      </c>
      <c r="FH40" s="8">
        <f>+MINVU_Mes_Corriente!FH40*MINVU_Mes_Constante!$FC$1</f>
        <v>24845745</v>
      </c>
      <c r="FI40" s="8">
        <f>+MINVU_Mes_Corriente!FI40*MINVU_Mes_Constante!$FC$1</f>
        <v>24845745</v>
      </c>
      <c r="FJ40" s="8"/>
      <c r="FK40" s="8"/>
      <c r="FL40" s="8"/>
      <c r="FM40" s="8"/>
      <c r="FN40" s="8"/>
      <c r="FO40" s="9">
        <f t="shared" si="31"/>
        <v>24845745</v>
      </c>
    </row>
    <row r="41" spans="2:171" ht="14.25" customHeight="1" x14ac:dyDescent="0.3">
      <c r="B41" s="7" t="s">
        <v>54</v>
      </c>
      <c r="C41" s="8">
        <f>+MINVU_Mes_Corriente!C41*MINVU_Mes_Constante!$C$1</f>
        <v>0</v>
      </c>
      <c r="D41" s="8">
        <f>+MINVU_Mes_Corriente!D41*MINVU_Mes_Constante!$C$1</f>
        <v>0</v>
      </c>
      <c r="E41" s="8">
        <f>+MINVU_Mes_Corriente!E41*MINVU_Mes_Constante!$C$1</f>
        <v>0</v>
      </c>
      <c r="F41" s="8">
        <f>+MINVU_Mes_Corriente!F41*MINVU_Mes_Constante!$C$1</f>
        <v>0</v>
      </c>
      <c r="G41" s="8">
        <f>+MINVU_Mes_Corriente!G41*MINVU_Mes_Constante!$C$1</f>
        <v>0</v>
      </c>
      <c r="H41" s="8">
        <f>+MINVU_Mes_Corriente!H41*MINVU_Mes_Constante!$C$1</f>
        <v>0</v>
      </c>
      <c r="I41" s="8">
        <f>+MINVU_Mes_Corriente!I41*MINVU_Mes_Constante!$C$1</f>
        <v>0</v>
      </c>
      <c r="J41" s="8">
        <f>+MINVU_Mes_Corriente!J41*MINVU_Mes_Constante!$C$1</f>
        <v>0</v>
      </c>
      <c r="K41" s="8">
        <f>+MINVU_Mes_Corriente!K41*MINVU_Mes_Constante!$C$1</f>
        <v>0</v>
      </c>
      <c r="L41" s="8">
        <f>+MINVU_Mes_Corriente!L41*MINVU_Mes_Constante!$C$1</f>
        <v>0</v>
      </c>
      <c r="M41" s="8">
        <f>+MINVU_Mes_Corriente!M41*MINVU_Mes_Constante!$C$1</f>
        <v>0</v>
      </c>
      <c r="N41" s="8">
        <f>+MINVU_Mes_Corriente!N41*MINVU_Mes_Constante!$C$1</f>
        <v>0</v>
      </c>
      <c r="O41" s="9">
        <f t="shared" si="19"/>
        <v>0</v>
      </c>
      <c r="P41" s="8">
        <f>+MINVU_Mes_Corriente!P41*MINVU_Mes_Constante!$P$1</f>
        <v>0</v>
      </c>
      <c r="Q41" s="8">
        <f>+MINVU_Mes_Corriente!Q41*MINVU_Mes_Constante!$P$1</f>
        <v>0</v>
      </c>
      <c r="R41" s="8">
        <f>+MINVU_Mes_Corriente!R41*MINVU_Mes_Constante!$P$1</f>
        <v>0</v>
      </c>
      <c r="S41" s="8">
        <f>+MINVU_Mes_Corriente!S41*MINVU_Mes_Constante!$P$1</f>
        <v>0</v>
      </c>
      <c r="T41" s="8">
        <f>+MINVU_Mes_Corriente!T41*MINVU_Mes_Constante!$P$1</f>
        <v>0</v>
      </c>
      <c r="U41" s="8">
        <f>+MINVU_Mes_Corriente!U41*MINVU_Mes_Constante!$P$1</f>
        <v>0</v>
      </c>
      <c r="V41" s="8">
        <f>+MINVU_Mes_Corriente!V41*MINVU_Mes_Constante!$P$1</f>
        <v>0</v>
      </c>
      <c r="W41" s="8">
        <f>+MINVU_Mes_Corriente!W41*MINVU_Mes_Constante!$P$1</f>
        <v>0</v>
      </c>
      <c r="X41" s="8">
        <f>+MINVU_Mes_Corriente!X41*MINVU_Mes_Constante!$P$1</f>
        <v>0</v>
      </c>
      <c r="Y41" s="8">
        <f>+MINVU_Mes_Corriente!Y41*MINVU_Mes_Constante!$P$1</f>
        <v>0</v>
      </c>
      <c r="Z41" s="8">
        <f>+MINVU_Mes_Corriente!Z41*MINVU_Mes_Constante!$P$1</f>
        <v>0</v>
      </c>
      <c r="AA41" s="8">
        <f>+MINVU_Mes_Corriente!AA41*MINVU_Mes_Constante!$P$1</f>
        <v>0</v>
      </c>
      <c r="AB41" s="9">
        <f t="shared" si="20"/>
        <v>0</v>
      </c>
      <c r="AC41" s="8">
        <f>+MINVU_Mes_Corriente!AC41*MINVU_Mes_Constante!$AC$1</f>
        <v>0</v>
      </c>
      <c r="AD41" s="8">
        <f>+MINVU_Mes_Corriente!AD41*MINVU_Mes_Constante!$AC$1</f>
        <v>0</v>
      </c>
      <c r="AE41" s="8">
        <f>+MINVU_Mes_Corriente!AE41*MINVU_Mes_Constante!$AC$1</f>
        <v>0</v>
      </c>
      <c r="AF41" s="8">
        <f>+MINVU_Mes_Corriente!AF41*MINVU_Mes_Constante!$AC$1</f>
        <v>0</v>
      </c>
      <c r="AG41" s="8">
        <f>+MINVU_Mes_Corriente!AG41*MINVU_Mes_Constante!$AC$1</f>
        <v>0</v>
      </c>
      <c r="AH41" s="8">
        <f>+MINVU_Mes_Corriente!AH41*MINVU_Mes_Constante!$AC$1</f>
        <v>0</v>
      </c>
      <c r="AI41" s="8">
        <f>+MINVU_Mes_Corriente!AI41*MINVU_Mes_Constante!$AC$1</f>
        <v>0</v>
      </c>
      <c r="AJ41" s="8">
        <f>+MINVU_Mes_Corriente!AJ41*MINVU_Mes_Constante!$AC$1</f>
        <v>0</v>
      </c>
      <c r="AK41" s="8">
        <f>+MINVU_Mes_Corriente!AK41*MINVU_Mes_Constante!$AC$1</f>
        <v>0</v>
      </c>
      <c r="AL41" s="8">
        <f>+MINVU_Mes_Corriente!AL41*MINVU_Mes_Constante!$AC$1</f>
        <v>0</v>
      </c>
      <c r="AM41" s="8">
        <f>+MINVU_Mes_Corriente!AM41*MINVU_Mes_Constante!$AC$1</f>
        <v>0</v>
      </c>
      <c r="AN41" s="8">
        <f>+MINVU_Mes_Corriente!AN41*MINVU_Mes_Constante!$AC$1</f>
        <v>0</v>
      </c>
      <c r="AO41" s="9">
        <f t="shared" si="21"/>
        <v>0</v>
      </c>
      <c r="AP41" s="8">
        <f>+MINVU_Mes_Corriente!AP41*MINVU_Mes_Constante!$AP$1</f>
        <v>0</v>
      </c>
      <c r="AQ41" s="8">
        <f>+MINVU_Mes_Corriente!AQ41*MINVU_Mes_Constante!$AP$1</f>
        <v>0</v>
      </c>
      <c r="AR41" s="8">
        <f>+MINVU_Mes_Corriente!AR41*MINVU_Mes_Constante!$AP$1</f>
        <v>0</v>
      </c>
      <c r="AS41" s="8">
        <f>+MINVU_Mes_Corriente!AS41*MINVU_Mes_Constante!$AP$1</f>
        <v>0</v>
      </c>
      <c r="AT41" s="8">
        <f>+MINVU_Mes_Corriente!AT41*MINVU_Mes_Constante!$AP$1</f>
        <v>0</v>
      </c>
      <c r="AU41" s="8">
        <f>+MINVU_Mes_Corriente!AU41*MINVU_Mes_Constante!$AP$1</f>
        <v>0</v>
      </c>
      <c r="AV41" s="8">
        <f>+MINVU_Mes_Corriente!AV41*MINVU_Mes_Constante!$AP$1</f>
        <v>0</v>
      </c>
      <c r="AW41" s="8">
        <f>+MINVU_Mes_Corriente!AW41*MINVU_Mes_Constante!$AP$1</f>
        <v>0</v>
      </c>
      <c r="AX41" s="8">
        <f>+MINVU_Mes_Corriente!AX41*MINVU_Mes_Constante!$AP$1</f>
        <v>0</v>
      </c>
      <c r="AY41" s="8">
        <f>+MINVU_Mes_Corriente!AY41*MINVU_Mes_Constante!$AP$1</f>
        <v>0</v>
      </c>
      <c r="AZ41" s="8">
        <f>+MINVU_Mes_Corriente!AZ41*MINVU_Mes_Constante!$AP$1</f>
        <v>0</v>
      </c>
      <c r="BA41" s="8">
        <f>+MINVU_Mes_Corriente!BA41*MINVU_Mes_Constante!$AP$1</f>
        <v>0</v>
      </c>
      <c r="BB41" s="9">
        <f t="shared" si="22"/>
        <v>0</v>
      </c>
      <c r="BC41" s="8">
        <f>+MINVU_Mes_Corriente!BC41*MINVU_Mes_Constante!$BC$1</f>
        <v>0</v>
      </c>
      <c r="BD41" s="8">
        <f>+MINVU_Mes_Corriente!BD41*MINVU_Mes_Constante!$BC$1</f>
        <v>0</v>
      </c>
      <c r="BE41" s="8">
        <f>+MINVU_Mes_Corriente!BE41*MINVU_Mes_Constante!$BC$1</f>
        <v>0</v>
      </c>
      <c r="BF41" s="8">
        <f>+MINVU_Mes_Corriente!BF41*MINVU_Mes_Constante!$BC$1</f>
        <v>0</v>
      </c>
      <c r="BG41" s="8">
        <f>+MINVU_Mes_Corriente!BG41*MINVU_Mes_Constante!$BC$1</f>
        <v>0</v>
      </c>
      <c r="BH41" s="8">
        <f>+MINVU_Mes_Corriente!BH41*MINVU_Mes_Constante!$BC$1</f>
        <v>0</v>
      </c>
      <c r="BI41" s="8">
        <f>+MINVU_Mes_Corriente!BI41*MINVU_Mes_Constante!$BC$1</f>
        <v>0</v>
      </c>
      <c r="BJ41" s="8">
        <f>+MINVU_Mes_Corriente!BJ41*MINVU_Mes_Constante!$BC$1</f>
        <v>0</v>
      </c>
      <c r="BK41" s="8">
        <f>+MINVU_Mes_Corriente!BK41*MINVU_Mes_Constante!$BC$1</f>
        <v>0</v>
      </c>
      <c r="BL41" s="8">
        <f>+MINVU_Mes_Corriente!BL41*MINVU_Mes_Constante!$BC$1</f>
        <v>0</v>
      </c>
      <c r="BM41" s="8">
        <f>+MINVU_Mes_Corriente!BM41*MINVU_Mes_Constante!$BC$1</f>
        <v>0</v>
      </c>
      <c r="BN41" s="8">
        <f>+MINVU_Mes_Corriente!BN41*MINVU_Mes_Constante!$BC$1</f>
        <v>0</v>
      </c>
      <c r="BO41" s="9">
        <f t="shared" si="23"/>
        <v>0</v>
      </c>
      <c r="BP41" s="8">
        <f>+MINVU_Mes_Corriente!BP41*MINVU_Mes_Constante!$BP$1</f>
        <v>4285279.3252240717</v>
      </c>
      <c r="BQ41" s="8">
        <f>+MINVU_Mes_Corriente!BQ41*MINVU_Mes_Constante!$BP$1</f>
        <v>4285279.3252240717</v>
      </c>
      <c r="BR41" s="8">
        <f>+MINVU_Mes_Corriente!BR41*MINVU_Mes_Constante!$BP$1</f>
        <v>4285279.3252240717</v>
      </c>
      <c r="BS41" s="8">
        <f>+MINVU_Mes_Corriente!BS41*MINVU_Mes_Constante!$BP$1</f>
        <v>4285279.3252240717</v>
      </c>
      <c r="BT41" s="8">
        <f>+MINVU_Mes_Corriente!BT41*MINVU_Mes_Constante!$BP$1</f>
        <v>4285279.3252240717</v>
      </c>
      <c r="BU41" s="8">
        <f>+MINVU_Mes_Corriente!BU41*MINVU_Mes_Constante!$BP$1</f>
        <v>4285279.3252240717</v>
      </c>
      <c r="BV41" s="8">
        <f>+MINVU_Mes_Corriente!BV41*MINVU_Mes_Constante!$BP$1</f>
        <v>4285279.3252240717</v>
      </c>
      <c r="BW41" s="8">
        <f>+MINVU_Mes_Corriente!BW41*MINVU_Mes_Constante!$BP$1</f>
        <v>4223276.7234314987</v>
      </c>
      <c r="BX41" s="8">
        <f>+MINVU_Mes_Corriente!BX41*MINVU_Mes_Constante!$BP$1</f>
        <v>4119320.240204866</v>
      </c>
      <c r="BY41" s="8">
        <f>+MINVU_Mes_Corriente!BY41*MINVU_Mes_Constante!$BP$1</f>
        <v>4119320.240204866</v>
      </c>
      <c r="BZ41" s="8">
        <f>+MINVU_Mes_Corriente!BZ41*MINVU_Mes_Constante!$BP$1</f>
        <v>4119320.240204866</v>
      </c>
      <c r="CA41" s="8">
        <f>+MINVU_Mes_Corriente!CA41*MINVU_Mes_Constante!$BP$1</f>
        <v>2206233.5992317544</v>
      </c>
      <c r="CB41" s="9">
        <f t="shared" si="24"/>
        <v>2206233.5992317544</v>
      </c>
      <c r="CC41" s="8">
        <f>+MINVU_Mes_Corriente!CC41*MINVU_Mes_Constante!$CC$1</f>
        <v>10351417.105557628</v>
      </c>
      <c r="CD41" s="8">
        <f>+MINVU_Mes_Corriente!CD41*MINVU_Mes_Constante!$CC$1</f>
        <v>10351417.105557628</v>
      </c>
      <c r="CE41" s="8">
        <f>+MINVU_Mes_Corriente!CE41*MINVU_Mes_Constante!$CC$1</f>
        <v>10351417.105557628</v>
      </c>
      <c r="CF41" s="8">
        <f>+MINVU_Mes_Corriente!CF41*MINVU_Mes_Constante!$CC$1</f>
        <v>10351417.105557628</v>
      </c>
      <c r="CG41" s="8">
        <f>+MINVU_Mes_Corriente!CG41*MINVU_Mes_Constante!$CC$1</f>
        <v>10351417.105557628</v>
      </c>
      <c r="CH41" s="8">
        <f>+MINVU_Mes_Corriente!CH41*MINVU_Mes_Constante!$CC$1</f>
        <v>10351417.105557628</v>
      </c>
      <c r="CI41" s="8">
        <f>+MINVU_Mes_Corriente!CI41*MINVU_Mes_Constante!$CC$1</f>
        <v>13545381.824692281</v>
      </c>
      <c r="CJ41" s="8">
        <f>+MINVU_Mes_Corriente!CJ41*MINVU_Mes_Constante!$CC$1</f>
        <v>13545381.824692281</v>
      </c>
      <c r="CK41" s="8">
        <f>+MINVU_Mes_Corriente!CK41*MINVU_Mes_Constante!$CC$1</f>
        <v>14190527.959716525</v>
      </c>
      <c r="CL41" s="8">
        <f>+MINVU_Mes_Corriente!CL41*MINVU_Mes_Constante!$CC$1</f>
        <v>14238152.44162626</v>
      </c>
      <c r="CM41" s="8">
        <f>+MINVU_Mes_Corriente!CM41*MINVU_Mes_Constante!$CC$1</f>
        <v>14238152.44162626</v>
      </c>
      <c r="CN41" s="8">
        <f>+MINVU_Mes_Corriente!CN41*MINVU_Mes_Constante!$CC$1</f>
        <v>10966504.854158897</v>
      </c>
      <c r="CO41" s="9">
        <f t="shared" si="25"/>
        <v>10966504.854158897</v>
      </c>
      <c r="CP41" s="8">
        <f>+MINVU_Mes_Corriente!CP41*MINVU_Mes_Constante!$CP$1</f>
        <v>33078015.031322498</v>
      </c>
      <c r="CQ41" s="8">
        <f>+MINVU_Mes_Corriente!CQ41*MINVU_Mes_Constante!$CP$1</f>
        <v>38393127.438515075</v>
      </c>
      <c r="CR41" s="8">
        <f>+MINVU_Mes_Corriente!CR41*MINVU_Mes_Constante!$CP$1</f>
        <v>38393127.438515075</v>
      </c>
      <c r="CS41" s="8">
        <f>+MINVU_Mes_Corriente!CS41*MINVU_Mes_Constante!$CP$1</f>
        <v>37326360.710672848</v>
      </c>
      <c r="CT41" s="8">
        <f>+MINVU_Mes_Corriente!CT41*MINVU_Mes_Constante!$CP$1</f>
        <v>39481140.293039434</v>
      </c>
      <c r="CU41" s="8">
        <f>+MINVU_Mes_Corriente!CU41*MINVU_Mes_Constante!$CP$1</f>
        <v>38604042.334106721</v>
      </c>
      <c r="CV41" s="8">
        <f>+MINVU_Mes_Corriente!CV41*MINVU_Mes_Constante!$CP$1</f>
        <v>38619252.542923428</v>
      </c>
      <c r="CW41" s="8">
        <f>+MINVU_Mes_Corriente!CW41*MINVU_Mes_Constante!$CP$1</f>
        <v>38604042.334106721</v>
      </c>
      <c r="CX41" s="8">
        <f>+MINVU_Mes_Corriente!CX41*MINVU_Mes_Constante!$CP$1</f>
        <v>38604042.334106721</v>
      </c>
      <c r="CY41" s="8">
        <f>+MINVU_Mes_Corriente!CY41*MINVU_Mes_Constante!$CP$1</f>
        <v>38604042.334106721</v>
      </c>
      <c r="CZ41" s="8">
        <f>+MINVU_Mes_Corriente!CZ41*MINVU_Mes_Constante!$CP$1</f>
        <v>34959909.524825975</v>
      </c>
      <c r="DA41" s="8">
        <f>+MINVU_Mes_Corriente!DA41*MINVU_Mes_Constante!$CP$1</f>
        <v>30737807.793271456</v>
      </c>
      <c r="DB41" s="9">
        <f t="shared" si="26"/>
        <v>30737807.793271456</v>
      </c>
      <c r="DC41" s="8">
        <f>+MINVU_Mes_Corriente!DC41*MINVU_Mes_Constante!$DC$1</f>
        <v>41496905.28957928</v>
      </c>
      <c r="DD41" s="8">
        <f>+MINVU_Mes_Corriente!DD41*MINVU_Mes_Constante!$DC$1</f>
        <v>44458568.375064313</v>
      </c>
      <c r="DE41" s="8">
        <f>+MINVU_Mes_Corriente!DE41*MINVU_Mes_Constante!$DC$1</f>
        <v>44458568.375064313</v>
      </c>
      <c r="DF41" s="8">
        <f>+MINVU_Mes_Corriente!DF41*MINVU_Mes_Constante!$DC$1</f>
        <v>45175884.271577023</v>
      </c>
      <c r="DG41" s="8">
        <f>+MINVU_Mes_Corriente!DG41*MINVU_Mes_Constante!$DC$1</f>
        <v>45175884.271577023</v>
      </c>
      <c r="DH41" s="8">
        <f>+MINVU_Mes_Corriente!DH41*MINVU_Mes_Constante!$DC$1</f>
        <v>44417366.306552842</v>
      </c>
      <c r="DI41" s="8">
        <f>+MINVU_Mes_Corriente!DI41*MINVU_Mes_Constante!$DC$1</f>
        <v>41921186.113362841</v>
      </c>
      <c r="DJ41" s="8">
        <f>+MINVU_Mes_Corriente!DJ41*MINVU_Mes_Constante!$DC$1</f>
        <v>41864988.19133836</v>
      </c>
      <c r="DK41" s="8">
        <f>+MINVU_Mes_Corriente!DK41*MINVU_Mes_Constante!$DC$1</f>
        <v>35962586.754654884</v>
      </c>
      <c r="DL41" s="8">
        <f>+MINVU_Mes_Corriente!DL41*MINVU_Mes_Constante!$DC$1</f>
        <v>35962586.754654884</v>
      </c>
      <c r="DM41" s="8">
        <f>+MINVU_Mes_Corriente!DM41*MINVU_Mes_Constante!$DC$1</f>
        <v>24073003.696121808</v>
      </c>
      <c r="DN41" s="8">
        <f>+MINVU_Mes_Corriente!DN41*MINVU_Mes_Constante!$DC$1</f>
        <v>22744022.872543987</v>
      </c>
      <c r="DO41" s="9">
        <f t="shared" si="27"/>
        <v>22744022.872543987</v>
      </c>
      <c r="DP41" s="8">
        <f>+MINVU_Mes_Corriente!DP41*MINVU_Mes_Constante!$DP$1</f>
        <v>25628880.518408552</v>
      </c>
      <c r="DQ41" s="8">
        <f>+MINVU_Mes_Corriente!DQ41*MINVU_Mes_Constante!$DP$1</f>
        <v>25628880.518408552</v>
      </c>
      <c r="DR41" s="8">
        <f>+MINVU_Mes_Corriente!DR41*MINVU_Mes_Constante!$DP$1</f>
        <v>25628880.518408552</v>
      </c>
      <c r="DS41" s="8">
        <f>+MINVU_Mes_Corriente!DS41*MINVU_Mes_Constante!$DP$1</f>
        <v>26736964.425178152</v>
      </c>
      <c r="DT41" s="8">
        <f>+MINVU_Mes_Corriente!DT41*MINVU_Mes_Constante!$DP$1</f>
        <v>26951613.178147271</v>
      </c>
      <c r="DU41" s="8">
        <f>+MINVU_Mes_Corriente!DU41*MINVU_Mes_Constante!$DP$1</f>
        <v>26951613.178147271</v>
      </c>
      <c r="DV41" s="8">
        <f>+MINVU_Mes_Corriente!DV41*MINVU_Mes_Constante!$DP$1</f>
        <v>26951613.178147271</v>
      </c>
      <c r="DW41" s="8">
        <f>+MINVU_Mes_Corriente!DW41*MINVU_Mes_Constante!$DP$1</f>
        <v>26951613.178147271</v>
      </c>
      <c r="DX41" s="8">
        <f>+MINVU_Mes_Corriente!DX41*MINVU_Mes_Constante!$DP$1</f>
        <v>26951613.178147271</v>
      </c>
      <c r="DY41" s="8">
        <f>+MINVU_Mes_Corriente!DY41*MINVU_Mes_Constante!$DP$1</f>
        <v>26951613.178147271</v>
      </c>
      <c r="DZ41" s="8">
        <f>+MINVU_Mes_Corriente!DZ41*MINVU_Mes_Constante!$DP$1</f>
        <v>27466337.643705465</v>
      </c>
      <c r="EA41" s="8">
        <f>+MINVU_Mes_Corriente!EA41*MINVU_Mes_Constante!$DP$1</f>
        <v>25890915.281472687</v>
      </c>
      <c r="EB41" s="9">
        <f t="shared" si="28"/>
        <v>25890915.281472687</v>
      </c>
      <c r="EC41" s="8">
        <f>+MINVU_Mes_Corriente!EC41*MINVU_Mes_Constante!$EC$1</f>
        <v>23910100.682635859</v>
      </c>
      <c r="ED41" s="8">
        <f>+MINVU_Mes_Corriente!ED41*MINVU_Mes_Constante!$EC$1</f>
        <v>23910100.682635859</v>
      </c>
      <c r="EE41" s="8">
        <f>+MINVU_Mes_Corriente!EE41*MINVU_Mes_Constante!$EC$1</f>
        <v>23910100.682635859</v>
      </c>
      <c r="EF41" s="8">
        <f>+MINVU_Mes_Corriente!EF41*MINVU_Mes_Constante!$EC$1</f>
        <v>23910100.682635859</v>
      </c>
      <c r="EG41" s="8">
        <f>+MINVU_Mes_Corriente!EG41*MINVU_Mes_Constante!$EC$1</f>
        <v>23910100.682635859</v>
      </c>
      <c r="EH41" s="8">
        <f>+MINVU_Mes_Corriente!EH41*MINVU_Mes_Constante!$EC$1</f>
        <v>26719651.963264525</v>
      </c>
      <c r="EI41" s="8">
        <f>+MINVU_Mes_Corriente!EI41*MINVU_Mes_Constante!$EC$1</f>
        <v>27608687.197311107</v>
      </c>
      <c r="EJ41" s="8">
        <f>+MINVU_Mes_Corriente!EJ41*MINVU_Mes_Constante!$EC$1</f>
        <v>27608687.197311107</v>
      </c>
      <c r="EK41" s="8">
        <f>+MINVU_Mes_Corriente!EK41*MINVU_Mes_Constante!$EC$1</f>
        <v>26591809.901344433</v>
      </c>
      <c r="EL41" s="8">
        <f>+MINVU_Mes_Corriente!EL41*MINVU_Mes_Constante!$EC$1</f>
        <v>26591809.901344433</v>
      </c>
      <c r="EM41" s="8">
        <f>+MINVU_Mes_Corriente!EM41*MINVU_Mes_Constante!$EC$1</f>
        <v>26591809.901344433</v>
      </c>
      <c r="EN41" s="8">
        <f>+MINVU_Mes_Corriente!EN41*MINVU_Mes_Constante!$EC$1</f>
        <v>19778936.842075359</v>
      </c>
      <c r="EO41" s="9">
        <f t="shared" si="29"/>
        <v>19778936.842075359</v>
      </c>
      <c r="EP41" s="8">
        <f>+MINVU_Mes_Corriente!EP41*MINVU_Mes_Constante!$EP$1</f>
        <v>22079448</v>
      </c>
      <c r="EQ41" s="8">
        <f>+MINVU_Mes_Corriente!EQ41*MINVU_Mes_Constante!$EP$1</f>
        <v>22079448</v>
      </c>
      <c r="ER41" s="8">
        <f>+MINVU_Mes_Corriente!ER41*MINVU_Mes_Constante!$EP$1</f>
        <v>22079448</v>
      </c>
      <c r="ES41" s="8">
        <f>+MINVU_Mes_Corriente!ES41*MINVU_Mes_Constante!$EP$1</f>
        <v>22079448</v>
      </c>
      <c r="ET41" s="8">
        <f>+MINVU_Mes_Corriente!ET41*MINVU_Mes_Constante!$EP$1</f>
        <v>22234448</v>
      </c>
      <c r="EU41" s="8">
        <f>+MINVU_Mes_Corriente!EU41*MINVU_Mes_Constante!$EP$1</f>
        <v>22234448</v>
      </c>
      <c r="EV41" s="8">
        <f>+MINVU_Mes_Corriente!EV41*MINVU_Mes_Constante!$EP$1</f>
        <v>22234448</v>
      </c>
      <c r="EW41" s="8">
        <f>+MINVU_Mes_Corriente!EW41*MINVU_Mes_Constante!$EP$1</f>
        <v>22234448</v>
      </c>
      <c r="EX41" s="8">
        <f>+MINVU_Mes_Corriente!EX41*MINVU_Mes_Constante!$EP$1</f>
        <v>22234448</v>
      </c>
      <c r="EY41" s="8">
        <f>+MINVU_Mes_Corriente!EY41*MINVU_Mes_Constante!$EP$1</f>
        <v>21553827</v>
      </c>
      <c r="EZ41" s="8">
        <f>+MINVU_Mes_Corriente!EZ41*MINVU_Mes_Constante!$EP$1</f>
        <v>21553827</v>
      </c>
      <c r="FA41" s="8">
        <f>+MINVU_Mes_Corriente!FA41*MINVU_Mes_Constante!$EP$1</f>
        <v>21538828</v>
      </c>
      <c r="FB41" s="9">
        <f t="shared" si="30"/>
        <v>21538828</v>
      </c>
      <c r="FC41" s="8">
        <f>+MINVU_Mes_Corriente!FC41*MINVU_Mes_Constante!$FC$1</f>
        <v>24086756</v>
      </c>
      <c r="FD41" s="8">
        <f>+MINVU_Mes_Corriente!FD41*MINVU_Mes_Constante!$FC$1</f>
        <v>21586756</v>
      </c>
      <c r="FE41" s="8">
        <f>+MINVU_Mes_Corriente!FE41*MINVU_Mes_Constante!$FC$1</f>
        <v>21586756</v>
      </c>
      <c r="FF41" s="8">
        <f>+MINVU_Mes_Corriente!FF41*MINVU_Mes_Constante!$FC$1</f>
        <v>21586756</v>
      </c>
      <c r="FG41" s="8">
        <f>+MINVU_Mes_Corriente!FG41*MINVU_Mes_Constante!$FC$1</f>
        <v>21586756</v>
      </c>
      <c r="FH41" s="8">
        <f>+MINVU_Mes_Corriente!FH41*MINVU_Mes_Constante!$FC$1</f>
        <v>21586756</v>
      </c>
      <c r="FI41" s="8">
        <f>+MINVU_Mes_Corriente!FI41*MINVU_Mes_Constante!$FC$1</f>
        <v>20525037</v>
      </c>
      <c r="FJ41" s="8"/>
      <c r="FK41" s="8"/>
      <c r="FL41" s="8"/>
      <c r="FM41" s="8"/>
      <c r="FN41" s="8"/>
      <c r="FO41" s="9">
        <f t="shared" si="31"/>
        <v>20525037</v>
      </c>
    </row>
    <row r="42" spans="2:171" ht="14.25" customHeight="1" x14ac:dyDescent="0.3">
      <c r="B42" s="7" t="s">
        <v>55</v>
      </c>
      <c r="C42" s="8">
        <f>+MINVU_Mes_Corriente!C42*MINVU_Mes_Constante!$C$1</f>
        <v>79906366.869939208</v>
      </c>
      <c r="D42" s="8">
        <f>+MINVU_Mes_Corriente!D42*MINVU_Mes_Constante!$C$1</f>
        <v>79906366.869939208</v>
      </c>
      <c r="E42" s="8">
        <f>+MINVU_Mes_Corriente!E42*MINVU_Mes_Constante!$C$1</f>
        <v>80598814.069998533</v>
      </c>
      <c r="F42" s="8">
        <f>+MINVU_Mes_Corriente!F42*MINVU_Mes_Constante!$C$1</f>
        <v>80598814.069998533</v>
      </c>
      <c r="G42" s="8">
        <f>+MINVU_Mes_Corriente!G42*MINVU_Mes_Constante!$C$1</f>
        <v>80436779.367343917</v>
      </c>
      <c r="H42" s="8">
        <f>+MINVU_Mes_Corriente!H42*MINVU_Mes_Constante!$C$1</f>
        <v>80436779.367343917</v>
      </c>
      <c r="I42" s="8">
        <f>+MINVU_Mes_Corriente!I42*MINVU_Mes_Constante!$C$1</f>
        <v>80436779.367343917</v>
      </c>
      <c r="J42" s="8">
        <f>+MINVU_Mes_Corriente!J42*MINVU_Mes_Constante!$C$1</f>
        <v>80436779.367343917</v>
      </c>
      <c r="K42" s="8">
        <f>+MINVU_Mes_Corriente!K42*MINVU_Mes_Constante!$C$1</f>
        <v>84088498.748924822</v>
      </c>
      <c r="L42" s="8">
        <f>+MINVU_Mes_Corriente!L42*MINVU_Mes_Constante!$C$1</f>
        <v>84088498.748924822</v>
      </c>
      <c r="M42" s="8">
        <f>+MINVU_Mes_Corriente!M42*MINVU_Mes_Constante!$C$1</f>
        <v>84122736.681595743</v>
      </c>
      <c r="N42" s="8">
        <f>+MINVU_Mes_Corriente!N42*MINVU_Mes_Constante!$C$1</f>
        <v>83772414.413762435</v>
      </c>
      <c r="O42" s="9">
        <f t="shared" si="19"/>
        <v>83772414.413762435</v>
      </c>
      <c r="P42" s="8">
        <f>+MINVU_Mes_Corriente!P42*MINVU_Mes_Constante!$P$1</f>
        <v>109769641.47719842</v>
      </c>
      <c r="Q42" s="8">
        <f>+MINVU_Mes_Corriente!Q42*MINVU_Mes_Constante!$P$1</f>
        <v>106245237.35757916</v>
      </c>
      <c r="R42" s="8">
        <f>+MINVU_Mes_Corriente!R42*MINVU_Mes_Constante!$P$1</f>
        <v>99064080.007671505</v>
      </c>
      <c r="S42" s="8">
        <f>+MINVU_Mes_Corriente!S42*MINVU_Mes_Constante!$P$1</f>
        <v>99064080.007671505</v>
      </c>
      <c r="T42" s="8">
        <f>+MINVU_Mes_Corriente!T42*MINVU_Mes_Constante!$P$1</f>
        <v>99064080.007671505</v>
      </c>
      <c r="U42" s="8">
        <f>+MINVU_Mes_Corriente!U42*MINVU_Mes_Constante!$P$1</f>
        <v>98973606.394658297</v>
      </c>
      <c r="V42" s="8">
        <f>+MINVU_Mes_Corriente!V42*MINVU_Mes_Constante!$P$1</f>
        <v>98973606.394658297</v>
      </c>
      <c r="W42" s="8">
        <f>+MINVU_Mes_Corriente!W42*MINVU_Mes_Constante!$P$1</f>
        <v>97938750.126154244</v>
      </c>
      <c r="X42" s="8">
        <f>+MINVU_Mes_Corriente!X42*MINVU_Mes_Constante!$P$1</f>
        <v>94045820.517118871</v>
      </c>
      <c r="Y42" s="8">
        <f>+MINVU_Mes_Corriente!Y42*MINVU_Mes_Constante!$P$1</f>
        <v>89447826.302599773</v>
      </c>
      <c r="Z42" s="8">
        <f>+MINVU_Mes_Corriente!Z42*MINVU_Mes_Constante!$P$1</f>
        <v>89054510.48131834</v>
      </c>
      <c r="AA42" s="8">
        <f>+MINVU_Mes_Corriente!AA42*MINVU_Mes_Constante!$P$1</f>
        <v>83366924.448074982</v>
      </c>
      <c r="AB42" s="9">
        <f t="shared" si="20"/>
        <v>83366924.448074982</v>
      </c>
      <c r="AC42" s="8">
        <f>+MINVU_Mes_Corriente!AC42*MINVU_Mes_Constante!$AC$1</f>
        <v>78421684.663715586</v>
      </c>
      <c r="AD42" s="8">
        <f>+MINVU_Mes_Corriente!AD42*MINVU_Mes_Constante!$AC$1</f>
        <v>78372625.72969982</v>
      </c>
      <c r="AE42" s="8">
        <f>+MINVU_Mes_Corriente!AE42*MINVU_Mes_Constante!$AC$1</f>
        <v>74540707.193526074</v>
      </c>
      <c r="AF42" s="8">
        <f>+MINVU_Mes_Corriente!AF42*MINVU_Mes_Constante!$AC$1</f>
        <v>73080772.020473093</v>
      </c>
      <c r="AG42" s="8">
        <f>+MINVU_Mes_Corriente!AG42*MINVU_Mes_Constante!$AC$1</f>
        <v>72137460.265596896</v>
      </c>
      <c r="AH42" s="8">
        <f>+MINVU_Mes_Corriente!AH42*MINVU_Mes_Constante!$AC$1</f>
        <v>72137460.265596896</v>
      </c>
      <c r="AI42" s="8">
        <f>+MINVU_Mes_Corriente!AI42*MINVU_Mes_Constante!$AC$1</f>
        <v>71190286.852123395</v>
      </c>
      <c r="AJ42" s="8">
        <f>+MINVU_Mes_Corriente!AJ42*MINVU_Mes_Constante!$AC$1</f>
        <v>71190286.852123395</v>
      </c>
      <c r="AK42" s="8">
        <f>+MINVU_Mes_Corriente!AK42*MINVU_Mes_Constante!$AC$1</f>
        <v>71190286.852123395</v>
      </c>
      <c r="AL42" s="8">
        <f>+MINVU_Mes_Corriente!AL42*MINVU_Mes_Constante!$AC$1</f>
        <v>71395838.934015766</v>
      </c>
      <c r="AM42" s="8">
        <f>+MINVU_Mes_Corriente!AM42*MINVU_Mes_Constante!$AC$1</f>
        <v>71681896.395628721</v>
      </c>
      <c r="AN42" s="8">
        <f>+MINVU_Mes_Corriente!AN42*MINVU_Mes_Constante!$AC$1</f>
        <v>72776802.810900539</v>
      </c>
      <c r="AO42" s="9">
        <f t="shared" si="21"/>
        <v>72776802.810900539</v>
      </c>
      <c r="AP42" s="8">
        <f>+MINVU_Mes_Corriente!AP42*MINVU_Mes_Constante!$AP$1</f>
        <v>88500625.124036238</v>
      </c>
      <c r="AQ42" s="8">
        <f>+MINVU_Mes_Corriente!AQ42*MINVU_Mes_Constante!$AP$1</f>
        <v>88971513.112403616</v>
      </c>
      <c r="AR42" s="8">
        <f>+MINVU_Mes_Corriente!AR42*MINVU_Mes_Constante!$AP$1</f>
        <v>88971513.112403616</v>
      </c>
      <c r="AS42" s="8">
        <f>+MINVU_Mes_Corriente!AS42*MINVU_Mes_Constante!$AP$1</f>
        <v>88971513.112403616</v>
      </c>
      <c r="AT42" s="8">
        <f>+MINVU_Mes_Corriente!AT42*MINVU_Mes_Constante!$AP$1</f>
        <v>99351779.142161503</v>
      </c>
      <c r="AU42" s="8">
        <f>+MINVU_Mes_Corriente!AU42*MINVU_Mes_Constante!$AP$1</f>
        <v>99300316.248613551</v>
      </c>
      <c r="AV42" s="8">
        <f>+MINVU_Mes_Corriente!AV42*MINVU_Mes_Constante!$AP$1</f>
        <v>98228489.392939255</v>
      </c>
      <c r="AW42" s="8">
        <f>+MINVU_Mes_Corriente!AW42*MINVU_Mes_Constante!$AP$1</f>
        <v>97310492.577573374</v>
      </c>
      <c r="AX42" s="8">
        <f>+MINVU_Mes_Corriente!AX42*MINVU_Mes_Constante!$AP$1</f>
        <v>97317261.288516164</v>
      </c>
      <c r="AY42" s="8">
        <f>+MINVU_Mes_Corriente!AY42*MINVU_Mes_Constante!$AP$1</f>
        <v>96484381.752198026</v>
      </c>
      <c r="AZ42" s="8">
        <f>+MINVU_Mes_Corriente!AZ42*MINVU_Mes_Constante!$AP$1</f>
        <v>92616580.707966983</v>
      </c>
      <c r="BA42" s="8">
        <f>+MINVU_Mes_Corriente!BA42*MINVU_Mes_Constante!$AP$1</f>
        <v>90272351.470039219</v>
      </c>
      <c r="BB42" s="9">
        <f t="shared" si="22"/>
        <v>90272351.470039219</v>
      </c>
      <c r="BC42" s="8">
        <f>+MINVU_Mes_Corriente!BC42*MINVU_Mes_Constante!$BC$1</f>
        <v>79146070.88909404</v>
      </c>
      <c r="BD42" s="8">
        <f>+MINVU_Mes_Corriente!BD42*MINVU_Mes_Constante!$BC$1</f>
        <v>79317820.750626415</v>
      </c>
      <c r="BE42" s="8">
        <f>+MINVU_Mes_Corriente!BE42*MINVU_Mes_Constante!$BC$1</f>
        <v>79317820.750626415</v>
      </c>
      <c r="BF42" s="8">
        <f>+MINVU_Mes_Corriente!BF42*MINVU_Mes_Constante!$BC$1</f>
        <v>79317820.750626415</v>
      </c>
      <c r="BG42" s="8">
        <f>+MINVU_Mes_Corriente!BG42*MINVU_Mes_Constante!$BC$1</f>
        <v>78737288.92839247</v>
      </c>
      <c r="BH42" s="8">
        <f>+MINVU_Mes_Corriente!BH42*MINVU_Mes_Constante!$BC$1</f>
        <v>70617687.429249659</v>
      </c>
      <c r="BI42" s="8">
        <f>+MINVU_Mes_Corriente!BI42*MINVU_Mes_Constante!$BC$1</f>
        <v>70555442.512989596</v>
      </c>
      <c r="BJ42" s="8">
        <f>+MINVU_Mes_Corriente!BJ42*MINVU_Mes_Constante!$BC$1</f>
        <v>72093805.446393266</v>
      </c>
      <c r="BK42" s="8">
        <f>+MINVU_Mes_Corriente!BK42*MINVU_Mes_Constante!$BC$1</f>
        <v>72093805.446393266</v>
      </c>
      <c r="BL42" s="8">
        <f>+MINVU_Mes_Corriente!BL42*MINVU_Mes_Constante!$BC$1</f>
        <v>72215494.257681668</v>
      </c>
      <c r="BM42" s="8">
        <f>+MINVU_Mes_Corriente!BM42*MINVU_Mes_Constante!$BC$1</f>
        <v>72215494.257681668</v>
      </c>
      <c r="BN42" s="8">
        <f>+MINVU_Mes_Corriente!BN42*MINVU_Mes_Constante!$BC$1</f>
        <v>64313585.70803114</v>
      </c>
      <c r="BO42" s="9">
        <f t="shared" si="23"/>
        <v>64313585.70803114</v>
      </c>
      <c r="BP42" s="8">
        <f>+MINVU_Mes_Corriente!BP42*MINVU_Mes_Constante!$BP$1</f>
        <v>46486179.292701669</v>
      </c>
      <c r="BQ42" s="8">
        <f>+MINVU_Mes_Corriente!BQ42*MINVU_Mes_Constante!$BP$1</f>
        <v>46486179.292701669</v>
      </c>
      <c r="BR42" s="8">
        <f>+MINVU_Mes_Corriente!BR42*MINVU_Mes_Constante!$BP$1</f>
        <v>46578264.068373881</v>
      </c>
      <c r="BS42" s="8">
        <f>+MINVU_Mes_Corriente!BS42*MINVU_Mes_Constante!$BP$1</f>
        <v>46578264.068373881</v>
      </c>
      <c r="BT42" s="8">
        <f>+MINVU_Mes_Corriente!BT42*MINVU_Mes_Constante!$BP$1</f>
        <v>46578264.068373881</v>
      </c>
      <c r="BU42" s="8">
        <f>+MINVU_Mes_Corriente!BU42*MINVU_Mes_Constante!$BP$1</f>
        <v>44759595.69449424</v>
      </c>
      <c r="BV42" s="8">
        <f>+MINVU_Mes_Corriente!BV42*MINVU_Mes_Constante!$BP$1</f>
        <v>47572117.37055058</v>
      </c>
      <c r="BW42" s="8">
        <f>+MINVU_Mes_Corriente!BW42*MINVU_Mes_Constante!$BP$1</f>
        <v>47585721.009987198</v>
      </c>
      <c r="BX42" s="8">
        <f>+MINVU_Mes_Corriente!BX42*MINVU_Mes_Constante!$BP$1</f>
        <v>47585721.009987198</v>
      </c>
      <c r="BY42" s="8">
        <f>+MINVU_Mes_Corriente!BY42*MINVU_Mes_Constante!$BP$1</f>
        <v>47585721.009987198</v>
      </c>
      <c r="BZ42" s="8">
        <f>+MINVU_Mes_Corriente!BZ42*MINVU_Mes_Constante!$BP$1</f>
        <v>47585721.009987198</v>
      </c>
      <c r="CA42" s="8">
        <f>+MINVU_Mes_Corriente!CA42*MINVU_Mes_Constante!$BP$1</f>
        <v>48495684.73597952</v>
      </c>
      <c r="CB42" s="9">
        <f t="shared" si="24"/>
        <v>48495684.73597952</v>
      </c>
      <c r="CC42" s="8">
        <f>+MINVU_Mes_Corriente!CC42*MINVU_Mes_Constante!$CC$1</f>
        <v>46515303.406191722</v>
      </c>
      <c r="CD42" s="8">
        <f>+MINVU_Mes_Corriente!CD42*MINVU_Mes_Constante!$CC$1</f>
        <v>46515303.406191722</v>
      </c>
      <c r="CE42" s="8">
        <f>+MINVU_Mes_Corriente!CE42*MINVU_Mes_Constante!$CC$1</f>
        <v>46515303.406191722</v>
      </c>
      <c r="CF42" s="8">
        <f>+MINVU_Mes_Corriente!CF42*MINVU_Mes_Constante!$CC$1</f>
        <v>46032236.459530033</v>
      </c>
      <c r="CG42" s="8">
        <f>+MINVU_Mes_Corriente!CG42*MINVU_Mes_Constante!$CC$1</f>
        <v>46032236.459530033</v>
      </c>
      <c r="CH42" s="8">
        <f>+MINVU_Mes_Corriente!CH42*MINVU_Mes_Constante!$CC$1</f>
        <v>49538799.160014927</v>
      </c>
      <c r="CI42" s="8">
        <f>+MINVU_Mes_Corriente!CI42*MINVU_Mes_Constante!$CC$1</f>
        <v>42940280.343155541</v>
      </c>
      <c r="CJ42" s="8">
        <f>+MINVU_Mes_Corriente!CJ42*MINVU_Mes_Constante!$CC$1</f>
        <v>42940280.343155541</v>
      </c>
      <c r="CK42" s="8">
        <f>+MINVU_Mes_Corriente!CK42*MINVU_Mes_Constante!$CC$1</f>
        <v>41572182.944423728</v>
      </c>
      <c r="CL42" s="8">
        <f>+MINVU_Mes_Corriente!CL42*MINVU_Mes_Constante!$CC$1</f>
        <v>41572182.944423728</v>
      </c>
      <c r="CM42" s="8">
        <f>+MINVU_Mes_Corriente!CM42*MINVU_Mes_Constante!$CC$1</f>
        <v>41552132.246922791</v>
      </c>
      <c r="CN42" s="8">
        <f>+MINVU_Mes_Corriente!CN42*MINVU_Mes_Constante!$CC$1</f>
        <v>39712920.888474457</v>
      </c>
      <c r="CO42" s="9">
        <f t="shared" si="25"/>
        <v>39712920.888474457</v>
      </c>
      <c r="CP42" s="8">
        <f>+MINVU_Mes_Corriente!CP42*MINVU_Mes_Constante!$CP$1</f>
        <v>60181870.715081193</v>
      </c>
      <c r="CQ42" s="8">
        <f>+MINVU_Mes_Corriente!CQ42*MINVU_Mes_Constante!$CP$1</f>
        <v>59330617.435962863</v>
      </c>
      <c r="CR42" s="8">
        <f>+MINVU_Mes_Corriente!CR42*MINVU_Mes_Constante!$CP$1</f>
        <v>59368691.123665884</v>
      </c>
      <c r="CS42" s="8">
        <f>+MINVU_Mes_Corriente!CS42*MINVU_Mes_Constante!$CP$1</f>
        <v>59394675.230394423</v>
      </c>
      <c r="CT42" s="8">
        <f>+MINVU_Mes_Corriente!CT42*MINVU_Mes_Constante!$CP$1</f>
        <v>61809735.708584674</v>
      </c>
      <c r="CU42" s="8">
        <f>+MINVU_Mes_Corriente!CU42*MINVU_Mes_Constante!$CP$1</f>
        <v>64661558.600464024</v>
      </c>
      <c r="CV42" s="8">
        <f>+MINVU_Mes_Corriente!CV42*MINVU_Mes_Constante!$CP$1</f>
        <v>64661558.600464024</v>
      </c>
      <c r="CW42" s="8">
        <f>+MINVU_Mes_Corriente!CW42*MINVU_Mes_Constante!$CP$1</f>
        <v>64643813.356844537</v>
      </c>
      <c r="CX42" s="8">
        <f>+MINVU_Mes_Corriente!CX42*MINVU_Mes_Constante!$CP$1</f>
        <v>64732539.574941985</v>
      </c>
      <c r="CY42" s="8">
        <f>+MINVU_Mes_Corriente!CY42*MINVU_Mes_Constante!$CP$1</f>
        <v>64728065.238515072</v>
      </c>
      <c r="CZ42" s="8">
        <f>+MINVU_Mes_Corriente!CZ42*MINVU_Mes_Constante!$CP$1</f>
        <v>63946834.690719247</v>
      </c>
      <c r="DA42" s="8">
        <f>+MINVU_Mes_Corriente!DA42*MINVU_Mes_Constante!$CP$1</f>
        <v>64593127.870997667</v>
      </c>
      <c r="DB42" s="9">
        <f t="shared" si="26"/>
        <v>64593127.870997667</v>
      </c>
      <c r="DC42" s="8">
        <f>+MINVU_Mes_Corriente!DC42*MINVU_Mes_Constante!$DC$1</f>
        <v>45964611.991564676</v>
      </c>
      <c r="DD42" s="8">
        <f>+MINVU_Mes_Corriente!DD42*MINVU_Mes_Constante!$DC$1</f>
        <v>47880531.780475281</v>
      </c>
      <c r="DE42" s="8">
        <f>+MINVU_Mes_Corriente!DE42*MINVU_Mes_Constante!$DC$1</f>
        <v>50059890.568460062</v>
      </c>
      <c r="DF42" s="8">
        <f>+MINVU_Mes_Corriente!DF42*MINVU_Mes_Constante!$DC$1</f>
        <v>50059890.568460062</v>
      </c>
      <c r="DG42" s="8">
        <f>+MINVU_Mes_Corriente!DG42*MINVU_Mes_Constante!$DC$1</f>
        <v>50140439.050097749</v>
      </c>
      <c r="DH42" s="8">
        <f>+MINVU_Mes_Corriente!DH42*MINVU_Mes_Constante!$DC$1</f>
        <v>50140439.050097749</v>
      </c>
      <c r="DI42" s="8">
        <f>+MINVU_Mes_Corriente!DI42*MINVU_Mes_Constante!$DC$1</f>
        <v>52602512.724411093</v>
      </c>
      <c r="DJ42" s="8">
        <f>+MINVU_Mes_Corriente!DJ42*MINVU_Mes_Constante!$DC$1</f>
        <v>52723271.943215743</v>
      </c>
      <c r="DK42" s="8">
        <f>+MINVU_Mes_Corriente!DK42*MINVU_Mes_Constante!$DC$1</f>
        <v>48455461.249871433</v>
      </c>
      <c r="DL42" s="8">
        <f>+MINVU_Mes_Corriente!DL42*MINVU_Mes_Constante!$DC$1</f>
        <v>48377944.084147744</v>
      </c>
      <c r="DM42" s="8">
        <f>+MINVU_Mes_Corriente!DM42*MINVU_Mes_Constante!$DC$1</f>
        <v>42251705.200082317</v>
      </c>
      <c r="DN42" s="8">
        <f>+MINVU_Mes_Corriente!DN42*MINVU_Mes_Constante!$DC$1</f>
        <v>38623601.072934903</v>
      </c>
      <c r="DO42" s="9">
        <f t="shared" si="27"/>
        <v>38623601.072934903</v>
      </c>
      <c r="DP42" s="8">
        <f>+MINVU_Mes_Corriente!DP42*MINVU_Mes_Constante!$DP$1</f>
        <v>55552680.370546326</v>
      </c>
      <c r="DQ42" s="8">
        <f>+MINVU_Mes_Corriente!DQ42*MINVU_Mes_Constante!$DP$1</f>
        <v>55552680.370546326</v>
      </c>
      <c r="DR42" s="8">
        <f>+MINVU_Mes_Corriente!DR42*MINVU_Mes_Constante!$DP$1</f>
        <v>55552680.370546326</v>
      </c>
      <c r="DS42" s="8">
        <f>+MINVU_Mes_Corriente!DS42*MINVU_Mes_Constante!$DP$1</f>
        <v>55552680.370546326</v>
      </c>
      <c r="DT42" s="8">
        <f>+MINVU_Mes_Corriente!DT42*MINVU_Mes_Constante!$DP$1</f>
        <v>55552680.370546326</v>
      </c>
      <c r="DU42" s="8">
        <f>+MINVU_Mes_Corriente!DU42*MINVU_Mes_Constante!$DP$1</f>
        <v>55552680.370546326</v>
      </c>
      <c r="DV42" s="8">
        <f>+MINVU_Mes_Corriente!DV42*MINVU_Mes_Constante!$DP$1</f>
        <v>55698848.061163902</v>
      </c>
      <c r="DW42" s="8">
        <f>+MINVU_Mes_Corriente!DW42*MINVU_Mes_Constante!$DP$1</f>
        <v>56613087.383016631</v>
      </c>
      <c r="DX42" s="8">
        <f>+MINVU_Mes_Corriente!DX42*MINVU_Mes_Constante!$DP$1</f>
        <v>56613087.383016631</v>
      </c>
      <c r="DY42" s="8">
        <f>+MINVU_Mes_Corriente!DY42*MINVU_Mes_Constante!$DP$1</f>
        <v>56613087.383016631</v>
      </c>
      <c r="DZ42" s="8">
        <f>+MINVU_Mes_Corriente!DZ42*MINVU_Mes_Constante!$DP$1</f>
        <v>55150046.889548697</v>
      </c>
      <c r="EA42" s="8">
        <f>+MINVU_Mes_Corriente!EA42*MINVU_Mes_Constante!$DP$1</f>
        <v>49750497.493467942</v>
      </c>
      <c r="EB42" s="9">
        <f t="shared" si="28"/>
        <v>49750497.493467942</v>
      </c>
      <c r="EC42" s="8">
        <f>+MINVU_Mes_Corriente!EC42*MINVU_Mes_Constante!$EC$1</f>
        <v>54569656.659912877</v>
      </c>
      <c r="ED42" s="8">
        <f>+MINVU_Mes_Corriente!ED42*MINVU_Mes_Constante!$EC$1</f>
        <v>54569656.659912877</v>
      </c>
      <c r="EE42" s="8">
        <f>+MINVU_Mes_Corriente!EE42*MINVU_Mes_Constante!$EC$1</f>
        <v>54569656.659912877</v>
      </c>
      <c r="EF42" s="8">
        <f>+MINVU_Mes_Corriente!EF42*MINVU_Mes_Constante!$EC$1</f>
        <v>54569656.659912877</v>
      </c>
      <c r="EG42" s="8">
        <f>+MINVU_Mes_Corriente!EG42*MINVU_Mes_Constante!$EC$1</f>
        <v>59313344.763681099</v>
      </c>
      <c r="EH42" s="8">
        <f>+MINVU_Mes_Corriente!EH42*MINVU_Mes_Constante!$EC$1</f>
        <v>59384212.732058302</v>
      </c>
      <c r="EI42" s="8">
        <f>+MINVU_Mes_Corriente!EI42*MINVU_Mes_Constante!$EC$1</f>
        <v>59953938.150539652</v>
      </c>
      <c r="EJ42" s="8">
        <f>+MINVU_Mes_Corriente!EJ42*MINVU_Mes_Constante!$EC$1</f>
        <v>59953938.150539652</v>
      </c>
      <c r="EK42" s="8">
        <f>+MINVU_Mes_Corriente!EK42*MINVU_Mes_Constante!$EC$1</f>
        <v>63299085.840749837</v>
      </c>
      <c r="EL42" s="8">
        <f>+MINVU_Mes_Corriente!EL42*MINVU_Mes_Constante!$EC$1</f>
        <v>63416456.032001495</v>
      </c>
      <c r="EM42" s="8">
        <f>+MINVU_Mes_Corriente!EM42*MINVU_Mes_Constante!$EC$1</f>
        <v>63421628.347850762</v>
      </c>
      <c r="EN42" s="8">
        <f>+MINVU_Mes_Corriente!EN42*MINVU_Mes_Constante!$EC$1</f>
        <v>54671604.039765179</v>
      </c>
      <c r="EO42" s="9">
        <f t="shared" si="29"/>
        <v>54671604.039765179</v>
      </c>
      <c r="EP42" s="8">
        <f>+MINVU_Mes_Corriente!EP42*MINVU_Mes_Constante!$EP$1</f>
        <v>51417843</v>
      </c>
      <c r="EQ42" s="8">
        <f>+MINVU_Mes_Corriente!EQ42*MINVU_Mes_Constante!$EP$1</f>
        <v>51517443</v>
      </c>
      <c r="ER42" s="8">
        <f>+MINVU_Mes_Corriente!ER42*MINVU_Mes_Constante!$EP$1</f>
        <v>55313770</v>
      </c>
      <c r="ES42" s="8">
        <f>+MINVU_Mes_Corriente!ES42*MINVU_Mes_Constante!$EP$1</f>
        <v>55553881</v>
      </c>
      <c r="ET42" s="8">
        <f>+MINVU_Mes_Corriente!ET42*MINVU_Mes_Constante!$EP$1</f>
        <v>56534745</v>
      </c>
      <c r="EU42" s="8">
        <f>+MINVU_Mes_Corriente!EU42*MINVU_Mes_Constante!$EP$1</f>
        <v>61534745</v>
      </c>
      <c r="EV42" s="8">
        <f>+MINVU_Mes_Corriente!EV42*MINVU_Mes_Constante!$EP$1</f>
        <v>61534745</v>
      </c>
      <c r="EW42" s="8">
        <f>+MINVU_Mes_Corriente!EW42*MINVU_Mes_Constante!$EP$1</f>
        <v>63834745</v>
      </c>
      <c r="EX42" s="8">
        <f>+MINVU_Mes_Corriente!EX42*MINVU_Mes_Constante!$EP$1</f>
        <v>63834745</v>
      </c>
      <c r="EY42" s="8">
        <f>+MINVU_Mes_Corriente!EY42*MINVU_Mes_Constante!$EP$1</f>
        <v>64880577</v>
      </c>
      <c r="EZ42" s="8">
        <f>+MINVU_Mes_Corriente!EZ42*MINVU_Mes_Constante!$EP$1</f>
        <v>70760325</v>
      </c>
      <c r="FA42" s="8">
        <f>+MINVU_Mes_Corriente!FA42*MINVU_Mes_Constante!$EP$1</f>
        <v>70312669</v>
      </c>
      <c r="FB42" s="9">
        <f t="shared" si="30"/>
        <v>70312669</v>
      </c>
      <c r="FC42" s="8">
        <f>+MINVU_Mes_Corriente!FC42*MINVU_Mes_Constante!$FC$1</f>
        <v>69100458</v>
      </c>
      <c r="FD42" s="8">
        <f>+MINVU_Mes_Corriente!FD42*MINVU_Mes_Constante!$FC$1</f>
        <v>69100458</v>
      </c>
      <c r="FE42" s="8">
        <f>+MINVU_Mes_Corriente!FE42*MINVU_Mes_Constante!$FC$1</f>
        <v>69100458</v>
      </c>
      <c r="FF42" s="8">
        <f>+MINVU_Mes_Corriente!FF42*MINVU_Mes_Constante!$FC$1</f>
        <v>69100458</v>
      </c>
      <c r="FG42" s="8">
        <f>+MINVU_Mes_Corriente!FG42*MINVU_Mes_Constante!$FC$1</f>
        <v>69434215</v>
      </c>
      <c r="FH42" s="8">
        <f>+MINVU_Mes_Corriente!FH42*MINVU_Mes_Constante!$FC$1</f>
        <v>69434215</v>
      </c>
      <c r="FI42" s="8">
        <f>+MINVU_Mes_Corriente!FI42*MINVU_Mes_Constante!$FC$1</f>
        <v>69434215</v>
      </c>
      <c r="FJ42" s="8"/>
      <c r="FK42" s="8"/>
      <c r="FL42" s="8"/>
      <c r="FM42" s="8"/>
      <c r="FN42" s="8"/>
      <c r="FO42" s="9">
        <f t="shared" si="31"/>
        <v>69434215</v>
      </c>
    </row>
    <row r="43" spans="2:171" ht="14.25" customHeight="1" x14ac:dyDescent="0.3">
      <c r="B43" s="7" t="s">
        <v>56</v>
      </c>
      <c r="C43" s="8">
        <f>+MINVU_Mes_Corriente!C43*MINVU_Mes_Constante!$C$1</f>
        <v>40150185.226457074</v>
      </c>
      <c r="D43" s="8">
        <f>+MINVU_Mes_Corriente!D43*MINVU_Mes_Constante!$C$1</f>
        <v>40150185.226457074</v>
      </c>
      <c r="E43" s="8">
        <f>+MINVU_Mes_Corriente!E43*MINVU_Mes_Constante!$C$1</f>
        <v>40171771.489544719</v>
      </c>
      <c r="F43" s="8">
        <f>+MINVU_Mes_Corriente!F43*MINVU_Mes_Constante!$C$1</f>
        <v>40171771.489544719</v>
      </c>
      <c r="G43" s="8">
        <f>+MINVU_Mes_Corriente!G43*MINVU_Mes_Constante!$C$1</f>
        <v>37342464.102328345</v>
      </c>
      <c r="H43" s="8">
        <f>+MINVU_Mes_Corriente!H43*MINVU_Mes_Constante!$C$1</f>
        <v>37342464.102328345</v>
      </c>
      <c r="I43" s="8">
        <f>+MINVU_Mes_Corriente!I43*MINVU_Mes_Constante!$C$1</f>
        <v>37342464.102328345</v>
      </c>
      <c r="J43" s="8">
        <f>+MINVU_Mes_Corriente!J43*MINVU_Mes_Constante!$C$1</f>
        <v>36622530.955657728</v>
      </c>
      <c r="K43" s="8">
        <f>+MINVU_Mes_Corriente!K43*MINVU_Mes_Constante!$C$1</f>
        <v>39000160.12783628</v>
      </c>
      <c r="L43" s="8">
        <f>+MINVU_Mes_Corriente!L43*MINVU_Mes_Constante!$C$1</f>
        <v>39031053.664244406</v>
      </c>
      <c r="M43" s="8">
        <f>+MINVU_Mes_Corriente!M43*MINVU_Mes_Constante!$C$1</f>
        <v>39079025.658312328</v>
      </c>
      <c r="N43" s="8">
        <f>+MINVU_Mes_Corriente!N43*MINVU_Mes_Constante!$C$1</f>
        <v>37029947.771318413</v>
      </c>
      <c r="O43" s="9">
        <f t="shared" si="19"/>
        <v>37029947.771318413</v>
      </c>
      <c r="P43" s="8">
        <f>+MINVU_Mes_Corriente!P43*MINVU_Mes_Constante!$P$1</f>
        <v>57529543.711606741</v>
      </c>
      <c r="Q43" s="8">
        <f>+MINVU_Mes_Corriente!Q43*MINVU_Mes_Constante!$P$1</f>
        <v>58535173.434578754</v>
      </c>
      <c r="R43" s="8">
        <f>+MINVU_Mes_Corriente!R43*MINVU_Mes_Constante!$P$1</f>
        <v>58535173.434578754</v>
      </c>
      <c r="S43" s="8">
        <f>+MINVU_Mes_Corriente!S43*MINVU_Mes_Constante!$P$1</f>
        <v>60682927.941753067</v>
      </c>
      <c r="T43" s="8">
        <f>+MINVU_Mes_Corriente!T43*MINVU_Mes_Constante!$P$1</f>
        <v>60280328.357721247</v>
      </c>
      <c r="U43" s="8">
        <f>+MINVU_Mes_Corriente!U43*MINVU_Mes_Constante!$P$1</f>
        <v>60280328.357721247</v>
      </c>
      <c r="V43" s="8">
        <f>+MINVU_Mes_Corriente!V43*MINVU_Mes_Constante!$P$1</f>
        <v>60280328.357721247</v>
      </c>
      <c r="W43" s="8">
        <f>+MINVU_Mes_Corriente!W43*MINVU_Mes_Constante!$P$1</f>
        <v>59515050.456030667</v>
      </c>
      <c r="X43" s="8">
        <f>+MINVU_Mes_Corriente!X43*MINVU_Mes_Constante!$P$1</f>
        <v>59608183.003267489</v>
      </c>
      <c r="Y43" s="8">
        <f>+MINVU_Mes_Corriente!Y43*MINVU_Mes_Constante!$P$1</f>
        <v>51660864.544679619</v>
      </c>
      <c r="Z43" s="8">
        <f>+MINVU_Mes_Corriente!Z43*MINVU_Mes_Constante!$P$1</f>
        <v>52055249.838045157</v>
      </c>
      <c r="AA43" s="8">
        <f>+MINVU_Mes_Corriente!AA43*MINVU_Mes_Constante!$P$1</f>
        <v>49308527.323199302</v>
      </c>
      <c r="AB43" s="9">
        <f t="shared" si="20"/>
        <v>49308527.323199302</v>
      </c>
      <c r="AC43" s="8">
        <f>+MINVU_Mes_Corriente!AC43*MINVU_Mes_Constante!$AC$1</f>
        <v>55823724.067229219</v>
      </c>
      <c r="AD43" s="8">
        <f>+MINVU_Mes_Corriente!AD43*MINVU_Mes_Constante!$AC$1</f>
        <v>59555012.768017709</v>
      </c>
      <c r="AE43" s="8">
        <f>+MINVU_Mes_Corriente!AE43*MINVU_Mes_Constante!$AC$1</f>
        <v>59555012.768017709</v>
      </c>
      <c r="AF43" s="8">
        <f>+MINVU_Mes_Corriente!AF43*MINVU_Mes_Constante!$AC$1</f>
        <v>59555012.768017709</v>
      </c>
      <c r="AG43" s="8">
        <f>+MINVU_Mes_Corriente!AG43*MINVU_Mes_Constante!$AC$1</f>
        <v>59630583.386360489</v>
      </c>
      <c r="AH43" s="8">
        <f>+MINVU_Mes_Corriente!AH43*MINVU_Mes_Constante!$AC$1</f>
        <v>59630583.386360489</v>
      </c>
      <c r="AI43" s="8">
        <f>+MINVU_Mes_Corriente!AI43*MINVU_Mes_Constante!$AC$1</f>
        <v>63161017.474892795</v>
      </c>
      <c r="AJ43" s="8">
        <f>+MINVU_Mes_Corriente!AJ43*MINVU_Mes_Constante!$AC$1</f>
        <v>63161017.474892795</v>
      </c>
      <c r="AK43" s="8">
        <f>+MINVU_Mes_Corriente!AK43*MINVU_Mes_Constante!$AC$1</f>
        <v>63161017.474892795</v>
      </c>
      <c r="AL43" s="8">
        <f>+MINVU_Mes_Corriente!AL43*MINVU_Mes_Constante!$AC$1</f>
        <v>63946678.340019368</v>
      </c>
      <c r="AM43" s="8">
        <f>+MINVU_Mes_Corriente!AM43*MINVU_Mes_Constante!$AC$1</f>
        <v>64611847.899847835</v>
      </c>
      <c r="AN43" s="8">
        <f>+MINVU_Mes_Corriente!AN43*MINVU_Mes_Constante!$AC$1</f>
        <v>63848645.111080371</v>
      </c>
      <c r="AO43" s="9">
        <f t="shared" si="21"/>
        <v>63848645.111080371</v>
      </c>
      <c r="AP43" s="8">
        <f>+MINVU_Mes_Corriente!AP43*MINVU_Mes_Constante!$AP$1</f>
        <v>55196511.54822129</v>
      </c>
      <c r="AQ43" s="8">
        <f>+MINVU_Mes_Corriente!AQ43*MINVU_Mes_Constante!$AP$1</f>
        <v>59232225.39402137</v>
      </c>
      <c r="AR43" s="8">
        <f>+MINVU_Mes_Corriente!AR43*MINVU_Mes_Constante!$AP$1</f>
        <v>59232225.39402137</v>
      </c>
      <c r="AS43" s="8">
        <f>+MINVU_Mes_Corriente!AS43*MINVU_Mes_Constante!$AP$1</f>
        <v>59232225.39402137</v>
      </c>
      <c r="AT43" s="8">
        <f>+MINVU_Mes_Corriente!AT43*MINVU_Mes_Constante!$AP$1</f>
        <v>59230747.509536043</v>
      </c>
      <c r="AU43" s="8">
        <f>+MINVU_Mes_Corriente!AU43*MINVU_Mes_Constante!$AP$1</f>
        <v>59736062.816989042</v>
      </c>
      <c r="AV43" s="8">
        <f>+MINVU_Mes_Corriente!AV43*MINVU_Mes_Constante!$AP$1</f>
        <v>59763626.840524815</v>
      </c>
      <c r="AW43" s="8">
        <f>+MINVU_Mes_Corriente!AW43*MINVU_Mes_Constante!$AP$1</f>
        <v>62789493.350196131</v>
      </c>
      <c r="AX43" s="8">
        <f>+MINVU_Mes_Corriente!AX43*MINVU_Mes_Constante!$AP$1</f>
        <v>62789493.350196131</v>
      </c>
      <c r="AY43" s="8">
        <f>+MINVU_Mes_Corriente!AY43*MINVU_Mes_Constante!$AP$1</f>
        <v>62632837.59475179</v>
      </c>
      <c r="AZ43" s="8">
        <f>+MINVU_Mes_Corriente!AZ43*MINVU_Mes_Constante!$AP$1</f>
        <v>61924786.093602054</v>
      </c>
      <c r="BA43" s="8">
        <f>+MINVU_Mes_Corriente!BA43*MINVU_Mes_Constante!$AP$1</f>
        <v>51147734.681455426</v>
      </c>
      <c r="BB43" s="9">
        <f t="shared" si="22"/>
        <v>51147734.681455426</v>
      </c>
      <c r="BC43" s="8">
        <f>+MINVU_Mes_Corriente!BC43*MINVU_Mes_Constante!$BC$1</f>
        <v>50615904.597388908</v>
      </c>
      <c r="BD43" s="8">
        <f>+MINVU_Mes_Corriente!BD43*MINVU_Mes_Constante!$BC$1</f>
        <v>52531963.054727696</v>
      </c>
      <c r="BE43" s="8">
        <f>+MINVU_Mes_Corriente!BE43*MINVU_Mes_Constante!$BC$1</f>
        <v>52531963.054727696</v>
      </c>
      <c r="BF43" s="8">
        <f>+MINVU_Mes_Corriente!BF43*MINVU_Mes_Constante!$BC$1</f>
        <v>52531963.054727696</v>
      </c>
      <c r="BG43" s="8">
        <f>+MINVU_Mes_Corriente!BG43*MINVU_Mes_Constante!$BC$1</f>
        <v>52531963.054727696</v>
      </c>
      <c r="BH43" s="8">
        <f>+MINVU_Mes_Corriente!BH43*MINVU_Mes_Constante!$BC$1</f>
        <v>52531963.054727696</v>
      </c>
      <c r="BI43" s="8">
        <f>+MINVU_Mes_Corriente!BI43*MINVU_Mes_Constante!$BC$1</f>
        <v>52531963.054727696</v>
      </c>
      <c r="BJ43" s="8">
        <f>+MINVU_Mes_Corriente!BJ43*MINVU_Mes_Constante!$BC$1</f>
        <v>53514318.951074786</v>
      </c>
      <c r="BK43" s="8">
        <f>+MINVU_Mes_Corriente!BK43*MINVU_Mes_Constante!$BC$1</f>
        <v>53514318.951074786</v>
      </c>
      <c r="BL43" s="8">
        <f>+MINVU_Mes_Corriente!BL43*MINVU_Mes_Constante!$BC$1</f>
        <v>53514318.951074786</v>
      </c>
      <c r="BM43" s="8">
        <f>+MINVU_Mes_Corriente!BM43*MINVU_Mes_Constante!$BC$1</f>
        <v>53514318.951074786</v>
      </c>
      <c r="BN43" s="8">
        <f>+MINVU_Mes_Corriente!BN43*MINVU_Mes_Constante!$BC$1</f>
        <v>44044610.809705935</v>
      </c>
      <c r="BO43" s="9">
        <f t="shared" si="23"/>
        <v>44044610.809705935</v>
      </c>
      <c r="BP43" s="8">
        <f>+MINVU_Mes_Corriente!BP43*MINVU_Mes_Constante!$BP$1</f>
        <v>59598032.614340596</v>
      </c>
      <c r="BQ43" s="8">
        <f>+MINVU_Mes_Corriente!BQ43*MINVU_Mes_Constante!$BP$1</f>
        <v>59598032.614340596</v>
      </c>
      <c r="BR43" s="8">
        <f>+MINVU_Mes_Corriente!BR43*MINVU_Mes_Constante!$BP$1</f>
        <v>59598032.614340596</v>
      </c>
      <c r="BS43" s="8">
        <f>+MINVU_Mes_Corriente!BS43*MINVU_Mes_Constante!$BP$1</f>
        <v>59598032.614340596</v>
      </c>
      <c r="BT43" s="8">
        <f>+MINVU_Mes_Corriente!BT43*MINVU_Mes_Constante!$BP$1</f>
        <v>59598032.614340596</v>
      </c>
      <c r="BU43" s="8">
        <f>+MINVU_Mes_Corriente!BU43*MINVU_Mes_Constante!$BP$1</f>
        <v>60881125.53572344</v>
      </c>
      <c r="BV43" s="8">
        <f>+MINVU_Mes_Corriente!BV43*MINVU_Mes_Constante!$BP$1</f>
        <v>60985009.272215113</v>
      </c>
      <c r="BW43" s="8">
        <f>+MINVU_Mes_Corriente!BW43*MINVU_Mes_Constante!$BP$1</f>
        <v>61026978.54238157</v>
      </c>
      <c r="BX43" s="8">
        <f>+MINVU_Mes_Corriente!BX43*MINVU_Mes_Constante!$BP$1</f>
        <v>61026978.54238157</v>
      </c>
      <c r="BY43" s="8">
        <f>+MINVU_Mes_Corriente!BY43*MINVU_Mes_Constante!$BP$1</f>
        <v>61026978.54238157</v>
      </c>
      <c r="BZ43" s="8">
        <f>+MINVU_Mes_Corriente!BZ43*MINVU_Mes_Constante!$BP$1</f>
        <v>61026978.54238157</v>
      </c>
      <c r="CA43" s="8">
        <f>+MINVU_Mes_Corriente!CA43*MINVU_Mes_Constante!$BP$1</f>
        <v>61220041.382074274</v>
      </c>
      <c r="CB43" s="9">
        <f t="shared" si="24"/>
        <v>61220041.382074274</v>
      </c>
      <c r="CC43" s="8">
        <f>+MINVU_Mes_Corriente!CC43*MINVU_Mes_Constante!$CC$1</f>
        <v>49422138.333457671</v>
      </c>
      <c r="CD43" s="8">
        <f>+MINVU_Mes_Corriente!CD43*MINVU_Mes_Constante!$CC$1</f>
        <v>49422138.333457671</v>
      </c>
      <c r="CE43" s="8">
        <f>+MINVU_Mes_Corriente!CE43*MINVU_Mes_Constante!$CC$1</f>
        <v>49422138.333457671</v>
      </c>
      <c r="CF43" s="8">
        <f>+MINVU_Mes_Corriente!CF43*MINVU_Mes_Constante!$CC$1</f>
        <v>59268252.051473334</v>
      </c>
      <c r="CG43" s="8">
        <f>+MINVU_Mes_Corriente!CG43*MINVU_Mes_Constante!$CC$1</f>
        <v>59268252.051473334</v>
      </c>
      <c r="CH43" s="8">
        <f>+MINVU_Mes_Corriente!CH43*MINVU_Mes_Constante!$CC$1</f>
        <v>54384461.820962332</v>
      </c>
      <c r="CI43" s="8">
        <f>+MINVU_Mes_Corriente!CI43*MINVU_Mes_Constante!$CC$1</f>
        <v>54384461.820962332</v>
      </c>
      <c r="CJ43" s="8">
        <f>+MINVU_Mes_Corriente!CJ43*MINVU_Mes_Constante!$CC$1</f>
        <v>54384461.820962332</v>
      </c>
      <c r="CK43" s="8">
        <f>+MINVU_Mes_Corriente!CK43*MINVU_Mes_Constante!$CC$1</f>
        <v>54384461.820962332</v>
      </c>
      <c r="CL43" s="8">
        <f>+MINVU_Mes_Corriente!CL43*MINVU_Mes_Constante!$CC$1</f>
        <v>54384461.820962332</v>
      </c>
      <c r="CM43" s="8">
        <f>+MINVU_Mes_Corriente!CM43*MINVU_Mes_Constante!$CC$1</f>
        <v>54384461.820962332</v>
      </c>
      <c r="CN43" s="8">
        <f>+MINVU_Mes_Corriente!CN43*MINVU_Mes_Constante!$CC$1</f>
        <v>53294764.825065278</v>
      </c>
      <c r="CO43" s="9">
        <f t="shared" si="25"/>
        <v>53294764.825065278</v>
      </c>
      <c r="CP43" s="8">
        <f>+MINVU_Mes_Corriente!CP43*MINVU_Mes_Constante!$CP$1</f>
        <v>50228033.74663572</v>
      </c>
      <c r="CQ43" s="8">
        <f>+MINVU_Mes_Corriente!CQ43*MINVU_Mes_Constante!$CP$1</f>
        <v>60276618.908352658</v>
      </c>
      <c r="CR43" s="8">
        <f>+MINVU_Mes_Corriente!CR43*MINVU_Mes_Constante!$CP$1</f>
        <v>60639592.796519712</v>
      </c>
      <c r="CS43" s="8">
        <f>+MINVU_Mes_Corriente!CS43*MINVU_Mes_Constante!$CP$1</f>
        <v>59425979.107656598</v>
      </c>
      <c r="CT43" s="8">
        <f>+MINVU_Mes_Corriente!CT43*MINVU_Mes_Constante!$CP$1</f>
        <v>60453631.516009271</v>
      </c>
      <c r="CU43" s="8">
        <f>+MINVU_Mes_Corriente!CU43*MINVU_Mes_Constante!$CP$1</f>
        <v>60090226.671925738</v>
      </c>
      <c r="CV43" s="8">
        <f>+MINVU_Mes_Corriente!CV43*MINVU_Mes_Constante!$CP$1</f>
        <v>60090226.671925738</v>
      </c>
      <c r="CW43" s="8">
        <f>+MINVU_Mes_Corriente!CW43*MINVU_Mes_Constante!$CP$1</f>
        <v>60090226.671925738</v>
      </c>
      <c r="CX43" s="8">
        <f>+MINVU_Mes_Corriente!CX43*MINVU_Mes_Constante!$CP$1</f>
        <v>60090226.671925738</v>
      </c>
      <c r="CY43" s="8">
        <f>+MINVU_Mes_Corriente!CY43*MINVU_Mes_Constante!$CP$1</f>
        <v>61632914.49605567</v>
      </c>
      <c r="CZ43" s="8">
        <f>+MINVU_Mes_Corriente!CZ43*MINVU_Mes_Constante!$CP$1</f>
        <v>70438313.520417616</v>
      </c>
      <c r="DA43" s="8">
        <f>+MINVU_Mes_Corriente!DA43*MINVU_Mes_Constante!$CP$1</f>
        <v>54612792.183758691</v>
      </c>
      <c r="DB43" s="9">
        <f t="shared" si="26"/>
        <v>54612792.183758691</v>
      </c>
      <c r="DC43" s="8">
        <f>+MINVU_Mes_Corriente!DC43*MINVU_Mes_Constante!$DC$1</f>
        <v>29661310.450776681</v>
      </c>
      <c r="DD43" s="8">
        <f>+MINVU_Mes_Corriente!DD43*MINVU_Mes_Constante!$DC$1</f>
        <v>36693102.4190927</v>
      </c>
      <c r="DE43" s="8">
        <f>+MINVU_Mes_Corriente!DE43*MINVU_Mes_Constante!$DC$1</f>
        <v>35011588.658779979</v>
      </c>
      <c r="DF43" s="8">
        <f>+MINVU_Mes_Corriente!DF43*MINVU_Mes_Constante!$DC$1</f>
        <v>35011588.658779979</v>
      </c>
      <c r="DG43" s="8">
        <f>+MINVU_Mes_Corriente!DG43*MINVU_Mes_Constante!$DC$1</f>
        <v>34962956.101018429</v>
      </c>
      <c r="DH43" s="8">
        <f>+MINVU_Mes_Corriente!DH43*MINVU_Mes_Constante!$DC$1</f>
        <v>34962956.101018429</v>
      </c>
      <c r="DI43" s="8">
        <f>+MINVU_Mes_Corriente!DI43*MINVU_Mes_Constante!$DC$1</f>
        <v>34567445.241436079</v>
      </c>
      <c r="DJ43" s="8">
        <f>+MINVU_Mes_Corriente!DJ43*MINVU_Mes_Constante!$DC$1</f>
        <v>37828121.734595224</v>
      </c>
      <c r="DK43" s="8">
        <f>+MINVU_Mes_Corriente!DK43*MINVU_Mes_Constante!$DC$1</f>
        <v>37828121.734595224</v>
      </c>
      <c r="DL43" s="8">
        <f>+MINVU_Mes_Corriente!DL43*MINVU_Mes_Constante!$DC$1</f>
        <v>37828121.734595224</v>
      </c>
      <c r="DM43" s="8">
        <f>+MINVU_Mes_Corriente!DM43*MINVU_Mes_Constante!$DC$1</f>
        <v>33890740.21129515</v>
      </c>
      <c r="DN43" s="8">
        <f>+MINVU_Mes_Corriente!DN43*MINVU_Mes_Constante!$DC$1</f>
        <v>26944104.954222828</v>
      </c>
      <c r="DO43" s="9">
        <f t="shared" si="27"/>
        <v>26944104.954222828</v>
      </c>
      <c r="DP43" s="8">
        <f>+MINVU_Mes_Corriente!DP43*MINVU_Mes_Constante!$DP$1</f>
        <v>32579377.993467938</v>
      </c>
      <c r="DQ43" s="8">
        <f>+MINVU_Mes_Corriente!DQ43*MINVU_Mes_Constante!$DP$1</f>
        <v>33018858.609263662</v>
      </c>
      <c r="DR43" s="8">
        <f>+MINVU_Mes_Corriente!DR43*MINVU_Mes_Constante!$DP$1</f>
        <v>33018858.609263662</v>
      </c>
      <c r="DS43" s="8">
        <f>+MINVU_Mes_Corriente!DS43*MINVU_Mes_Constante!$DP$1</f>
        <v>33018858.609263662</v>
      </c>
      <c r="DT43" s="8">
        <f>+MINVU_Mes_Corriente!DT43*MINVU_Mes_Constante!$DP$1</f>
        <v>33018858.609263662</v>
      </c>
      <c r="DU43" s="8">
        <f>+MINVU_Mes_Corriente!DU43*MINVU_Mes_Constante!$DP$1</f>
        <v>33018858.609263662</v>
      </c>
      <c r="DV43" s="8">
        <f>+MINVU_Mes_Corriente!DV43*MINVU_Mes_Constante!$DP$1</f>
        <v>33113455.450118769</v>
      </c>
      <c r="DW43" s="8">
        <f>+MINVU_Mes_Corriente!DW43*MINVU_Mes_Constante!$DP$1</f>
        <v>33113455.450118769</v>
      </c>
      <c r="DX43" s="8">
        <f>+MINVU_Mes_Corriente!DX43*MINVU_Mes_Constante!$DP$1</f>
        <v>33113455.450118769</v>
      </c>
      <c r="DY43" s="8">
        <f>+MINVU_Mes_Corriente!DY43*MINVU_Mes_Constante!$DP$1</f>
        <v>33113455.450118769</v>
      </c>
      <c r="DZ43" s="8">
        <f>+MINVU_Mes_Corriente!DZ43*MINVU_Mes_Constante!$DP$1</f>
        <v>25434625.019002378</v>
      </c>
      <c r="EA43" s="8">
        <f>+MINVU_Mes_Corriente!EA43*MINVU_Mes_Constante!$DP$1</f>
        <v>21884829.904988125</v>
      </c>
      <c r="EB43" s="9">
        <f t="shared" si="28"/>
        <v>21884829.904988125</v>
      </c>
      <c r="EC43" s="8">
        <f>+MINVU_Mes_Corriente!EC43*MINVU_Mes_Constante!$EC$1</f>
        <v>31090622.986934282</v>
      </c>
      <c r="ED43" s="8">
        <f>+MINVU_Mes_Corriente!ED43*MINVU_Mes_Constante!$EC$1</f>
        <v>31090622.986934282</v>
      </c>
      <c r="EE43" s="8">
        <f>+MINVU_Mes_Corriente!EE43*MINVU_Mes_Constante!$EC$1</f>
        <v>32360622.04146941</v>
      </c>
      <c r="EF43" s="8">
        <f>+MINVU_Mes_Corriente!EF43*MINVU_Mes_Constante!$EC$1</f>
        <v>32360622.04146941</v>
      </c>
      <c r="EG43" s="8">
        <f>+MINVU_Mes_Corriente!EG43*MINVU_Mes_Constante!$EC$1</f>
        <v>32492205.756674863</v>
      </c>
      <c r="EH43" s="8">
        <f>+MINVU_Mes_Corriente!EH43*MINVU_Mes_Constante!$EC$1</f>
        <v>32492205.756674863</v>
      </c>
      <c r="EI43" s="8">
        <f>+MINVU_Mes_Corriente!EI43*MINVU_Mes_Constante!$EC$1</f>
        <v>32501270.757432293</v>
      </c>
      <c r="EJ43" s="8">
        <f>+MINVU_Mes_Corriente!EJ43*MINVU_Mes_Constante!$EC$1</f>
        <v>32501270.757432293</v>
      </c>
      <c r="EK43" s="8">
        <f>+MINVU_Mes_Corriente!EK43*MINVU_Mes_Constante!$EC$1</f>
        <v>37609029.898125343</v>
      </c>
      <c r="EL43" s="8">
        <f>+MINVU_Mes_Corriente!EL43*MINVU_Mes_Constante!$EC$1</f>
        <v>37547893.124786958</v>
      </c>
      <c r="EM43" s="8">
        <f>+MINVU_Mes_Corriente!EM43*MINVU_Mes_Constante!$EC$1</f>
        <v>37547893.124786958</v>
      </c>
      <c r="EN43" s="8">
        <f>+MINVU_Mes_Corriente!EN43*MINVU_Mes_Constante!$EC$1</f>
        <v>37994753.283658385</v>
      </c>
      <c r="EO43" s="9">
        <f t="shared" si="29"/>
        <v>37994753.283658385</v>
      </c>
      <c r="EP43" s="8">
        <f>+MINVU_Mes_Corriente!EP43*MINVU_Mes_Constante!$EP$1</f>
        <v>33768075</v>
      </c>
      <c r="EQ43" s="8">
        <f>+MINVU_Mes_Corriente!EQ43*MINVU_Mes_Constante!$EP$1</f>
        <v>35204845</v>
      </c>
      <c r="ER43" s="8">
        <f>+MINVU_Mes_Corriente!ER43*MINVU_Mes_Constante!$EP$1</f>
        <v>35894043</v>
      </c>
      <c r="ES43" s="8">
        <f>+MINVU_Mes_Corriente!ES43*MINVU_Mes_Constante!$EP$1</f>
        <v>35894043</v>
      </c>
      <c r="ET43" s="8">
        <f>+MINVU_Mes_Corriente!ET43*MINVU_Mes_Constante!$EP$1</f>
        <v>35894043</v>
      </c>
      <c r="EU43" s="8">
        <f>+MINVU_Mes_Corriente!EU43*MINVU_Mes_Constante!$EP$1</f>
        <v>39784839</v>
      </c>
      <c r="EV43" s="8">
        <f>+MINVU_Mes_Corriente!EV43*MINVU_Mes_Constante!$EP$1</f>
        <v>39784839</v>
      </c>
      <c r="EW43" s="8">
        <f>+MINVU_Mes_Corriente!EW43*MINVU_Mes_Constante!$EP$1</f>
        <v>39784839</v>
      </c>
      <c r="EX43" s="8">
        <f>+MINVU_Mes_Corriente!EX43*MINVU_Mes_Constante!$EP$1</f>
        <v>39784839</v>
      </c>
      <c r="EY43" s="8">
        <f>+MINVU_Mes_Corriente!EY43*MINVU_Mes_Constante!$EP$1</f>
        <v>39784839</v>
      </c>
      <c r="EZ43" s="8">
        <f>+MINVU_Mes_Corriente!EZ43*MINVU_Mes_Constante!$EP$1</f>
        <v>39784839</v>
      </c>
      <c r="FA43" s="8">
        <f>+MINVU_Mes_Corriente!FA43*MINVU_Mes_Constante!$EP$1</f>
        <v>38538359</v>
      </c>
      <c r="FB43" s="9">
        <f t="shared" si="30"/>
        <v>38538359</v>
      </c>
      <c r="FC43" s="8">
        <f>+MINVU_Mes_Corriente!FC43*MINVU_Mes_Constante!$FC$1</f>
        <v>19941082</v>
      </c>
      <c r="FD43" s="8">
        <f>+MINVU_Mes_Corriente!FD43*MINVU_Mes_Constante!$FC$1</f>
        <v>19941082</v>
      </c>
      <c r="FE43" s="8">
        <f>+MINVU_Mes_Corriente!FE43*MINVU_Mes_Constante!$FC$1</f>
        <v>19941082</v>
      </c>
      <c r="FF43" s="8">
        <f>+MINVU_Mes_Corriente!FF43*MINVU_Mes_Constante!$FC$1</f>
        <v>19941082</v>
      </c>
      <c r="FG43" s="8">
        <f>+MINVU_Mes_Corriente!FG43*MINVU_Mes_Constante!$FC$1</f>
        <v>21783783</v>
      </c>
      <c r="FH43" s="8">
        <f>+MINVU_Mes_Corriente!FH43*MINVU_Mes_Constante!$FC$1</f>
        <v>21338584</v>
      </c>
      <c r="FI43" s="8">
        <f>+MINVU_Mes_Corriente!FI43*MINVU_Mes_Constante!$FC$1</f>
        <v>21338584</v>
      </c>
      <c r="FJ43" s="8"/>
      <c r="FK43" s="8"/>
      <c r="FL43" s="8"/>
      <c r="FM43" s="8"/>
      <c r="FN43" s="8"/>
      <c r="FO43" s="9">
        <f t="shared" si="31"/>
        <v>21338584</v>
      </c>
    </row>
    <row r="44" spans="2:171" ht="14.25" customHeight="1" x14ac:dyDescent="0.3">
      <c r="B44" s="7" t="s">
        <v>57</v>
      </c>
      <c r="C44" s="8">
        <f>+MINVU_Mes_Corriente!C44*MINVU_Mes_Constante!$C$1</f>
        <v>16374995.340649566</v>
      </c>
      <c r="D44" s="8">
        <f>+MINVU_Mes_Corriente!D44*MINVU_Mes_Constante!$C$1</f>
        <v>16374995.340649566</v>
      </c>
      <c r="E44" s="8">
        <f>+MINVU_Mes_Corriente!E44*MINVU_Mes_Constante!$C$1</f>
        <v>16805916.910277326</v>
      </c>
      <c r="F44" s="8">
        <f>+MINVU_Mes_Corriente!F44*MINVU_Mes_Constante!$C$1</f>
        <v>17783308.616342876</v>
      </c>
      <c r="G44" s="8">
        <f>+MINVU_Mes_Corriente!G44*MINVU_Mes_Constante!$C$1</f>
        <v>19287690.646893077</v>
      </c>
      <c r="H44" s="8">
        <f>+MINVU_Mes_Corriente!H44*MINVU_Mes_Constante!$C$1</f>
        <v>19287690.646893077</v>
      </c>
      <c r="I44" s="8">
        <f>+MINVU_Mes_Corriente!I44*MINVU_Mes_Constante!$C$1</f>
        <v>19494641.369123537</v>
      </c>
      <c r="J44" s="8">
        <f>+MINVU_Mes_Corriente!J44*MINVU_Mes_Constante!$C$1</f>
        <v>19821188.285036337</v>
      </c>
      <c r="K44" s="8">
        <f>+MINVU_Mes_Corriente!K44*MINVU_Mes_Constante!$C$1</f>
        <v>21279144.132581942</v>
      </c>
      <c r="L44" s="8">
        <f>+MINVU_Mes_Corriente!L44*MINVU_Mes_Constante!$C$1</f>
        <v>23311145.182263091</v>
      </c>
      <c r="M44" s="8">
        <f>+MINVU_Mes_Corriente!M44*MINVU_Mes_Constante!$C$1</f>
        <v>23384775.371496372</v>
      </c>
      <c r="N44" s="8">
        <f>+MINVU_Mes_Corriente!N44*MINVU_Mes_Constante!$C$1</f>
        <v>22600781.805131249</v>
      </c>
      <c r="O44" s="9">
        <f t="shared" si="19"/>
        <v>22600781.805131249</v>
      </c>
      <c r="P44" s="8">
        <f>+MINVU_Mes_Corriente!P44*MINVU_Mes_Constante!$P$1</f>
        <v>23293429.507884633</v>
      </c>
      <c r="Q44" s="8">
        <f>+MINVU_Mes_Corriente!Q44*MINVU_Mes_Constante!$P$1</f>
        <v>24107839.484870002</v>
      </c>
      <c r="R44" s="8">
        <f>+MINVU_Mes_Corriente!R44*MINVU_Mes_Constante!$P$1</f>
        <v>24107839.484870002</v>
      </c>
      <c r="S44" s="8">
        <f>+MINVU_Mes_Corriente!S44*MINVU_Mes_Constante!$P$1</f>
        <v>24107839.484870002</v>
      </c>
      <c r="T44" s="8">
        <f>+MINVU_Mes_Corriente!T44*MINVU_Mes_Constante!$P$1</f>
        <v>24107839.484870002</v>
      </c>
      <c r="U44" s="8">
        <f>+MINVU_Mes_Corriente!U44*MINVU_Mes_Constante!$P$1</f>
        <v>22456692.554908358</v>
      </c>
      <c r="V44" s="8">
        <f>+MINVU_Mes_Corriente!V44*MINVU_Mes_Constante!$P$1</f>
        <v>21045802.761471793</v>
      </c>
      <c r="W44" s="8">
        <f>+MINVU_Mes_Corriente!W44*MINVU_Mes_Constante!$P$1</f>
        <v>21249483.642278723</v>
      </c>
      <c r="X44" s="8">
        <f>+MINVU_Mes_Corriente!X44*MINVU_Mes_Constante!$P$1</f>
        <v>21249483.642278723</v>
      </c>
      <c r="Y44" s="8">
        <f>+MINVU_Mes_Corriente!Y44*MINVU_Mes_Constante!$P$1</f>
        <v>21337183.4575934</v>
      </c>
      <c r="Z44" s="8">
        <f>+MINVU_Mes_Corriente!Z44*MINVU_Mes_Constante!$P$1</f>
        <v>21337183.4575934</v>
      </c>
      <c r="AA44" s="8">
        <f>+MINVU_Mes_Corriente!AA44*MINVU_Mes_Constante!$P$1</f>
        <v>17689600.678789593</v>
      </c>
      <c r="AB44" s="9">
        <f t="shared" si="20"/>
        <v>17689600.678789593</v>
      </c>
      <c r="AC44" s="8">
        <f>+MINVU_Mes_Corriente!AC44*MINVU_Mes_Constante!$AC$1</f>
        <v>13259088.677272098</v>
      </c>
      <c r="AD44" s="8">
        <f>+MINVU_Mes_Corriente!AD44*MINVU_Mes_Constante!$AC$1</f>
        <v>13800588.431594964</v>
      </c>
      <c r="AE44" s="8">
        <f>+MINVU_Mes_Corriente!AE44*MINVU_Mes_Constante!$AC$1</f>
        <v>13800588.431594964</v>
      </c>
      <c r="AF44" s="8">
        <f>+MINVU_Mes_Corriente!AF44*MINVU_Mes_Constante!$AC$1</f>
        <v>14026585.388573799</v>
      </c>
      <c r="AG44" s="8">
        <f>+MINVU_Mes_Corriente!AG44*MINVU_Mes_Constante!$AC$1</f>
        <v>14099855.637294231</v>
      </c>
      <c r="AH44" s="8">
        <f>+MINVU_Mes_Corriente!AH44*MINVU_Mes_Constante!$AC$1</f>
        <v>14099855.637294231</v>
      </c>
      <c r="AI44" s="8">
        <f>+MINVU_Mes_Corriente!AI44*MINVU_Mes_Constante!$AC$1</f>
        <v>16586425.217595795</v>
      </c>
      <c r="AJ44" s="8">
        <f>+MINVU_Mes_Corriente!AJ44*MINVU_Mes_Constante!$AC$1</f>
        <v>16586425.217595795</v>
      </c>
      <c r="AK44" s="8">
        <f>+MINVU_Mes_Corriente!AK44*MINVU_Mes_Constante!$AC$1</f>
        <v>16652428.595656384</v>
      </c>
      <c r="AL44" s="8">
        <f>+MINVU_Mes_Corriente!AL44*MINVU_Mes_Constante!$AC$1</f>
        <v>16682656.842993498</v>
      </c>
      <c r="AM44" s="8">
        <f>+MINVU_Mes_Corriente!AM44*MINVU_Mes_Constante!$AC$1</f>
        <v>16649650.619726103</v>
      </c>
      <c r="AN44" s="8">
        <f>+MINVU_Mes_Corriente!AN44*MINVU_Mes_Constante!$AC$1</f>
        <v>16649650.619726103</v>
      </c>
      <c r="AO44" s="9">
        <f t="shared" si="21"/>
        <v>16649650.619726103</v>
      </c>
      <c r="AP44" s="8">
        <f>+MINVU_Mes_Corriente!AP44*MINVU_Mes_Constante!$AP$1</f>
        <v>13968724.737995401</v>
      </c>
      <c r="AQ44" s="8">
        <f>+MINVU_Mes_Corriente!AQ44*MINVU_Mes_Constante!$AP$1</f>
        <v>16145589.469498172</v>
      </c>
      <c r="AR44" s="8">
        <f>+MINVU_Mes_Corriente!AR44*MINVU_Mes_Constante!$AP$1</f>
        <v>17567352.769376434</v>
      </c>
      <c r="AS44" s="8">
        <f>+MINVU_Mes_Corriente!AS44*MINVU_Mes_Constante!$AP$1</f>
        <v>17737081.890977953</v>
      </c>
      <c r="AT44" s="8">
        <f>+MINVU_Mes_Corriente!AT44*MINVU_Mes_Constante!$AP$1</f>
        <v>18513184.061138913</v>
      </c>
      <c r="AU44" s="8">
        <f>+MINVU_Mes_Corriente!AU44*MINVU_Mes_Constante!$AP$1</f>
        <v>17863801.618287567</v>
      </c>
      <c r="AV44" s="8">
        <f>+MINVU_Mes_Corriente!AV44*MINVU_Mes_Constante!$AP$1</f>
        <v>17863801.618287567</v>
      </c>
      <c r="AW44" s="8">
        <f>+MINVU_Mes_Corriente!AW44*MINVU_Mes_Constante!$AP$1</f>
        <v>17867438.692005951</v>
      </c>
      <c r="AX44" s="8">
        <f>+MINVU_Mes_Corriente!AX44*MINVU_Mes_Constante!$AP$1</f>
        <v>17867438.692005951</v>
      </c>
      <c r="AY44" s="8">
        <f>+MINVU_Mes_Corriente!AY44*MINVU_Mes_Constante!$AP$1</f>
        <v>17883695.421344515</v>
      </c>
      <c r="AZ44" s="8">
        <f>+MINVU_Mes_Corriente!AZ44*MINVU_Mes_Constante!$AP$1</f>
        <v>17707275.916677937</v>
      </c>
      <c r="BA44" s="8">
        <f>+MINVU_Mes_Corriente!BA44*MINVU_Mes_Constante!$AP$1</f>
        <v>16343334.847287973</v>
      </c>
      <c r="BB44" s="9">
        <f t="shared" si="22"/>
        <v>16343334.847287973</v>
      </c>
      <c r="BC44" s="8">
        <f>+MINVU_Mes_Corriente!BC44*MINVU_Mes_Constante!$BC$1</f>
        <v>26260483.22642754</v>
      </c>
      <c r="BD44" s="8">
        <f>+MINVU_Mes_Corriente!BD44*MINVU_Mes_Constante!$BC$1</f>
        <v>27701337.769484378</v>
      </c>
      <c r="BE44" s="8">
        <f>+MINVU_Mes_Corriente!BE44*MINVU_Mes_Constante!$BC$1</f>
        <v>27701337.769484378</v>
      </c>
      <c r="BF44" s="8">
        <f>+MINVU_Mes_Corriente!BF44*MINVU_Mes_Constante!$BC$1</f>
        <v>27701337.769484378</v>
      </c>
      <c r="BG44" s="8">
        <f>+MINVU_Mes_Corriente!BG44*MINVU_Mes_Constante!$BC$1</f>
        <v>27701337.769484378</v>
      </c>
      <c r="BH44" s="8">
        <f>+MINVU_Mes_Corriente!BH44*MINVU_Mes_Constante!$BC$1</f>
        <v>27701337.769484378</v>
      </c>
      <c r="BI44" s="8">
        <f>+MINVU_Mes_Corriente!BI44*MINVU_Mes_Constante!$BC$1</f>
        <v>27701337.769484378</v>
      </c>
      <c r="BJ44" s="8">
        <f>+MINVU_Mes_Corriente!BJ44*MINVU_Mes_Constante!$BC$1</f>
        <v>27001137.214031395</v>
      </c>
      <c r="BK44" s="8">
        <f>+MINVU_Mes_Corriente!BK44*MINVU_Mes_Constante!$BC$1</f>
        <v>27001137.214031395</v>
      </c>
      <c r="BL44" s="8">
        <f>+MINVU_Mes_Corriente!BL44*MINVU_Mes_Constante!$BC$1</f>
        <v>25992539.033891607</v>
      </c>
      <c r="BM44" s="8">
        <f>+MINVU_Mes_Corriente!BM44*MINVU_Mes_Constante!$BC$1</f>
        <v>25373962.888302788</v>
      </c>
      <c r="BN44" s="8">
        <f>+MINVU_Mes_Corriente!BN44*MINVU_Mes_Constante!$BC$1</f>
        <v>22619172.915468816</v>
      </c>
      <c r="BO44" s="9">
        <f t="shared" si="23"/>
        <v>22619172.915468816</v>
      </c>
      <c r="BP44" s="8">
        <f>+MINVU_Mes_Corriente!BP44*MINVU_Mes_Constante!$BP$1</f>
        <v>22354374.961843792</v>
      </c>
      <c r="BQ44" s="8">
        <f>+MINVU_Mes_Corriente!BQ44*MINVU_Mes_Constante!$BP$1</f>
        <v>22354374.961843792</v>
      </c>
      <c r="BR44" s="8">
        <f>+MINVU_Mes_Corriente!BR44*MINVU_Mes_Constante!$BP$1</f>
        <v>22484570.632778492</v>
      </c>
      <c r="BS44" s="8">
        <f>+MINVU_Mes_Corriente!BS44*MINVU_Mes_Constante!$BP$1</f>
        <v>22484570.632778492</v>
      </c>
      <c r="BT44" s="8">
        <f>+MINVU_Mes_Corriente!BT44*MINVU_Mes_Constante!$BP$1</f>
        <v>22484570.632778492</v>
      </c>
      <c r="BU44" s="8">
        <f>+MINVU_Mes_Corriente!BU44*MINVU_Mes_Constante!$BP$1</f>
        <v>21505287.662227914</v>
      </c>
      <c r="BV44" s="8">
        <f>+MINVU_Mes_Corriente!BV44*MINVU_Mes_Constante!$BP$1</f>
        <v>21505287.662227914</v>
      </c>
      <c r="BW44" s="8">
        <f>+MINVU_Mes_Corriente!BW44*MINVU_Mes_Constante!$BP$1</f>
        <v>21714547.842253525</v>
      </c>
      <c r="BX44" s="8">
        <f>+MINVU_Mes_Corriente!BX44*MINVU_Mes_Constante!$BP$1</f>
        <v>21802712.688092191</v>
      </c>
      <c r="BY44" s="8">
        <f>+MINVU_Mes_Corriente!BY44*MINVU_Mes_Constante!$BP$1</f>
        <v>21802712.688092191</v>
      </c>
      <c r="BZ44" s="8">
        <f>+MINVU_Mes_Corriente!BZ44*MINVU_Mes_Constante!$BP$1</f>
        <v>21805510.639436621</v>
      </c>
      <c r="CA44" s="8">
        <f>+MINVU_Mes_Corriente!CA44*MINVU_Mes_Constante!$BP$1</f>
        <v>21661707.132138286</v>
      </c>
      <c r="CB44" s="9">
        <f t="shared" si="24"/>
        <v>21661707.132138286</v>
      </c>
      <c r="CC44" s="8">
        <f>+MINVU_Mes_Corriente!CC44*MINVU_Mes_Constante!$CC$1</f>
        <v>22338050.099216711</v>
      </c>
      <c r="CD44" s="8">
        <f>+MINVU_Mes_Corriente!CD44*MINVU_Mes_Constante!$CC$1</f>
        <v>22338050.099216711</v>
      </c>
      <c r="CE44" s="8">
        <f>+MINVU_Mes_Corriente!CE44*MINVU_Mes_Constante!$CC$1</f>
        <v>22338050.099216711</v>
      </c>
      <c r="CF44" s="8">
        <f>+MINVU_Mes_Corriente!CF44*MINVU_Mes_Constante!$CC$1</f>
        <v>15138273.896307349</v>
      </c>
      <c r="CG44" s="8">
        <f>+MINVU_Mes_Corriente!CG44*MINVU_Mes_Constante!$CC$1</f>
        <v>15138273.896307349</v>
      </c>
      <c r="CH44" s="8">
        <f>+MINVU_Mes_Corriente!CH44*MINVU_Mes_Constante!$CC$1</f>
        <v>15138273.896307349</v>
      </c>
      <c r="CI44" s="8">
        <f>+MINVU_Mes_Corriente!CI44*MINVU_Mes_Constante!$CC$1</f>
        <v>15138273.896307349</v>
      </c>
      <c r="CJ44" s="8">
        <f>+MINVU_Mes_Corriente!CJ44*MINVU_Mes_Constante!$CC$1</f>
        <v>15138273.896307349</v>
      </c>
      <c r="CK44" s="8">
        <f>+MINVU_Mes_Corriente!CK44*MINVU_Mes_Constante!$CC$1</f>
        <v>15138273.896307349</v>
      </c>
      <c r="CL44" s="8">
        <f>+MINVU_Mes_Corriente!CL44*MINVU_Mes_Constante!$CC$1</f>
        <v>15138273.896307349</v>
      </c>
      <c r="CM44" s="8">
        <f>+MINVU_Mes_Corriente!CM44*MINVU_Mes_Constante!$CC$1</f>
        <v>14802500.786273779</v>
      </c>
      <c r="CN44" s="8">
        <f>+MINVU_Mes_Corriente!CN44*MINVU_Mes_Constante!$CC$1</f>
        <v>12931561.508392392</v>
      </c>
      <c r="CO44" s="9">
        <f t="shared" si="25"/>
        <v>12931561.508392392</v>
      </c>
      <c r="CP44" s="8">
        <f>+MINVU_Mes_Corriente!CP44*MINVU_Mes_Constante!$CP$1</f>
        <v>26173681.701160088</v>
      </c>
      <c r="CQ44" s="8">
        <f>+MINVU_Mes_Corriente!CQ44*MINVU_Mes_Constante!$CP$1</f>
        <v>21313004.702784218</v>
      </c>
      <c r="CR44" s="8">
        <f>+MINVU_Mes_Corriente!CR44*MINVU_Mes_Constante!$CP$1</f>
        <v>28247350.309976794</v>
      </c>
      <c r="CS44" s="8">
        <f>+MINVU_Mes_Corriente!CS44*MINVU_Mes_Constante!$CP$1</f>
        <v>28247350.309976794</v>
      </c>
      <c r="CT44" s="8">
        <f>+MINVU_Mes_Corriente!CT44*MINVU_Mes_Constante!$CP$1</f>
        <v>18517277.061020877</v>
      </c>
      <c r="CU44" s="8">
        <f>+MINVU_Mes_Corriente!CU44*MINVU_Mes_Constante!$CP$1</f>
        <v>19504619.880974475</v>
      </c>
      <c r="CV44" s="8">
        <f>+MINVU_Mes_Corriente!CV44*MINVU_Mes_Constante!$CP$1</f>
        <v>22727057.255916469</v>
      </c>
      <c r="CW44" s="8">
        <f>+MINVU_Mes_Corriente!CW44*MINVU_Mes_Constante!$CP$1</f>
        <v>22713215.965893269</v>
      </c>
      <c r="CX44" s="8">
        <f>+MINVU_Mes_Corriente!CX44*MINVU_Mes_Constante!$CP$1</f>
        <v>22713215.965893269</v>
      </c>
      <c r="CY44" s="8">
        <f>+MINVU_Mes_Corriente!CY44*MINVU_Mes_Constante!$CP$1</f>
        <v>22717690.302320182</v>
      </c>
      <c r="CZ44" s="8">
        <f>+MINVU_Mes_Corriente!CZ44*MINVU_Mes_Constante!$CP$1</f>
        <v>22293071.972853824</v>
      </c>
      <c r="DA44" s="8">
        <f>+MINVU_Mes_Corriente!DA44*MINVU_Mes_Constante!$CP$1</f>
        <v>18174198.125986077</v>
      </c>
      <c r="DB44" s="9">
        <f t="shared" si="26"/>
        <v>18174198.125986077</v>
      </c>
      <c r="DC44" s="8">
        <f>+MINVU_Mes_Corriente!DC44*MINVU_Mes_Constante!$DC$1</f>
        <v>33115852.915543683</v>
      </c>
      <c r="DD44" s="8">
        <f>+MINVU_Mes_Corriente!DD44*MINVU_Mes_Constante!$DC$1</f>
        <v>36216869.988272831</v>
      </c>
      <c r="DE44" s="8">
        <f>+MINVU_Mes_Corriente!DE44*MINVU_Mes_Constante!$DC$1</f>
        <v>36216869.988272831</v>
      </c>
      <c r="DF44" s="8">
        <f>+MINVU_Mes_Corriente!DF44*MINVU_Mes_Constante!$DC$1</f>
        <v>36216869.988272831</v>
      </c>
      <c r="DG44" s="8">
        <f>+MINVU_Mes_Corriente!DG44*MINVU_Mes_Constante!$DC$1</f>
        <v>36216869.988272831</v>
      </c>
      <c r="DH44" s="8">
        <f>+MINVU_Mes_Corriente!DH44*MINVU_Mes_Constante!$DC$1</f>
        <v>36216869.988272831</v>
      </c>
      <c r="DI44" s="8">
        <f>+MINVU_Mes_Corriente!DI44*MINVU_Mes_Constante!$DC$1</f>
        <v>34084289.22662279</v>
      </c>
      <c r="DJ44" s="8">
        <f>+MINVU_Mes_Corriente!DJ44*MINVU_Mes_Constante!$DC$1</f>
        <v>34084289.22662279</v>
      </c>
      <c r="DK44" s="8">
        <f>+MINVU_Mes_Corriente!DK44*MINVU_Mes_Constante!$DC$1</f>
        <v>26050852.471144956</v>
      </c>
      <c r="DL44" s="8">
        <f>+MINVU_Mes_Corriente!DL44*MINVU_Mes_Constante!$DC$1</f>
        <v>26050852.471144956</v>
      </c>
      <c r="DM44" s="8">
        <f>+MINVU_Mes_Corriente!DM44*MINVU_Mes_Constante!$DC$1</f>
        <v>22902507.756403673</v>
      </c>
      <c r="DN44" s="8">
        <f>+MINVU_Mes_Corriente!DN44*MINVU_Mes_Constante!$DC$1</f>
        <v>20607499.264684714</v>
      </c>
      <c r="DO44" s="9">
        <f t="shared" si="27"/>
        <v>20607499.264684714</v>
      </c>
      <c r="DP44" s="8">
        <f>+MINVU_Mes_Corriente!DP44*MINVU_Mes_Constante!$DP$1</f>
        <v>37836314.109263659</v>
      </c>
      <c r="DQ44" s="8">
        <f>+MINVU_Mes_Corriente!DQ44*MINVU_Mes_Constante!$DP$1</f>
        <v>37836314.109263659</v>
      </c>
      <c r="DR44" s="8">
        <f>+MINVU_Mes_Corriente!DR44*MINVU_Mes_Constante!$DP$1</f>
        <v>37836314.109263659</v>
      </c>
      <c r="DS44" s="8">
        <f>+MINVU_Mes_Corriente!DS44*MINVU_Mes_Constante!$DP$1</f>
        <v>36550283.682897866</v>
      </c>
      <c r="DT44" s="8">
        <f>+MINVU_Mes_Corriente!DT44*MINVU_Mes_Constante!$DP$1</f>
        <v>33386687.633016631</v>
      </c>
      <c r="DU44" s="8">
        <f>+MINVU_Mes_Corriente!DU44*MINVU_Mes_Constante!$DP$1</f>
        <v>33196599.671615206</v>
      </c>
      <c r="DV44" s="8">
        <f>+MINVU_Mes_Corriente!DV44*MINVU_Mes_Constante!$DP$1</f>
        <v>32912453.383610453</v>
      </c>
      <c r="DW44" s="8">
        <f>+MINVU_Mes_Corriente!DW44*MINVU_Mes_Constante!$DP$1</f>
        <v>32912453.383610453</v>
      </c>
      <c r="DX44" s="8">
        <f>+MINVU_Mes_Corriente!DX44*MINVU_Mes_Constante!$DP$1</f>
        <v>32912453.383610453</v>
      </c>
      <c r="DY44" s="8">
        <f>+MINVU_Mes_Corriente!DY44*MINVU_Mes_Constante!$DP$1</f>
        <v>32912453.383610453</v>
      </c>
      <c r="DZ44" s="8">
        <f>+MINVU_Mes_Corriente!DZ44*MINVU_Mes_Constante!$DP$1</f>
        <v>23530395.370546322</v>
      </c>
      <c r="EA44" s="8">
        <f>+MINVU_Mes_Corriente!EA44*MINVU_Mes_Constante!$DP$1</f>
        <v>11444689.790380049</v>
      </c>
      <c r="EB44" s="9">
        <f t="shared" si="28"/>
        <v>11444689.790380049</v>
      </c>
      <c r="EC44" s="8">
        <f>+MINVU_Mes_Corriente!EC44*MINVU_Mes_Constante!$EC$1</f>
        <v>22359669.00738496</v>
      </c>
      <c r="ED44" s="8">
        <f>+MINVU_Mes_Corriente!ED44*MINVU_Mes_Constante!$EC$1</f>
        <v>22359669.00738496</v>
      </c>
      <c r="EE44" s="8">
        <f>+MINVU_Mes_Corriente!EE44*MINVU_Mes_Constante!$EC$1</f>
        <v>25949949.297102813</v>
      </c>
      <c r="EF44" s="8">
        <f>+MINVU_Mes_Corriente!EF44*MINVU_Mes_Constante!$EC$1</f>
        <v>25884352.953039188</v>
      </c>
      <c r="EG44" s="8">
        <f>+MINVU_Mes_Corriente!EG44*MINVU_Mes_Constante!$EC$1</f>
        <v>25294668.602158673</v>
      </c>
      <c r="EH44" s="8">
        <f>+MINVU_Mes_Corriente!EH44*MINVU_Mes_Constante!$EC$1</f>
        <v>23895309.928233281</v>
      </c>
      <c r="EI44" s="8">
        <f>+MINVU_Mes_Corriente!EI44*MINVU_Mes_Constante!$EC$1</f>
        <v>22907778.283469032</v>
      </c>
      <c r="EJ44" s="8">
        <f>+MINVU_Mes_Corriente!EJ44*MINVU_Mes_Constante!$EC$1</f>
        <v>20685245.542132165</v>
      </c>
      <c r="EK44" s="8">
        <f>+MINVU_Mes_Corriente!EK44*MINVU_Mes_Constante!$EC$1</f>
        <v>19430607.231206205</v>
      </c>
      <c r="EL44" s="8">
        <f>+MINVU_Mes_Corriente!EL44*MINVU_Mes_Constante!$EC$1</f>
        <v>19430607.231206205</v>
      </c>
      <c r="EM44" s="8">
        <f>+MINVU_Mes_Corriente!EM44*MINVU_Mes_Constante!$EC$1</f>
        <v>16847786.484756671</v>
      </c>
      <c r="EN44" s="8">
        <f>+MINVU_Mes_Corriente!EN44*MINVU_Mes_Constante!$EC$1</f>
        <v>13789936.112857409</v>
      </c>
      <c r="EO44" s="9">
        <f t="shared" si="29"/>
        <v>13789936.112857409</v>
      </c>
      <c r="EP44" s="8">
        <f>+MINVU_Mes_Corriente!EP44*MINVU_Mes_Constante!$EP$1</f>
        <v>24407573</v>
      </c>
      <c r="EQ44" s="8">
        <f>+MINVU_Mes_Corriente!EQ44*MINVU_Mes_Constante!$EP$1</f>
        <v>24407573</v>
      </c>
      <c r="ER44" s="8">
        <f>+MINVU_Mes_Corriente!ER44*MINVU_Mes_Constante!$EP$1</f>
        <v>20199526</v>
      </c>
      <c r="ES44" s="8">
        <f>+MINVU_Mes_Corriente!ES44*MINVU_Mes_Constante!$EP$1</f>
        <v>19621185</v>
      </c>
      <c r="ET44" s="8">
        <f>+MINVU_Mes_Corriente!ET44*MINVU_Mes_Constante!$EP$1</f>
        <v>19621185</v>
      </c>
      <c r="EU44" s="8">
        <f>+MINVU_Mes_Corriente!EU44*MINVU_Mes_Constante!$EP$1</f>
        <v>19621185</v>
      </c>
      <c r="EV44" s="8">
        <f>+MINVU_Mes_Corriente!EV44*MINVU_Mes_Constante!$EP$1</f>
        <v>19621185</v>
      </c>
      <c r="EW44" s="8">
        <f>+MINVU_Mes_Corriente!EW44*MINVU_Mes_Constante!$EP$1</f>
        <v>17321185</v>
      </c>
      <c r="EX44" s="8">
        <f>+MINVU_Mes_Corriente!EX44*MINVU_Mes_Constante!$EP$1</f>
        <v>17321185</v>
      </c>
      <c r="EY44" s="8">
        <f>+MINVU_Mes_Corriente!EY44*MINVU_Mes_Constante!$EP$1</f>
        <v>16366982</v>
      </c>
      <c r="EZ44" s="8">
        <f>+MINVU_Mes_Corriente!EZ44*MINVU_Mes_Constante!$EP$1</f>
        <v>16366982</v>
      </c>
      <c r="FA44" s="8">
        <f>+MINVU_Mes_Corriente!FA44*MINVU_Mes_Constante!$EP$1</f>
        <v>9559039</v>
      </c>
      <c r="FB44" s="9">
        <f t="shared" si="30"/>
        <v>9559039</v>
      </c>
      <c r="FC44" s="8">
        <f>+MINVU_Mes_Corriente!FC44*MINVU_Mes_Constante!$FC$1</f>
        <v>26486066</v>
      </c>
      <c r="FD44" s="8">
        <f>+MINVU_Mes_Corriente!FD44*MINVU_Mes_Constante!$FC$1</f>
        <v>20486066</v>
      </c>
      <c r="FE44" s="8">
        <f>+MINVU_Mes_Corriente!FE44*MINVU_Mes_Constante!$FC$1</f>
        <v>20381384</v>
      </c>
      <c r="FF44" s="8">
        <f>+MINVU_Mes_Corriente!FF44*MINVU_Mes_Constante!$FC$1</f>
        <v>20381384</v>
      </c>
      <c r="FG44" s="8">
        <f>+MINVU_Mes_Corriente!FG44*MINVU_Mes_Constante!$FC$1</f>
        <v>21613538</v>
      </c>
      <c r="FH44" s="8">
        <f>+MINVU_Mes_Corriente!FH44*MINVU_Mes_Constante!$FC$1</f>
        <v>20281537</v>
      </c>
      <c r="FI44" s="8">
        <f>+MINVU_Mes_Corriente!FI44*MINVU_Mes_Constante!$FC$1</f>
        <v>20281537</v>
      </c>
      <c r="FJ44" s="8"/>
      <c r="FK44" s="8"/>
      <c r="FL44" s="8"/>
      <c r="FM44" s="8"/>
      <c r="FN44" s="8"/>
      <c r="FO44" s="9">
        <f t="shared" si="31"/>
        <v>20281537</v>
      </c>
    </row>
    <row r="45" spans="2:171" ht="14.25" customHeight="1" x14ac:dyDescent="0.3">
      <c r="B45" s="7" t="s">
        <v>58</v>
      </c>
      <c r="C45" s="8">
        <f>+MINVU_Mes_Corriente!C45*MINVU_Mes_Constante!$C$1</f>
        <v>23959420.102031741</v>
      </c>
      <c r="D45" s="8">
        <f>+MINVU_Mes_Corriente!D45*MINVU_Mes_Constante!$C$1</f>
        <v>23959420.102031741</v>
      </c>
      <c r="E45" s="8">
        <f>+MINVU_Mes_Corriente!E45*MINVU_Mes_Constante!$C$1</f>
        <v>25918576.830787487</v>
      </c>
      <c r="F45" s="8">
        <f>+MINVU_Mes_Corriente!F45*MINVU_Mes_Constante!$C$1</f>
        <v>25918576.830787487</v>
      </c>
      <c r="G45" s="8">
        <f>+MINVU_Mes_Corriente!G45*MINVU_Mes_Constante!$C$1</f>
        <v>27889887.782589357</v>
      </c>
      <c r="H45" s="8">
        <f>+MINVU_Mes_Corriente!H45*MINVU_Mes_Constante!$C$1</f>
        <v>27932412.169954032</v>
      </c>
      <c r="I45" s="8">
        <f>+MINVU_Mes_Corriente!I45*MINVU_Mes_Constante!$C$1</f>
        <v>27932412.169954032</v>
      </c>
      <c r="J45" s="8">
        <f>+MINVU_Mes_Corriente!J45*MINVU_Mes_Constante!$C$1</f>
        <v>28102083.568144746</v>
      </c>
      <c r="K45" s="8">
        <f>+MINVU_Mes_Corriente!K45*MINVU_Mes_Constante!$C$1</f>
        <v>29115707.854070894</v>
      </c>
      <c r="L45" s="8">
        <f>+MINVU_Mes_Corriente!L45*MINVU_Mes_Constante!$C$1</f>
        <v>28629793.326709185</v>
      </c>
      <c r="M45" s="8">
        <f>+MINVU_Mes_Corriente!M45*MINVU_Mes_Constante!$C$1</f>
        <v>28649271.518315293</v>
      </c>
      <c r="N45" s="8">
        <f>+MINVU_Mes_Corriente!N45*MINVU_Mes_Constante!$C$1</f>
        <v>28407058.804093137</v>
      </c>
      <c r="O45" s="9">
        <f t="shared" si="19"/>
        <v>28407058.804093137</v>
      </c>
      <c r="P45" s="8">
        <f>+MINVU_Mes_Corriente!P45*MINVU_Mes_Constante!$P$1</f>
        <v>28873202.200028401</v>
      </c>
      <c r="Q45" s="8">
        <f>+MINVU_Mes_Corriente!Q45*MINVU_Mes_Constante!$P$1</f>
        <v>31481664.791873835</v>
      </c>
      <c r="R45" s="8">
        <f>+MINVU_Mes_Corriente!R45*MINVU_Mes_Constante!$P$1</f>
        <v>33809978.472794421</v>
      </c>
      <c r="S45" s="8">
        <f>+MINVU_Mes_Corriente!S45*MINVU_Mes_Constante!$P$1</f>
        <v>33809978.472794421</v>
      </c>
      <c r="T45" s="8">
        <f>+MINVU_Mes_Corriente!T45*MINVU_Mes_Constante!$P$1</f>
        <v>33809978.472794421</v>
      </c>
      <c r="U45" s="8">
        <f>+MINVU_Mes_Corriente!U45*MINVU_Mes_Constante!$P$1</f>
        <v>35461125.402756058</v>
      </c>
      <c r="V45" s="8">
        <f>+MINVU_Mes_Corriente!V45*MINVU_Mes_Constante!$P$1</f>
        <v>35461125.402756058</v>
      </c>
      <c r="W45" s="8">
        <f>+MINVU_Mes_Corriente!W45*MINVU_Mes_Constante!$P$1</f>
        <v>36246543.217786603</v>
      </c>
      <c r="X45" s="8">
        <f>+MINVU_Mes_Corriente!X45*MINVU_Mes_Constante!$P$1</f>
        <v>36246543.217786603</v>
      </c>
      <c r="Y45" s="8">
        <f>+MINVU_Mes_Corriente!Y45*MINVU_Mes_Constante!$P$1</f>
        <v>36093945.53913907</v>
      </c>
      <c r="Z45" s="8">
        <f>+MINVU_Mes_Corriente!Z45*MINVU_Mes_Constante!$P$1</f>
        <v>35915876.108822264</v>
      </c>
      <c r="AA45" s="8">
        <f>+MINVU_Mes_Corriente!AA45*MINVU_Mes_Constante!$P$1</f>
        <v>33403454.904105686</v>
      </c>
      <c r="AB45" s="9">
        <f t="shared" si="20"/>
        <v>33403454.904105686</v>
      </c>
      <c r="AC45" s="8">
        <f>+MINVU_Mes_Corriente!AC45*MINVU_Mes_Constante!$AC$1</f>
        <v>23557059.053534374</v>
      </c>
      <c r="AD45" s="8">
        <f>+MINVU_Mes_Corriente!AD45*MINVU_Mes_Constante!$AC$1</f>
        <v>26289750.046479456</v>
      </c>
      <c r="AE45" s="8">
        <f>+MINVU_Mes_Corriente!AE45*MINVU_Mes_Constante!$AC$1</f>
        <v>26289750.046479456</v>
      </c>
      <c r="AF45" s="8">
        <f>+MINVU_Mes_Corriente!AF45*MINVU_Mes_Constante!$AC$1</f>
        <v>26289750.046479456</v>
      </c>
      <c r="AG45" s="8">
        <f>+MINVU_Mes_Corriente!AG45*MINVU_Mes_Constante!$AC$1</f>
        <v>26289750.046479456</v>
      </c>
      <c r="AH45" s="8">
        <f>+MINVU_Mes_Corriente!AH45*MINVU_Mes_Constante!$AC$1</f>
        <v>26289750.046479456</v>
      </c>
      <c r="AI45" s="8">
        <f>+MINVU_Mes_Corriente!AI45*MINVU_Mes_Constante!$AC$1</f>
        <v>26652526.799834002</v>
      </c>
      <c r="AJ45" s="8">
        <f>+MINVU_Mes_Corriente!AJ45*MINVU_Mes_Constante!$AC$1</f>
        <v>32675613.903444458</v>
      </c>
      <c r="AK45" s="8">
        <f>+MINVU_Mes_Corriente!AK45*MINVU_Mes_Constante!$AC$1</f>
        <v>32675613.903444458</v>
      </c>
      <c r="AL45" s="8">
        <f>+MINVU_Mes_Corriente!AL45*MINVU_Mes_Constante!$AC$1</f>
        <v>32782342.287729975</v>
      </c>
      <c r="AM45" s="8">
        <f>+MINVU_Mes_Corriente!AM45*MINVU_Mes_Constante!$AC$1</f>
        <v>33447697.751279566</v>
      </c>
      <c r="AN45" s="8">
        <f>+MINVU_Mes_Corriente!AN45*MINVU_Mes_Constante!$AC$1</f>
        <v>33028657.161156453</v>
      </c>
      <c r="AO45" s="9">
        <f t="shared" si="21"/>
        <v>33028657.161156453</v>
      </c>
      <c r="AP45" s="8">
        <f>+MINVU_Mes_Corriente!AP45*MINVU_Mes_Constante!$AP$1</f>
        <v>27677353.629649665</v>
      </c>
      <c r="AQ45" s="8">
        <f>+MINVU_Mes_Corriente!AQ45*MINVU_Mes_Constante!$AP$1</f>
        <v>28048060.262410387</v>
      </c>
      <c r="AR45" s="8">
        <f>+MINVU_Mes_Corriente!AR45*MINVU_Mes_Constante!$AP$1</f>
        <v>25386971.112944677</v>
      </c>
      <c r="AS45" s="8">
        <f>+MINVU_Mes_Corriente!AS45*MINVU_Mes_Constante!$AP$1</f>
        <v>24842320.432030298</v>
      </c>
      <c r="AT45" s="8">
        <f>+MINVU_Mes_Corriente!AT45*MINVU_Mes_Constante!$AP$1</f>
        <v>24842320.432030298</v>
      </c>
      <c r="AU45" s="8">
        <f>+MINVU_Mes_Corriente!AU45*MINVU_Mes_Constante!$AP$1</f>
        <v>25349055.986473691</v>
      </c>
      <c r="AV45" s="8">
        <f>+MINVU_Mes_Corriente!AV45*MINVU_Mes_Constante!$AP$1</f>
        <v>25349055.986473691</v>
      </c>
      <c r="AW45" s="8">
        <f>+MINVU_Mes_Corriente!AW45*MINVU_Mes_Constante!$AP$1</f>
        <v>27375974.558095492</v>
      </c>
      <c r="AX45" s="8">
        <f>+MINVU_Mes_Corriente!AX45*MINVU_Mes_Constante!$AP$1</f>
        <v>27375974.558095492</v>
      </c>
      <c r="AY45" s="8">
        <f>+MINVU_Mes_Corriente!AY45*MINVU_Mes_Constante!$AP$1</f>
        <v>27375974.558095492</v>
      </c>
      <c r="AZ45" s="8">
        <f>+MINVU_Mes_Corriente!AZ45*MINVU_Mes_Constante!$AP$1</f>
        <v>27375974.558095492</v>
      </c>
      <c r="BA45" s="8">
        <f>+MINVU_Mes_Corriente!BA45*MINVU_Mes_Constante!$AP$1</f>
        <v>26799589.263627753</v>
      </c>
      <c r="BB45" s="9">
        <f t="shared" si="22"/>
        <v>26799589.263627753</v>
      </c>
      <c r="BC45" s="8">
        <f>+MINVU_Mes_Corriente!BC45*MINVU_Mes_Constante!$BC$1</f>
        <v>29670942.704206787</v>
      </c>
      <c r="BD45" s="8">
        <f>+MINVU_Mes_Corriente!BD45*MINVU_Mes_Constante!$BC$1</f>
        <v>31255882.701569308</v>
      </c>
      <c r="BE45" s="8">
        <f>+MINVU_Mes_Corriente!BE45*MINVU_Mes_Constante!$BC$1</f>
        <v>31255882.701569308</v>
      </c>
      <c r="BF45" s="8">
        <f>+MINVU_Mes_Corriente!BF45*MINVU_Mes_Constante!$BC$1</f>
        <v>31255882.701569308</v>
      </c>
      <c r="BG45" s="8">
        <f>+MINVU_Mes_Corriente!BG45*MINVU_Mes_Constante!$BC$1</f>
        <v>31255882.701569308</v>
      </c>
      <c r="BH45" s="8">
        <f>+MINVU_Mes_Corriente!BH45*MINVU_Mes_Constante!$BC$1</f>
        <v>31255882.701569308</v>
      </c>
      <c r="BI45" s="8">
        <f>+MINVU_Mes_Corriente!BI45*MINVU_Mes_Constante!$BC$1</f>
        <v>31255882.701569308</v>
      </c>
      <c r="BJ45" s="8">
        <f>+MINVU_Mes_Corriente!BJ45*MINVU_Mes_Constante!$BC$1</f>
        <v>30133344.625873674</v>
      </c>
      <c r="BK45" s="8">
        <f>+MINVU_Mes_Corriente!BK45*MINVU_Mes_Constante!$BC$1</f>
        <v>30133344.625873674</v>
      </c>
      <c r="BL45" s="8">
        <f>+MINVU_Mes_Corriente!BL45*MINVU_Mes_Constante!$BC$1</f>
        <v>26460669.793221686</v>
      </c>
      <c r="BM45" s="8">
        <f>+MINVU_Mes_Corriente!BM45*MINVU_Mes_Constante!$BC$1</f>
        <v>26460669.793221686</v>
      </c>
      <c r="BN45" s="8">
        <f>+MINVU_Mes_Corriente!BN45*MINVU_Mes_Constante!$BC$1</f>
        <v>24120808.466569964</v>
      </c>
      <c r="BO45" s="9">
        <f t="shared" si="23"/>
        <v>24120808.466569964</v>
      </c>
      <c r="BP45" s="8">
        <f>+MINVU_Mes_Corriente!BP45*MINVU_Mes_Constante!$BP$1</f>
        <v>29226353.310115241</v>
      </c>
      <c r="BQ45" s="8">
        <f>+MINVU_Mes_Corriente!BQ45*MINVU_Mes_Constante!$BP$1</f>
        <v>29226353.310115241</v>
      </c>
      <c r="BR45" s="8">
        <f>+MINVU_Mes_Corriente!BR45*MINVU_Mes_Constante!$BP$1</f>
        <v>26811883.581049938</v>
      </c>
      <c r="BS45" s="8">
        <f>+MINVU_Mes_Corriente!BS45*MINVU_Mes_Constante!$BP$1</f>
        <v>26811883.581049938</v>
      </c>
      <c r="BT45" s="8">
        <f>+MINVU_Mes_Corriente!BT45*MINVU_Mes_Constante!$BP$1</f>
        <v>26811883.581049938</v>
      </c>
      <c r="BU45" s="8">
        <f>+MINVU_Mes_Corriente!BU45*MINVU_Mes_Constante!$BP$1</f>
        <v>26351879.395390529</v>
      </c>
      <c r="BV45" s="8">
        <f>+MINVU_Mes_Corriente!BV45*MINVU_Mes_Constante!$BP$1</f>
        <v>26351879.395390529</v>
      </c>
      <c r="BW45" s="8">
        <f>+MINVU_Mes_Corriente!BW45*MINVU_Mes_Constante!$BP$1</f>
        <v>26128969.409731116</v>
      </c>
      <c r="BX45" s="8">
        <f>+MINVU_Mes_Corriente!BX45*MINVU_Mes_Constante!$BP$1</f>
        <v>26200152.089884765</v>
      </c>
      <c r="BY45" s="8">
        <f>+MINVU_Mes_Corriente!BY45*MINVU_Mes_Constante!$BP$1</f>
        <v>26200152.089884765</v>
      </c>
      <c r="BZ45" s="8">
        <f>+MINVU_Mes_Corriente!BZ45*MINVU_Mes_Constante!$BP$1</f>
        <v>26200152.089884765</v>
      </c>
      <c r="CA45" s="8">
        <f>+MINVU_Mes_Corriente!CA45*MINVU_Mes_Constante!$BP$1</f>
        <v>26109487.27451985</v>
      </c>
      <c r="CB45" s="9">
        <f t="shared" si="24"/>
        <v>26109487.27451985</v>
      </c>
      <c r="CC45" s="8">
        <f>+MINVU_Mes_Corriente!CC45*MINVU_Mes_Constante!$CC$1</f>
        <v>37595484.367027231</v>
      </c>
      <c r="CD45" s="8">
        <f>+MINVU_Mes_Corriente!CD45*MINVU_Mes_Constante!$CC$1</f>
        <v>37595484.367027231</v>
      </c>
      <c r="CE45" s="8">
        <f>+MINVU_Mes_Corriente!CE45*MINVU_Mes_Constante!$CC$1</f>
        <v>37595484.367027231</v>
      </c>
      <c r="CF45" s="8">
        <f>+MINVU_Mes_Corriente!CF45*MINVU_Mes_Constante!$CC$1</f>
        <v>36772158.713912725</v>
      </c>
      <c r="CG45" s="8">
        <f>+MINVU_Mes_Corriente!CG45*MINVU_Mes_Constante!$CC$1</f>
        <v>36772158.713912725</v>
      </c>
      <c r="CH45" s="8">
        <f>+MINVU_Mes_Corriente!CH45*MINVU_Mes_Constante!$CC$1</f>
        <v>36799646.916076094</v>
      </c>
      <c r="CI45" s="8">
        <f>+MINVU_Mes_Corriente!CI45*MINVU_Mes_Constante!$CC$1</f>
        <v>36799646.916076094</v>
      </c>
      <c r="CJ45" s="8">
        <f>+MINVU_Mes_Corriente!CJ45*MINVU_Mes_Constante!$CC$1</f>
        <v>36799646.916076094</v>
      </c>
      <c r="CK45" s="8">
        <f>+MINVU_Mes_Corriente!CK45*MINVU_Mes_Constante!$CC$1</f>
        <v>36899274.15889594</v>
      </c>
      <c r="CL45" s="8">
        <f>+MINVU_Mes_Corriente!CL45*MINVU_Mes_Constante!$CC$1</f>
        <v>34460947.687430069</v>
      </c>
      <c r="CM45" s="8">
        <f>+MINVU_Mes_Corriente!CM45*MINVU_Mes_Constante!$CC$1</f>
        <v>34460947.687430069</v>
      </c>
      <c r="CN45" s="8">
        <f>+MINVU_Mes_Corriente!CN45*MINVU_Mes_Constante!$CC$1</f>
        <v>25270364.083550915</v>
      </c>
      <c r="CO45" s="9">
        <f t="shared" si="25"/>
        <v>25270364.083550915</v>
      </c>
      <c r="CP45" s="8">
        <f>+MINVU_Mes_Corriente!CP45*MINVU_Mes_Constante!$CP$1</f>
        <v>44985424.602320179</v>
      </c>
      <c r="CQ45" s="8">
        <f>+MINVU_Mes_Corriente!CQ45*MINVU_Mes_Constante!$CP$1</f>
        <v>45086843.739675164</v>
      </c>
      <c r="CR45" s="8">
        <f>+MINVU_Mes_Corriente!CR45*MINVU_Mes_Constante!$CP$1</f>
        <v>45568101.084222727</v>
      </c>
      <c r="CS45" s="8">
        <f>+MINVU_Mes_Corriente!CS45*MINVU_Mes_Constante!$CP$1</f>
        <v>45881553.067517392</v>
      </c>
      <c r="CT45" s="8">
        <f>+MINVU_Mes_Corriente!CT45*MINVU_Mes_Constante!$CP$1</f>
        <v>45705568.416473307</v>
      </c>
      <c r="CU45" s="8">
        <f>+MINVU_Mes_Corriente!CU45*MINVU_Mes_Constante!$CP$1</f>
        <v>47123087.629698366</v>
      </c>
      <c r="CV45" s="8">
        <f>+MINVU_Mes_Corriente!CV45*MINVU_Mes_Constante!$CP$1</f>
        <v>47123087.629698366</v>
      </c>
      <c r="CW45" s="8">
        <f>+MINVU_Mes_Corriente!CW45*MINVU_Mes_Constante!$CP$1</f>
        <v>47123087.629698366</v>
      </c>
      <c r="CX45" s="8">
        <f>+MINVU_Mes_Corriente!CX45*MINVU_Mes_Constante!$CP$1</f>
        <v>47123087.629698366</v>
      </c>
      <c r="CY45" s="8">
        <f>+MINVU_Mes_Corriente!CY45*MINVU_Mes_Constante!$CP$1</f>
        <v>46641431.017169364</v>
      </c>
      <c r="CZ45" s="8">
        <f>+MINVU_Mes_Corriente!CZ45*MINVU_Mes_Constante!$CP$1</f>
        <v>37966529.246867739</v>
      </c>
      <c r="DA45" s="8">
        <f>+MINVU_Mes_Corriente!DA45*MINVU_Mes_Constante!$CP$1</f>
        <v>30182535.037587002</v>
      </c>
      <c r="DB45" s="9">
        <f t="shared" si="26"/>
        <v>30182535.037587002</v>
      </c>
      <c r="DC45" s="8">
        <f>+MINVU_Mes_Corriente!DC45*MINVU_Mes_Constante!$DC$1</f>
        <v>32259053.776566211</v>
      </c>
      <c r="DD45" s="8">
        <f>+MINVU_Mes_Corriente!DD45*MINVU_Mes_Constante!$DC$1</f>
        <v>35503837.497376829</v>
      </c>
      <c r="DE45" s="8">
        <f>+MINVU_Mes_Corriente!DE45*MINVU_Mes_Constante!$DC$1</f>
        <v>36885345.394712493</v>
      </c>
      <c r="DF45" s="8">
        <f>+MINVU_Mes_Corriente!DF45*MINVU_Mes_Constante!$DC$1</f>
        <v>36885345.394712493</v>
      </c>
      <c r="DG45" s="8">
        <f>+MINVU_Mes_Corriente!DG45*MINVU_Mes_Constante!$DC$1</f>
        <v>37070078.080032937</v>
      </c>
      <c r="DH45" s="8">
        <f>+MINVU_Mes_Corriente!DH45*MINVU_Mes_Constante!$DC$1</f>
        <v>37070078.080032937</v>
      </c>
      <c r="DI45" s="8">
        <f>+MINVU_Mes_Corriente!DI45*MINVU_Mes_Constante!$DC$1</f>
        <v>37269274.986524038</v>
      </c>
      <c r="DJ45" s="8">
        <f>+MINVU_Mes_Corriente!DJ45*MINVU_Mes_Constante!$DC$1</f>
        <v>37269274.986524038</v>
      </c>
      <c r="DK45" s="8">
        <f>+MINVU_Mes_Corriente!DK45*MINVU_Mes_Constante!$DC$1</f>
        <v>33256092.582038902</v>
      </c>
      <c r="DL45" s="8">
        <f>+MINVU_Mes_Corriente!DL45*MINVU_Mes_Constante!$DC$1</f>
        <v>33303298.836539466</v>
      </c>
      <c r="DM45" s="8">
        <f>+MINVU_Mes_Corriente!DM45*MINVU_Mes_Constante!$DC$1</f>
        <v>31287882.874601394</v>
      </c>
      <c r="DN45" s="8">
        <f>+MINVU_Mes_Corriente!DN45*MINVU_Mes_Constante!$DC$1</f>
        <v>27511869.188560862</v>
      </c>
      <c r="DO45" s="9">
        <f t="shared" si="27"/>
        <v>27511869.188560862</v>
      </c>
      <c r="DP45" s="8">
        <f>+MINVU_Mes_Corriente!DP45*MINVU_Mes_Constante!$DP$1</f>
        <v>23464252.195368174</v>
      </c>
      <c r="DQ45" s="8">
        <f>+MINVU_Mes_Corriente!DQ45*MINVU_Mes_Constante!$DP$1</f>
        <v>25746270.137173399</v>
      </c>
      <c r="DR45" s="8">
        <f>+MINVU_Mes_Corriente!DR45*MINVU_Mes_Constante!$DP$1</f>
        <v>25746270.137173399</v>
      </c>
      <c r="DS45" s="8">
        <f>+MINVU_Mes_Corriente!DS45*MINVU_Mes_Constante!$DP$1</f>
        <v>25746270.137173399</v>
      </c>
      <c r="DT45" s="8">
        <f>+MINVU_Mes_Corriente!DT45*MINVU_Mes_Constante!$DP$1</f>
        <v>25746270.137173399</v>
      </c>
      <c r="DU45" s="8">
        <f>+MINVU_Mes_Corriente!DU45*MINVU_Mes_Constante!$DP$1</f>
        <v>25746270.137173399</v>
      </c>
      <c r="DV45" s="8">
        <f>+MINVU_Mes_Corriente!DV45*MINVU_Mes_Constante!$DP$1</f>
        <v>25746270.137173399</v>
      </c>
      <c r="DW45" s="8">
        <f>+MINVU_Mes_Corriente!DW45*MINVU_Mes_Constante!$DP$1</f>
        <v>25746270.137173399</v>
      </c>
      <c r="DX45" s="8">
        <f>+MINVU_Mes_Corriente!DX45*MINVU_Mes_Constante!$DP$1</f>
        <v>25746270.137173399</v>
      </c>
      <c r="DY45" s="8">
        <f>+MINVU_Mes_Corriente!DY45*MINVU_Mes_Constante!$DP$1</f>
        <v>25746270.137173399</v>
      </c>
      <c r="DZ45" s="8">
        <f>+MINVU_Mes_Corriente!DZ45*MINVU_Mes_Constante!$DP$1</f>
        <v>20749842.994061761</v>
      </c>
      <c r="EA45" s="8">
        <f>+MINVU_Mes_Corriente!EA45*MINVU_Mes_Constante!$DP$1</f>
        <v>20340505.118764848</v>
      </c>
      <c r="EB45" s="9">
        <f t="shared" si="28"/>
        <v>20340505.118764848</v>
      </c>
      <c r="EC45" s="8">
        <f>+MINVU_Mes_Corriente!EC45*MINVU_Mes_Constante!$EC$1</f>
        <v>28485479.559742466</v>
      </c>
      <c r="ED45" s="8">
        <f>+MINVU_Mes_Corriente!ED45*MINVU_Mes_Constante!$EC$1</f>
        <v>28485479.559742466</v>
      </c>
      <c r="EE45" s="8">
        <f>+MINVU_Mes_Corriente!EE45*MINVU_Mes_Constante!$EC$1</f>
        <v>28761033.652149204</v>
      </c>
      <c r="EF45" s="8">
        <f>+MINVU_Mes_Corriente!EF45*MINVU_Mes_Constante!$EC$1</f>
        <v>28761033.652149204</v>
      </c>
      <c r="EG45" s="8">
        <f>+MINVU_Mes_Corriente!EG45*MINVU_Mes_Constante!$EC$1</f>
        <v>28761033.652149204</v>
      </c>
      <c r="EH45" s="8">
        <f>+MINVU_Mes_Corriente!EH45*MINVU_Mes_Constante!$EC$1</f>
        <v>28761033.652149204</v>
      </c>
      <c r="EI45" s="8">
        <f>+MINVU_Mes_Corriente!EI45*MINVU_Mes_Constante!$EC$1</f>
        <v>28761033.652149204</v>
      </c>
      <c r="EJ45" s="8">
        <f>+MINVU_Mes_Corriente!EJ45*MINVU_Mes_Constante!$EC$1</f>
        <v>28761033.652149204</v>
      </c>
      <c r="EK45" s="8">
        <f>+MINVU_Mes_Corriente!EK45*MINVU_Mes_Constante!$EC$1</f>
        <v>27681886.845673159</v>
      </c>
      <c r="EL45" s="8">
        <f>+MINVU_Mes_Corriente!EL45*MINVU_Mes_Constante!$EC$1</f>
        <v>27681886.845673159</v>
      </c>
      <c r="EM45" s="8">
        <f>+MINVU_Mes_Corriente!EM45*MINVU_Mes_Constante!$EC$1</f>
        <v>26319658.158303343</v>
      </c>
      <c r="EN45" s="8">
        <f>+MINVU_Mes_Corriente!EN45*MINVU_Mes_Constante!$EC$1</f>
        <v>17896336.974057939</v>
      </c>
      <c r="EO45" s="9">
        <f t="shared" si="29"/>
        <v>17896336.974057939</v>
      </c>
      <c r="EP45" s="8">
        <f>+MINVU_Mes_Corriente!EP45*MINVU_Mes_Constante!$EP$1</f>
        <v>21901695</v>
      </c>
      <c r="EQ45" s="8">
        <f>+MINVU_Mes_Corriente!EQ45*MINVU_Mes_Constante!$EP$1</f>
        <v>23883040</v>
      </c>
      <c r="ER45" s="8">
        <f>+MINVU_Mes_Corriente!ER45*MINVU_Mes_Constante!$EP$1</f>
        <v>23883040</v>
      </c>
      <c r="ES45" s="8">
        <f>+MINVU_Mes_Corriente!ES45*MINVU_Mes_Constante!$EP$1</f>
        <v>23883040</v>
      </c>
      <c r="ET45" s="8">
        <f>+MINVU_Mes_Corriente!ET45*MINVU_Mes_Constante!$EP$1</f>
        <v>23883040</v>
      </c>
      <c r="EU45" s="8">
        <f>+MINVU_Mes_Corriente!EU45*MINVU_Mes_Constante!$EP$1</f>
        <v>20324294</v>
      </c>
      <c r="EV45" s="8">
        <f>+MINVU_Mes_Corriente!EV45*MINVU_Mes_Constante!$EP$1</f>
        <v>20324294</v>
      </c>
      <c r="EW45" s="8">
        <f>+MINVU_Mes_Corriente!EW45*MINVU_Mes_Constante!$EP$1</f>
        <v>20324294</v>
      </c>
      <c r="EX45" s="8">
        <f>+MINVU_Mes_Corriente!EX45*MINVU_Mes_Constante!$EP$1</f>
        <v>20324294</v>
      </c>
      <c r="EY45" s="8">
        <f>+MINVU_Mes_Corriente!EY45*MINVU_Mes_Constante!$EP$1</f>
        <v>16716316</v>
      </c>
      <c r="EZ45" s="8">
        <f>+MINVU_Mes_Corriente!EZ45*MINVU_Mes_Constante!$EP$1</f>
        <v>15529632</v>
      </c>
      <c r="FA45" s="8">
        <f>+MINVU_Mes_Corriente!FA45*MINVU_Mes_Constante!$EP$1</f>
        <v>14458089</v>
      </c>
      <c r="FB45" s="9">
        <f t="shared" si="30"/>
        <v>14458089</v>
      </c>
      <c r="FC45" s="8">
        <f>+MINVU_Mes_Corriente!FC45*MINVU_Mes_Constante!$FC$1</f>
        <v>14354883</v>
      </c>
      <c r="FD45" s="8">
        <f>+MINVU_Mes_Corriente!FD45*MINVU_Mes_Constante!$FC$1</f>
        <v>14354883</v>
      </c>
      <c r="FE45" s="8">
        <f>+MINVU_Mes_Corriente!FE45*MINVU_Mes_Constante!$FC$1</f>
        <v>14354883</v>
      </c>
      <c r="FF45" s="8">
        <f>+MINVU_Mes_Corriente!FF45*MINVU_Mes_Constante!$FC$1</f>
        <v>14354883</v>
      </c>
      <c r="FG45" s="8">
        <f>+MINVU_Mes_Corriente!FG45*MINVU_Mes_Constante!$FC$1</f>
        <v>14887377</v>
      </c>
      <c r="FH45" s="8">
        <f>+MINVU_Mes_Corriente!FH45*MINVU_Mes_Constante!$FC$1</f>
        <v>14986549</v>
      </c>
      <c r="FI45" s="8">
        <f>+MINVU_Mes_Corriente!FI45*MINVU_Mes_Constante!$FC$1</f>
        <v>14986549</v>
      </c>
      <c r="FJ45" s="8"/>
      <c r="FK45" s="8"/>
      <c r="FL45" s="8"/>
      <c r="FM45" s="8"/>
      <c r="FN45" s="8"/>
      <c r="FO45" s="9">
        <f t="shared" si="31"/>
        <v>14986549</v>
      </c>
    </row>
    <row r="46" spans="2:171" ht="14.25" customHeight="1" x14ac:dyDescent="0.3">
      <c r="B46" s="7" t="s">
        <v>59</v>
      </c>
      <c r="C46" s="8">
        <f>+MINVU_Mes_Corriente!C46*MINVU_Mes_Constante!$C$1</f>
        <v>8737180.1447426975</v>
      </c>
      <c r="D46" s="8">
        <f>+MINVU_Mes_Corriente!D46*MINVU_Mes_Constante!$C$1</f>
        <v>8737180.1447426975</v>
      </c>
      <c r="E46" s="8">
        <f>+MINVU_Mes_Corriente!E46*MINVU_Mes_Constante!$C$1</f>
        <v>8905715.6796678044</v>
      </c>
      <c r="F46" s="8">
        <f>+MINVU_Mes_Corriente!F46*MINVU_Mes_Constante!$C$1</f>
        <v>8905715.6796678044</v>
      </c>
      <c r="G46" s="8">
        <f>+MINVU_Mes_Corriente!G46*MINVU_Mes_Constante!$C$1</f>
        <v>8905715.6796678044</v>
      </c>
      <c r="H46" s="8">
        <f>+MINVU_Mes_Corriente!H46*MINVU_Mes_Constante!$C$1</f>
        <v>8905715.6796678044</v>
      </c>
      <c r="I46" s="8">
        <f>+MINVU_Mes_Corriente!I46*MINVU_Mes_Constante!$C$1</f>
        <v>8905715.6796678044</v>
      </c>
      <c r="J46" s="8">
        <f>+MINVU_Mes_Corriente!J46*MINVU_Mes_Constante!$C$1</f>
        <v>8230450.6394779785</v>
      </c>
      <c r="K46" s="8">
        <f>+MINVU_Mes_Corriente!K46*MINVU_Mes_Constante!$C$1</f>
        <v>8525953.3267091811</v>
      </c>
      <c r="L46" s="8">
        <f>+MINVU_Mes_Corriente!L46*MINVU_Mes_Constante!$C$1</f>
        <v>9044673.3999703415</v>
      </c>
      <c r="M46" s="8">
        <f>+MINVU_Mes_Corriente!M46*MINVU_Mes_Constante!$C$1</f>
        <v>9044673.3999703415</v>
      </c>
      <c r="N46" s="8">
        <f>+MINVU_Mes_Corriente!N46*MINVU_Mes_Constante!$C$1</f>
        <v>5898225.2113302695</v>
      </c>
      <c r="O46" s="9">
        <f t="shared" si="19"/>
        <v>5898225.2113302695</v>
      </c>
      <c r="P46" s="8">
        <f>+MINVU_Mes_Corriente!P46*MINVU_Mes_Constante!$P$1</f>
        <v>8846683.9451626614</v>
      </c>
      <c r="Q46" s="8">
        <f>+MINVU_Mes_Corriente!Q46*MINVU_Mes_Constante!$P$1</f>
        <v>11226996.631623806</v>
      </c>
      <c r="R46" s="8">
        <f>+MINVU_Mes_Corriente!R46*MINVU_Mes_Constante!$P$1</f>
        <v>11308892.737036506</v>
      </c>
      <c r="S46" s="8">
        <f>+MINVU_Mes_Corriente!S46*MINVU_Mes_Constante!$P$1</f>
        <v>11308892.737036506</v>
      </c>
      <c r="T46" s="8">
        <f>+MINVU_Mes_Corriente!T46*MINVU_Mes_Constante!$P$1</f>
        <v>11308892.737036506</v>
      </c>
      <c r="U46" s="8">
        <f>+MINVU_Mes_Corriente!U46*MINVU_Mes_Constante!$P$1</f>
        <v>11540025.988350613</v>
      </c>
      <c r="V46" s="8">
        <f>+MINVU_Mes_Corriente!V46*MINVU_Mes_Constante!$P$1</f>
        <v>11806959.390822556</v>
      </c>
      <c r="W46" s="8">
        <f>+MINVU_Mes_Corriente!W46*MINVU_Mes_Constante!$P$1</f>
        <v>11849226.045176867</v>
      </c>
      <c r="X46" s="8">
        <f>+MINVU_Mes_Corriente!X46*MINVU_Mes_Constante!$P$1</f>
        <v>11562176.012501771</v>
      </c>
      <c r="Y46" s="8">
        <f>+MINVU_Mes_Corriente!Y46*MINVU_Mes_Constante!$P$1</f>
        <v>11805719.175735185</v>
      </c>
      <c r="Z46" s="8">
        <f>+MINVU_Mes_Corriente!Z46*MINVU_Mes_Constante!$P$1</f>
        <v>11805719.175735185</v>
      </c>
      <c r="AA46" s="8">
        <f>+MINVU_Mes_Corriente!AA46*MINVU_Mes_Constante!$P$1</f>
        <v>5940273.2604063051</v>
      </c>
      <c r="AB46" s="9">
        <f t="shared" si="20"/>
        <v>5940273.2604063051</v>
      </c>
      <c r="AC46" s="8">
        <f>+MINVU_Mes_Corriente!AC46*MINVU_Mes_Constante!$AC$1</f>
        <v>5350147.3728039842</v>
      </c>
      <c r="AD46" s="8">
        <f>+MINVU_Mes_Corriente!AD46*MINVU_Mes_Constante!$AC$1</f>
        <v>6172008.075529119</v>
      </c>
      <c r="AE46" s="8">
        <f>+MINVU_Mes_Corriente!AE46*MINVU_Mes_Constante!$AC$1</f>
        <v>6172008.075529119</v>
      </c>
      <c r="AF46" s="8">
        <f>+MINVU_Mes_Corriente!AF46*MINVU_Mes_Constante!$AC$1</f>
        <v>7289073.3075114125</v>
      </c>
      <c r="AG46" s="8">
        <f>+MINVU_Mes_Corriente!AG46*MINVU_Mes_Constante!$AC$1</f>
        <v>9612050.6360492464</v>
      </c>
      <c r="AH46" s="8">
        <f>+MINVU_Mes_Corriente!AH46*MINVU_Mes_Constante!$AC$1</f>
        <v>9612050.6360492464</v>
      </c>
      <c r="AI46" s="8">
        <f>+MINVU_Mes_Corriente!AI46*MINVU_Mes_Constante!$AC$1</f>
        <v>9847377.5415686816</v>
      </c>
      <c r="AJ46" s="8">
        <f>+MINVU_Mes_Corriente!AJ46*MINVU_Mes_Constante!$AC$1</f>
        <v>9905290.3292294927</v>
      </c>
      <c r="AK46" s="8">
        <f>+MINVU_Mes_Corriente!AK46*MINVU_Mes_Constante!$AC$1</f>
        <v>9905290.3292294927</v>
      </c>
      <c r="AL46" s="8">
        <f>+MINVU_Mes_Corriente!AL46*MINVU_Mes_Constante!$AC$1</f>
        <v>9654625.6110112052</v>
      </c>
      <c r="AM46" s="8">
        <f>+MINVU_Mes_Corriente!AM46*MINVU_Mes_Constante!$AC$1</f>
        <v>9654625.6110112052</v>
      </c>
      <c r="AN46" s="8">
        <f>+MINVU_Mes_Corriente!AN46*MINVU_Mes_Constante!$AC$1</f>
        <v>8120369.757642827</v>
      </c>
      <c r="AO46" s="9">
        <f t="shared" si="21"/>
        <v>8120369.757642827</v>
      </c>
      <c r="AP46" s="8">
        <f>+MINVU_Mes_Corriente!AP46*MINVU_Mes_Constante!$AP$1</f>
        <v>7578842.8811037466</v>
      </c>
      <c r="AQ46" s="8">
        <f>+MINVU_Mes_Corriente!AQ46*MINVU_Mes_Constante!$AP$1</f>
        <v>8318460.5169755165</v>
      </c>
      <c r="AR46" s="8">
        <f>+MINVU_Mes_Corriente!AR46*MINVU_Mes_Constante!$AP$1</f>
        <v>8318460.5169755165</v>
      </c>
      <c r="AS46" s="8">
        <f>+MINVU_Mes_Corriente!AS46*MINVU_Mes_Constante!$AP$1</f>
        <v>8318460.5169755165</v>
      </c>
      <c r="AT46" s="8">
        <f>+MINVU_Mes_Corriente!AT46*MINVU_Mes_Constante!$AP$1</f>
        <v>8318460.5169755165</v>
      </c>
      <c r="AU46" s="8">
        <f>+MINVU_Mes_Corriente!AU46*MINVU_Mes_Constante!$AP$1</f>
        <v>9944334.443121871</v>
      </c>
      <c r="AV46" s="8">
        <f>+MINVU_Mes_Corriente!AV46*MINVU_Mes_Constante!$AP$1</f>
        <v>11043191.806032732</v>
      </c>
      <c r="AW46" s="8">
        <f>+MINVU_Mes_Corriente!AW46*MINVU_Mes_Constante!$AP$1</f>
        <v>11117824.972541593</v>
      </c>
      <c r="AX46" s="8">
        <f>+MINVU_Mes_Corriente!AX46*MINVU_Mes_Constante!$AP$1</f>
        <v>11117824.972541593</v>
      </c>
      <c r="AY46" s="8">
        <f>+MINVU_Mes_Corriente!AY46*MINVU_Mes_Constante!$AP$1</f>
        <v>11117824.972541593</v>
      </c>
      <c r="AZ46" s="8">
        <f>+MINVU_Mes_Corriente!AZ46*MINVU_Mes_Constante!$AP$1</f>
        <v>11178418.236439874</v>
      </c>
      <c r="BA46" s="8">
        <f>+MINVU_Mes_Corriente!BA46*MINVU_Mes_Constante!$AP$1</f>
        <v>7615280.1230894085</v>
      </c>
      <c r="BB46" s="9">
        <f t="shared" si="22"/>
        <v>7615280.1230894085</v>
      </c>
      <c r="BC46" s="8">
        <f>+MINVU_Mes_Corriente!BC46*MINVU_Mes_Constante!$BC$1</f>
        <v>11916784.895423979</v>
      </c>
      <c r="BD46" s="8">
        <f>+MINVU_Mes_Corriente!BD46*MINVU_Mes_Constante!$BC$1</f>
        <v>12751858.081234343</v>
      </c>
      <c r="BE46" s="8">
        <f>+MINVU_Mes_Corriente!BE46*MINVU_Mes_Constante!$BC$1</f>
        <v>12884906.589740211</v>
      </c>
      <c r="BF46" s="8">
        <f>+MINVU_Mes_Corriente!BF46*MINVU_Mes_Constante!$BC$1</f>
        <v>13847188.500593437</v>
      </c>
      <c r="BG46" s="8">
        <f>+MINVU_Mes_Corriente!BG46*MINVU_Mes_Constante!$BC$1</f>
        <v>13847188.500593437</v>
      </c>
      <c r="BH46" s="8">
        <f>+MINVU_Mes_Corriente!BH46*MINVU_Mes_Constante!$BC$1</f>
        <v>13905262.142951341</v>
      </c>
      <c r="BI46" s="8">
        <f>+MINVU_Mes_Corriente!BI46*MINVU_Mes_Constante!$BC$1</f>
        <v>14051798.490834765</v>
      </c>
      <c r="BJ46" s="8">
        <f>+MINVU_Mes_Corriente!BJ46*MINVU_Mes_Constante!$BC$1</f>
        <v>14647704.231043126</v>
      </c>
      <c r="BK46" s="8">
        <f>+MINVU_Mes_Corriente!BK46*MINVU_Mes_Constante!$BC$1</f>
        <v>14746414.294078864</v>
      </c>
      <c r="BL46" s="8">
        <f>+MINVU_Mes_Corriente!BL46*MINVU_Mes_Constante!$BC$1</f>
        <v>14894244.529341953</v>
      </c>
      <c r="BM46" s="8">
        <f>+MINVU_Mes_Corriente!BM46*MINVU_Mes_Constante!$BC$1</f>
        <v>14894244.529341953</v>
      </c>
      <c r="BN46" s="8">
        <f>+MINVU_Mes_Corriente!BN46*MINVU_Mes_Constante!$BC$1</f>
        <v>8791523.8433337752</v>
      </c>
      <c r="BO46" s="9">
        <f t="shared" si="23"/>
        <v>8791523.8433337752</v>
      </c>
      <c r="BP46" s="8">
        <f>+MINVU_Mes_Corriente!BP46*MINVU_Mes_Constante!$BP$1</f>
        <v>4575695.4829705507</v>
      </c>
      <c r="BQ46" s="8">
        <f>+MINVU_Mes_Corriente!BQ46*MINVU_Mes_Constante!$BP$1</f>
        <v>4575695.4829705507</v>
      </c>
      <c r="BR46" s="8">
        <f>+MINVU_Mes_Corriente!BR46*MINVU_Mes_Constante!$BP$1</f>
        <v>8215660.9060179265</v>
      </c>
      <c r="BS46" s="8">
        <f>+MINVU_Mes_Corriente!BS46*MINVU_Mes_Constante!$BP$1</f>
        <v>8215660.9060179265</v>
      </c>
      <c r="BT46" s="8">
        <f>+MINVU_Mes_Corriente!BT46*MINVU_Mes_Constante!$BP$1</f>
        <v>9624798.7375160065</v>
      </c>
      <c r="BU46" s="8">
        <f>+MINVU_Mes_Corriente!BU46*MINVU_Mes_Constante!$BP$1</f>
        <v>9896738.6235595401</v>
      </c>
      <c r="BV46" s="8">
        <f>+MINVU_Mes_Corriente!BV46*MINVU_Mes_Constante!$BP$1</f>
        <v>9893362.8952624854</v>
      </c>
      <c r="BW46" s="8">
        <f>+MINVU_Mes_Corriente!BW46*MINVU_Mes_Constante!$BP$1</f>
        <v>9893362.8952624854</v>
      </c>
      <c r="BX46" s="8">
        <f>+MINVU_Mes_Corriente!BX46*MINVU_Mes_Constante!$BP$1</f>
        <v>9783949.0079385415</v>
      </c>
      <c r="BY46" s="8">
        <f>+MINVU_Mes_Corriente!BY46*MINVU_Mes_Constante!$BP$1</f>
        <v>9783949.0079385415</v>
      </c>
      <c r="BZ46" s="8">
        <f>+MINVU_Mes_Corriente!BZ46*MINVU_Mes_Constante!$BP$1</f>
        <v>9906727.3098591566</v>
      </c>
      <c r="CA46" s="8">
        <f>+MINVU_Mes_Corriente!CA46*MINVU_Mes_Constante!$BP$1</f>
        <v>8154990.1290653022</v>
      </c>
      <c r="CB46" s="9">
        <f t="shared" si="24"/>
        <v>8154990.1290653022</v>
      </c>
      <c r="CC46" s="8">
        <f>+MINVU_Mes_Corriente!CC46*MINVU_Mes_Constante!$CC$1</f>
        <v>10399019.852293922</v>
      </c>
      <c r="CD46" s="8">
        <f>+MINVU_Mes_Corriente!CD46*MINVU_Mes_Constante!$CC$1</f>
        <v>10399019.852293922</v>
      </c>
      <c r="CE46" s="8">
        <f>+MINVU_Mes_Corriente!CE46*MINVU_Mes_Constante!$CC$1</f>
        <v>10399019.852293922</v>
      </c>
      <c r="CF46" s="8">
        <f>+MINVU_Mes_Corriente!CF46*MINVU_Mes_Constante!$CC$1</f>
        <v>9577477.8418500572</v>
      </c>
      <c r="CG46" s="8">
        <f>+MINVU_Mes_Corriente!CG46*MINVU_Mes_Constante!$CC$1</f>
        <v>9577477.8418500572</v>
      </c>
      <c r="CH46" s="8">
        <f>+MINVU_Mes_Corriente!CH46*MINVU_Mes_Constante!$CC$1</f>
        <v>9855045.5158522949</v>
      </c>
      <c r="CI46" s="8">
        <f>+MINVU_Mes_Corriente!CI46*MINVU_Mes_Constante!$CC$1</f>
        <v>13288549.506154422</v>
      </c>
      <c r="CJ46" s="8">
        <f>+MINVU_Mes_Corriente!CJ46*MINVU_Mes_Constante!$CC$1</f>
        <v>13288549.506154422</v>
      </c>
      <c r="CK46" s="8">
        <f>+MINVU_Mes_Corriente!CK46*MINVU_Mes_Constante!$CC$1</f>
        <v>13554804.022379709</v>
      </c>
      <c r="CL46" s="8">
        <f>+MINVU_Mes_Corriente!CL46*MINVU_Mes_Constante!$CC$1</f>
        <v>13554804.022379709</v>
      </c>
      <c r="CM46" s="8">
        <f>+MINVU_Mes_Corriente!CM46*MINVU_Mes_Constante!$CC$1</f>
        <v>13554804.022379709</v>
      </c>
      <c r="CN46" s="8">
        <f>+MINVU_Mes_Corriente!CN46*MINVU_Mes_Constante!$CC$1</f>
        <v>9406449.195822455</v>
      </c>
      <c r="CO46" s="9">
        <f t="shared" si="25"/>
        <v>9406449.195822455</v>
      </c>
      <c r="CP46" s="8">
        <f>+MINVU_Mes_Corriente!CP46*MINVU_Mes_Constante!$CP$1</f>
        <v>16214758.185382828</v>
      </c>
      <c r="CQ46" s="8">
        <f>+MINVU_Mes_Corriente!CQ46*MINVU_Mes_Constante!$CP$1</f>
        <v>16036872.258236656</v>
      </c>
      <c r="CR46" s="8">
        <f>+MINVU_Mes_Corriente!CR46*MINVU_Mes_Constante!$CP$1</f>
        <v>16036872.258236656</v>
      </c>
      <c r="CS46" s="8">
        <f>+MINVU_Mes_Corriente!CS46*MINVU_Mes_Constante!$CP$1</f>
        <v>16036872.258236656</v>
      </c>
      <c r="CT46" s="8">
        <f>+MINVU_Mes_Corriente!CT46*MINVU_Mes_Constante!$CP$1</f>
        <v>15804349.993503477</v>
      </c>
      <c r="CU46" s="8">
        <f>+MINVU_Mes_Corriente!CU46*MINVU_Mes_Constante!$CP$1</f>
        <v>14089520.631090485</v>
      </c>
      <c r="CV46" s="8">
        <f>+MINVU_Mes_Corriente!CV46*MINVU_Mes_Constante!$CP$1</f>
        <v>15338062.029466353</v>
      </c>
      <c r="CW46" s="8">
        <f>+MINVU_Mes_Corriente!CW46*MINVU_Mes_Constante!$CP$1</f>
        <v>15338062.029466353</v>
      </c>
      <c r="CX46" s="8">
        <f>+MINVU_Mes_Corriente!CX46*MINVU_Mes_Constante!$CP$1</f>
        <v>15338062.029466353</v>
      </c>
      <c r="CY46" s="8">
        <f>+MINVU_Mes_Corriente!CY46*MINVU_Mes_Constante!$CP$1</f>
        <v>16936618.218097445</v>
      </c>
      <c r="CZ46" s="8">
        <f>+MINVU_Mes_Corriente!CZ46*MINVU_Mes_Constante!$CP$1</f>
        <v>15358976.066589324</v>
      </c>
      <c r="DA46" s="8">
        <f>+MINVU_Mes_Corriente!DA46*MINVU_Mes_Constante!$CP$1</f>
        <v>12339196.978886308</v>
      </c>
      <c r="DB46" s="9">
        <f t="shared" si="26"/>
        <v>12339196.978886308</v>
      </c>
      <c r="DC46" s="8">
        <f>+MINVU_Mes_Corriente!DC46*MINVU_Mes_Constante!$DC$1</f>
        <v>8107277.4531426849</v>
      </c>
      <c r="DD46" s="8">
        <f>+MINVU_Mes_Corriente!DD46*MINVU_Mes_Constante!$DC$1</f>
        <v>9133379.5759695545</v>
      </c>
      <c r="DE46" s="8">
        <f>+MINVU_Mes_Corriente!DE46*MINVU_Mes_Constante!$DC$1</f>
        <v>9133379.5759695545</v>
      </c>
      <c r="DF46" s="8">
        <f>+MINVU_Mes_Corriente!DF46*MINVU_Mes_Constante!$DC$1</f>
        <v>9239718.4079827219</v>
      </c>
      <c r="DG46" s="8">
        <f>+MINVU_Mes_Corriente!DG46*MINVU_Mes_Constante!$DC$1</f>
        <v>9297251.5926345065</v>
      </c>
      <c r="DH46" s="8">
        <f>+MINVU_Mes_Corriente!DH46*MINVU_Mes_Constante!$DC$1</f>
        <v>9314149.1838288289</v>
      </c>
      <c r="DI46" s="8">
        <f>+MINVU_Mes_Corriente!DI46*MINVU_Mes_Constante!$DC$1</f>
        <v>9314149.1838288289</v>
      </c>
      <c r="DJ46" s="8">
        <f>+MINVU_Mes_Corriente!DJ46*MINVU_Mes_Constante!$DC$1</f>
        <v>9314149.1838288289</v>
      </c>
      <c r="DK46" s="8">
        <f>+MINVU_Mes_Corriente!DK46*MINVU_Mes_Constante!$DC$1</f>
        <v>9314149.1838288289</v>
      </c>
      <c r="DL46" s="8">
        <f>+MINVU_Mes_Corriente!DL46*MINVU_Mes_Constante!$DC$1</f>
        <v>10958831.950005149</v>
      </c>
      <c r="DM46" s="8">
        <f>+MINVU_Mes_Corriente!DM46*MINVU_Mes_Constante!$DC$1</f>
        <v>8290999.6998251248</v>
      </c>
      <c r="DN46" s="8">
        <f>+MINVU_Mes_Corriente!DN46*MINVU_Mes_Constante!$DC$1</f>
        <v>5834603.1395946946</v>
      </c>
      <c r="DO46" s="9">
        <f t="shared" si="27"/>
        <v>5834603.1395946946</v>
      </c>
      <c r="DP46" s="8">
        <f>+MINVU_Mes_Corriente!DP46*MINVU_Mes_Constante!$DP$1</f>
        <v>9403732.6710213777</v>
      </c>
      <c r="DQ46" s="8">
        <f>+MINVU_Mes_Corriente!DQ46*MINVU_Mes_Constante!$DP$1</f>
        <v>9403732.6710213777</v>
      </c>
      <c r="DR46" s="8">
        <f>+MINVU_Mes_Corriente!DR46*MINVU_Mes_Constante!$DP$1</f>
        <v>9403732.6710213777</v>
      </c>
      <c r="DS46" s="8">
        <f>+MINVU_Mes_Corriente!DS46*MINVU_Mes_Constante!$DP$1</f>
        <v>9581679.1906175781</v>
      </c>
      <c r="DT46" s="8">
        <f>+MINVU_Mes_Corriente!DT46*MINVU_Mes_Constante!$DP$1</f>
        <v>9613146.5896674599</v>
      </c>
      <c r="DU46" s="8">
        <f>+MINVU_Mes_Corriente!DU46*MINVU_Mes_Constante!$DP$1</f>
        <v>9613146.5896674599</v>
      </c>
      <c r="DV46" s="8">
        <f>+MINVU_Mes_Corriente!DV46*MINVU_Mes_Constante!$DP$1</f>
        <v>9613146.5896674599</v>
      </c>
      <c r="DW46" s="8">
        <f>+MINVU_Mes_Corriente!DW46*MINVU_Mes_Constante!$DP$1</f>
        <v>9613146.5896674599</v>
      </c>
      <c r="DX46" s="8">
        <f>+MINVU_Mes_Corriente!DX46*MINVU_Mes_Constante!$DP$1</f>
        <v>9613146.5896674599</v>
      </c>
      <c r="DY46" s="8">
        <f>+MINVU_Mes_Corriente!DY46*MINVU_Mes_Constante!$DP$1</f>
        <v>9613146.5896674599</v>
      </c>
      <c r="DZ46" s="8">
        <f>+MINVU_Mes_Corriente!DZ46*MINVU_Mes_Constante!$DP$1</f>
        <v>9613146.5896674599</v>
      </c>
      <c r="EA46" s="8">
        <f>+MINVU_Mes_Corriente!EA46*MINVU_Mes_Constante!$DP$1</f>
        <v>6158155.9364608079</v>
      </c>
      <c r="EB46" s="9">
        <f t="shared" si="28"/>
        <v>6158155.9364608079</v>
      </c>
      <c r="EC46" s="8">
        <f>+MINVU_Mes_Corriente!EC46*MINVU_Mes_Constante!$EC$1</f>
        <v>19491208.152622603</v>
      </c>
      <c r="ED46" s="8">
        <f>+MINVU_Mes_Corriente!ED46*MINVU_Mes_Constante!$EC$1</f>
        <v>19491208.152622603</v>
      </c>
      <c r="EE46" s="8">
        <f>+MINVU_Mes_Corriente!EE46*MINVU_Mes_Constante!$EC$1</f>
        <v>16905050.227987118</v>
      </c>
      <c r="EF46" s="8">
        <f>+MINVU_Mes_Corriente!EF46*MINVU_Mes_Constante!$EC$1</f>
        <v>16905050.227987118</v>
      </c>
      <c r="EG46" s="8">
        <f>+MINVU_Mes_Corriente!EG46*MINVU_Mes_Constante!$EC$1</f>
        <v>15843369.297670892</v>
      </c>
      <c r="EH46" s="8">
        <f>+MINVU_Mes_Corriente!EH46*MINVU_Mes_Constante!$EC$1</f>
        <v>13841759.614277594</v>
      </c>
      <c r="EI46" s="8">
        <f>+MINVU_Mes_Corriente!EI46*MINVU_Mes_Constante!$EC$1</f>
        <v>13928961.756106794</v>
      </c>
      <c r="EJ46" s="8">
        <f>+MINVU_Mes_Corriente!EJ46*MINVU_Mes_Constante!$EC$1</f>
        <v>13928961.756106794</v>
      </c>
      <c r="EK46" s="8">
        <f>+MINVU_Mes_Corriente!EK46*MINVU_Mes_Constante!$EC$1</f>
        <v>14174131.596288577</v>
      </c>
      <c r="EL46" s="8">
        <f>+MINVU_Mes_Corriente!EL46*MINVU_Mes_Constante!$EC$1</f>
        <v>14244990.254497251</v>
      </c>
      <c r="EM46" s="8">
        <f>+MINVU_Mes_Corriente!EM46*MINVU_Mes_Constante!$EC$1</f>
        <v>14244990.254497251</v>
      </c>
      <c r="EN46" s="8">
        <f>+MINVU_Mes_Corriente!EN46*MINVU_Mes_Constante!$EC$1</f>
        <v>7990139.7318689618</v>
      </c>
      <c r="EO46" s="9">
        <f t="shared" si="29"/>
        <v>7990139.7318689618</v>
      </c>
      <c r="EP46" s="8">
        <f>+MINVU_Mes_Corriente!EP46*MINVU_Mes_Constante!$EP$1</f>
        <v>15973417</v>
      </c>
      <c r="EQ46" s="8">
        <f>+MINVU_Mes_Corriente!EQ46*MINVU_Mes_Constante!$EP$1</f>
        <v>15973417</v>
      </c>
      <c r="ER46" s="8">
        <f>+MINVU_Mes_Corriente!ER46*MINVU_Mes_Constante!$EP$1</f>
        <v>14927033</v>
      </c>
      <c r="ES46" s="8">
        <f>+MINVU_Mes_Corriente!ES46*MINVU_Mes_Constante!$EP$1</f>
        <v>14851439</v>
      </c>
      <c r="ET46" s="8">
        <f>+MINVU_Mes_Corriente!ET46*MINVU_Mes_Constante!$EP$1</f>
        <v>13870575</v>
      </c>
      <c r="EU46" s="8">
        <f>+MINVU_Mes_Corriente!EU46*MINVU_Mes_Constante!$EP$1</f>
        <v>13870575</v>
      </c>
      <c r="EV46" s="8">
        <f>+MINVU_Mes_Corriente!EV46*MINVU_Mes_Constante!$EP$1</f>
        <v>10870575</v>
      </c>
      <c r="EW46" s="8">
        <f>+MINVU_Mes_Corriente!EW46*MINVU_Mes_Constante!$EP$1</f>
        <v>10870575</v>
      </c>
      <c r="EX46" s="8">
        <f>+MINVU_Mes_Corriente!EX46*MINVU_Mes_Constante!$EP$1</f>
        <v>10870575</v>
      </c>
      <c r="EY46" s="8">
        <f>+MINVU_Mes_Corriente!EY46*MINVU_Mes_Constante!$EP$1</f>
        <v>7792083</v>
      </c>
      <c r="EZ46" s="8">
        <f>+MINVU_Mes_Corriente!EZ46*MINVU_Mes_Constante!$EP$1</f>
        <v>5648518</v>
      </c>
      <c r="FA46" s="8">
        <f>+MINVU_Mes_Corriente!FA46*MINVU_Mes_Constante!$EP$1</f>
        <v>5494061</v>
      </c>
      <c r="FB46" s="9">
        <f t="shared" si="30"/>
        <v>5494061</v>
      </c>
      <c r="FC46" s="8">
        <f>+MINVU_Mes_Corriente!FC46*MINVU_Mes_Constante!$FC$1</f>
        <v>8237296</v>
      </c>
      <c r="FD46" s="8">
        <f>+MINVU_Mes_Corriente!FD46*MINVU_Mes_Constante!$FC$1</f>
        <v>4954911</v>
      </c>
      <c r="FE46" s="8">
        <f>+MINVU_Mes_Corriente!FE46*MINVU_Mes_Constante!$FC$1</f>
        <v>4954911</v>
      </c>
      <c r="FF46" s="8">
        <f>+MINVU_Mes_Corriente!FF46*MINVU_Mes_Constante!$FC$1</f>
        <v>4954911</v>
      </c>
      <c r="FG46" s="8">
        <f>+MINVU_Mes_Corriente!FG46*MINVU_Mes_Constante!$FC$1</f>
        <v>4954911</v>
      </c>
      <c r="FH46" s="8">
        <f>+MINVU_Mes_Corriente!FH46*MINVU_Mes_Constante!$FC$1</f>
        <v>4954911</v>
      </c>
      <c r="FI46" s="8">
        <f>+MINVU_Mes_Corriente!FI46*MINVU_Mes_Constante!$FC$1</f>
        <v>4954911</v>
      </c>
      <c r="FJ46" s="8"/>
      <c r="FK46" s="8"/>
      <c r="FL46" s="8"/>
      <c r="FM46" s="8"/>
      <c r="FN46" s="8"/>
      <c r="FO46" s="9">
        <f t="shared" si="31"/>
        <v>4954911</v>
      </c>
    </row>
    <row r="47" spans="2:171" ht="14.25" customHeight="1" x14ac:dyDescent="0.3">
      <c r="B47" s="7" t="s">
        <v>60</v>
      </c>
      <c r="C47" s="8">
        <f>+MINVU_Mes_Corriente!C47*MINVU_Mes_Constante!$C$1</f>
        <v>18482857.797419548</v>
      </c>
      <c r="D47" s="8">
        <f>+MINVU_Mes_Corriente!D47*MINVU_Mes_Constante!$C$1</f>
        <v>18482857.797419548</v>
      </c>
      <c r="E47" s="8">
        <f>+MINVU_Mes_Corriente!E47*MINVU_Mes_Constante!$C$1</f>
        <v>18789631.618567407</v>
      </c>
      <c r="F47" s="8">
        <f>+MINVU_Mes_Corriente!F47*MINVU_Mes_Constante!$C$1</f>
        <v>18789631.618567407</v>
      </c>
      <c r="G47" s="8">
        <f>+MINVU_Mes_Corriente!G47*MINVU_Mes_Constante!$C$1</f>
        <v>17352445.379208069</v>
      </c>
      <c r="H47" s="8">
        <f>+MINVU_Mes_Corriente!H47*MINVU_Mes_Constante!$C$1</f>
        <v>17352445.379208069</v>
      </c>
      <c r="I47" s="8">
        <f>+MINVU_Mes_Corriente!I47*MINVU_Mes_Constante!$C$1</f>
        <v>17352445.379208069</v>
      </c>
      <c r="J47" s="8">
        <f>+MINVU_Mes_Corriente!J47*MINVU_Mes_Constante!$C$1</f>
        <v>15732098.352662023</v>
      </c>
      <c r="K47" s="8">
        <f>+MINVU_Mes_Corriente!K47*MINVU_Mes_Constante!$C$1</f>
        <v>17266163.52039152</v>
      </c>
      <c r="L47" s="8">
        <f>+MINVU_Mes_Corriente!L47*MINVU_Mes_Constante!$C$1</f>
        <v>15025147.426368088</v>
      </c>
      <c r="M47" s="8">
        <f>+MINVU_Mes_Corriente!M47*MINVU_Mes_Constante!$C$1</f>
        <v>15569490.04716002</v>
      </c>
      <c r="N47" s="8">
        <f>+MINVU_Mes_Corriente!N47*MINVU_Mes_Constante!$C$1</f>
        <v>16536707.594245886</v>
      </c>
      <c r="O47" s="9">
        <f t="shared" si="19"/>
        <v>16536707.594245886</v>
      </c>
      <c r="P47" s="8">
        <f>+MINVU_Mes_Corriente!P47*MINVU_Mes_Constante!$P$1</f>
        <v>13378782.225884354</v>
      </c>
      <c r="Q47" s="8">
        <f>+MINVU_Mes_Corriente!Q47*MINVU_Mes_Constante!$P$1</f>
        <v>13545899.26864611</v>
      </c>
      <c r="R47" s="8">
        <f>+MINVU_Mes_Corriente!R47*MINVU_Mes_Constante!$P$1</f>
        <v>13545899.26864611</v>
      </c>
      <c r="S47" s="8">
        <f>+MINVU_Mes_Corriente!S47*MINVU_Mes_Constante!$P$1</f>
        <v>12529090.535587437</v>
      </c>
      <c r="T47" s="8">
        <f>+MINVU_Mes_Corriente!T47*MINVU_Mes_Constante!$P$1</f>
        <v>11207955.682341237</v>
      </c>
      <c r="U47" s="8">
        <f>+MINVU_Mes_Corriente!U47*MINVU_Mes_Constante!$P$1</f>
        <v>10674445.885495095</v>
      </c>
      <c r="V47" s="8">
        <f>+MINVU_Mes_Corriente!V47*MINVU_Mes_Constante!$P$1</f>
        <v>10674445.885495095</v>
      </c>
      <c r="W47" s="8">
        <f>+MINVU_Mes_Corriente!W47*MINVU_Mes_Constante!$P$1</f>
        <v>10674445.885495095</v>
      </c>
      <c r="X47" s="8">
        <f>+MINVU_Mes_Corriente!X47*MINVU_Mes_Constante!$P$1</f>
        <v>10674445.885495095</v>
      </c>
      <c r="Y47" s="8">
        <f>+MINVU_Mes_Corriente!Y47*MINVU_Mes_Constante!$P$1</f>
        <v>11361989.15442534</v>
      </c>
      <c r="Z47" s="8">
        <f>+MINVU_Mes_Corriente!Z47*MINVU_Mes_Constante!$P$1</f>
        <v>11378366.512856936</v>
      </c>
      <c r="AA47" s="8">
        <f>+MINVU_Mes_Corriente!AA47*MINVU_Mes_Constante!$P$1</f>
        <v>11414373.107827812</v>
      </c>
      <c r="AB47" s="9">
        <f t="shared" si="20"/>
        <v>11414373.107827812</v>
      </c>
      <c r="AC47" s="8">
        <f>+MINVU_Mes_Corriente!AC47*MINVU_Mes_Constante!$AC$1</f>
        <v>12359553.470189514</v>
      </c>
      <c r="AD47" s="8">
        <f>+MINVU_Mes_Corriente!AD47*MINVU_Mes_Constante!$AC$1</f>
        <v>13021514.301563147</v>
      </c>
      <c r="AE47" s="8">
        <f>+MINVU_Mes_Corriente!AE47*MINVU_Mes_Constante!$AC$1</f>
        <v>13021514.301563147</v>
      </c>
      <c r="AF47" s="8">
        <f>+MINVU_Mes_Corriente!AF47*MINVU_Mes_Constante!$AC$1</f>
        <v>13021514.301563147</v>
      </c>
      <c r="AG47" s="8">
        <f>+MINVU_Mes_Corriente!AG47*MINVU_Mes_Constante!$AC$1</f>
        <v>10277094.748651266</v>
      </c>
      <c r="AH47" s="8">
        <f>+MINVU_Mes_Corriente!AH47*MINVU_Mes_Constante!$AC$1</f>
        <v>10277094.748651266</v>
      </c>
      <c r="AI47" s="8">
        <f>+MINVU_Mes_Corriente!AI47*MINVU_Mes_Constante!$AC$1</f>
        <v>11044260.460644625</v>
      </c>
      <c r="AJ47" s="8">
        <f>+MINVU_Mes_Corriente!AJ47*MINVU_Mes_Constante!$AC$1</f>
        <v>11044260.460644625</v>
      </c>
      <c r="AK47" s="8">
        <f>+MINVU_Mes_Corriente!AK47*MINVU_Mes_Constante!$AC$1</f>
        <v>11044260.460644625</v>
      </c>
      <c r="AL47" s="8">
        <f>+MINVU_Mes_Corriente!AL47*MINVU_Mes_Constante!$AC$1</f>
        <v>10890858.151058238</v>
      </c>
      <c r="AM47" s="8">
        <f>+MINVU_Mes_Corriente!AM47*MINVU_Mes_Constante!$AC$1</f>
        <v>10890858.151058238</v>
      </c>
      <c r="AN47" s="8">
        <f>+MINVU_Mes_Corriente!AN47*MINVU_Mes_Constante!$AC$1</f>
        <v>10577167.537142066</v>
      </c>
      <c r="AO47" s="9">
        <f t="shared" si="21"/>
        <v>10577167.537142066</v>
      </c>
      <c r="AP47" s="8">
        <f>+MINVU_Mes_Corriente!AP47*MINVU_Mes_Constante!$AP$1</f>
        <v>15896502.384688217</v>
      </c>
      <c r="AQ47" s="8">
        <f>+MINVU_Mes_Corriente!AQ47*MINVU_Mes_Constante!$AP$1</f>
        <v>16808955.655349653</v>
      </c>
      <c r="AR47" s="8">
        <f>+MINVU_Mes_Corriente!AR47*MINVU_Mes_Constante!$AP$1</f>
        <v>17768115.987285268</v>
      </c>
      <c r="AS47" s="8">
        <f>+MINVU_Mes_Corriente!AS47*MINVU_Mes_Constante!$AP$1</f>
        <v>18026893.560665492</v>
      </c>
      <c r="AT47" s="8">
        <f>+MINVU_Mes_Corriente!AT47*MINVU_Mes_Constante!$AP$1</f>
        <v>19081783.860137966</v>
      </c>
      <c r="AU47" s="8">
        <f>+MINVU_Mes_Corriente!AU47*MINVU_Mes_Constante!$AP$1</f>
        <v>19081783.860137966</v>
      </c>
      <c r="AV47" s="8">
        <f>+MINVU_Mes_Corriente!AV47*MINVU_Mes_Constante!$AP$1</f>
        <v>19081783.860137966</v>
      </c>
      <c r="AW47" s="8">
        <f>+MINVU_Mes_Corriente!AW47*MINVU_Mes_Constante!$AP$1</f>
        <v>19081783.860137966</v>
      </c>
      <c r="AX47" s="8">
        <f>+MINVU_Mes_Corriente!AX47*MINVU_Mes_Constante!$AP$1</f>
        <v>19095984.852157444</v>
      </c>
      <c r="AY47" s="8">
        <f>+MINVU_Mes_Corriente!AY47*MINVU_Mes_Constante!$AP$1</f>
        <v>18999603.137562558</v>
      </c>
      <c r="AZ47" s="8">
        <f>+MINVU_Mes_Corriente!AZ47*MINVU_Mes_Constante!$AP$1</f>
        <v>18228960.272690382</v>
      </c>
      <c r="BA47" s="8">
        <f>+MINVU_Mes_Corriente!BA47*MINVU_Mes_Constante!$AP$1</f>
        <v>18086011.895847421</v>
      </c>
      <c r="BB47" s="9">
        <f t="shared" si="22"/>
        <v>18086011.895847421</v>
      </c>
      <c r="BC47" s="8">
        <f>+MINVU_Mes_Corriente!BC47*MINVU_Mes_Constante!$BC$1</f>
        <v>16565228.0374522</v>
      </c>
      <c r="BD47" s="8">
        <f>+MINVU_Mes_Corriente!BD47*MINVU_Mes_Constante!$BC$1</f>
        <v>17098854.280891471</v>
      </c>
      <c r="BE47" s="8">
        <f>+MINVU_Mes_Corriente!BE47*MINVU_Mes_Constante!$BC$1</f>
        <v>17098854.280891471</v>
      </c>
      <c r="BF47" s="8">
        <f>+MINVU_Mes_Corriente!BF47*MINVU_Mes_Constante!$BC$1</f>
        <v>17098854.280891471</v>
      </c>
      <c r="BG47" s="8">
        <f>+MINVU_Mes_Corriente!BG47*MINVU_Mes_Constante!$BC$1</f>
        <v>17098854.280891471</v>
      </c>
      <c r="BH47" s="8">
        <f>+MINVU_Mes_Corriente!BH47*MINVU_Mes_Constante!$BC$1</f>
        <v>17098854.280891471</v>
      </c>
      <c r="BI47" s="8">
        <f>+MINVU_Mes_Corriente!BI47*MINVU_Mes_Constante!$BC$1</f>
        <v>16565771.239614932</v>
      </c>
      <c r="BJ47" s="8">
        <f>+MINVU_Mes_Corriente!BJ47*MINVU_Mes_Constante!$BC$1</f>
        <v>16565771.239614932</v>
      </c>
      <c r="BK47" s="8">
        <f>+MINVU_Mes_Corriente!BK47*MINVU_Mes_Constante!$BC$1</f>
        <v>16565771.239614932</v>
      </c>
      <c r="BL47" s="8">
        <f>+MINVU_Mes_Corriente!BL47*MINVU_Mes_Constante!$BC$1</f>
        <v>14836745.787946727</v>
      </c>
      <c r="BM47" s="8">
        <f>+MINVU_Mes_Corriente!BM47*MINVU_Mes_Constante!$BC$1</f>
        <v>14504249.871027302</v>
      </c>
      <c r="BN47" s="8">
        <f>+MINVU_Mes_Corriente!BN47*MINVU_Mes_Constante!$BC$1</f>
        <v>12055761.079519982</v>
      </c>
      <c r="BO47" s="9">
        <f t="shared" si="23"/>
        <v>12055761.079519982</v>
      </c>
      <c r="BP47" s="8">
        <f>+MINVU_Mes_Corriente!BP47*MINVU_Mes_Constante!$BP$1</f>
        <v>21530000.567477595</v>
      </c>
      <c r="BQ47" s="8">
        <f>+MINVU_Mes_Corriente!BQ47*MINVU_Mes_Constante!$BP$1</f>
        <v>21530000.567477595</v>
      </c>
      <c r="BR47" s="8">
        <f>+MINVU_Mes_Corriente!BR47*MINVU_Mes_Constante!$BP$1</f>
        <v>21251482.697823305</v>
      </c>
      <c r="BS47" s="8">
        <f>+MINVU_Mes_Corriente!BS47*MINVU_Mes_Constante!$BP$1</f>
        <v>20966651.250960309</v>
      </c>
      <c r="BT47" s="8">
        <f>+MINVU_Mes_Corriente!BT47*MINVU_Mes_Constante!$BP$1</f>
        <v>20966651.250960309</v>
      </c>
      <c r="BU47" s="8">
        <f>+MINVU_Mes_Corriente!BU47*MINVU_Mes_Constante!$BP$1</f>
        <v>19539196.630985919</v>
      </c>
      <c r="BV47" s="8">
        <f>+MINVU_Mes_Corriente!BV47*MINVU_Mes_Constante!$BP$1</f>
        <v>19507453.872983355</v>
      </c>
      <c r="BW47" s="8">
        <f>+MINVU_Mes_Corriente!BW47*MINVU_Mes_Constante!$BP$1</f>
        <v>18711643.763892449</v>
      </c>
      <c r="BX47" s="8">
        <f>+MINVU_Mes_Corriente!BX47*MINVU_Mes_Constante!$BP$1</f>
        <v>17510018.791805379</v>
      </c>
      <c r="BY47" s="8">
        <f>+MINVU_Mes_Corriente!BY47*MINVU_Mes_Constante!$BP$1</f>
        <v>17510018.791805379</v>
      </c>
      <c r="BZ47" s="8">
        <f>+MINVU_Mes_Corriente!BZ47*MINVU_Mes_Constante!$BP$1</f>
        <v>17510018.791805379</v>
      </c>
      <c r="CA47" s="8">
        <f>+MINVU_Mes_Corriente!CA47*MINVU_Mes_Constante!$BP$1</f>
        <v>16223305.321382845</v>
      </c>
      <c r="CB47" s="9">
        <f t="shared" si="24"/>
        <v>16223305.321382845</v>
      </c>
      <c r="CC47" s="8">
        <f>+MINVU_Mes_Corriente!CC47*MINVU_Mes_Constante!$CC$1</f>
        <v>16344127.734427454</v>
      </c>
      <c r="CD47" s="8">
        <f>+MINVU_Mes_Corriente!CD47*MINVU_Mes_Constante!$CC$1</f>
        <v>16344127.734427454</v>
      </c>
      <c r="CE47" s="8">
        <f>+MINVU_Mes_Corriente!CE47*MINVU_Mes_Constante!$CC$1</f>
        <v>16344127.734427454</v>
      </c>
      <c r="CF47" s="8">
        <f>+MINVU_Mes_Corriente!CF47*MINVU_Mes_Constante!$CC$1</f>
        <v>17439603.569563597</v>
      </c>
      <c r="CG47" s="8">
        <f>+MINVU_Mes_Corriente!CG47*MINVU_Mes_Constante!$CC$1</f>
        <v>17439603.569563597</v>
      </c>
      <c r="CH47" s="8">
        <f>+MINVU_Mes_Corriente!CH47*MINVU_Mes_Constante!$CC$1</f>
        <v>17439603.569563597</v>
      </c>
      <c r="CI47" s="8">
        <f>+MINVU_Mes_Corriente!CI47*MINVU_Mes_Constante!$CC$1</f>
        <v>17439603.569563597</v>
      </c>
      <c r="CJ47" s="8">
        <f>+MINVU_Mes_Corriente!CJ47*MINVU_Mes_Constante!$CC$1</f>
        <v>17439603.569563597</v>
      </c>
      <c r="CK47" s="8">
        <f>+MINVU_Mes_Corriente!CK47*MINVU_Mes_Constante!$CC$1</f>
        <v>17439603.569563597</v>
      </c>
      <c r="CL47" s="8">
        <f>+MINVU_Mes_Corriente!CL47*MINVU_Mes_Constante!$CC$1</f>
        <v>15395506.957105558</v>
      </c>
      <c r="CM47" s="8">
        <f>+MINVU_Mes_Corriente!CM47*MINVU_Mes_Constante!$CC$1</f>
        <v>15395506.957105558</v>
      </c>
      <c r="CN47" s="8">
        <f>+MINVU_Mes_Corriente!CN47*MINVU_Mes_Constante!$CC$1</f>
        <v>12539425.018276764</v>
      </c>
      <c r="CO47" s="9">
        <f t="shared" si="25"/>
        <v>12539425.018276764</v>
      </c>
      <c r="CP47" s="8">
        <f>+MINVU_Mes_Corriente!CP47*MINVU_Mes_Constante!$CP$1</f>
        <v>15101344.282134568</v>
      </c>
      <c r="CQ47" s="8">
        <f>+MINVU_Mes_Corriente!CQ47*MINVU_Mes_Constante!$CP$1</f>
        <v>14927143.028074242</v>
      </c>
      <c r="CR47" s="8">
        <f>+MINVU_Mes_Corriente!CR47*MINVU_Mes_Constante!$CP$1</f>
        <v>14927143.028074242</v>
      </c>
      <c r="CS47" s="8">
        <f>+MINVU_Mes_Corriente!CS47*MINVU_Mes_Constante!$CP$1</f>
        <v>14928154.506960554</v>
      </c>
      <c r="CT47" s="8">
        <f>+MINVU_Mes_Corriente!CT47*MINVU_Mes_Constante!$CP$1</f>
        <v>14928154.506960554</v>
      </c>
      <c r="CU47" s="8">
        <f>+MINVU_Mes_Corriente!CU47*MINVU_Mes_Constante!$CP$1</f>
        <v>16733079.006264498</v>
      </c>
      <c r="CV47" s="8">
        <f>+MINVU_Mes_Corriente!CV47*MINVU_Mes_Constante!$CP$1</f>
        <v>16733079.006264498</v>
      </c>
      <c r="CW47" s="8">
        <f>+MINVU_Mes_Corriente!CW47*MINVU_Mes_Constante!$CP$1</f>
        <v>16733079.006264498</v>
      </c>
      <c r="CX47" s="8">
        <f>+MINVU_Mes_Corriente!CX47*MINVU_Mes_Constante!$CP$1</f>
        <v>16733079.006264498</v>
      </c>
      <c r="CY47" s="8">
        <f>+MINVU_Mes_Corriente!CY47*MINVU_Mes_Constante!$CP$1</f>
        <v>18017543.115313221</v>
      </c>
      <c r="CZ47" s="8">
        <f>+MINVU_Mes_Corriente!CZ47*MINVU_Mes_Constante!$CP$1</f>
        <v>16401633.345939672</v>
      </c>
      <c r="DA47" s="8">
        <f>+MINVU_Mes_Corriente!DA47*MINVU_Mes_Constante!$CP$1</f>
        <v>13614839.166821344</v>
      </c>
      <c r="DB47" s="9">
        <f t="shared" si="26"/>
        <v>13614839.166821344</v>
      </c>
      <c r="DC47" s="8">
        <f>+MINVU_Mes_Corriente!DC47*MINVU_Mes_Constante!$DC$1</f>
        <v>16749613.073963592</v>
      </c>
      <c r="DD47" s="8">
        <f>+MINVU_Mes_Corriente!DD47*MINVU_Mes_Constante!$DC$1</f>
        <v>21710438.558378778</v>
      </c>
      <c r="DE47" s="8">
        <f>+MINVU_Mes_Corriente!DE47*MINVU_Mes_Constante!$DC$1</f>
        <v>21710438.558378778</v>
      </c>
      <c r="DF47" s="8">
        <f>+MINVU_Mes_Corriente!DF47*MINVU_Mes_Constante!$DC$1</f>
        <v>21710438.558378778</v>
      </c>
      <c r="DG47" s="8">
        <f>+MINVU_Mes_Corriente!DG47*MINVU_Mes_Constante!$DC$1</f>
        <v>21629890.076741084</v>
      </c>
      <c r="DH47" s="8">
        <f>+MINVU_Mes_Corriente!DH47*MINVU_Mes_Constante!$DC$1</f>
        <v>21551212.98590681</v>
      </c>
      <c r="DI47" s="8">
        <f>+MINVU_Mes_Corriente!DI47*MINVU_Mes_Constante!$DC$1</f>
        <v>18352364.322600566</v>
      </c>
      <c r="DJ47" s="8">
        <f>+MINVU_Mes_Corriente!DJ47*MINVU_Mes_Constante!$DC$1</f>
        <v>18352364.322600566</v>
      </c>
      <c r="DK47" s="8">
        <f>+MINVU_Mes_Corriente!DK47*MINVU_Mes_Constante!$DC$1</f>
        <v>18352364.322600566</v>
      </c>
      <c r="DL47" s="8">
        <f>+MINVU_Mes_Corriente!DL47*MINVU_Mes_Constante!$DC$1</f>
        <v>18352364.322600566</v>
      </c>
      <c r="DM47" s="8">
        <f>+MINVU_Mes_Corriente!DM47*MINVU_Mes_Constante!$DC$1</f>
        <v>13751257.241230333</v>
      </c>
      <c r="DN47" s="8">
        <f>+MINVU_Mes_Corriente!DN47*MINVU_Mes_Constante!$DC$1</f>
        <v>10622127.719987661</v>
      </c>
      <c r="DO47" s="9">
        <f t="shared" si="27"/>
        <v>10622127.719987661</v>
      </c>
      <c r="DP47" s="8">
        <f>+MINVU_Mes_Corriente!DP47*MINVU_Mes_Constante!$DP$1</f>
        <v>23928017.857482187</v>
      </c>
      <c r="DQ47" s="8">
        <f>+MINVU_Mes_Corriente!DQ47*MINVU_Mes_Constante!$DP$1</f>
        <v>24827624.298099764</v>
      </c>
      <c r="DR47" s="8">
        <f>+MINVU_Mes_Corriente!DR47*MINVU_Mes_Constante!$DP$1</f>
        <v>24827624.298099764</v>
      </c>
      <c r="DS47" s="8">
        <f>+MINVU_Mes_Corriente!DS47*MINVU_Mes_Constante!$DP$1</f>
        <v>24827624.298099764</v>
      </c>
      <c r="DT47" s="8">
        <f>+MINVU_Mes_Corriente!DT47*MINVU_Mes_Constante!$DP$1</f>
        <v>26857854.386579577</v>
      </c>
      <c r="DU47" s="8">
        <f>+MINVU_Mes_Corriente!DU47*MINVU_Mes_Constante!$DP$1</f>
        <v>26857854.386579577</v>
      </c>
      <c r="DV47" s="8">
        <f>+MINVU_Mes_Corriente!DV47*MINVU_Mes_Constante!$DP$1</f>
        <v>26857854.386579577</v>
      </c>
      <c r="DW47" s="8">
        <f>+MINVU_Mes_Corriente!DW47*MINVU_Mes_Constante!$DP$1</f>
        <v>26857854.386579577</v>
      </c>
      <c r="DX47" s="8">
        <f>+MINVU_Mes_Corriente!DX47*MINVU_Mes_Constante!$DP$1</f>
        <v>26857854.386579577</v>
      </c>
      <c r="DY47" s="8">
        <f>+MINVU_Mes_Corriente!DY47*MINVU_Mes_Constante!$DP$1</f>
        <v>26857854.386579577</v>
      </c>
      <c r="DZ47" s="8">
        <f>+MINVU_Mes_Corriente!DZ47*MINVU_Mes_Constante!$DP$1</f>
        <v>26032840.820665084</v>
      </c>
      <c r="EA47" s="8">
        <f>+MINVU_Mes_Corriente!EA47*MINVU_Mes_Constante!$DP$1</f>
        <v>14150649.292161522</v>
      </c>
      <c r="EB47" s="9">
        <f t="shared" si="28"/>
        <v>14150649.292161522</v>
      </c>
      <c r="EC47" s="8">
        <f>+MINVU_Mes_Corriente!EC47*MINVU_Mes_Constante!$EC$1</f>
        <v>23023108.513349738</v>
      </c>
      <c r="ED47" s="8">
        <f>+MINVU_Mes_Corriente!ED47*MINVU_Mes_Constante!$EC$1</f>
        <v>23023108.513349738</v>
      </c>
      <c r="EE47" s="8">
        <f>+MINVU_Mes_Corriente!EE47*MINVU_Mes_Constante!$EC$1</f>
        <v>23023108.513349738</v>
      </c>
      <c r="EF47" s="8">
        <f>+MINVU_Mes_Corriente!EF47*MINVU_Mes_Constante!$EC$1</f>
        <v>23023108.513349738</v>
      </c>
      <c r="EG47" s="8">
        <f>+MINVU_Mes_Corriente!EG47*MINVU_Mes_Constante!$EC$1</f>
        <v>23126606.553493649</v>
      </c>
      <c r="EH47" s="8">
        <f>+MINVU_Mes_Corriente!EH47*MINVU_Mes_Constante!$EC$1</f>
        <v>24351650.942056421</v>
      </c>
      <c r="EI47" s="8">
        <f>+MINVU_Mes_Corriente!EI47*MINVU_Mes_Constante!$EC$1</f>
        <v>24610783.966104895</v>
      </c>
      <c r="EJ47" s="8">
        <f>+MINVU_Mes_Corriente!EJ47*MINVU_Mes_Constante!$EC$1</f>
        <v>24610783.966104895</v>
      </c>
      <c r="EK47" s="8">
        <f>+MINVU_Mes_Corriente!EK47*MINVU_Mes_Constante!$EC$1</f>
        <v>23658628.89282332</v>
      </c>
      <c r="EL47" s="8">
        <f>+MINVU_Mes_Corriente!EL47*MINVU_Mes_Constante!$EC$1</f>
        <v>23658628.89282332</v>
      </c>
      <c r="EM47" s="8">
        <f>+MINVU_Mes_Corriente!EM47*MINVU_Mes_Constante!$EC$1</f>
        <v>20951561.87843211</v>
      </c>
      <c r="EN47" s="8">
        <f>+MINVU_Mes_Corriente!EN47*MINVU_Mes_Constante!$EC$1</f>
        <v>18605317.686612379</v>
      </c>
      <c r="EO47" s="9">
        <f t="shared" si="29"/>
        <v>18605317.686612379</v>
      </c>
      <c r="EP47" s="8">
        <f>+MINVU_Mes_Corriente!EP47*MINVU_Mes_Constante!$EP$1</f>
        <v>21184028</v>
      </c>
      <c r="EQ47" s="8">
        <f>+MINVU_Mes_Corriente!EQ47*MINVU_Mes_Constante!$EP$1</f>
        <v>21881248</v>
      </c>
      <c r="ER47" s="8">
        <f>+MINVU_Mes_Corriente!ER47*MINVU_Mes_Constante!$EP$1</f>
        <v>21881248</v>
      </c>
      <c r="ES47" s="8">
        <f>+MINVU_Mes_Corriente!ES47*MINVU_Mes_Constante!$EP$1</f>
        <v>21881248</v>
      </c>
      <c r="ET47" s="8">
        <f>+MINVU_Mes_Corriente!ET47*MINVU_Mes_Constante!$EP$1</f>
        <v>21881248</v>
      </c>
      <c r="EU47" s="8">
        <f>+MINVU_Mes_Corriente!EU47*MINVU_Mes_Constante!$EP$1</f>
        <v>14331165</v>
      </c>
      <c r="EV47" s="8">
        <f>+MINVU_Mes_Corriente!EV47*MINVU_Mes_Constante!$EP$1</f>
        <v>14331165</v>
      </c>
      <c r="EW47" s="8">
        <f>+MINVU_Mes_Corriente!EW47*MINVU_Mes_Constante!$EP$1</f>
        <v>14331165</v>
      </c>
      <c r="EX47" s="8">
        <f>+MINVU_Mes_Corriente!EX47*MINVU_Mes_Constante!$EP$1</f>
        <v>14331165</v>
      </c>
      <c r="EY47" s="8">
        <f>+MINVU_Mes_Corriente!EY47*MINVU_Mes_Constante!$EP$1</f>
        <v>14275594</v>
      </c>
      <c r="EZ47" s="8">
        <f>+MINVU_Mes_Corriente!EZ47*MINVU_Mes_Constante!$EP$1</f>
        <v>14275594</v>
      </c>
      <c r="FA47" s="8">
        <f>+MINVU_Mes_Corriente!FA47*MINVU_Mes_Constante!$EP$1</f>
        <v>14465044</v>
      </c>
      <c r="FB47" s="9">
        <f t="shared" si="30"/>
        <v>14465044</v>
      </c>
      <c r="FC47" s="8">
        <f>+MINVU_Mes_Corriente!FC47*MINVU_Mes_Constante!$FC$1</f>
        <v>24770394</v>
      </c>
      <c r="FD47" s="8">
        <f>+MINVU_Mes_Corriente!FD47*MINVU_Mes_Constante!$FC$1</f>
        <v>24770394</v>
      </c>
      <c r="FE47" s="8">
        <f>+MINVU_Mes_Corriente!FE47*MINVU_Mes_Constante!$FC$1</f>
        <v>24770394</v>
      </c>
      <c r="FF47" s="8">
        <f>+MINVU_Mes_Corriente!FF47*MINVU_Mes_Constante!$FC$1</f>
        <v>24770394</v>
      </c>
      <c r="FG47" s="8">
        <f>+MINVU_Mes_Corriente!FG47*MINVU_Mes_Constante!$FC$1</f>
        <v>25550699</v>
      </c>
      <c r="FH47" s="8">
        <f>+MINVU_Mes_Corriente!FH47*MINVU_Mes_Constante!$FC$1</f>
        <v>25550699</v>
      </c>
      <c r="FI47" s="8">
        <f>+MINVU_Mes_Corriente!FI47*MINVU_Mes_Constante!$FC$1</f>
        <v>26178453</v>
      </c>
      <c r="FJ47" s="8"/>
      <c r="FK47" s="8"/>
      <c r="FL47" s="8"/>
      <c r="FM47" s="8"/>
      <c r="FN47" s="8"/>
      <c r="FO47" s="9">
        <f t="shared" si="31"/>
        <v>26178453</v>
      </c>
    </row>
    <row r="48" spans="2:171" ht="14.25" customHeight="1" thickBot="1" x14ac:dyDescent="0.35">
      <c r="B48" s="14" t="s">
        <v>63</v>
      </c>
      <c r="C48" s="16">
        <f t="shared" ref="C48:AH48" si="32">SUM(C30:C47)</f>
        <v>568388366.50215042</v>
      </c>
      <c r="D48" s="16">
        <f t="shared" si="32"/>
        <v>568388366.50215042</v>
      </c>
      <c r="E48" s="16">
        <f t="shared" si="32"/>
        <v>570480108.1263535</v>
      </c>
      <c r="F48" s="16">
        <f t="shared" si="32"/>
        <v>570480108.1263535</v>
      </c>
      <c r="G48" s="16">
        <f t="shared" si="32"/>
        <v>569907684.89159143</v>
      </c>
      <c r="H48" s="16">
        <f t="shared" si="32"/>
        <v>582546391.6986506</v>
      </c>
      <c r="I48" s="16">
        <f t="shared" si="32"/>
        <v>582546391.6986506</v>
      </c>
      <c r="J48" s="16">
        <f t="shared" si="32"/>
        <v>575538334.09669292</v>
      </c>
      <c r="K48" s="16">
        <f t="shared" si="32"/>
        <v>574233844.5567255</v>
      </c>
      <c r="L48" s="16">
        <f t="shared" si="32"/>
        <v>573515142.87379515</v>
      </c>
      <c r="M48" s="16">
        <f t="shared" si="32"/>
        <v>563099570.01097441</v>
      </c>
      <c r="N48" s="16">
        <f t="shared" si="32"/>
        <v>529084452.88002396</v>
      </c>
      <c r="O48" s="16">
        <f t="shared" si="32"/>
        <v>529084452.88002396</v>
      </c>
      <c r="P48" s="16">
        <f t="shared" si="32"/>
        <v>673497791.15612972</v>
      </c>
      <c r="Q48" s="16">
        <f t="shared" si="32"/>
        <v>676738777.41241634</v>
      </c>
      <c r="R48" s="16">
        <f t="shared" si="32"/>
        <v>679149480.80124986</v>
      </c>
      <c r="S48" s="16">
        <f t="shared" si="32"/>
        <v>679149480.80124974</v>
      </c>
      <c r="T48" s="16">
        <f t="shared" si="32"/>
        <v>679056348.25401294</v>
      </c>
      <c r="U48" s="16">
        <f t="shared" si="32"/>
        <v>679056348.25401318</v>
      </c>
      <c r="V48" s="16">
        <f t="shared" si="32"/>
        <v>679056348.25401294</v>
      </c>
      <c r="W48" s="16">
        <f t="shared" si="32"/>
        <v>670867384.9839462</v>
      </c>
      <c r="X48" s="16">
        <f t="shared" si="32"/>
        <v>667612962.80551171</v>
      </c>
      <c r="Y48" s="16">
        <f t="shared" si="32"/>
        <v>659884331.98550928</v>
      </c>
      <c r="Z48" s="16">
        <f t="shared" si="32"/>
        <v>661616148.77567828</v>
      </c>
      <c r="AA48" s="16">
        <f t="shared" si="32"/>
        <v>603252581.37263787</v>
      </c>
      <c r="AB48" s="16">
        <f t="shared" si="32"/>
        <v>603252581.37263787</v>
      </c>
      <c r="AC48" s="16">
        <f t="shared" si="32"/>
        <v>603348861.32909119</v>
      </c>
      <c r="AD48" s="16">
        <f t="shared" si="32"/>
        <v>612130820.11066532</v>
      </c>
      <c r="AE48" s="16">
        <f t="shared" si="32"/>
        <v>612130820.11066532</v>
      </c>
      <c r="AF48" s="16">
        <f t="shared" si="32"/>
        <v>612130820.11066544</v>
      </c>
      <c r="AG48" s="16">
        <f t="shared" si="32"/>
        <v>613753998.39922535</v>
      </c>
      <c r="AH48" s="16">
        <f t="shared" si="32"/>
        <v>613753998.39922535</v>
      </c>
      <c r="AI48" s="16">
        <f t="shared" ref="AI48:BN48" si="33">SUM(AI30:AI47)</f>
        <v>613753998.39922523</v>
      </c>
      <c r="AJ48" s="16">
        <f t="shared" si="33"/>
        <v>626403596.43685138</v>
      </c>
      <c r="AK48" s="16">
        <f t="shared" si="33"/>
        <v>626469599.81491196</v>
      </c>
      <c r="AL48" s="16">
        <f t="shared" si="33"/>
        <v>622222453.9820168</v>
      </c>
      <c r="AM48" s="16">
        <f t="shared" si="33"/>
        <v>618260703.61211777</v>
      </c>
      <c r="AN48" s="16">
        <f t="shared" si="33"/>
        <v>603019823.8340019</v>
      </c>
      <c r="AO48" s="16">
        <f t="shared" si="33"/>
        <v>603019823.8340019</v>
      </c>
      <c r="AP48" s="16">
        <f t="shared" si="33"/>
        <v>668910536.00297582</v>
      </c>
      <c r="AQ48" s="16">
        <f t="shared" si="33"/>
        <v>680460503.26633298</v>
      </c>
      <c r="AR48" s="16">
        <f t="shared" si="33"/>
        <v>679906110.37089145</v>
      </c>
      <c r="AS48" s="16">
        <f t="shared" si="33"/>
        <v>677653849.88448536</v>
      </c>
      <c r="AT48" s="16">
        <f t="shared" si="33"/>
        <v>685035882.88867843</v>
      </c>
      <c r="AU48" s="16">
        <f t="shared" si="33"/>
        <v>684989464.01487899</v>
      </c>
      <c r="AV48" s="16">
        <f t="shared" si="33"/>
        <v>679944214.66657639</v>
      </c>
      <c r="AW48" s="16">
        <f t="shared" si="33"/>
        <v>676921767.98160422</v>
      </c>
      <c r="AX48" s="16">
        <f t="shared" si="33"/>
        <v>673422718.32895982</v>
      </c>
      <c r="AY48" s="16">
        <f t="shared" si="33"/>
        <v>671075583.57013381</v>
      </c>
      <c r="AZ48" s="16">
        <f t="shared" si="33"/>
        <v>657091228.72582161</v>
      </c>
      <c r="BA48" s="16">
        <f t="shared" si="33"/>
        <v>610127178.11849046</v>
      </c>
      <c r="BB48" s="16">
        <f t="shared" si="33"/>
        <v>610127178.11849046</v>
      </c>
      <c r="BC48" s="16">
        <f t="shared" si="33"/>
        <v>635034649.53026533</v>
      </c>
      <c r="BD48" s="16">
        <f t="shared" si="33"/>
        <v>638349436.26638544</v>
      </c>
      <c r="BE48" s="16">
        <f t="shared" si="33"/>
        <v>638349436.26638544</v>
      </c>
      <c r="BF48" s="16">
        <f t="shared" si="33"/>
        <v>638349436.26638544</v>
      </c>
      <c r="BG48" s="16">
        <f t="shared" si="33"/>
        <v>637768904.44415152</v>
      </c>
      <c r="BH48" s="16">
        <f t="shared" si="33"/>
        <v>637768904.44415152</v>
      </c>
      <c r="BI48" s="16">
        <f t="shared" si="33"/>
        <v>637196517.77264941</v>
      </c>
      <c r="BJ48" s="16">
        <f t="shared" si="33"/>
        <v>637196517.77264941</v>
      </c>
      <c r="BK48" s="16">
        <f t="shared" si="33"/>
        <v>637196517.77264941</v>
      </c>
      <c r="BL48" s="16">
        <f t="shared" si="33"/>
        <v>617848528.45311892</v>
      </c>
      <c r="BM48" s="16">
        <f t="shared" si="33"/>
        <v>615782304.13530278</v>
      </c>
      <c r="BN48" s="16">
        <f t="shared" si="33"/>
        <v>529618813.4297772</v>
      </c>
      <c r="BO48" s="16">
        <f t="shared" ref="BO48:CT48" si="34">SUM(BO30:BO47)</f>
        <v>529618813.4297772</v>
      </c>
      <c r="BP48" s="16">
        <f t="shared" si="34"/>
        <v>553782796.30832267</v>
      </c>
      <c r="BQ48" s="16">
        <f t="shared" si="34"/>
        <v>553782796.30832267</v>
      </c>
      <c r="BR48" s="16">
        <f t="shared" si="34"/>
        <v>546758351.99539053</v>
      </c>
      <c r="BS48" s="16">
        <f t="shared" si="34"/>
        <v>546758351.99539053</v>
      </c>
      <c r="BT48" s="16">
        <f t="shared" si="34"/>
        <v>546547869.11062753</v>
      </c>
      <c r="BU48" s="16">
        <f t="shared" si="34"/>
        <v>547527152.08117807</v>
      </c>
      <c r="BV48" s="16">
        <f t="shared" si="34"/>
        <v>550618496.60358512</v>
      </c>
      <c r="BW48" s="16">
        <f t="shared" si="34"/>
        <v>554015618.03661978</v>
      </c>
      <c r="BX48" s="16">
        <f t="shared" si="34"/>
        <v>553740499.67784894</v>
      </c>
      <c r="BY48" s="16">
        <f t="shared" si="34"/>
        <v>574996866.19974387</v>
      </c>
      <c r="BZ48" s="16">
        <f t="shared" si="34"/>
        <v>574473537.38028181</v>
      </c>
      <c r="CA48" s="16">
        <f t="shared" si="34"/>
        <v>526060527.90960312</v>
      </c>
      <c r="CB48" s="16">
        <f t="shared" si="34"/>
        <v>526060527.90960312</v>
      </c>
      <c r="CC48" s="16">
        <f t="shared" si="34"/>
        <v>601344184.1066767</v>
      </c>
      <c r="CD48" s="16">
        <f t="shared" si="34"/>
        <v>601344184.1066767</v>
      </c>
      <c r="CE48" s="16">
        <f t="shared" si="34"/>
        <v>615539969.26146972</v>
      </c>
      <c r="CF48" s="16">
        <f t="shared" si="34"/>
        <v>612349133.04886246</v>
      </c>
      <c r="CG48" s="16">
        <f t="shared" si="34"/>
        <v>612349133.04886246</v>
      </c>
      <c r="CH48" s="16">
        <f t="shared" si="34"/>
        <v>612819437.37336826</v>
      </c>
      <c r="CI48" s="16">
        <f t="shared" si="34"/>
        <v>614168394.23498702</v>
      </c>
      <c r="CJ48" s="16">
        <f t="shared" si="34"/>
        <v>614168394.23498702</v>
      </c>
      <c r="CK48" s="16">
        <f t="shared" si="34"/>
        <v>592944244.60574424</v>
      </c>
      <c r="CL48" s="16">
        <f t="shared" si="34"/>
        <v>590688774.79000378</v>
      </c>
      <c r="CM48" s="16">
        <f t="shared" si="34"/>
        <v>588800689.17717266</v>
      </c>
      <c r="CN48" s="16">
        <f t="shared" si="34"/>
        <v>507636168.01118988</v>
      </c>
      <c r="CO48" s="16">
        <f t="shared" si="34"/>
        <v>507636168.01118988</v>
      </c>
      <c r="CP48" s="16">
        <f t="shared" si="34"/>
        <v>760889078.70348001</v>
      </c>
      <c r="CQ48" s="16">
        <f t="shared" si="34"/>
        <v>769727477.54338729</v>
      </c>
      <c r="CR48" s="16">
        <f t="shared" si="34"/>
        <v>771960843.20464027</v>
      </c>
      <c r="CS48" s="16">
        <f t="shared" si="34"/>
        <v>771960843.20464027</v>
      </c>
      <c r="CT48" s="16">
        <f t="shared" si="34"/>
        <v>770658116.70487201</v>
      </c>
      <c r="CU48" s="16">
        <f t="shared" ref="CU48:DZ48" si="35">SUM(CU30:CU47)</f>
        <v>770658116.70487237</v>
      </c>
      <c r="CV48" s="16">
        <f t="shared" si="35"/>
        <v>770658116.70487225</v>
      </c>
      <c r="CW48" s="16">
        <f t="shared" si="35"/>
        <v>770658116.70487225</v>
      </c>
      <c r="CX48" s="16">
        <f t="shared" si="35"/>
        <v>770385414.138515</v>
      </c>
      <c r="CY48" s="16">
        <f t="shared" si="35"/>
        <v>761461080.15382814</v>
      </c>
      <c r="CZ48" s="16">
        <f t="shared" si="35"/>
        <v>719038917.96682107</v>
      </c>
      <c r="DA48" s="16">
        <f t="shared" si="35"/>
        <v>603817839.39883995</v>
      </c>
      <c r="DB48" s="16">
        <f t="shared" si="35"/>
        <v>603817839.39883995</v>
      </c>
      <c r="DC48" s="16">
        <f t="shared" si="35"/>
        <v>598658834.0386796</v>
      </c>
      <c r="DD48" s="16">
        <f t="shared" si="35"/>
        <v>677403215.14082944</v>
      </c>
      <c r="DE48" s="16">
        <f t="shared" si="35"/>
        <v>677403215.14082944</v>
      </c>
      <c r="DF48" s="16">
        <f t="shared" si="35"/>
        <v>677403215.14082944</v>
      </c>
      <c r="DG48" s="16">
        <f t="shared" si="35"/>
        <v>677352356.02139735</v>
      </c>
      <c r="DH48" s="16">
        <f t="shared" si="35"/>
        <v>677273678.93056297</v>
      </c>
      <c r="DI48" s="16">
        <f t="shared" si="35"/>
        <v>668730239.28896236</v>
      </c>
      <c r="DJ48" s="16">
        <f t="shared" si="35"/>
        <v>668828585.65250516</v>
      </c>
      <c r="DK48" s="16">
        <f t="shared" si="35"/>
        <v>615993633.82676709</v>
      </c>
      <c r="DL48" s="16">
        <f t="shared" si="35"/>
        <v>615326774.67256498</v>
      </c>
      <c r="DM48" s="16">
        <f t="shared" si="35"/>
        <v>516433560.39008343</v>
      </c>
      <c r="DN48" s="16">
        <f t="shared" si="35"/>
        <v>448852678.45015967</v>
      </c>
      <c r="DO48" s="16">
        <f t="shared" si="35"/>
        <v>448852678.45015967</v>
      </c>
      <c r="DP48" s="16">
        <f t="shared" si="35"/>
        <v>586145635.1383611</v>
      </c>
      <c r="DQ48" s="16">
        <f t="shared" si="35"/>
        <v>586145635.1383611</v>
      </c>
      <c r="DR48" s="16">
        <f t="shared" si="35"/>
        <v>586145635.1383611</v>
      </c>
      <c r="DS48" s="16">
        <f t="shared" si="35"/>
        <v>586145635.1383611</v>
      </c>
      <c r="DT48" s="16">
        <f t="shared" si="35"/>
        <v>586145635.1383611</v>
      </c>
      <c r="DU48" s="16">
        <f t="shared" si="35"/>
        <v>586136363.60985756</v>
      </c>
      <c r="DV48" s="16">
        <f t="shared" si="35"/>
        <v>586136363.60985744</v>
      </c>
      <c r="DW48" s="16">
        <f t="shared" si="35"/>
        <v>586136363.60985756</v>
      </c>
      <c r="DX48" s="16">
        <f t="shared" si="35"/>
        <v>586136363.60985756</v>
      </c>
      <c r="DY48" s="16">
        <f t="shared" si="35"/>
        <v>586136363.60985756</v>
      </c>
      <c r="DZ48" s="16">
        <f t="shared" si="35"/>
        <v>519818793.07838494</v>
      </c>
      <c r="EA48" s="16">
        <f t="shared" ref="EA48:FF48" si="36">SUM(EA30:EA47)</f>
        <v>414709144.04394305</v>
      </c>
      <c r="EB48" s="16">
        <f t="shared" si="36"/>
        <v>414709144.04394305</v>
      </c>
      <c r="EC48" s="16">
        <f t="shared" si="36"/>
        <v>580027653.7413367</v>
      </c>
      <c r="ED48" s="16">
        <f t="shared" si="36"/>
        <v>580027653.7413367</v>
      </c>
      <c r="EE48" s="16">
        <f t="shared" si="36"/>
        <v>573234448.93031609</v>
      </c>
      <c r="EF48" s="16">
        <f t="shared" si="36"/>
        <v>573234448.93031609</v>
      </c>
      <c r="EG48" s="16">
        <f t="shared" si="36"/>
        <v>573138334.88827848</v>
      </c>
      <c r="EH48" s="16">
        <f t="shared" si="36"/>
        <v>569981982.93334579</v>
      </c>
      <c r="EI48" s="16">
        <f t="shared" si="36"/>
        <v>569981982.93334568</v>
      </c>
      <c r="EJ48" s="16">
        <f t="shared" si="36"/>
        <v>572950676.02802479</v>
      </c>
      <c r="EK48" s="16">
        <f t="shared" si="36"/>
        <v>572764472.65745103</v>
      </c>
      <c r="EL48" s="16">
        <f t="shared" si="36"/>
        <v>573110255.41999602</v>
      </c>
      <c r="EM48" s="16">
        <f t="shared" si="36"/>
        <v>543060112.04071176</v>
      </c>
      <c r="EN48" s="16">
        <f t="shared" si="36"/>
        <v>413932236.1931451</v>
      </c>
      <c r="EO48" s="16">
        <f t="shared" si="36"/>
        <v>413932236.1931451</v>
      </c>
      <c r="EP48" s="16">
        <f t="shared" si="36"/>
        <v>502221494</v>
      </c>
      <c r="EQ48" s="16">
        <f t="shared" si="36"/>
        <v>511796438</v>
      </c>
      <c r="ER48" s="16">
        <f t="shared" si="36"/>
        <v>511796438</v>
      </c>
      <c r="ES48" s="16">
        <f t="shared" si="36"/>
        <v>513447489</v>
      </c>
      <c r="ET48" s="16">
        <f t="shared" si="36"/>
        <v>513447489</v>
      </c>
      <c r="EU48" s="16">
        <f t="shared" si="36"/>
        <v>514186998</v>
      </c>
      <c r="EV48" s="16">
        <f t="shared" si="36"/>
        <v>499186998</v>
      </c>
      <c r="EW48" s="16">
        <f t="shared" si="36"/>
        <v>499186998</v>
      </c>
      <c r="EX48" s="16">
        <f t="shared" si="36"/>
        <v>499186998</v>
      </c>
      <c r="EY48" s="16">
        <f t="shared" si="36"/>
        <v>476686865</v>
      </c>
      <c r="EZ48" s="16">
        <f t="shared" si="36"/>
        <v>476686865</v>
      </c>
      <c r="FA48" s="16">
        <f t="shared" si="36"/>
        <v>439708851</v>
      </c>
      <c r="FB48" s="16">
        <f t="shared" si="36"/>
        <v>439708851</v>
      </c>
      <c r="FC48" s="16">
        <f t="shared" si="36"/>
        <v>484142190</v>
      </c>
      <c r="FD48" s="16">
        <f t="shared" si="36"/>
        <v>464833607</v>
      </c>
      <c r="FE48" s="16">
        <f t="shared" si="36"/>
        <v>465805539</v>
      </c>
      <c r="FF48" s="16">
        <f t="shared" si="36"/>
        <v>465805539</v>
      </c>
      <c r="FG48" s="16">
        <f t="shared" ref="FG48:GL48" si="37">SUM(FG30:FG47)</f>
        <v>466123713</v>
      </c>
      <c r="FH48" s="16">
        <f t="shared" si="37"/>
        <v>466611123</v>
      </c>
      <c r="FI48" s="16">
        <f t="shared" si="37"/>
        <v>466611123</v>
      </c>
      <c r="FJ48" s="16">
        <f t="shared" si="37"/>
        <v>0</v>
      </c>
      <c r="FK48" s="16">
        <f t="shared" si="37"/>
        <v>0</v>
      </c>
      <c r="FL48" s="16">
        <f t="shared" si="37"/>
        <v>0</v>
      </c>
      <c r="FM48" s="16">
        <f t="shared" si="37"/>
        <v>0</v>
      </c>
      <c r="FN48" s="16">
        <f t="shared" si="37"/>
        <v>0</v>
      </c>
      <c r="FO48" s="16">
        <f t="shared" si="37"/>
        <v>466611123</v>
      </c>
    </row>
    <row r="49" spans="2:171" ht="14.25" customHeight="1" thickTop="1" x14ac:dyDescent="0.3">
      <c r="B49" s="4" t="s">
        <v>64</v>
      </c>
    </row>
    <row r="50" spans="2:171" ht="14.25" customHeight="1" x14ac:dyDescent="0.3">
      <c r="C50" s="33" t="s">
        <v>4</v>
      </c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3" t="s">
        <v>5</v>
      </c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3" t="s">
        <v>6</v>
      </c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3" t="s">
        <v>7</v>
      </c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3" t="s">
        <v>8</v>
      </c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3" t="s">
        <v>9</v>
      </c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3" t="s">
        <v>10</v>
      </c>
      <c r="CD50" s="34"/>
      <c r="CE50" s="34"/>
      <c r="CF50" s="34"/>
      <c r="CG50" s="34"/>
      <c r="CH50" s="34"/>
      <c r="CI50" s="34"/>
      <c r="CJ50" s="34"/>
      <c r="CK50" s="34"/>
      <c r="CL50" s="34"/>
      <c r="CM50" s="34"/>
      <c r="CN50" s="34"/>
      <c r="CO50" s="34"/>
      <c r="CP50" s="33" t="s">
        <v>11</v>
      </c>
      <c r="CQ50" s="34"/>
      <c r="CR50" s="34"/>
      <c r="CS50" s="34"/>
      <c r="CT50" s="34"/>
      <c r="CU50" s="34"/>
      <c r="CV50" s="34"/>
      <c r="CW50" s="34"/>
      <c r="CX50" s="34"/>
      <c r="CY50" s="34"/>
      <c r="CZ50" s="34"/>
      <c r="DA50" s="34"/>
      <c r="DB50" s="34"/>
      <c r="DC50" s="33" t="s">
        <v>12</v>
      </c>
      <c r="DD50" s="34"/>
      <c r="DE50" s="34"/>
      <c r="DF50" s="34"/>
      <c r="DG50" s="34"/>
      <c r="DH50" s="34"/>
      <c r="DI50" s="34"/>
      <c r="DJ50" s="34"/>
      <c r="DK50" s="34"/>
      <c r="DL50" s="34"/>
      <c r="DM50" s="34"/>
      <c r="DN50" s="34"/>
      <c r="DO50" s="34"/>
      <c r="DP50" s="33" t="s">
        <v>13</v>
      </c>
      <c r="DQ50" s="34"/>
      <c r="DR50" s="34"/>
      <c r="DS50" s="34"/>
      <c r="DT50" s="34"/>
      <c r="DU50" s="34"/>
      <c r="DV50" s="34"/>
      <c r="DW50" s="34"/>
      <c r="DX50" s="34"/>
      <c r="DY50" s="34"/>
      <c r="DZ50" s="34"/>
      <c r="EA50" s="34"/>
      <c r="EB50" s="34"/>
      <c r="EC50" s="33" t="s">
        <v>14</v>
      </c>
      <c r="ED50" s="34"/>
      <c r="EE50" s="34"/>
      <c r="EF50" s="34"/>
      <c r="EG50" s="34"/>
      <c r="EH50" s="34"/>
      <c r="EI50" s="34"/>
      <c r="EJ50" s="34"/>
      <c r="EK50" s="34"/>
      <c r="EL50" s="34"/>
      <c r="EM50" s="34"/>
      <c r="EN50" s="34"/>
      <c r="EO50" s="34"/>
      <c r="EP50" s="33" t="s">
        <v>15</v>
      </c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3" t="s">
        <v>16</v>
      </c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</row>
    <row r="51" spans="2:171" ht="14.25" customHeight="1" x14ac:dyDescent="0.3">
      <c r="B51" s="5" t="s">
        <v>17</v>
      </c>
      <c r="C51" s="6" t="s">
        <v>18</v>
      </c>
      <c r="D51" s="6" t="s">
        <v>19</v>
      </c>
      <c r="E51" s="6" t="s">
        <v>20</v>
      </c>
      <c r="F51" s="6" t="s">
        <v>21</v>
      </c>
      <c r="G51" s="6" t="s">
        <v>22</v>
      </c>
      <c r="H51" s="6" t="s">
        <v>23</v>
      </c>
      <c r="I51" s="6" t="s">
        <v>24</v>
      </c>
      <c r="J51" s="6" t="s">
        <v>25</v>
      </c>
      <c r="K51" s="6" t="s">
        <v>26</v>
      </c>
      <c r="L51" s="6" t="s">
        <v>27</v>
      </c>
      <c r="M51" s="6" t="s">
        <v>28</v>
      </c>
      <c r="N51" s="6" t="s">
        <v>29</v>
      </c>
      <c r="O51" s="6" t="s">
        <v>30</v>
      </c>
      <c r="P51" s="6" t="s">
        <v>18</v>
      </c>
      <c r="Q51" s="6" t="s">
        <v>19</v>
      </c>
      <c r="R51" s="6" t="s">
        <v>20</v>
      </c>
      <c r="S51" s="6" t="s">
        <v>21</v>
      </c>
      <c r="T51" s="6" t="s">
        <v>22</v>
      </c>
      <c r="U51" s="6" t="s">
        <v>23</v>
      </c>
      <c r="V51" s="6" t="s">
        <v>24</v>
      </c>
      <c r="W51" s="6" t="s">
        <v>25</v>
      </c>
      <c r="X51" s="6" t="s">
        <v>26</v>
      </c>
      <c r="Y51" s="6" t="s">
        <v>27</v>
      </c>
      <c r="Z51" s="6" t="s">
        <v>28</v>
      </c>
      <c r="AA51" s="6" t="s">
        <v>29</v>
      </c>
      <c r="AB51" s="6" t="s">
        <v>31</v>
      </c>
      <c r="AC51" s="6" t="s">
        <v>18</v>
      </c>
      <c r="AD51" s="6" t="s">
        <v>19</v>
      </c>
      <c r="AE51" s="6" t="s">
        <v>20</v>
      </c>
      <c r="AF51" s="6" t="s">
        <v>21</v>
      </c>
      <c r="AG51" s="6" t="s">
        <v>22</v>
      </c>
      <c r="AH51" s="6" t="s">
        <v>23</v>
      </c>
      <c r="AI51" s="6" t="s">
        <v>24</v>
      </c>
      <c r="AJ51" s="6" t="s">
        <v>25</v>
      </c>
      <c r="AK51" s="6" t="s">
        <v>26</v>
      </c>
      <c r="AL51" s="6" t="s">
        <v>27</v>
      </c>
      <c r="AM51" s="6" t="s">
        <v>28</v>
      </c>
      <c r="AN51" s="6" t="s">
        <v>29</v>
      </c>
      <c r="AO51" s="6" t="s">
        <v>32</v>
      </c>
      <c r="AP51" s="6" t="s">
        <v>18</v>
      </c>
      <c r="AQ51" s="6" t="s">
        <v>19</v>
      </c>
      <c r="AR51" s="6" t="s">
        <v>20</v>
      </c>
      <c r="AS51" s="6" t="s">
        <v>21</v>
      </c>
      <c r="AT51" s="6" t="s">
        <v>22</v>
      </c>
      <c r="AU51" s="6" t="s">
        <v>23</v>
      </c>
      <c r="AV51" s="6" t="s">
        <v>24</v>
      </c>
      <c r="AW51" s="6" t="s">
        <v>25</v>
      </c>
      <c r="AX51" s="6" t="s">
        <v>26</v>
      </c>
      <c r="AY51" s="6" t="s">
        <v>27</v>
      </c>
      <c r="AZ51" s="6" t="s">
        <v>28</v>
      </c>
      <c r="BA51" s="6" t="s">
        <v>29</v>
      </c>
      <c r="BB51" s="6" t="s">
        <v>33</v>
      </c>
      <c r="BC51" s="6" t="s">
        <v>18</v>
      </c>
      <c r="BD51" s="6" t="s">
        <v>19</v>
      </c>
      <c r="BE51" s="6" t="s">
        <v>20</v>
      </c>
      <c r="BF51" s="6" t="s">
        <v>21</v>
      </c>
      <c r="BG51" s="6" t="s">
        <v>22</v>
      </c>
      <c r="BH51" s="6" t="s">
        <v>23</v>
      </c>
      <c r="BI51" s="6" t="s">
        <v>24</v>
      </c>
      <c r="BJ51" s="6" t="s">
        <v>25</v>
      </c>
      <c r="BK51" s="6" t="s">
        <v>26</v>
      </c>
      <c r="BL51" s="6" t="s">
        <v>27</v>
      </c>
      <c r="BM51" s="6" t="s">
        <v>28</v>
      </c>
      <c r="BN51" s="6" t="s">
        <v>29</v>
      </c>
      <c r="BO51" s="6" t="s">
        <v>34</v>
      </c>
      <c r="BP51" s="6" t="s">
        <v>18</v>
      </c>
      <c r="BQ51" s="6" t="s">
        <v>19</v>
      </c>
      <c r="BR51" s="6" t="s">
        <v>20</v>
      </c>
      <c r="BS51" s="6" t="s">
        <v>21</v>
      </c>
      <c r="BT51" s="6" t="s">
        <v>22</v>
      </c>
      <c r="BU51" s="6" t="s">
        <v>23</v>
      </c>
      <c r="BV51" s="6" t="s">
        <v>24</v>
      </c>
      <c r="BW51" s="6" t="s">
        <v>25</v>
      </c>
      <c r="BX51" s="6" t="s">
        <v>26</v>
      </c>
      <c r="BY51" s="6" t="s">
        <v>27</v>
      </c>
      <c r="BZ51" s="6" t="s">
        <v>28</v>
      </c>
      <c r="CA51" s="6" t="s">
        <v>29</v>
      </c>
      <c r="CB51" s="6" t="s">
        <v>35</v>
      </c>
      <c r="CC51" s="6" t="s">
        <v>18</v>
      </c>
      <c r="CD51" s="6" t="s">
        <v>19</v>
      </c>
      <c r="CE51" s="6" t="s">
        <v>20</v>
      </c>
      <c r="CF51" s="6" t="s">
        <v>21</v>
      </c>
      <c r="CG51" s="6" t="s">
        <v>22</v>
      </c>
      <c r="CH51" s="6" t="s">
        <v>23</v>
      </c>
      <c r="CI51" s="6" t="s">
        <v>24</v>
      </c>
      <c r="CJ51" s="6" t="s">
        <v>25</v>
      </c>
      <c r="CK51" s="6" t="s">
        <v>26</v>
      </c>
      <c r="CL51" s="6" t="s">
        <v>27</v>
      </c>
      <c r="CM51" s="6" t="s">
        <v>28</v>
      </c>
      <c r="CN51" s="6" t="s">
        <v>29</v>
      </c>
      <c r="CO51" s="6" t="s">
        <v>36</v>
      </c>
      <c r="CP51" s="6" t="s">
        <v>18</v>
      </c>
      <c r="CQ51" s="6" t="s">
        <v>19</v>
      </c>
      <c r="CR51" s="6" t="s">
        <v>20</v>
      </c>
      <c r="CS51" s="6" t="s">
        <v>21</v>
      </c>
      <c r="CT51" s="6" t="s">
        <v>22</v>
      </c>
      <c r="CU51" s="6" t="s">
        <v>23</v>
      </c>
      <c r="CV51" s="6" t="s">
        <v>24</v>
      </c>
      <c r="CW51" s="6" t="s">
        <v>25</v>
      </c>
      <c r="CX51" s="6" t="s">
        <v>26</v>
      </c>
      <c r="CY51" s="6" t="s">
        <v>27</v>
      </c>
      <c r="CZ51" s="6" t="s">
        <v>28</v>
      </c>
      <c r="DA51" s="6" t="s">
        <v>29</v>
      </c>
      <c r="DB51" s="6" t="s">
        <v>37</v>
      </c>
      <c r="DC51" s="6" t="s">
        <v>18</v>
      </c>
      <c r="DD51" s="6" t="s">
        <v>19</v>
      </c>
      <c r="DE51" s="6" t="s">
        <v>20</v>
      </c>
      <c r="DF51" s="6" t="s">
        <v>21</v>
      </c>
      <c r="DG51" s="6" t="s">
        <v>22</v>
      </c>
      <c r="DH51" s="6" t="s">
        <v>23</v>
      </c>
      <c r="DI51" s="6" t="s">
        <v>24</v>
      </c>
      <c r="DJ51" s="6" t="s">
        <v>25</v>
      </c>
      <c r="DK51" s="6" t="s">
        <v>26</v>
      </c>
      <c r="DL51" s="6" t="s">
        <v>27</v>
      </c>
      <c r="DM51" s="6" t="s">
        <v>28</v>
      </c>
      <c r="DN51" s="6" t="s">
        <v>29</v>
      </c>
      <c r="DO51" s="6" t="s">
        <v>38</v>
      </c>
      <c r="DP51" s="6" t="s">
        <v>18</v>
      </c>
      <c r="DQ51" s="6" t="s">
        <v>19</v>
      </c>
      <c r="DR51" s="6" t="s">
        <v>20</v>
      </c>
      <c r="DS51" s="6" t="s">
        <v>21</v>
      </c>
      <c r="DT51" s="6" t="s">
        <v>22</v>
      </c>
      <c r="DU51" s="6" t="s">
        <v>23</v>
      </c>
      <c r="DV51" s="6" t="s">
        <v>24</v>
      </c>
      <c r="DW51" s="6" t="s">
        <v>25</v>
      </c>
      <c r="DX51" s="6" t="s">
        <v>26</v>
      </c>
      <c r="DY51" s="6" t="s">
        <v>27</v>
      </c>
      <c r="DZ51" s="6" t="s">
        <v>28</v>
      </c>
      <c r="EA51" s="6" t="s">
        <v>29</v>
      </c>
      <c r="EB51" s="6" t="s">
        <v>39</v>
      </c>
      <c r="EC51" s="6" t="s">
        <v>18</v>
      </c>
      <c r="ED51" s="6" t="s">
        <v>19</v>
      </c>
      <c r="EE51" s="6" t="s">
        <v>20</v>
      </c>
      <c r="EF51" s="6" t="s">
        <v>21</v>
      </c>
      <c r="EG51" s="6" t="s">
        <v>22</v>
      </c>
      <c r="EH51" s="6" t="s">
        <v>23</v>
      </c>
      <c r="EI51" s="6" t="s">
        <v>24</v>
      </c>
      <c r="EJ51" s="6" t="s">
        <v>25</v>
      </c>
      <c r="EK51" s="6" t="s">
        <v>26</v>
      </c>
      <c r="EL51" s="6" t="s">
        <v>27</v>
      </c>
      <c r="EM51" s="6" t="s">
        <v>28</v>
      </c>
      <c r="EN51" s="6" t="s">
        <v>29</v>
      </c>
      <c r="EO51" s="6" t="s">
        <v>40</v>
      </c>
      <c r="EP51" s="6" t="s">
        <v>18</v>
      </c>
      <c r="EQ51" s="6" t="s">
        <v>19</v>
      </c>
      <c r="ER51" s="6" t="s">
        <v>20</v>
      </c>
      <c r="ES51" s="6" t="s">
        <v>21</v>
      </c>
      <c r="ET51" s="6" t="s">
        <v>22</v>
      </c>
      <c r="EU51" s="6" t="s">
        <v>23</v>
      </c>
      <c r="EV51" s="6" t="s">
        <v>24</v>
      </c>
      <c r="EW51" s="6" t="s">
        <v>25</v>
      </c>
      <c r="EX51" s="6" t="s">
        <v>26</v>
      </c>
      <c r="EY51" s="6" t="s">
        <v>27</v>
      </c>
      <c r="EZ51" s="6" t="s">
        <v>28</v>
      </c>
      <c r="FA51" s="6" t="s">
        <v>29</v>
      </c>
      <c r="FB51" s="6" t="s">
        <v>41</v>
      </c>
      <c r="FC51" s="6" t="s">
        <v>18</v>
      </c>
      <c r="FD51" s="6" t="s">
        <v>19</v>
      </c>
      <c r="FE51" s="6" t="s">
        <v>20</v>
      </c>
      <c r="FF51" s="6" t="s">
        <v>21</v>
      </c>
      <c r="FG51" s="6" t="s">
        <v>22</v>
      </c>
      <c r="FH51" s="6" t="s">
        <v>23</v>
      </c>
      <c r="FI51" s="6" t="s">
        <v>24</v>
      </c>
      <c r="FJ51" s="6" t="s">
        <v>25</v>
      </c>
      <c r="FK51" s="6" t="s">
        <v>26</v>
      </c>
      <c r="FL51" s="6" t="s">
        <v>27</v>
      </c>
      <c r="FM51" s="6" t="s">
        <v>28</v>
      </c>
      <c r="FN51" s="6" t="s">
        <v>29</v>
      </c>
      <c r="FO51" s="6" t="s">
        <v>42</v>
      </c>
    </row>
    <row r="52" spans="2:171" ht="14.25" customHeight="1" x14ac:dyDescent="0.3">
      <c r="B52" s="7" t="s">
        <v>43</v>
      </c>
      <c r="C52" s="8">
        <f>+MINVU_Mes_Corriente!C52*MINVU_Mes_Constante!$C$1</f>
        <v>0</v>
      </c>
      <c r="D52" s="8">
        <f>+MINVU_Mes_Corriente!D52*MINVU_Mes_Constante!$C$1</f>
        <v>0</v>
      </c>
      <c r="E52" s="8">
        <f>+MINVU_Mes_Corriente!E52*MINVU_Mes_Constante!$C$1</f>
        <v>8564386.3378318269</v>
      </c>
      <c r="F52" s="8">
        <f>+MINVU_Mes_Corriente!F52*MINVU_Mes_Constante!$C$1</f>
        <v>12352958.608927779</v>
      </c>
      <c r="G52" s="8">
        <f>+MINVU_Mes_Corriente!G52*MINVU_Mes_Constante!$C$1</f>
        <v>15110063.332641261</v>
      </c>
      <c r="H52" s="8">
        <f>+MINVU_Mes_Corriente!H52*MINVU_Mes_Constante!$C$1</f>
        <v>19531060.288892187</v>
      </c>
      <c r="I52" s="8">
        <f>+MINVU_Mes_Corriente!I52*MINVU_Mes_Constante!$C$1</f>
        <v>22266729.44179149</v>
      </c>
      <c r="J52" s="8">
        <f>+MINVU_Mes_Corriente!J52*MINVU_Mes_Constante!$C$1</f>
        <v>25192936.821889371</v>
      </c>
      <c r="K52" s="8">
        <f>+MINVU_Mes_Corriente!K52*MINVU_Mes_Constante!$C$1</f>
        <v>28587627.036037378</v>
      </c>
      <c r="L52" s="8">
        <f>+MINVU_Mes_Corriente!L52*MINVU_Mes_Constante!$C$1</f>
        <v>32548604.230757829</v>
      </c>
      <c r="M52" s="8">
        <f>+MINVU_Mes_Corriente!M52*MINVU_Mes_Constante!$C$1</f>
        <v>35441093.809580311</v>
      </c>
      <c r="N52" s="8">
        <f>+MINVU_Mes_Corriente!N52*MINVU_Mes_Constante!$C$1</f>
        <v>40465917.9463147</v>
      </c>
      <c r="O52" s="9">
        <f t="shared" ref="O52:O69" si="38">N52</f>
        <v>40465917.9463147</v>
      </c>
      <c r="P52" s="8">
        <f>+MINVU_Mes_Corriente!P52*MINVU_Mes_Constante!$P$1</f>
        <v>0</v>
      </c>
      <c r="Q52" s="8">
        <f>+MINVU_Mes_Corriente!Q52*MINVU_Mes_Constante!$P$1</f>
        <v>2728907.810768574</v>
      </c>
      <c r="R52" s="8">
        <f>+MINVU_Mes_Corriente!R52*MINVU_Mes_Constante!$P$1</f>
        <v>7189309.5522091184</v>
      </c>
      <c r="S52" s="8">
        <f>+MINVU_Mes_Corriente!S52*MINVU_Mes_Constante!$P$1</f>
        <v>14341367.637732627</v>
      </c>
      <c r="T52" s="8">
        <f>+MINVU_Mes_Corriente!T52*MINVU_Mes_Constante!$P$1</f>
        <v>19954486.43841454</v>
      </c>
      <c r="U52" s="8">
        <f>+MINVU_Mes_Corriente!U52*MINVU_Mes_Constante!$P$1</f>
        <v>21117809.742577061</v>
      </c>
      <c r="V52" s="8">
        <f>+MINVU_Mes_Corriente!V52*MINVU_Mes_Constante!$P$1</f>
        <v>22812413.871288527</v>
      </c>
      <c r="W52" s="8">
        <f>+MINVU_Mes_Corriente!W52*MINVU_Mes_Constante!$P$1</f>
        <v>27425497.110669117</v>
      </c>
      <c r="X52" s="8">
        <f>+MINVU_Mes_Corriente!X52*MINVU_Mes_Constante!$P$1</f>
        <v>27589236.54638442</v>
      </c>
      <c r="Y52" s="8">
        <f>+MINVU_Mes_Corriente!Y52*MINVU_Mes_Constante!$P$1</f>
        <v>33511164.24719419</v>
      </c>
      <c r="Z52" s="8">
        <f>+MINVU_Mes_Corriente!Z52*MINVU_Mes_Constante!$P$1</f>
        <v>41158173.702798679</v>
      </c>
      <c r="AA52" s="8">
        <f>+MINVU_Mes_Corriente!AA52*MINVU_Mes_Constante!$P$1</f>
        <v>41935209.588577904</v>
      </c>
      <c r="AB52" s="9">
        <f t="shared" ref="AB52:AB69" si="39">AA52</f>
        <v>41935209.588577904</v>
      </c>
      <c r="AC52" s="8">
        <f>+MINVU_Mes_Corriente!AC52*MINVU_Mes_Constante!$AC$1</f>
        <v>0</v>
      </c>
      <c r="AD52" s="8">
        <f>+MINVU_Mes_Corriente!AD52*MINVU_Mes_Constante!$AC$1</f>
        <v>2816720.9863051595</v>
      </c>
      <c r="AE52" s="8">
        <f>+MINVU_Mes_Corriente!AE52*MINVU_Mes_Constante!$AC$1</f>
        <v>10284494.623599391</v>
      </c>
      <c r="AF52" s="8">
        <f>+MINVU_Mes_Corriente!AF52*MINVU_Mes_Constante!$AC$1</f>
        <v>11615314.372388989</v>
      </c>
      <c r="AG52" s="8">
        <f>+MINVU_Mes_Corriente!AG52*MINVU_Mes_Constante!$AC$1</f>
        <v>14504294.472541153</v>
      </c>
      <c r="AH52" s="8">
        <f>+MINVU_Mes_Corriente!AH52*MINVU_Mes_Constante!$AC$1</f>
        <v>23835955.443353161</v>
      </c>
      <c r="AI52" s="8">
        <f>+MINVU_Mes_Corriente!AI52*MINVU_Mes_Constante!$AC$1</f>
        <v>25184556.958638817</v>
      </c>
      <c r="AJ52" s="8">
        <f>+MINVU_Mes_Corriente!AJ52*MINVU_Mes_Constante!$AC$1</f>
        <v>29979825.554848526</v>
      </c>
      <c r="AK52" s="8">
        <f>+MINVU_Mes_Corriente!AK52*MINVU_Mes_Constante!$AC$1</f>
        <v>34732694.499930836</v>
      </c>
      <c r="AL52" s="8">
        <f>+MINVU_Mes_Corriente!AL52*MINVU_Mes_Constante!$AC$1</f>
        <v>34868742.772720985</v>
      </c>
      <c r="AM52" s="8">
        <f>+MINVU_Mes_Corriente!AM52*MINVU_Mes_Constante!$AC$1</f>
        <v>36243583.918107621</v>
      </c>
      <c r="AN52" s="8">
        <f>+MINVU_Mes_Corriente!AN52*MINVU_Mes_Constante!$AC$1</f>
        <v>41918878.410568543</v>
      </c>
      <c r="AO52" s="9">
        <f t="shared" ref="AO52:AO69" si="40">AN52</f>
        <v>41918878.410568543</v>
      </c>
      <c r="AP52" s="8">
        <f>+MINVU_Mes_Corriente!AP52*MINVU_Mes_Constante!$AP$1</f>
        <v>0</v>
      </c>
      <c r="AQ52" s="8">
        <f>+MINVU_Mes_Corriente!AQ52*MINVU_Mes_Constante!$AP$1</f>
        <v>4637610.3822534829</v>
      </c>
      <c r="AR52" s="8">
        <f>+MINVU_Mes_Corriente!AR52*MINVU_Mes_Constante!$AP$1</f>
        <v>8804205.6780738533</v>
      </c>
      <c r="AS52" s="8">
        <f>+MINVU_Mes_Corriente!AS52*MINVU_Mes_Constante!$AP$1</f>
        <v>14176395.587988637</v>
      </c>
      <c r="AT52" s="8">
        <f>+MINVU_Mes_Corriente!AT52*MINVU_Mes_Constante!$AP$1</f>
        <v>18482188.389828216</v>
      </c>
      <c r="AU52" s="8">
        <f>+MINVU_Mes_Corriente!AU52*MINVU_Mes_Constante!$AP$1</f>
        <v>23445237.803056944</v>
      </c>
      <c r="AV52" s="8">
        <f>+MINVU_Mes_Corriente!AV52*MINVU_Mes_Constante!$AP$1</f>
        <v>24673296.261328284</v>
      </c>
      <c r="AW52" s="8">
        <f>+MINVU_Mes_Corriente!AW52*MINVU_Mes_Constante!$AP$1</f>
        <v>28432657.531448666</v>
      </c>
      <c r="AX52" s="8">
        <f>+MINVU_Mes_Corriente!AX52*MINVU_Mes_Constante!$AP$1</f>
        <v>31498088.486676585</v>
      </c>
      <c r="AY52" s="8">
        <f>+MINVU_Mes_Corriente!AY52*MINVU_Mes_Constante!$AP$1</f>
        <v>35799098.854321651</v>
      </c>
      <c r="AZ52" s="8">
        <f>+MINVU_Mes_Corriente!AZ52*MINVU_Mes_Constante!$AP$1</f>
        <v>37658279.014743671</v>
      </c>
      <c r="BA52" s="8">
        <f>+MINVU_Mes_Corriente!BA52*MINVU_Mes_Constante!$AP$1</f>
        <v>43002236.897335313</v>
      </c>
      <c r="BB52" s="9">
        <f t="shared" ref="BB52:BB69" si="41">BA52</f>
        <v>43002236.897335313</v>
      </c>
      <c r="BC52" s="8">
        <f>+MINVU_Mes_Corriente!BC52*MINVU_Mes_Constante!$BC$1</f>
        <v>0</v>
      </c>
      <c r="BD52" s="8">
        <f>+MINVU_Mes_Corriente!BD52*MINVU_Mes_Constante!$BC$1</f>
        <v>0</v>
      </c>
      <c r="BE52" s="8">
        <f>+MINVU_Mes_Corriente!BE52*MINVU_Mes_Constante!$BC$1</f>
        <v>7078097.0829487024</v>
      </c>
      <c r="BF52" s="8">
        <f>+MINVU_Mes_Corriente!BF52*MINVU_Mes_Constante!$BC$1</f>
        <v>13752341.368587634</v>
      </c>
      <c r="BG52" s="8">
        <f>+MINVU_Mes_Corriente!BG52*MINVU_Mes_Constante!$BC$1</f>
        <v>16768571.516550181</v>
      </c>
      <c r="BH52" s="8">
        <f>+MINVU_Mes_Corriente!BH52*MINVU_Mes_Constante!$BC$1</f>
        <v>24774727.333245423</v>
      </c>
      <c r="BI52" s="8">
        <f>+MINVU_Mes_Corriente!BI52*MINVU_Mes_Constante!$BC$1</f>
        <v>24929689.798496645</v>
      </c>
      <c r="BJ52" s="8">
        <f>+MINVU_Mes_Corriente!BJ52*MINVU_Mes_Constante!$BC$1</f>
        <v>29823686.253461696</v>
      </c>
      <c r="BK52" s="8">
        <f>+MINVU_Mes_Corriente!BK52*MINVU_Mes_Constante!$BC$1</f>
        <v>34744201.636291713</v>
      </c>
      <c r="BL52" s="8">
        <f>+MINVU_Mes_Corriente!BL52*MINVU_Mes_Constante!$BC$1</f>
        <v>37869119.765000671</v>
      </c>
      <c r="BM52" s="8">
        <f>+MINVU_Mes_Corriente!BM52*MINVU_Mes_Constante!$BC$1</f>
        <v>39131544.644863524</v>
      </c>
      <c r="BN52" s="8">
        <f>+MINVU_Mes_Corriente!BN52*MINVU_Mes_Constante!$BC$1</f>
        <v>43734658.502967171</v>
      </c>
      <c r="BO52" s="9">
        <f t="shared" ref="BO52:BO69" si="42">BN52</f>
        <v>43734658.502967171</v>
      </c>
      <c r="BP52" s="8">
        <f>+MINVU_Mes_Corriente!BP52*MINVU_Mes_Constante!$BP$1</f>
        <v>0</v>
      </c>
      <c r="BQ52" s="8">
        <f>+MINVU_Mes_Corriente!BQ52*MINVU_Mes_Constante!$BP$1</f>
        <v>0</v>
      </c>
      <c r="BR52" s="8">
        <f>+MINVU_Mes_Corriente!BR52*MINVU_Mes_Constante!$BP$1</f>
        <v>6601.7661971830994</v>
      </c>
      <c r="BS52" s="8">
        <f>+MINVU_Mes_Corriente!BS52*MINVU_Mes_Constante!$BP$1</f>
        <v>16816443.026888605</v>
      </c>
      <c r="BT52" s="8">
        <f>+MINVU_Mes_Corriente!BT52*MINVU_Mes_Constante!$BP$1</f>
        <v>19884980.048911653</v>
      </c>
      <c r="BU52" s="8">
        <f>+MINVU_Mes_Corriente!BU52*MINVU_Mes_Constante!$BP$1</f>
        <v>26103713.701920617</v>
      </c>
      <c r="BV52" s="8">
        <f>+MINVU_Mes_Corriente!BV52*MINVU_Mes_Constante!$BP$1</f>
        <v>31167490.812291935</v>
      </c>
      <c r="BW52" s="8">
        <f>+MINVU_Mes_Corriente!BW52*MINVU_Mes_Constante!$BP$1</f>
        <v>34485868.101664536</v>
      </c>
      <c r="BX52" s="8">
        <f>+MINVU_Mes_Corriente!BX52*MINVU_Mes_Constante!$BP$1</f>
        <v>36501452.094238162</v>
      </c>
      <c r="BY52" s="8">
        <f>+MINVU_Mes_Corriente!BY52*MINVU_Mes_Constante!$BP$1</f>
        <v>41140809.364148535</v>
      </c>
      <c r="BZ52" s="8">
        <f>+MINVU_Mes_Corriente!BZ52*MINVU_Mes_Constante!$BP$1</f>
        <v>41553351.901152372</v>
      </c>
      <c r="CA52" s="8">
        <f>+MINVU_Mes_Corriente!CA52*MINVU_Mes_Constante!$BP$1</f>
        <v>51147853.02253522</v>
      </c>
      <c r="CB52" s="9">
        <f t="shared" ref="CB52:CB69" si="43">CA52</f>
        <v>51147853.02253522</v>
      </c>
      <c r="CC52" s="8">
        <f>+MINVU_Mes_Corriente!CC52*MINVU_Mes_Constante!$CC$1</f>
        <v>0</v>
      </c>
      <c r="CD52" s="8">
        <f>+MINVU_Mes_Corriente!CD52*MINVU_Mes_Constante!$CC$1</f>
        <v>0</v>
      </c>
      <c r="CE52" s="8">
        <f>+MINVU_Mes_Corriente!CE52*MINVU_Mes_Constante!$CC$1</f>
        <v>14078282.090264827</v>
      </c>
      <c r="CF52" s="8">
        <f>+MINVU_Mes_Corriente!CF52*MINVU_Mes_Constante!$CC$1</f>
        <v>14078282.090264827</v>
      </c>
      <c r="CG52" s="8">
        <f>+MINVU_Mes_Corriente!CG52*MINVU_Mes_Constante!$CC$1</f>
        <v>19193910.548302874</v>
      </c>
      <c r="CH52" s="8">
        <f>+MINVU_Mes_Corriente!CH52*MINVU_Mes_Constante!$CC$1</f>
        <v>22726338.105184633</v>
      </c>
      <c r="CI52" s="8">
        <f>+MINVU_Mes_Corriente!CI52*MINVU_Mes_Constante!$CC$1</f>
        <v>26602852.475941814</v>
      </c>
      <c r="CJ52" s="8">
        <f>+MINVU_Mes_Corriente!CJ52*MINVU_Mes_Constante!$CC$1</f>
        <v>29825248.160387918</v>
      </c>
      <c r="CK52" s="8">
        <f>+MINVU_Mes_Corriente!CK52*MINVU_Mes_Constante!$CC$1</f>
        <v>35289261.562849686</v>
      </c>
      <c r="CL52" s="8">
        <f>+MINVU_Mes_Corriente!CL52*MINVU_Mes_Constante!$CC$1</f>
        <v>38592253.987318166</v>
      </c>
      <c r="CM52" s="8">
        <f>+MINVU_Mes_Corriente!CM52*MINVU_Mes_Constante!$CC$1</f>
        <v>41956195.913465127</v>
      </c>
      <c r="CN52" s="8">
        <f>+MINVU_Mes_Corriente!CN52*MINVU_Mes_Constante!$CC$1</f>
        <v>47567697.410667665</v>
      </c>
      <c r="CO52" s="9">
        <f t="shared" ref="CO52:CO69" si="44">CN52</f>
        <v>47567697.410667665</v>
      </c>
      <c r="CP52" s="8">
        <f>+MINVU_Mes_Corriente!CP52*MINVU_Mes_Constante!$CP$1</f>
        <v>0</v>
      </c>
      <c r="CQ52" s="8">
        <f>+MINVU_Mes_Corriente!CQ52*MINVU_Mes_Constante!$CP$1</f>
        <v>0</v>
      </c>
      <c r="CR52" s="8">
        <f>+MINVU_Mes_Corriente!CR52*MINVU_Mes_Constante!$CP$1</f>
        <v>10133013.228306262</v>
      </c>
      <c r="CS52" s="8">
        <f>+MINVU_Mes_Corriente!CS52*MINVU_Mes_Constante!$CP$1</f>
        <v>13373824.535498837</v>
      </c>
      <c r="CT52" s="8">
        <f>+MINVU_Mes_Corriente!CT52*MINVU_Mes_Constante!$CP$1</f>
        <v>15379390.701856146</v>
      </c>
      <c r="CU52" s="8">
        <f>+MINVU_Mes_Corriente!CU52*MINVU_Mes_Constante!$CP$1</f>
        <v>17619551.523897909</v>
      </c>
      <c r="CV52" s="8">
        <f>+MINVU_Mes_Corriente!CV52*MINVU_Mes_Constante!$CP$1</f>
        <v>19684099.077494197</v>
      </c>
      <c r="CW52" s="8">
        <f>+MINVU_Mes_Corriente!CW52*MINVU_Mes_Constante!$CP$1</f>
        <v>23629930.181206491</v>
      </c>
      <c r="CX52" s="8">
        <f>+MINVU_Mes_Corriente!CX52*MINVU_Mes_Constante!$CP$1</f>
        <v>25684821.787238974</v>
      </c>
      <c r="CY52" s="8">
        <f>+MINVU_Mes_Corriente!CY52*MINVU_Mes_Constante!$CP$1</f>
        <v>27725243.414617162</v>
      </c>
      <c r="CZ52" s="8">
        <f>+MINVU_Mes_Corriente!CZ52*MINVU_Mes_Constante!$CP$1</f>
        <v>28044958.201392107</v>
      </c>
      <c r="DA52" s="8">
        <f>+MINVU_Mes_Corriente!DA52*MINVU_Mes_Constante!$CP$1</f>
        <v>33583767.149651967</v>
      </c>
      <c r="DB52" s="9">
        <f t="shared" ref="DB52:DB69" si="45">DA52</f>
        <v>33583767.149651967</v>
      </c>
      <c r="DC52" s="8">
        <f>+MINVU_Mes_Corriente!DC52*MINVU_Mes_Constante!$DC$1</f>
        <v>0</v>
      </c>
      <c r="DD52" s="8">
        <f>+MINVU_Mes_Corriente!DD52*MINVU_Mes_Constante!$DC$1</f>
        <v>3344300.1250900128</v>
      </c>
      <c r="DE52" s="8">
        <f>+MINVU_Mes_Corriente!DE52*MINVU_Mes_Constante!$DC$1</f>
        <v>6784223.2624215651</v>
      </c>
      <c r="DF52" s="8">
        <f>+MINVU_Mes_Corriente!DF52*MINVU_Mes_Constante!$DC$1</f>
        <v>8614392.8900318947</v>
      </c>
      <c r="DG52" s="8">
        <f>+MINVU_Mes_Corriente!DG52*MINVU_Mes_Constante!$DC$1</f>
        <v>8718345.5582759008</v>
      </c>
      <c r="DH52" s="8">
        <f>+MINVU_Mes_Corriente!DH52*MINVU_Mes_Constante!$DC$1</f>
        <v>11390696.121386694</v>
      </c>
      <c r="DI52" s="8">
        <f>+MINVU_Mes_Corriente!DI52*MINVU_Mes_Constante!$DC$1</f>
        <v>11438405.909268599</v>
      </c>
      <c r="DJ52" s="8">
        <f>+MINVU_Mes_Corriente!DJ52*MINVU_Mes_Constante!$DC$1</f>
        <v>11533245.522477116</v>
      </c>
      <c r="DK52" s="8">
        <f>+MINVU_Mes_Corriente!DK52*MINVU_Mes_Constante!$DC$1</f>
        <v>11650282.190926865</v>
      </c>
      <c r="DL52" s="8">
        <f>+MINVU_Mes_Corriente!DL52*MINVU_Mes_Constante!$DC$1</f>
        <v>11735483.860508183</v>
      </c>
      <c r="DM52" s="8">
        <f>+MINVU_Mes_Corriente!DM52*MINVU_Mes_Constante!$DC$1</f>
        <v>11978496.038884895</v>
      </c>
      <c r="DN52" s="8">
        <f>+MINVU_Mes_Corriente!DN52*MINVU_Mes_Constante!$DC$1</f>
        <v>12773537.03343278</v>
      </c>
      <c r="DO52" s="9">
        <f t="shared" ref="DO52:DO69" si="46">DN52</f>
        <v>12773537.03343278</v>
      </c>
      <c r="DP52" s="8">
        <f>+MINVU_Mes_Corriente!DP52*MINVU_Mes_Constante!$DP$1</f>
        <v>0</v>
      </c>
      <c r="DQ52" s="8">
        <f>+MINVU_Mes_Corriente!DQ52*MINVU_Mes_Constante!$DP$1</f>
        <v>0</v>
      </c>
      <c r="DR52" s="8">
        <f>+MINVU_Mes_Corriente!DR52*MINVU_Mes_Constante!$DP$1</f>
        <v>123527.38361045132</v>
      </c>
      <c r="DS52" s="8">
        <f>+MINVU_Mes_Corriente!DS52*MINVU_Mes_Constante!$DP$1</f>
        <v>159725.70605700713</v>
      </c>
      <c r="DT52" s="8">
        <f>+MINVU_Mes_Corriente!DT52*MINVU_Mes_Constante!$DP$1</f>
        <v>171985.01543942993</v>
      </c>
      <c r="DU52" s="8">
        <f>+MINVU_Mes_Corriente!DU52*MINVU_Mes_Constante!$DP$1</f>
        <v>319720.66923990502</v>
      </c>
      <c r="DV52" s="8">
        <f>+MINVU_Mes_Corriente!DV52*MINVU_Mes_Constante!$DP$1</f>
        <v>421704.2387173397</v>
      </c>
      <c r="DW52" s="8">
        <f>+MINVU_Mes_Corriente!DW52*MINVU_Mes_Constante!$DP$1</f>
        <v>1685297.6526128268</v>
      </c>
      <c r="DX52" s="8">
        <f>+MINVU_Mes_Corriente!DX52*MINVU_Mes_Constante!$DP$1</f>
        <v>1763155.1347981</v>
      </c>
      <c r="DY52" s="8">
        <f>+MINVU_Mes_Corriente!DY52*MINVU_Mes_Constante!$DP$1</f>
        <v>1903587.3242280288</v>
      </c>
      <c r="DZ52" s="8">
        <f>+MINVU_Mes_Corriente!DZ52*MINVU_Mes_Constante!$DP$1</f>
        <v>1984877.0237529692</v>
      </c>
      <c r="EA52" s="8">
        <f>+MINVU_Mes_Corriente!EA52*MINVU_Mes_Constante!$DP$1</f>
        <v>2411542.5142517816</v>
      </c>
      <c r="EB52" s="9">
        <f t="shared" ref="EB52:EB69" si="47">EA52</f>
        <v>2411542.5142517816</v>
      </c>
      <c r="EC52" s="8">
        <f>+MINVU_Mes_Corriente!EC52*MINVU_Mes_Constante!$EC$1</f>
        <v>0</v>
      </c>
      <c r="ED52" s="8">
        <f>+MINVU_Mes_Corriente!ED52*MINVU_Mes_Constante!$EC$1</f>
        <v>0</v>
      </c>
      <c r="EE52" s="8">
        <f>+MINVU_Mes_Corriente!EE52*MINVU_Mes_Constante!$EC$1</f>
        <v>33516.606703275887</v>
      </c>
      <c r="EF52" s="8">
        <f>+MINVU_Mes_Corriente!EF52*MINVU_Mes_Constante!$EC$1</f>
        <v>130110.63965158109</v>
      </c>
      <c r="EG52" s="8">
        <f>+MINVU_Mes_Corriente!EG52*MINVU_Mes_Constante!$EC$1</f>
        <v>167609.92955879564</v>
      </c>
      <c r="EH52" s="8">
        <f>+MINVU_Mes_Corriente!EH52*MINVU_Mes_Constante!$EC$1</f>
        <v>249210.45332323416</v>
      </c>
      <c r="EI52" s="8">
        <f>+MINVU_Mes_Corriente!EI52*MINVU_Mes_Constante!$EC$1</f>
        <v>395496.99356182531</v>
      </c>
      <c r="EJ52" s="8">
        <f>+MINVU_Mes_Corriente!EJ52*MINVU_Mes_Constante!$EC$1</f>
        <v>434554.18500284024</v>
      </c>
      <c r="EK52" s="8">
        <f>+MINVU_Mes_Corriente!EK52*MINVU_Mes_Constante!$EC$1</f>
        <v>604434.76121946587</v>
      </c>
      <c r="EL52" s="8">
        <f>+MINVU_Mes_Corriente!EL52*MINVU_Mes_Constante!$EC$1</f>
        <v>614466.98504071182</v>
      </c>
      <c r="EM52" s="8">
        <f>+MINVU_Mes_Corriente!EM52*MINVU_Mes_Constante!$EC$1</f>
        <v>875609.97102821409</v>
      </c>
      <c r="EN52" s="8">
        <f>+MINVU_Mes_Corriente!EN52*MINVU_Mes_Constante!$EC$1</f>
        <v>1825885.4247301642</v>
      </c>
      <c r="EO52" s="9">
        <f t="shared" ref="EO52:EO69" si="48">EN52</f>
        <v>1825885.4247301642</v>
      </c>
      <c r="EP52" s="8">
        <f>+MINVU_Mes_Corriente!EP52*MINVU_Mes_Constante!$EP$1</f>
        <v>0</v>
      </c>
      <c r="EQ52" s="8">
        <f>+MINVU_Mes_Corriente!EQ52*MINVU_Mes_Constante!$EP$1</f>
        <v>61271</v>
      </c>
      <c r="ER52" s="8">
        <f>+MINVU_Mes_Corriente!ER52*MINVU_Mes_Constante!$EP$1</f>
        <v>185603</v>
      </c>
      <c r="ES52" s="8">
        <f>+MINVU_Mes_Corriente!ES52*MINVU_Mes_Constante!$EP$1</f>
        <v>372200</v>
      </c>
      <c r="ET52" s="8">
        <f>+MINVU_Mes_Corriente!ET52*MINVU_Mes_Constante!$EP$1</f>
        <v>416377</v>
      </c>
      <c r="EU52" s="8">
        <f>+MINVU_Mes_Corriente!EU52*MINVU_Mes_Constante!$EP$1</f>
        <v>504460</v>
      </c>
      <c r="EV52" s="8">
        <f>+MINVU_Mes_Corriente!EV52*MINVU_Mes_Constante!$EP$1</f>
        <v>639487</v>
      </c>
      <c r="EW52" s="8">
        <f>+MINVU_Mes_Corriente!EW52*MINVU_Mes_Constante!$EP$1</f>
        <v>752002</v>
      </c>
      <c r="EX52" s="8">
        <f>+MINVU_Mes_Corriente!EX52*MINVU_Mes_Constante!$EP$1</f>
        <v>889001</v>
      </c>
      <c r="EY52" s="8">
        <f>+MINVU_Mes_Corriente!EY52*MINVU_Mes_Constante!$EP$1</f>
        <v>1218727</v>
      </c>
      <c r="EZ52" s="8">
        <f>+MINVU_Mes_Corriente!EZ52*MINVU_Mes_Constante!$EP$1</f>
        <v>1379310</v>
      </c>
      <c r="FA52" s="8">
        <f>+MINVU_Mes_Corriente!FA52*MINVU_Mes_Constante!$EP$1</f>
        <v>1735258</v>
      </c>
      <c r="FB52" s="9">
        <f t="shared" ref="FB52:FB69" si="49">FA52</f>
        <v>1735258</v>
      </c>
      <c r="FC52" s="8">
        <f>+MINVU_Mes_Corriente!FC52*MINVU_Mes_Constante!$FC$1</f>
        <v>0</v>
      </c>
      <c r="FD52" s="8">
        <f>+MINVU_Mes_Corriente!FD52*MINVU_Mes_Constante!$FC$1</f>
        <v>0</v>
      </c>
      <c r="FE52" s="8">
        <f>+MINVU_Mes_Corriente!FE52*MINVU_Mes_Constante!$FC$1</f>
        <v>50564</v>
      </c>
      <c r="FF52" s="8">
        <f>+MINVU_Mes_Corriente!FF52*MINVU_Mes_Constante!$FC$1</f>
        <v>218816</v>
      </c>
      <c r="FG52" s="8">
        <f>+MINVU_Mes_Corriente!FG52*MINVU_Mes_Constante!$FC$1</f>
        <v>272078</v>
      </c>
      <c r="FH52" s="8">
        <f>+MINVU_Mes_Corriente!FH52*MINVU_Mes_Constante!$FC$1</f>
        <v>533936</v>
      </c>
      <c r="FI52" s="8">
        <f>+MINVU_Mes_Corriente!FI52*MINVU_Mes_Constante!$FC$1</f>
        <v>570336</v>
      </c>
      <c r="FJ52" s="8"/>
      <c r="FK52" s="8"/>
      <c r="FL52" s="8"/>
      <c r="FM52" s="8"/>
      <c r="FN52" s="8"/>
      <c r="FO52" s="9">
        <f t="shared" ref="FO52:FO69" si="50">FI52</f>
        <v>570336</v>
      </c>
    </row>
    <row r="53" spans="2:171" ht="14.25" customHeight="1" x14ac:dyDescent="0.3">
      <c r="B53" s="7" t="s">
        <v>44</v>
      </c>
      <c r="C53" s="8">
        <f>+MINVU_Mes_Corriente!C53*MINVU_Mes_Constante!$C$1</f>
        <v>0</v>
      </c>
      <c r="D53" s="8">
        <f>+MINVU_Mes_Corriente!D53*MINVU_Mes_Constante!$C$1</f>
        <v>0</v>
      </c>
      <c r="E53" s="8">
        <f>+MINVU_Mes_Corriente!E53*MINVU_Mes_Constante!$C$1</f>
        <v>0</v>
      </c>
      <c r="F53" s="8">
        <f>+MINVU_Mes_Corriente!F53*MINVU_Mes_Constante!$C$1</f>
        <v>415934.97997923777</v>
      </c>
      <c r="G53" s="8">
        <f>+MINVU_Mes_Corriente!G53*MINVU_Mes_Constante!$C$1</f>
        <v>2043183.0645113455</v>
      </c>
      <c r="H53" s="8">
        <f>+MINVU_Mes_Corriente!H53*MINVU_Mes_Constante!$C$1</f>
        <v>4242168.9770131996</v>
      </c>
      <c r="I53" s="8">
        <f>+MINVU_Mes_Corriente!I53*MINVU_Mes_Constante!$C$1</f>
        <v>6458781.0244698217</v>
      </c>
      <c r="J53" s="8">
        <f>+MINVU_Mes_Corriente!J53*MINVU_Mes_Constante!$C$1</f>
        <v>7336732.0335162403</v>
      </c>
      <c r="K53" s="8">
        <f>+MINVU_Mes_Corriente!K53*MINVU_Mes_Constante!$C$1</f>
        <v>8809342.2995699253</v>
      </c>
      <c r="L53" s="8">
        <f>+MINVU_Mes_Corriente!L53*MINVU_Mes_Constante!$C$1</f>
        <v>11304320.244105</v>
      </c>
      <c r="M53" s="8">
        <f>+MINVU_Mes_Corriente!M53*MINVU_Mes_Constante!$C$1</f>
        <v>13002944.615156461</v>
      </c>
      <c r="N53" s="8">
        <f>+MINVU_Mes_Corriente!N53*MINVU_Mes_Constante!$C$1</f>
        <v>18744814.44016017</v>
      </c>
      <c r="O53" s="9">
        <f t="shared" si="38"/>
        <v>18744814.44016017</v>
      </c>
      <c r="P53" s="8">
        <f>+MINVU_Mes_Corriente!P53*MINVU_Mes_Constante!$P$1</f>
        <v>0</v>
      </c>
      <c r="Q53" s="8">
        <f>+MINVU_Mes_Corriente!Q53*MINVU_Mes_Constante!$P$1</f>
        <v>500998.77681488829</v>
      </c>
      <c r="R53" s="8">
        <f>+MINVU_Mes_Corriente!R53*MINVU_Mes_Constante!$P$1</f>
        <v>2140218.5318937339</v>
      </c>
      <c r="S53" s="8">
        <f>+MINVU_Mes_Corriente!S53*MINVU_Mes_Constante!$P$1</f>
        <v>3380522.0951839737</v>
      </c>
      <c r="T53" s="8">
        <f>+MINVU_Mes_Corriente!T53*MINVU_Mes_Constante!$P$1</f>
        <v>4733092.2875408418</v>
      </c>
      <c r="U53" s="8">
        <f>+MINVU_Mes_Corriente!U53*MINVU_Mes_Constante!$P$1</f>
        <v>6104737.5777809322</v>
      </c>
      <c r="V53" s="8">
        <f>+MINVU_Mes_Corriente!V53*MINVU_Mes_Constante!$P$1</f>
        <v>7511635.0893592816</v>
      </c>
      <c r="W53" s="8">
        <f>+MINVU_Mes_Corriente!W53*MINVU_Mes_Constante!$P$1</f>
        <v>8929368.5728086345</v>
      </c>
      <c r="X53" s="8">
        <f>+MINVU_Mes_Corriente!X53*MINVU_Mes_Constante!$P$1</f>
        <v>10447947.53061514</v>
      </c>
      <c r="Y53" s="8">
        <f>+MINVU_Mes_Corriente!Y53*MINVU_Mes_Constante!$P$1</f>
        <v>13105563.928683046</v>
      </c>
      <c r="Z53" s="8">
        <f>+MINVU_Mes_Corriente!Z53*MINVU_Mes_Constante!$P$1</f>
        <v>17350418.150589567</v>
      </c>
      <c r="AA53" s="8">
        <f>+MINVU_Mes_Corriente!AA53*MINVU_Mes_Constante!$P$1</f>
        <v>24267158.229009792</v>
      </c>
      <c r="AB53" s="9">
        <f t="shared" si="39"/>
        <v>24267158.229009792</v>
      </c>
      <c r="AC53" s="8">
        <f>+MINVU_Mes_Corriente!AC53*MINVU_Mes_Constante!$AC$1</f>
        <v>0</v>
      </c>
      <c r="AD53" s="8">
        <f>+MINVU_Mes_Corriente!AD53*MINVU_Mes_Constante!$AC$1</f>
        <v>0</v>
      </c>
      <c r="AE53" s="8">
        <f>+MINVU_Mes_Corriente!AE53*MINVU_Mes_Constante!$AC$1</f>
        <v>2112387.7092267256</v>
      </c>
      <c r="AF53" s="8">
        <f>+MINVU_Mes_Corriente!AF53*MINVU_Mes_Constante!$AC$1</f>
        <v>3664762.3740489692</v>
      </c>
      <c r="AG53" s="8">
        <f>+MINVU_Mes_Corriente!AG53*MINVU_Mes_Constante!$AC$1</f>
        <v>5785694.0973855304</v>
      </c>
      <c r="AH53" s="8">
        <f>+MINVU_Mes_Corriente!AH53*MINVU_Mes_Constante!$AC$1</f>
        <v>8020867.4358832482</v>
      </c>
      <c r="AI53" s="8">
        <f>+MINVU_Mes_Corriente!AI53*MINVU_Mes_Constante!$AC$1</f>
        <v>9571215.2967215385</v>
      </c>
      <c r="AJ53" s="8">
        <f>+MINVU_Mes_Corriente!AJ53*MINVU_Mes_Constante!$AC$1</f>
        <v>11133491.223959053</v>
      </c>
      <c r="AK53" s="8">
        <f>+MINVU_Mes_Corriente!AK53*MINVU_Mes_Constante!$AC$1</f>
        <v>13291052.026006363</v>
      </c>
      <c r="AL53" s="8">
        <f>+MINVU_Mes_Corriente!AL53*MINVU_Mes_Constante!$AC$1</f>
        <v>15022340.129755152</v>
      </c>
      <c r="AM53" s="8">
        <f>+MINVU_Mes_Corriente!AM53*MINVU_Mes_Constante!$AC$1</f>
        <v>17342352.067229215</v>
      </c>
      <c r="AN53" s="8">
        <f>+MINVU_Mes_Corriente!AN53*MINVU_Mes_Constante!$AC$1</f>
        <v>24321948.578503251</v>
      </c>
      <c r="AO53" s="9">
        <f t="shared" si="40"/>
        <v>24321948.578503251</v>
      </c>
      <c r="AP53" s="8">
        <f>+MINVU_Mes_Corriente!AP53*MINVU_Mes_Constante!$AP$1</f>
        <v>0</v>
      </c>
      <c r="AQ53" s="8">
        <f>+MINVU_Mes_Corriente!AQ53*MINVU_Mes_Constante!$AP$1</f>
        <v>0</v>
      </c>
      <c r="AR53" s="8">
        <f>+MINVU_Mes_Corriente!AR53*MINVU_Mes_Constante!$AP$1</f>
        <v>2848167.1570404433</v>
      </c>
      <c r="AS53" s="8">
        <f>+MINVU_Mes_Corriente!AS53*MINVU_Mes_Constante!$AP$1</f>
        <v>4784563.8260516701</v>
      </c>
      <c r="AT53" s="8">
        <f>+MINVU_Mes_Corriente!AT53*MINVU_Mes_Constante!$AP$1</f>
        <v>6769850.3917218987</v>
      </c>
      <c r="AU53" s="8">
        <f>+MINVU_Mes_Corriente!AU53*MINVU_Mes_Constante!$AP$1</f>
        <v>8161568.3000135254</v>
      </c>
      <c r="AV53" s="8">
        <f>+MINVU_Mes_Corriente!AV53*MINVU_Mes_Constante!$AP$1</f>
        <v>9588032.7504396047</v>
      </c>
      <c r="AW53" s="8">
        <f>+MINVU_Mes_Corriente!AW53*MINVU_Mes_Constante!$AP$1</f>
        <v>11557077.365616122</v>
      </c>
      <c r="AX53" s="8">
        <f>+MINVU_Mes_Corriente!AX53*MINVU_Mes_Constante!$AP$1</f>
        <v>13605574.528608141</v>
      </c>
      <c r="AY53" s="8">
        <f>+MINVU_Mes_Corriente!AY53*MINVU_Mes_Constante!$AP$1</f>
        <v>15117769.580143377</v>
      </c>
      <c r="AZ53" s="8">
        <f>+MINVU_Mes_Corriente!AZ53*MINVU_Mes_Constante!$AP$1</f>
        <v>17362139.641282294</v>
      </c>
      <c r="BA53" s="8">
        <f>+MINVU_Mes_Corriente!BA53*MINVU_Mes_Constante!$AP$1</f>
        <v>28146153.367239278</v>
      </c>
      <c r="BB53" s="9">
        <f t="shared" si="41"/>
        <v>28146153.367239278</v>
      </c>
      <c r="BC53" s="8">
        <f>+MINVU_Mes_Corriente!BC53*MINVU_Mes_Constante!$BC$1</f>
        <v>0</v>
      </c>
      <c r="BD53" s="8">
        <f>+MINVU_Mes_Corriente!BD53*MINVU_Mes_Constante!$BC$1</f>
        <v>0</v>
      </c>
      <c r="BE53" s="8">
        <f>+MINVU_Mes_Corriente!BE53*MINVU_Mes_Constante!$BC$1</f>
        <v>3168076.0448371363</v>
      </c>
      <c r="BF53" s="8">
        <f>+MINVU_Mes_Corriente!BF53*MINVU_Mes_Constante!$BC$1</f>
        <v>5372508.5712778596</v>
      </c>
      <c r="BG53" s="8">
        <f>+MINVU_Mes_Corriente!BG53*MINVU_Mes_Constante!$BC$1</f>
        <v>7160452.0060662022</v>
      </c>
      <c r="BH53" s="8">
        <f>+MINVU_Mes_Corriente!BH53*MINVU_Mes_Constante!$BC$1</f>
        <v>9465084.4391401839</v>
      </c>
      <c r="BI53" s="8">
        <f>+MINVU_Mes_Corriente!BI53*MINVU_Mes_Constante!$BC$1</f>
        <v>11594831.7111961</v>
      </c>
      <c r="BJ53" s="8">
        <f>+MINVU_Mes_Corriente!BJ53*MINVU_Mes_Constante!$BC$1</f>
        <v>13441149.926941847</v>
      </c>
      <c r="BK53" s="8">
        <f>+MINVU_Mes_Corriente!BK53*MINVU_Mes_Constante!$BC$1</f>
        <v>16064701.104576029</v>
      </c>
      <c r="BL53" s="8">
        <f>+MINVU_Mes_Corriente!BL53*MINVU_Mes_Constante!$BC$1</f>
        <v>18167370.397204276</v>
      </c>
      <c r="BM53" s="8">
        <f>+MINVU_Mes_Corriente!BM53*MINVU_Mes_Constante!$BC$1</f>
        <v>21505553.729394704</v>
      </c>
      <c r="BN53" s="8">
        <f>+MINVU_Mes_Corriente!BN53*MINVU_Mes_Constante!$BC$1</f>
        <v>29547704.974284593</v>
      </c>
      <c r="BO53" s="9">
        <f t="shared" si="42"/>
        <v>29547704.974284593</v>
      </c>
      <c r="BP53" s="8">
        <f>+MINVU_Mes_Corriente!BP53*MINVU_Mes_Constante!$BP$1</f>
        <v>0</v>
      </c>
      <c r="BQ53" s="8">
        <f>+MINVU_Mes_Corriente!BQ53*MINVU_Mes_Constante!$BP$1</f>
        <v>0</v>
      </c>
      <c r="BR53" s="8">
        <f>+MINVU_Mes_Corriente!BR53*MINVU_Mes_Constante!$BP$1</f>
        <v>3961419.255057619</v>
      </c>
      <c r="BS53" s="8">
        <f>+MINVU_Mes_Corriente!BS53*MINVU_Mes_Constante!$BP$1</f>
        <v>6265428.6629961599</v>
      </c>
      <c r="BT53" s="8">
        <f>+MINVU_Mes_Corriente!BT53*MINVU_Mes_Constante!$BP$1</f>
        <v>8397883.0832266342</v>
      </c>
      <c r="BU53" s="8">
        <f>+MINVU_Mes_Corriente!BU53*MINVU_Mes_Constante!$BP$1</f>
        <v>10821419.57362356</v>
      </c>
      <c r="BV53" s="8">
        <f>+MINVU_Mes_Corriente!BV53*MINVU_Mes_Constante!$BP$1</f>
        <v>13008895.707042255</v>
      </c>
      <c r="BW53" s="8">
        <f>+MINVU_Mes_Corriente!BW53*MINVU_Mes_Constante!$BP$1</f>
        <v>15448674.3049936</v>
      </c>
      <c r="BX53" s="8">
        <f>+MINVU_Mes_Corriente!BX53*MINVU_Mes_Constante!$BP$1</f>
        <v>18008385.688348275</v>
      </c>
      <c r="BY53" s="8">
        <f>+MINVU_Mes_Corriente!BY53*MINVU_Mes_Constante!$BP$1</f>
        <v>20137205.569782332</v>
      </c>
      <c r="BZ53" s="8">
        <f>+MINVU_Mes_Corriente!BZ53*MINVU_Mes_Constante!$BP$1</f>
        <v>25036449.151344433</v>
      </c>
      <c r="CA53" s="8">
        <f>+MINVU_Mes_Corriente!CA53*MINVU_Mes_Constante!$BP$1</f>
        <v>32014240.423559543</v>
      </c>
      <c r="CB53" s="9">
        <f t="shared" si="43"/>
        <v>32014240.423559543</v>
      </c>
      <c r="CC53" s="8">
        <f>+MINVU_Mes_Corriente!CC53*MINVU_Mes_Constante!$CC$1</f>
        <v>0</v>
      </c>
      <c r="CD53" s="8">
        <f>+MINVU_Mes_Corriente!CD53*MINVU_Mes_Constante!$CC$1</f>
        <v>0</v>
      </c>
      <c r="CE53" s="8">
        <f>+MINVU_Mes_Corriente!CE53*MINVU_Mes_Constante!$CC$1</f>
        <v>799233.57180156664</v>
      </c>
      <c r="CF53" s="8">
        <f>+MINVU_Mes_Corriente!CF53*MINVU_Mes_Constante!$CC$1</f>
        <v>4254146.7079447974</v>
      </c>
      <c r="CG53" s="8">
        <f>+MINVU_Mes_Corriente!CG53*MINVU_Mes_Constante!$CC$1</f>
        <v>5943832.299142112</v>
      </c>
      <c r="CH53" s="8">
        <f>+MINVU_Mes_Corriente!CH53*MINVU_Mes_Constante!$CC$1</f>
        <v>8973119.1182394642</v>
      </c>
      <c r="CI53" s="8">
        <f>+MINVU_Mes_Corriente!CI53*MINVU_Mes_Constante!$CC$1</f>
        <v>10250352.624393884</v>
      </c>
      <c r="CJ53" s="8">
        <f>+MINVU_Mes_Corriente!CJ53*MINVU_Mes_Constante!$CC$1</f>
        <v>12903711.958970534</v>
      </c>
      <c r="CK53" s="8">
        <f>+MINVU_Mes_Corriente!CK53*MINVU_Mes_Constante!$CC$1</f>
        <v>14835122.564714661</v>
      </c>
      <c r="CL53" s="8">
        <f>+MINVU_Mes_Corriente!CL53*MINVU_Mes_Constante!$CC$1</f>
        <v>18537106.209623277</v>
      </c>
      <c r="CM53" s="8">
        <f>+MINVU_Mes_Corriente!CM53*MINVU_Mes_Constante!$CC$1</f>
        <v>24439246.370757181</v>
      </c>
      <c r="CN53" s="8">
        <f>+MINVU_Mes_Corriente!CN53*MINVU_Mes_Constante!$CC$1</f>
        <v>31813990.719880644</v>
      </c>
      <c r="CO53" s="9">
        <f t="shared" si="44"/>
        <v>31813990.719880644</v>
      </c>
      <c r="CP53" s="8">
        <f>+MINVU_Mes_Corriente!CP53*MINVU_Mes_Constante!$CP$1</f>
        <v>0</v>
      </c>
      <c r="CQ53" s="8">
        <f>+MINVU_Mes_Corriente!CQ53*MINVU_Mes_Constante!$CP$1</f>
        <v>1484404.838979118</v>
      </c>
      <c r="CR53" s="8">
        <f>+MINVU_Mes_Corriente!CR53*MINVU_Mes_Constante!$CP$1</f>
        <v>4649116.9364269134</v>
      </c>
      <c r="CS53" s="8">
        <f>+MINVU_Mes_Corriente!CS53*MINVU_Mes_Constante!$CP$1</f>
        <v>6735616.6238979101</v>
      </c>
      <c r="CT53" s="8">
        <f>+MINVU_Mes_Corriente!CT53*MINVU_Mes_Constante!$CP$1</f>
        <v>10906628.531554522</v>
      </c>
      <c r="CU53" s="8">
        <f>+MINVU_Mes_Corriente!CU53*MINVU_Mes_Constante!$CP$1</f>
        <v>13951314.336194893</v>
      </c>
      <c r="CV53" s="8">
        <f>+MINVU_Mes_Corriente!CV53*MINVU_Mes_Constante!$CP$1</f>
        <v>16762802.289327143</v>
      </c>
      <c r="CW53" s="8">
        <f>+MINVU_Mes_Corriente!CW53*MINVU_Mes_Constante!$CP$1</f>
        <v>19156098.226218093</v>
      </c>
      <c r="CX53" s="8">
        <f>+MINVU_Mes_Corriente!CX53*MINVU_Mes_Constante!$CP$1</f>
        <v>21565892.169605564</v>
      </c>
      <c r="CY53" s="8">
        <f>+MINVU_Mes_Corriente!CY53*MINVU_Mes_Constante!$CP$1</f>
        <v>24382682.148027837</v>
      </c>
      <c r="CZ53" s="8">
        <f>+MINVU_Mes_Corriente!CZ53*MINVU_Mes_Constante!$CP$1</f>
        <v>28146160.593271457</v>
      </c>
      <c r="DA53" s="8">
        <f>+MINVU_Mes_Corriente!DA53*MINVU_Mes_Constante!$CP$1</f>
        <v>38158544.190487228</v>
      </c>
      <c r="DB53" s="9">
        <f t="shared" si="45"/>
        <v>38158544.190487228</v>
      </c>
      <c r="DC53" s="8">
        <f>+MINVU_Mes_Corriente!DC53*MINVU_Mes_Constante!$DC$1</f>
        <v>0</v>
      </c>
      <c r="DD53" s="8">
        <f>+MINVU_Mes_Corriente!DD53*MINVU_Mes_Constante!$DC$1</f>
        <v>0</v>
      </c>
      <c r="DE53" s="8">
        <f>+MINVU_Mes_Corriente!DE53*MINVU_Mes_Constante!$DC$1</f>
        <v>2659829.6660837373</v>
      </c>
      <c r="DF53" s="8">
        <f>+MINVU_Mes_Corriente!DF53*MINVU_Mes_Constante!$DC$1</f>
        <v>5798063.2506943755</v>
      </c>
      <c r="DG53" s="8">
        <f>+MINVU_Mes_Corriente!DG53*MINVU_Mes_Constante!$DC$1</f>
        <v>7956770.4262935948</v>
      </c>
      <c r="DH53" s="8">
        <f>+MINVU_Mes_Corriente!DH53*MINVU_Mes_Constante!$DC$1</f>
        <v>9569863.2165415119</v>
      </c>
      <c r="DI53" s="8">
        <f>+MINVU_Mes_Corriente!DI53*MINVU_Mes_Constante!$DC$1</f>
        <v>11169829.296162952</v>
      </c>
      <c r="DJ53" s="8">
        <f>+MINVU_Mes_Corriente!DJ53*MINVU_Mes_Constante!$DC$1</f>
        <v>13476433.667112444</v>
      </c>
      <c r="DK53" s="8">
        <f>+MINVU_Mes_Corriente!DK53*MINVU_Mes_Constante!$DC$1</f>
        <v>14742593.081575977</v>
      </c>
      <c r="DL53" s="8">
        <f>+MINVU_Mes_Corriente!DL53*MINVU_Mes_Constante!$DC$1</f>
        <v>17612681.653122116</v>
      </c>
      <c r="DM53" s="8">
        <f>+MINVU_Mes_Corriente!DM53*MINVU_Mes_Constante!$DC$1</f>
        <v>20108930.407776989</v>
      </c>
      <c r="DN53" s="8">
        <f>+MINVU_Mes_Corriente!DN53*MINVU_Mes_Constante!$DC$1</f>
        <v>26192751.100298334</v>
      </c>
      <c r="DO53" s="9">
        <f t="shared" si="46"/>
        <v>26192751.100298334</v>
      </c>
      <c r="DP53" s="8">
        <f>+MINVU_Mes_Corriente!DP53*MINVU_Mes_Constante!$DP$1</f>
        <v>0</v>
      </c>
      <c r="DQ53" s="8">
        <f>+MINVU_Mes_Corriente!DQ53*MINVU_Mes_Constante!$DP$1</f>
        <v>0</v>
      </c>
      <c r="DR53" s="8">
        <f>+MINVU_Mes_Corriente!DR53*MINVU_Mes_Constante!$DP$1</f>
        <v>1289147.9697149645</v>
      </c>
      <c r="DS53" s="8">
        <f>+MINVU_Mes_Corriente!DS53*MINVU_Mes_Constante!$DP$1</f>
        <v>4524445.3539192406</v>
      </c>
      <c r="DT53" s="8">
        <f>+MINVU_Mes_Corriente!DT53*MINVU_Mes_Constante!$DP$1</f>
        <v>6503525.2393111642</v>
      </c>
      <c r="DU53" s="8">
        <f>+MINVU_Mes_Corriente!DU53*MINVU_Mes_Constante!$DP$1</f>
        <v>7718574.5130641339</v>
      </c>
      <c r="DV53" s="8">
        <f>+MINVU_Mes_Corriente!DV53*MINVU_Mes_Constante!$DP$1</f>
        <v>8908480.145486936</v>
      </c>
      <c r="DW53" s="8">
        <f>+MINVU_Mes_Corriente!DW53*MINVU_Mes_Constante!$DP$1</f>
        <v>11067378.374109264</v>
      </c>
      <c r="DX53" s="8">
        <f>+MINVU_Mes_Corriente!DX53*MINVU_Mes_Constante!$DP$1</f>
        <v>12364695.972684087</v>
      </c>
      <c r="DY53" s="8">
        <f>+MINVU_Mes_Corriente!DY53*MINVU_Mes_Constante!$DP$1</f>
        <v>14481079.690617578</v>
      </c>
      <c r="DZ53" s="8">
        <f>+MINVU_Mes_Corriente!DZ53*MINVU_Mes_Constante!$DP$1</f>
        <v>16580756.490498815</v>
      </c>
      <c r="EA53" s="8">
        <f>+MINVU_Mes_Corriente!EA53*MINVU_Mes_Constante!$DP$1</f>
        <v>23979066.413301665</v>
      </c>
      <c r="EB53" s="9">
        <f t="shared" si="47"/>
        <v>23979066.413301665</v>
      </c>
      <c r="EC53" s="8">
        <f>+MINVU_Mes_Corriente!EC53*MINVU_Mes_Constante!$EC$1</f>
        <v>0</v>
      </c>
      <c r="ED53" s="8">
        <f>+MINVU_Mes_Corriente!ED53*MINVU_Mes_Constante!$EC$1</f>
        <v>0</v>
      </c>
      <c r="EE53" s="8">
        <f>+MINVU_Mes_Corriente!EE53*MINVU_Mes_Constante!$EC$1</f>
        <v>1961698.0253739816</v>
      </c>
      <c r="EF53" s="8">
        <f>+MINVU_Mes_Corriente!EF53*MINVU_Mes_Constante!$EC$1</f>
        <v>5466183.04317364</v>
      </c>
      <c r="EG53" s="8">
        <f>+MINVU_Mes_Corriente!EG53*MINVU_Mes_Constante!$EC$1</f>
        <v>6949535.9886385128</v>
      </c>
      <c r="EH53" s="8">
        <f>+MINVU_Mes_Corriente!EH53*MINVU_Mes_Constante!$EC$1</f>
        <v>8588984.2541185357</v>
      </c>
      <c r="EI53" s="8">
        <f>+MINVU_Mes_Corriente!EI53*MINVU_Mes_Constante!$EC$1</f>
        <v>10426152.5686423</v>
      </c>
      <c r="EJ53" s="8">
        <f>+MINVU_Mes_Corriente!EJ53*MINVU_Mes_Constante!$EC$1</f>
        <v>12249672.176103007</v>
      </c>
      <c r="EK53" s="8">
        <f>+MINVU_Mes_Corriente!EK53*MINVU_Mes_Constante!$EC$1</f>
        <v>13617530.412043169</v>
      </c>
      <c r="EL53" s="8">
        <f>+MINVU_Mes_Corriente!EL53*MINVU_Mes_Constante!$EC$1</f>
        <v>15400474.236129517</v>
      </c>
      <c r="EM53" s="8">
        <f>+MINVU_Mes_Corriente!EM53*MINVU_Mes_Constante!$EC$1</f>
        <v>18265943.423404653</v>
      </c>
      <c r="EN53" s="8">
        <f>+MINVU_Mes_Corriente!EN53*MINVU_Mes_Constante!$EC$1</f>
        <v>28807644.493656494</v>
      </c>
      <c r="EO53" s="9">
        <f t="shared" si="48"/>
        <v>28807644.493656494</v>
      </c>
      <c r="EP53" s="8">
        <f>+MINVU_Mes_Corriente!EP53*MINVU_Mes_Constante!$EP$1</f>
        <v>0</v>
      </c>
      <c r="EQ53" s="8">
        <f>+MINVU_Mes_Corriente!EQ53*MINVU_Mes_Constante!$EP$1</f>
        <v>635911</v>
      </c>
      <c r="ER53" s="8">
        <f>+MINVU_Mes_Corriente!ER53*MINVU_Mes_Constante!$EP$1</f>
        <v>3406026</v>
      </c>
      <c r="ES53" s="8">
        <f>+MINVU_Mes_Corriente!ES53*MINVU_Mes_Constante!$EP$1</f>
        <v>5878280</v>
      </c>
      <c r="ET53" s="8">
        <f>+MINVU_Mes_Corriente!ET53*MINVU_Mes_Constante!$EP$1</f>
        <v>8481842</v>
      </c>
      <c r="EU53" s="8">
        <f>+MINVU_Mes_Corriente!EU53*MINVU_Mes_Constante!$EP$1</f>
        <v>10476165</v>
      </c>
      <c r="EV53" s="8">
        <f>+MINVU_Mes_Corriente!EV53*MINVU_Mes_Constante!$EP$1</f>
        <v>14140348</v>
      </c>
      <c r="EW53" s="8">
        <f>+MINVU_Mes_Corriente!EW53*MINVU_Mes_Constante!$EP$1</f>
        <v>17057587</v>
      </c>
      <c r="EX53" s="8">
        <f>+MINVU_Mes_Corriente!EX53*MINVU_Mes_Constante!$EP$1</f>
        <v>18562941</v>
      </c>
      <c r="EY53" s="8">
        <f>+MINVU_Mes_Corriente!EY53*MINVU_Mes_Constante!$EP$1</f>
        <v>23005910</v>
      </c>
      <c r="EZ53" s="8">
        <f>+MINVU_Mes_Corriente!EZ53*MINVU_Mes_Constante!$EP$1</f>
        <v>25814003</v>
      </c>
      <c r="FA53" s="8">
        <f>+MINVU_Mes_Corriente!FA53*MINVU_Mes_Constante!$EP$1</f>
        <v>30105231</v>
      </c>
      <c r="FB53" s="9">
        <f t="shared" si="49"/>
        <v>30105231</v>
      </c>
      <c r="FC53" s="8">
        <f>+MINVU_Mes_Corriente!FC53*MINVU_Mes_Constante!$FC$1</f>
        <v>0</v>
      </c>
      <c r="FD53" s="8">
        <f>+MINVU_Mes_Corriente!FD53*MINVU_Mes_Constante!$FC$1</f>
        <v>583993</v>
      </c>
      <c r="FE53" s="8">
        <f>+MINVU_Mes_Corriente!FE53*MINVU_Mes_Constante!$FC$1</f>
        <v>2544487</v>
      </c>
      <c r="FF53" s="8">
        <f>+MINVU_Mes_Corriente!FF53*MINVU_Mes_Constante!$FC$1</f>
        <v>5629990</v>
      </c>
      <c r="FG53" s="8">
        <f>+MINVU_Mes_Corriente!FG53*MINVU_Mes_Constante!$FC$1</f>
        <v>7573202</v>
      </c>
      <c r="FH53" s="8">
        <f>+MINVU_Mes_Corriente!FH53*MINVU_Mes_Constante!$FC$1</f>
        <v>9508871</v>
      </c>
      <c r="FI53" s="8">
        <f>+MINVU_Mes_Corriente!FI53*MINVU_Mes_Constante!$FC$1</f>
        <v>13263584</v>
      </c>
      <c r="FJ53" s="8"/>
      <c r="FK53" s="8"/>
      <c r="FL53" s="8"/>
      <c r="FM53" s="8"/>
      <c r="FN53" s="8"/>
      <c r="FO53" s="9">
        <f t="shared" si="50"/>
        <v>13263584</v>
      </c>
    </row>
    <row r="54" spans="2:171" ht="14.25" customHeight="1" x14ac:dyDescent="0.3">
      <c r="B54" s="7" t="s">
        <v>45</v>
      </c>
      <c r="C54" s="8">
        <f>+MINVU_Mes_Corriente!C54*MINVU_Mes_Constante!$C$1</f>
        <v>0</v>
      </c>
      <c r="D54" s="8">
        <f>+MINVU_Mes_Corriente!D54*MINVU_Mes_Constante!$C$1</f>
        <v>0</v>
      </c>
      <c r="E54" s="8">
        <f>+MINVU_Mes_Corriente!E54*MINVU_Mes_Constante!$C$1</f>
        <v>0</v>
      </c>
      <c r="F54" s="8">
        <f>+MINVU_Mes_Corriente!F54*MINVU_Mes_Constante!$C$1</f>
        <v>3328787.459884325</v>
      </c>
      <c r="G54" s="8">
        <f>+MINVU_Mes_Corriente!G54*MINVU_Mes_Constante!$C$1</f>
        <v>4185782.5208364236</v>
      </c>
      <c r="H54" s="8">
        <f>+MINVU_Mes_Corriente!H54*MINVU_Mes_Constante!$C$1</f>
        <v>5523456.7679074602</v>
      </c>
      <c r="I54" s="8">
        <f>+MINVU_Mes_Corriente!I54*MINVU_Mes_Constante!$C$1</f>
        <v>6327427.5927628661</v>
      </c>
      <c r="J54" s="8">
        <f>+MINVU_Mes_Corriente!J54*MINVU_Mes_Constante!$C$1</f>
        <v>6973464.8132878551</v>
      </c>
      <c r="K54" s="8">
        <f>+MINVU_Mes_Corriente!K54*MINVU_Mes_Constante!$C$1</f>
        <v>7381268.8918878846</v>
      </c>
      <c r="L54" s="8">
        <f>+MINVU_Mes_Corriente!L54*MINVU_Mes_Constante!$C$1</f>
        <v>7690158.8862524107</v>
      </c>
      <c r="M54" s="8">
        <f>+MINVU_Mes_Corriente!M54*MINVU_Mes_Constante!$C$1</f>
        <v>8104898.050126058</v>
      </c>
      <c r="N54" s="8">
        <f>+MINVU_Mes_Corriente!N54*MINVU_Mes_Constante!$C$1</f>
        <v>9221234.5137179308</v>
      </c>
      <c r="O54" s="9">
        <f t="shared" si="38"/>
        <v>9221234.5137179308</v>
      </c>
      <c r="P54" s="8">
        <f>+MINVU_Mes_Corriente!P54*MINVU_Mes_Constante!$P$1</f>
        <v>0</v>
      </c>
      <c r="Q54" s="8">
        <f>+MINVU_Mes_Corriente!Q54*MINVU_Mes_Constante!$P$1</f>
        <v>254760.97854808913</v>
      </c>
      <c r="R54" s="8">
        <f>+MINVU_Mes_Corriente!R54*MINVU_Mes_Constante!$P$1</f>
        <v>1436717.0009944588</v>
      </c>
      <c r="S54" s="8">
        <f>+MINVU_Mes_Corriente!S54*MINVU_Mes_Constante!$P$1</f>
        <v>2536981.8096320489</v>
      </c>
      <c r="T54" s="8">
        <f>+MINVU_Mes_Corriente!T54*MINVU_Mes_Constante!$P$1</f>
        <v>3073369.4021878098</v>
      </c>
      <c r="U54" s="8">
        <f>+MINVU_Mes_Corriente!U54*MINVU_Mes_Constante!$P$1</f>
        <v>4042214.8734195181</v>
      </c>
      <c r="V54" s="8">
        <f>+MINVU_Mes_Corriente!V54*MINVU_Mes_Constante!$P$1</f>
        <v>5498576.6330444645</v>
      </c>
      <c r="W54" s="8">
        <f>+MINVU_Mes_Corriente!W54*MINVU_Mes_Constante!$P$1</f>
        <v>5801692.0301179122</v>
      </c>
      <c r="X54" s="8">
        <f>+MINVU_Mes_Corriente!X54*MINVU_Mes_Constante!$P$1</f>
        <v>6678500.8137519509</v>
      </c>
      <c r="Y54" s="8">
        <f>+MINVU_Mes_Corriente!Y54*MINVU_Mes_Constante!$P$1</f>
        <v>7805451.2015911322</v>
      </c>
      <c r="Z54" s="8">
        <f>+MINVU_Mes_Corriente!Z54*MINVU_Mes_Constante!$P$1</f>
        <v>8390835.8272481859</v>
      </c>
      <c r="AA54" s="8">
        <f>+MINVU_Mes_Corriente!AA54*MINVU_Mes_Constante!$P$1</f>
        <v>11967945.207557887</v>
      </c>
      <c r="AB54" s="9">
        <f t="shared" si="39"/>
        <v>11967945.207557887</v>
      </c>
      <c r="AC54" s="8">
        <f>+MINVU_Mes_Corriente!AC54*MINVU_Mes_Constante!$AC$1</f>
        <v>0</v>
      </c>
      <c r="AD54" s="8">
        <f>+MINVU_Mes_Corriente!AD54*MINVU_Mes_Constante!$AC$1</f>
        <v>18198.916309309723</v>
      </c>
      <c r="AE54" s="8">
        <f>+MINVU_Mes_Corriente!AE54*MINVU_Mes_Constante!$AC$1</f>
        <v>1328777.8306819755</v>
      </c>
      <c r="AF54" s="8">
        <f>+MINVU_Mes_Corriente!AF54*MINVU_Mes_Constante!$AC$1</f>
        <v>2044182.2033476275</v>
      </c>
      <c r="AG54" s="8">
        <f>+MINVU_Mes_Corriente!AG54*MINVU_Mes_Constante!$AC$1</f>
        <v>2659989.0352745885</v>
      </c>
      <c r="AH54" s="8">
        <f>+MINVU_Mes_Corriente!AH54*MINVU_Mes_Constante!$AC$1</f>
        <v>4024084.0387328812</v>
      </c>
      <c r="AI54" s="8">
        <f>+MINVU_Mes_Corriente!AI54*MINVU_Mes_Constante!$AC$1</f>
        <v>4956772.0760824457</v>
      </c>
      <c r="AJ54" s="8">
        <f>+MINVU_Mes_Corriente!AJ54*MINVU_Mes_Constante!$AC$1</f>
        <v>5840014.2578503247</v>
      </c>
      <c r="AK54" s="8">
        <f>+MINVU_Mes_Corriente!AK54*MINVU_Mes_Constante!$AC$1</f>
        <v>7413695.3028081339</v>
      </c>
      <c r="AL54" s="8">
        <f>+MINVU_Mes_Corriente!AL54*MINVU_Mes_Constante!$AC$1</f>
        <v>8544203.0363812428</v>
      </c>
      <c r="AM54" s="8">
        <f>+MINVU_Mes_Corriente!AM54*MINVU_Mes_Constante!$AC$1</f>
        <v>10434524.972195324</v>
      </c>
      <c r="AN54" s="8">
        <f>+MINVU_Mes_Corriente!AN54*MINVU_Mes_Constante!$AC$1</f>
        <v>14093113.226725688</v>
      </c>
      <c r="AO54" s="9">
        <f t="shared" si="40"/>
        <v>14093113.226725688</v>
      </c>
      <c r="AP54" s="8">
        <f>+MINVU_Mes_Corriente!AP54*MINVU_Mes_Constante!$AP$1</f>
        <v>20680.037603138102</v>
      </c>
      <c r="AQ54" s="8">
        <f>+MINVU_Mes_Corriente!AQ54*MINVU_Mes_Constante!$AP$1</f>
        <v>1481650.1349925604</v>
      </c>
      <c r="AR54" s="8">
        <f>+MINVU_Mes_Corriente!AR54*MINVU_Mes_Constante!$AP$1</f>
        <v>3201736.2413093466</v>
      </c>
      <c r="AS54" s="8">
        <f>+MINVU_Mes_Corriente!AS54*MINVU_Mes_Constante!$AP$1</f>
        <v>4556499.6480454477</v>
      </c>
      <c r="AT54" s="8">
        <f>+MINVU_Mes_Corriente!AT54*MINVU_Mes_Constante!$AP$1</f>
        <v>5519750.76423644</v>
      </c>
      <c r="AU54" s="8">
        <f>+MINVU_Mes_Corriente!AU54*MINVU_Mes_Constante!$AP$1</f>
        <v>6607130.8762342753</v>
      </c>
      <c r="AV54" s="8">
        <f>+MINVU_Mes_Corriente!AV54*MINVU_Mes_Constante!$AP$1</f>
        <v>7259387.8044095766</v>
      </c>
      <c r="AW54" s="8">
        <f>+MINVU_Mes_Corriente!AW54*MINVU_Mes_Constante!$AP$1</f>
        <v>7931897.6615717569</v>
      </c>
      <c r="AX54" s="8">
        <f>+MINVU_Mes_Corriente!AX54*MINVU_Mes_Constante!$AP$1</f>
        <v>9118859.1080752052</v>
      </c>
      <c r="AY54" s="8">
        <f>+MINVU_Mes_Corriente!AY54*MINVU_Mes_Constante!$AP$1</f>
        <v>9740442.5437576082</v>
      </c>
      <c r="AZ54" s="8">
        <f>+MINVU_Mes_Corriente!AZ54*MINVU_Mes_Constante!$AP$1</f>
        <v>10705233.615582308</v>
      </c>
      <c r="BA54" s="8">
        <f>+MINVU_Mes_Corriente!BA54*MINVU_Mes_Constante!$AP$1</f>
        <v>13571596.486406058</v>
      </c>
      <c r="BB54" s="9">
        <f t="shared" si="41"/>
        <v>13571596.486406058</v>
      </c>
      <c r="BC54" s="8">
        <f>+MINVU_Mes_Corriente!BC54*MINVU_Mes_Constante!$BC$1</f>
        <v>0</v>
      </c>
      <c r="BD54" s="8">
        <f>+MINVU_Mes_Corriente!BD54*MINVU_Mes_Constante!$BC$1</f>
        <v>51903.903204536473</v>
      </c>
      <c r="BE54" s="8">
        <f>+MINVU_Mes_Corriente!BE54*MINVU_Mes_Constante!$BC$1</f>
        <v>1129325.941447976</v>
      </c>
      <c r="BF54" s="8">
        <f>+MINVU_Mes_Corriente!BF54*MINVU_Mes_Constante!$BC$1</f>
        <v>1845012.8015297381</v>
      </c>
      <c r="BG54" s="8">
        <f>+MINVU_Mes_Corriente!BG54*MINVU_Mes_Constante!$BC$1</f>
        <v>2122486.8060134519</v>
      </c>
      <c r="BH54" s="8">
        <f>+MINVU_Mes_Corriente!BH54*MINVU_Mes_Constante!$BC$1</f>
        <v>2873321.871818542</v>
      </c>
      <c r="BI54" s="8">
        <f>+MINVU_Mes_Corriente!BI54*MINVU_Mes_Constante!$BC$1</f>
        <v>3540191.1391269956</v>
      </c>
      <c r="BJ54" s="8">
        <f>+MINVU_Mes_Corriente!BJ54*MINVU_Mes_Constante!$BC$1</f>
        <v>4455652.481603588</v>
      </c>
      <c r="BK54" s="8">
        <f>+MINVU_Mes_Corriente!BK54*MINVU_Mes_Constante!$BC$1</f>
        <v>4650853.6916787559</v>
      </c>
      <c r="BL54" s="8">
        <f>+MINVU_Mes_Corriente!BL54*MINVU_Mes_Constante!$BC$1</f>
        <v>5238507.6579190306</v>
      </c>
      <c r="BM54" s="8">
        <f>+MINVU_Mes_Corriente!BM54*MINVU_Mes_Constante!$BC$1</f>
        <v>6314777.0125280246</v>
      </c>
      <c r="BN54" s="8">
        <f>+MINVU_Mes_Corriente!BN54*MINVU_Mes_Constante!$BC$1</f>
        <v>7946881.9425029689</v>
      </c>
      <c r="BO54" s="9">
        <f t="shared" si="42"/>
        <v>7946881.9425029689</v>
      </c>
      <c r="BP54" s="8">
        <f>+MINVU_Mes_Corriente!BP54*MINVU_Mes_Constante!$BP$1</f>
        <v>0</v>
      </c>
      <c r="BQ54" s="8">
        <f>+MINVU_Mes_Corriente!BQ54*MINVU_Mes_Constante!$BP$1</f>
        <v>0</v>
      </c>
      <c r="BR54" s="8">
        <f>+MINVU_Mes_Corriente!BR54*MINVU_Mes_Constante!$BP$1</f>
        <v>752199.8404609476</v>
      </c>
      <c r="BS54" s="8">
        <f>+MINVU_Mes_Corriente!BS54*MINVU_Mes_Constante!$BP$1</f>
        <v>1197969.4486555699</v>
      </c>
      <c r="BT54" s="8">
        <f>+MINVU_Mes_Corriente!BT54*MINVU_Mes_Constante!$BP$1</f>
        <v>1721622.8304737518</v>
      </c>
      <c r="BU54" s="8">
        <f>+MINVU_Mes_Corriente!BU54*MINVU_Mes_Constante!$BP$1</f>
        <v>2001563.4583866841</v>
      </c>
      <c r="BV54" s="8">
        <f>+MINVU_Mes_Corriente!BV54*MINVU_Mes_Constante!$BP$1</f>
        <v>2179437.6192061463</v>
      </c>
      <c r="BW54" s="8">
        <f>+MINVU_Mes_Corriente!BW54*MINVU_Mes_Constante!$BP$1</f>
        <v>2179437.6192061463</v>
      </c>
      <c r="BX54" s="8">
        <f>+MINVU_Mes_Corriente!BX54*MINVU_Mes_Constante!$BP$1</f>
        <v>2519436.2727272729</v>
      </c>
      <c r="BY54" s="8">
        <f>+MINVU_Mes_Corriente!BY54*MINVU_Mes_Constante!$BP$1</f>
        <v>3252866.0565941106</v>
      </c>
      <c r="BZ54" s="8">
        <f>+MINVU_Mes_Corriente!BZ54*MINVU_Mes_Constante!$BP$1</f>
        <v>3512173.1923175422</v>
      </c>
      <c r="CA54" s="8">
        <f>+MINVU_Mes_Corriente!CA54*MINVU_Mes_Constante!$BP$1</f>
        <v>4790540.3738796422</v>
      </c>
      <c r="CB54" s="9">
        <f t="shared" si="43"/>
        <v>4790540.3738796422</v>
      </c>
      <c r="CC54" s="8">
        <f>+MINVU_Mes_Corriente!CC54*MINVU_Mes_Constante!$CC$1</f>
        <v>0</v>
      </c>
      <c r="CD54" s="8">
        <f>+MINVU_Mes_Corriente!CD54*MINVU_Mes_Constante!$CC$1</f>
        <v>0</v>
      </c>
      <c r="CE54" s="8">
        <f>+MINVU_Mes_Corriente!CE54*MINVU_Mes_Constante!$CC$1</f>
        <v>683715.20029839617</v>
      </c>
      <c r="CF54" s="8">
        <f>+MINVU_Mes_Corriente!CF54*MINVU_Mes_Constante!$CC$1</f>
        <v>1526810.3521074227</v>
      </c>
      <c r="CG54" s="8">
        <f>+MINVU_Mes_Corriente!CG54*MINVU_Mes_Constante!$CC$1</f>
        <v>1662592.6975009327</v>
      </c>
      <c r="CH54" s="8">
        <f>+MINVU_Mes_Corriente!CH54*MINVU_Mes_Constante!$CC$1</f>
        <v>1695209.0421484523</v>
      </c>
      <c r="CI54" s="8">
        <f>+MINVU_Mes_Corriente!CI54*MINVU_Mes_Constante!$CC$1</f>
        <v>2083138.4177545693</v>
      </c>
      <c r="CJ54" s="8">
        <f>+MINVU_Mes_Corriente!CJ54*MINVU_Mes_Constante!$CC$1</f>
        <v>2331928.7221186128</v>
      </c>
      <c r="CK54" s="8">
        <f>+MINVU_Mes_Corriente!CK54*MINVU_Mes_Constante!$CC$1</f>
        <v>3444728.8489369643</v>
      </c>
      <c r="CL54" s="8">
        <f>+MINVU_Mes_Corriente!CL54*MINVU_Mes_Constante!$CC$1</f>
        <v>4122326.9563595676</v>
      </c>
      <c r="CM54" s="8">
        <f>+MINVU_Mes_Corriente!CM54*MINVU_Mes_Constante!$CC$1</f>
        <v>6277768.7870197697</v>
      </c>
      <c r="CN54" s="8">
        <f>+MINVU_Mes_Corriente!CN54*MINVU_Mes_Constante!$CC$1</f>
        <v>7612908.8705706829</v>
      </c>
      <c r="CO54" s="9">
        <f t="shared" si="44"/>
        <v>7612908.8705706829</v>
      </c>
      <c r="CP54" s="8">
        <f>+MINVU_Mes_Corriente!CP54*MINVU_Mes_Constante!$CP$1</f>
        <v>0</v>
      </c>
      <c r="CQ54" s="8">
        <f>+MINVU_Mes_Corriente!CQ54*MINVU_Mes_Constante!$CP$1</f>
        <v>822249.94593967497</v>
      </c>
      <c r="CR54" s="8">
        <f>+MINVU_Mes_Corriente!CR54*MINVU_Mes_Constante!$CP$1</f>
        <v>2414155.470765661</v>
      </c>
      <c r="CS54" s="8">
        <f>+MINVU_Mes_Corriente!CS54*MINVU_Mes_Constante!$CP$1</f>
        <v>3607771.5375870061</v>
      </c>
      <c r="CT54" s="8">
        <f>+MINVU_Mes_Corriente!CT54*MINVU_Mes_Constante!$CP$1</f>
        <v>4145902.387935034</v>
      </c>
      <c r="CU54" s="8">
        <f>+MINVU_Mes_Corriente!CU54*MINVU_Mes_Constante!$CP$1</f>
        <v>5273057.4473317852</v>
      </c>
      <c r="CV54" s="8">
        <f>+MINVU_Mes_Corriente!CV54*MINVU_Mes_Constante!$CP$1</f>
        <v>6103523.441067284</v>
      </c>
      <c r="CW54" s="8">
        <f>+MINVU_Mes_Corriente!CW54*MINVU_Mes_Constante!$CP$1</f>
        <v>6683986.8375870055</v>
      </c>
      <c r="CX54" s="8">
        <f>+MINVU_Mes_Corriente!CX54*MINVU_Mes_Constante!$CP$1</f>
        <v>7034163.8700696044</v>
      </c>
      <c r="CY54" s="8">
        <f>+MINVU_Mes_Corriente!CY54*MINVU_Mes_Constante!$CP$1</f>
        <v>7904542.7192575391</v>
      </c>
      <c r="CZ54" s="8">
        <f>+MINVU_Mes_Corriente!CZ54*MINVU_Mes_Constante!$CP$1</f>
        <v>8255822.4918793486</v>
      </c>
      <c r="DA54" s="8">
        <f>+MINVU_Mes_Corriente!DA54*MINVU_Mes_Constante!$CP$1</f>
        <v>10132270.463109046</v>
      </c>
      <c r="DB54" s="9">
        <f t="shared" si="45"/>
        <v>10132270.463109046</v>
      </c>
      <c r="DC54" s="8">
        <f>+MINVU_Mes_Corriente!DC54*MINVU_Mes_Constante!$DC$1</f>
        <v>0</v>
      </c>
      <c r="DD54" s="8">
        <f>+MINVU_Mes_Corriente!DD54*MINVU_Mes_Constante!$DC$1</f>
        <v>710623.84795802936</v>
      </c>
      <c r="DE54" s="8">
        <f>+MINVU_Mes_Corriente!DE54*MINVU_Mes_Constante!$DC$1</f>
        <v>1740506.9669787067</v>
      </c>
      <c r="DF54" s="8">
        <f>+MINVU_Mes_Corriente!DF54*MINVU_Mes_Constante!$DC$1</f>
        <v>2278127.7599012456</v>
      </c>
      <c r="DG54" s="8">
        <f>+MINVU_Mes_Corriente!DG54*MINVU_Mes_Constante!$DC$1</f>
        <v>2697218.143606626</v>
      </c>
      <c r="DH54" s="8">
        <f>+MINVU_Mes_Corriente!DH54*MINVU_Mes_Constante!$DC$1</f>
        <v>3033373.8819051553</v>
      </c>
      <c r="DI54" s="8">
        <f>+MINVU_Mes_Corriente!DI54*MINVU_Mes_Constante!$DC$1</f>
        <v>3694684.0532867005</v>
      </c>
      <c r="DJ54" s="8">
        <f>+MINVU_Mes_Corriente!DJ54*MINVU_Mes_Constante!$DC$1</f>
        <v>4299124.17549635</v>
      </c>
      <c r="DK54" s="8">
        <f>+MINVU_Mes_Corriente!DK54*MINVU_Mes_Constante!$DC$1</f>
        <v>4726225.0110071003</v>
      </c>
      <c r="DL54" s="8">
        <f>+MINVU_Mes_Corriente!DL54*MINVU_Mes_Constante!$DC$1</f>
        <v>5324218.1076021008</v>
      </c>
      <c r="DM54" s="8">
        <f>+MINVU_Mes_Corriente!DM54*MINVU_Mes_Constante!$DC$1</f>
        <v>5826970.337825329</v>
      </c>
      <c r="DN54" s="8">
        <f>+MINVU_Mes_Corriente!DN54*MINVU_Mes_Constante!$DC$1</f>
        <v>7196078.7256455133</v>
      </c>
      <c r="DO54" s="9">
        <f t="shared" si="46"/>
        <v>7196078.7256455133</v>
      </c>
      <c r="DP54" s="8">
        <f>+MINVU_Mes_Corriente!DP54*MINVU_Mes_Constante!$DP$1</f>
        <v>0</v>
      </c>
      <c r="DQ54" s="8">
        <f>+MINVU_Mes_Corriente!DQ54*MINVU_Mes_Constante!$DP$1</f>
        <v>96051.261876484568</v>
      </c>
      <c r="DR54" s="8">
        <f>+MINVU_Mes_Corriente!DR54*MINVU_Mes_Constante!$DP$1</f>
        <v>1435174.0029691213</v>
      </c>
      <c r="DS54" s="8">
        <f>+MINVU_Mes_Corriente!DS54*MINVU_Mes_Constante!$DP$1</f>
        <v>1694777.882422803</v>
      </c>
      <c r="DT54" s="8">
        <f>+MINVU_Mes_Corriente!DT54*MINVU_Mes_Constante!$DP$1</f>
        <v>2087442.3616389551</v>
      </c>
      <c r="DU54" s="8">
        <f>+MINVU_Mes_Corriente!DU54*MINVU_Mes_Constante!$DP$1</f>
        <v>2558821.8366983375</v>
      </c>
      <c r="DV54" s="8">
        <f>+MINVU_Mes_Corriente!DV54*MINVU_Mes_Constante!$DP$1</f>
        <v>2715920.9340855111</v>
      </c>
      <c r="DW54" s="8">
        <f>+MINVU_Mes_Corriente!DW54*MINVU_Mes_Constante!$DP$1</f>
        <v>3062840.8984560575</v>
      </c>
      <c r="DX54" s="8">
        <f>+MINVU_Mes_Corriente!DX54*MINVU_Mes_Constante!$DP$1</f>
        <v>3482120.741686461</v>
      </c>
      <c r="DY54" s="8">
        <f>+MINVU_Mes_Corriente!DY54*MINVU_Mes_Constante!$DP$1</f>
        <v>3654384.7464370551</v>
      </c>
      <c r="DZ54" s="8">
        <f>+MINVU_Mes_Corriente!DZ54*MINVU_Mes_Constante!$DP$1</f>
        <v>4646997.356294537</v>
      </c>
      <c r="EA54" s="8">
        <f>+MINVU_Mes_Corriente!EA54*MINVU_Mes_Constante!$DP$1</f>
        <v>5660346.0089073638</v>
      </c>
      <c r="EB54" s="9">
        <f t="shared" si="47"/>
        <v>5660346.0089073638</v>
      </c>
      <c r="EC54" s="8">
        <f>+MINVU_Mes_Corriente!EC54*MINVU_Mes_Constante!$EC$1</f>
        <v>0</v>
      </c>
      <c r="ED54" s="8">
        <f>+MINVU_Mes_Corriente!ED54*MINVU_Mes_Constante!$EC$1</f>
        <v>82428.094300321885</v>
      </c>
      <c r="EE54" s="8">
        <f>+MINVU_Mes_Corriente!EE54*MINVU_Mes_Constante!$EC$1</f>
        <v>794334.26869910979</v>
      </c>
      <c r="EF54" s="8">
        <f>+MINVU_Mes_Corriente!EF54*MINVU_Mes_Constante!$EC$1</f>
        <v>975074.63927286468</v>
      </c>
      <c r="EG54" s="8">
        <f>+MINVU_Mes_Corriente!EG54*MINVU_Mes_Constante!$EC$1</f>
        <v>1216303.1747775038</v>
      </c>
      <c r="EH54" s="8">
        <f>+MINVU_Mes_Corriente!EH54*MINVU_Mes_Constante!$EC$1</f>
        <v>1388620.946222306</v>
      </c>
      <c r="EI54" s="8">
        <f>+MINVU_Mes_Corriente!EI54*MINVU_Mes_Constante!$EC$1</f>
        <v>1518573.3130088993</v>
      </c>
      <c r="EJ54" s="8">
        <f>+MINVU_Mes_Corriente!EJ54*MINVU_Mes_Constante!$EC$1</f>
        <v>1576100.8443476609</v>
      </c>
      <c r="EK54" s="8">
        <f>+MINVU_Mes_Corriente!EK54*MINVU_Mes_Constante!$EC$1</f>
        <v>1958585.3256958902</v>
      </c>
      <c r="EL54" s="8">
        <f>+MINVU_Mes_Corriente!EL54*MINVU_Mes_Constante!$EC$1</f>
        <v>2576982.2363188784</v>
      </c>
      <c r="EM54" s="8">
        <f>+MINVU_Mes_Corriente!EM54*MINVU_Mes_Constante!$EC$1</f>
        <v>3155565.7629236877</v>
      </c>
      <c r="EN54" s="8">
        <f>+MINVU_Mes_Corriente!EN54*MINVU_Mes_Constante!$EC$1</f>
        <v>4530041.4597614072</v>
      </c>
      <c r="EO54" s="9">
        <f t="shared" si="48"/>
        <v>4530041.4597614072</v>
      </c>
      <c r="EP54" s="8">
        <f>+MINVU_Mes_Corriente!EP54*MINVU_Mes_Constante!$EP$1</f>
        <v>0</v>
      </c>
      <c r="EQ54" s="8">
        <f>+MINVU_Mes_Corriente!EQ54*MINVU_Mes_Constante!$EP$1</f>
        <v>1989837</v>
      </c>
      <c r="ER54" s="8">
        <f>+MINVU_Mes_Corriente!ER54*MINVU_Mes_Constante!$EP$1</f>
        <v>3034140</v>
      </c>
      <c r="ES54" s="8">
        <f>+MINVU_Mes_Corriente!ES54*MINVU_Mes_Constante!$EP$1</f>
        <v>5235453</v>
      </c>
      <c r="ET54" s="8">
        <f>+MINVU_Mes_Corriente!ET54*MINVU_Mes_Constante!$EP$1</f>
        <v>5730916</v>
      </c>
      <c r="EU54" s="8">
        <f>+MINVU_Mes_Corriente!EU54*MINVU_Mes_Constante!$EP$1</f>
        <v>6001353</v>
      </c>
      <c r="EV54" s="8">
        <f>+MINVU_Mes_Corriente!EV54*MINVU_Mes_Constante!$EP$1</f>
        <v>6911060</v>
      </c>
      <c r="EW54" s="8">
        <f>+MINVU_Mes_Corriente!EW54*MINVU_Mes_Constante!$EP$1</f>
        <v>7598644</v>
      </c>
      <c r="EX54" s="8">
        <f>+MINVU_Mes_Corriente!EX54*MINVU_Mes_Constante!$EP$1</f>
        <v>7724711</v>
      </c>
      <c r="EY54" s="8">
        <f>+MINVU_Mes_Corriente!EY54*MINVU_Mes_Constante!$EP$1</f>
        <v>8136264</v>
      </c>
      <c r="EZ54" s="8">
        <f>+MINVU_Mes_Corriente!EZ54*MINVU_Mes_Constante!$EP$1</f>
        <v>8334765</v>
      </c>
      <c r="FA54" s="8">
        <f>+MINVU_Mes_Corriente!FA54*MINVU_Mes_Constante!$EP$1</f>
        <v>9523479</v>
      </c>
      <c r="FB54" s="9">
        <f t="shared" si="49"/>
        <v>9523479</v>
      </c>
      <c r="FC54" s="8">
        <f>+MINVU_Mes_Corriente!FC54*MINVU_Mes_Constante!$FC$1</f>
        <v>0</v>
      </c>
      <c r="FD54" s="8">
        <f>+MINVU_Mes_Corriente!FD54*MINVU_Mes_Constante!$FC$1</f>
        <v>6644</v>
      </c>
      <c r="FE54" s="8">
        <f>+MINVU_Mes_Corriente!FE54*MINVU_Mes_Constante!$FC$1</f>
        <v>965714</v>
      </c>
      <c r="FF54" s="8">
        <f>+MINVU_Mes_Corriente!FF54*MINVU_Mes_Constante!$FC$1</f>
        <v>1538483</v>
      </c>
      <c r="FG54" s="8">
        <f>+MINVU_Mes_Corriente!FG54*MINVU_Mes_Constante!$FC$1</f>
        <v>1829965</v>
      </c>
      <c r="FH54" s="8">
        <f>+MINVU_Mes_Corriente!FH54*MINVU_Mes_Constante!$FC$1</f>
        <v>1854335</v>
      </c>
      <c r="FI54" s="8">
        <f>+MINVU_Mes_Corriente!FI54*MINVU_Mes_Constante!$FC$1</f>
        <v>1907383</v>
      </c>
      <c r="FJ54" s="8"/>
      <c r="FK54" s="8"/>
      <c r="FL54" s="8"/>
      <c r="FM54" s="8"/>
      <c r="FN54" s="8"/>
      <c r="FO54" s="9">
        <f t="shared" si="50"/>
        <v>1907383</v>
      </c>
    </row>
    <row r="55" spans="2:171" ht="14.25" customHeight="1" x14ac:dyDescent="0.3">
      <c r="B55" s="7" t="s">
        <v>46</v>
      </c>
      <c r="C55" s="8">
        <f>+MINVU_Mes_Corriente!C55*MINVU_Mes_Constante!$C$1</f>
        <v>0</v>
      </c>
      <c r="D55" s="8">
        <f>+MINVU_Mes_Corriente!D55*MINVU_Mes_Constante!$C$1</f>
        <v>372807.82352068817</v>
      </c>
      <c r="E55" s="8">
        <f>+MINVU_Mes_Corriente!E55*MINVU_Mes_Constante!$C$1</f>
        <v>897991.46107074013</v>
      </c>
      <c r="F55" s="8">
        <f>+MINVU_Mes_Corriente!F55*MINVU_Mes_Constante!$C$1</f>
        <v>1068242.94349696</v>
      </c>
      <c r="G55" s="8">
        <f>+MINVU_Mes_Corriente!G55*MINVU_Mes_Constante!$C$1</f>
        <v>1391544.3043155868</v>
      </c>
      <c r="H55" s="8">
        <f>+MINVU_Mes_Corriente!H55*MINVU_Mes_Constante!$C$1</f>
        <v>1832996.5092688717</v>
      </c>
      <c r="I55" s="8">
        <f>+MINVU_Mes_Corriente!I55*MINVU_Mes_Constante!$C$1</f>
        <v>2615453.9866528255</v>
      </c>
      <c r="J55" s="8">
        <f>+MINVU_Mes_Corriente!J55*MINVU_Mes_Constante!$C$1</f>
        <v>4002096.7412131107</v>
      </c>
      <c r="K55" s="8">
        <f>+MINVU_Mes_Corriente!K55*MINVU_Mes_Constante!$C$1</f>
        <v>7992121.8970784526</v>
      </c>
      <c r="L55" s="8">
        <f>+MINVU_Mes_Corriente!L55*MINVU_Mes_Constante!$C$1</f>
        <v>10234327.325819369</v>
      </c>
      <c r="M55" s="8">
        <f>+MINVU_Mes_Corriente!M55*MINVU_Mes_Constante!$C$1</f>
        <v>12384116.261901233</v>
      </c>
      <c r="N55" s="8">
        <f>+MINVU_Mes_Corriente!N55*MINVU_Mes_Constante!$C$1</f>
        <v>16394086.269316331</v>
      </c>
      <c r="O55" s="9">
        <f t="shared" si="38"/>
        <v>16394086.269316331</v>
      </c>
      <c r="P55" s="8">
        <f>+MINVU_Mes_Corriente!P55*MINVU_Mes_Constante!$P$1</f>
        <v>782685.92697826365</v>
      </c>
      <c r="Q55" s="8">
        <f>+MINVU_Mes_Corriente!Q55*MINVU_Mes_Constante!$P$1</f>
        <v>2162550.1645120038</v>
      </c>
      <c r="R55" s="8">
        <f>+MINVU_Mes_Corriente!R55*MINVU_Mes_Constante!$P$1</f>
        <v>3518636.1105270623</v>
      </c>
      <c r="S55" s="8">
        <f>+MINVU_Mes_Corriente!S55*MINVU_Mes_Constante!$P$1</f>
        <v>5633423.2481886614</v>
      </c>
      <c r="T55" s="8">
        <f>+MINVU_Mes_Corriente!T55*MINVU_Mes_Constante!$P$1</f>
        <v>8054604.048586444</v>
      </c>
      <c r="U55" s="8">
        <f>+MINVU_Mes_Corriente!U55*MINVU_Mes_Constante!$P$1</f>
        <v>10653227.186816305</v>
      </c>
      <c r="V55" s="8">
        <f>+MINVU_Mes_Corriente!V55*MINVU_Mes_Constante!$P$1</f>
        <v>13997005.38769711</v>
      </c>
      <c r="W55" s="8">
        <f>+MINVU_Mes_Corriente!W55*MINVU_Mes_Constante!$P$1</f>
        <v>15477458.985083103</v>
      </c>
      <c r="X55" s="8">
        <f>+MINVU_Mes_Corriente!X55*MINVU_Mes_Constante!$P$1</f>
        <v>18145605.569825251</v>
      </c>
      <c r="Y55" s="8">
        <f>+MINVU_Mes_Corriente!Y55*MINVU_Mes_Constante!$P$1</f>
        <v>22110099.780366521</v>
      </c>
      <c r="Z55" s="8">
        <f>+MINVU_Mes_Corriente!Z55*MINVU_Mes_Constante!$P$1</f>
        <v>25206499.309276875</v>
      </c>
      <c r="AA55" s="8">
        <f>+MINVU_Mes_Corriente!AA55*MINVU_Mes_Constante!$P$1</f>
        <v>33176216.145475198</v>
      </c>
      <c r="AB55" s="9">
        <f t="shared" si="39"/>
        <v>33176216.145475198</v>
      </c>
      <c r="AC55" s="8">
        <f>+MINVU_Mes_Corriente!AC55*MINVU_Mes_Constante!$AC$1</f>
        <v>0</v>
      </c>
      <c r="AD55" s="8">
        <f>+MINVU_Mes_Corriente!AD55*MINVU_Mes_Constante!$AC$1</f>
        <v>1835891.4422465072</v>
      </c>
      <c r="AE55" s="8">
        <f>+MINVU_Mes_Corriente!AE55*MINVU_Mes_Constante!$AC$1</f>
        <v>4733826.6606722921</v>
      </c>
      <c r="AF55" s="8">
        <f>+MINVU_Mes_Corriente!AF55*MINVU_Mes_Constante!$AC$1</f>
        <v>6858412.9791119099</v>
      </c>
      <c r="AG55" s="8">
        <f>+MINVU_Mes_Corriente!AG55*MINVU_Mes_Constante!$AC$1</f>
        <v>8345688.0904689441</v>
      </c>
      <c r="AH55" s="8">
        <f>+MINVU_Mes_Corriente!AH55*MINVU_Mes_Constante!$AC$1</f>
        <v>10593815.744362982</v>
      </c>
      <c r="AI55" s="8">
        <f>+MINVU_Mes_Corriente!AI55*MINVU_Mes_Constante!$AC$1</f>
        <v>11298532.920182597</v>
      </c>
      <c r="AJ55" s="8">
        <f>+MINVU_Mes_Corriente!AJ55*MINVU_Mes_Constante!$AC$1</f>
        <v>12628568.245953796</v>
      </c>
      <c r="AK55" s="8">
        <f>+MINVU_Mes_Corriente!AK55*MINVU_Mes_Constante!$AC$1</f>
        <v>15595924.145801632</v>
      </c>
      <c r="AL55" s="8">
        <f>+MINVU_Mes_Corriente!AL55*MINVU_Mes_Constante!$AC$1</f>
        <v>17651685.279291742</v>
      </c>
      <c r="AM55" s="8">
        <f>+MINVU_Mes_Corriente!AM55*MINVU_Mes_Constante!$AC$1</f>
        <v>21287585.722783234</v>
      </c>
      <c r="AN55" s="8">
        <f>+MINVU_Mes_Corriente!AN55*MINVU_Mes_Constante!$AC$1</f>
        <v>31208129.225619033</v>
      </c>
      <c r="AO55" s="9">
        <f t="shared" si="40"/>
        <v>31208129.225619033</v>
      </c>
      <c r="AP55" s="8">
        <f>+MINVU_Mes_Corriente!AP55*MINVU_Mes_Constante!$AP$1</f>
        <v>0</v>
      </c>
      <c r="AQ55" s="8">
        <f>+MINVU_Mes_Corriente!AQ55*MINVU_Mes_Constante!$AP$1</f>
        <v>313649.94643581763</v>
      </c>
      <c r="AR55" s="8">
        <f>+MINVU_Mes_Corriente!AR55*MINVU_Mes_Constante!$AP$1</f>
        <v>1309611.0799404841</v>
      </c>
      <c r="AS55" s="8">
        <f>+MINVU_Mes_Corriente!AS55*MINVU_Mes_Constante!$AP$1</f>
        <v>1331606.4347355606</v>
      </c>
      <c r="AT55" s="8">
        <f>+MINVU_Mes_Corriente!AT55*MINVU_Mes_Constante!$AP$1</f>
        <v>2667707.1161909914</v>
      </c>
      <c r="AU55" s="8">
        <f>+MINVU_Mes_Corriente!AU55*MINVU_Mes_Constante!$AP$1</f>
        <v>4122338.5670228591</v>
      </c>
      <c r="AV55" s="8">
        <f>+MINVU_Mes_Corriente!AV55*MINVU_Mes_Constante!$AP$1</f>
        <v>6262304.9565805485</v>
      </c>
      <c r="AW55" s="8">
        <f>+MINVU_Mes_Corriente!AW55*MINVU_Mes_Constante!$AP$1</f>
        <v>7710987.9223589879</v>
      </c>
      <c r="AX55" s="8">
        <f>+MINVU_Mes_Corriente!AX55*MINVU_Mes_Constante!$AP$1</f>
        <v>8857161.2349519804</v>
      </c>
      <c r="AY55" s="8">
        <f>+MINVU_Mes_Corriente!AY55*MINVU_Mes_Constante!$AP$1</f>
        <v>10078436.203435682</v>
      </c>
      <c r="AZ55" s="8">
        <f>+MINVU_Mes_Corriente!AZ55*MINVU_Mes_Constante!$AP$1</f>
        <v>12902812.37603138</v>
      </c>
      <c r="BA55" s="8">
        <f>+MINVU_Mes_Corriente!BA55*MINVU_Mes_Constante!$AP$1</f>
        <v>19193606.511835519</v>
      </c>
      <c r="BB55" s="9">
        <f t="shared" si="41"/>
        <v>19193606.511835519</v>
      </c>
      <c r="BC55" s="8">
        <f>+MINVU_Mes_Corriente!BC55*MINVU_Mes_Constante!$BC$1</f>
        <v>0</v>
      </c>
      <c r="BD55" s="8">
        <f>+MINVU_Mes_Corriente!BD55*MINVU_Mes_Constante!$BC$1</f>
        <v>1520961.733087169</v>
      </c>
      <c r="BE55" s="8">
        <f>+MINVU_Mes_Corriente!BE55*MINVU_Mes_Constante!$BC$1</f>
        <v>2859965.1502044052</v>
      </c>
      <c r="BF55" s="8">
        <f>+MINVU_Mes_Corriente!BF55*MINVU_Mes_Constante!$BC$1</f>
        <v>4033587.2828695779</v>
      </c>
      <c r="BG55" s="8">
        <f>+MINVU_Mes_Corriente!BG55*MINVU_Mes_Constante!$BC$1</f>
        <v>5223380.1260714773</v>
      </c>
      <c r="BH55" s="8">
        <f>+MINVU_Mes_Corriente!BH55*MINVU_Mes_Constante!$BC$1</f>
        <v>6394719.9451404475</v>
      </c>
      <c r="BI55" s="8">
        <f>+MINVU_Mes_Corriente!BI55*MINVU_Mes_Constante!$BC$1</f>
        <v>7381448.8350257175</v>
      </c>
      <c r="BJ55" s="8">
        <f>+MINVU_Mes_Corriente!BJ55*MINVU_Mes_Constante!$BC$1</f>
        <v>8459795.9018858001</v>
      </c>
      <c r="BK55" s="8">
        <f>+MINVU_Mes_Corriente!BK55*MINVU_Mes_Constante!$BC$1</f>
        <v>9381225.2638797332</v>
      </c>
      <c r="BL55" s="8">
        <f>+MINVU_Mes_Corriente!BL55*MINVU_Mes_Constante!$BC$1</f>
        <v>10365230.938678626</v>
      </c>
      <c r="BM55" s="8">
        <f>+MINVU_Mes_Corriente!BM55*MINVU_Mes_Constante!$BC$1</f>
        <v>11271691.262824742</v>
      </c>
      <c r="BN55" s="8">
        <f>+MINVU_Mes_Corriente!BN55*MINVU_Mes_Constante!$BC$1</f>
        <v>14876151.718844788</v>
      </c>
      <c r="BO55" s="9">
        <f t="shared" si="42"/>
        <v>14876151.718844788</v>
      </c>
      <c r="BP55" s="8">
        <f>+MINVU_Mes_Corriente!BP55*MINVU_Mes_Constante!$BP$1</f>
        <v>0</v>
      </c>
      <c r="BQ55" s="8">
        <f>+MINVU_Mes_Corriente!BQ55*MINVU_Mes_Constante!$BP$1</f>
        <v>798014.89475032024</v>
      </c>
      <c r="BR55" s="8">
        <f>+MINVU_Mes_Corriente!BR55*MINVU_Mes_Constante!$BP$1</f>
        <v>2532193.5318822027</v>
      </c>
      <c r="BS55" s="8">
        <f>+MINVU_Mes_Corriente!BS55*MINVU_Mes_Constante!$BP$1</f>
        <v>4128900.4256081949</v>
      </c>
      <c r="BT55" s="8">
        <f>+MINVU_Mes_Corriente!BT55*MINVU_Mes_Constante!$BP$1</f>
        <v>5098494.0906530097</v>
      </c>
      <c r="BU55" s="8">
        <f>+MINVU_Mes_Corriente!BU55*MINVU_Mes_Constante!$BP$1</f>
        <v>6653999.7518565953</v>
      </c>
      <c r="BV55" s="8">
        <f>+MINVU_Mes_Corriente!BV55*MINVU_Mes_Constante!$BP$1</f>
        <v>8335263.5331626134</v>
      </c>
      <c r="BW55" s="8">
        <f>+MINVU_Mes_Corriente!BW55*MINVU_Mes_Constante!$BP$1</f>
        <v>9200816.7764404621</v>
      </c>
      <c r="BX55" s="8">
        <f>+MINVU_Mes_Corriente!BX55*MINVU_Mes_Constante!$BP$1</f>
        <v>10201597.806145968</v>
      </c>
      <c r="BY55" s="8">
        <f>+MINVU_Mes_Corriente!BY55*MINVU_Mes_Constante!$BP$1</f>
        <v>11515868.299359797</v>
      </c>
      <c r="BZ55" s="8">
        <f>+MINVU_Mes_Corriente!BZ55*MINVU_Mes_Constante!$BP$1</f>
        <v>13717083.772855315</v>
      </c>
      <c r="CA55" s="8">
        <f>+MINVU_Mes_Corriente!CA55*MINVU_Mes_Constante!$BP$1</f>
        <v>17192219.08425096</v>
      </c>
      <c r="CB55" s="9">
        <f t="shared" si="43"/>
        <v>17192219.08425096</v>
      </c>
      <c r="CC55" s="8">
        <f>+MINVU_Mes_Corriente!CC55*MINVU_Mes_Constante!$CC$1</f>
        <v>0</v>
      </c>
      <c r="CD55" s="8">
        <f>+MINVU_Mes_Corriente!CD55*MINVU_Mes_Constante!$CC$1</f>
        <v>670008.45654606493</v>
      </c>
      <c r="CE55" s="8">
        <f>+MINVU_Mes_Corriente!CE55*MINVU_Mes_Constante!$CC$1</f>
        <v>1722541.0227527043</v>
      </c>
      <c r="CF55" s="8">
        <f>+MINVU_Mes_Corriente!CF55*MINVU_Mes_Constante!$CC$1</f>
        <v>2893153.994032078</v>
      </c>
      <c r="CG55" s="8">
        <f>+MINVU_Mes_Corriente!CG55*MINVU_Mes_Constante!$CC$1</f>
        <v>3974295.4822827308</v>
      </c>
      <c r="CH55" s="8">
        <f>+MINVU_Mes_Corriente!CH55*MINVU_Mes_Constante!$CC$1</f>
        <v>5662346.8601268185</v>
      </c>
      <c r="CI55" s="8">
        <f>+MINVU_Mes_Corriente!CI55*MINVU_Mes_Constante!$CC$1</f>
        <v>5830712.9474076843</v>
      </c>
      <c r="CJ55" s="8">
        <f>+MINVU_Mes_Corriente!CJ55*MINVU_Mes_Constante!$CC$1</f>
        <v>6978317.879149572</v>
      </c>
      <c r="CK55" s="8">
        <f>+MINVU_Mes_Corriente!CK55*MINVU_Mes_Constante!$CC$1</f>
        <v>7025249.5524058193</v>
      </c>
      <c r="CL55" s="8">
        <f>+MINVU_Mes_Corriente!CL55*MINVU_Mes_Constante!$CC$1</f>
        <v>7664190.2954121605</v>
      </c>
      <c r="CM55" s="8">
        <f>+MINVU_Mes_Corriente!CM55*MINVU_Mes_Constante!$CC$1</f>
        <v>8383015.9515106315</v>
      </c>
      <c r="CN55" s="8">
        <f>+MINVU_Mes_Corriente!CN55*MINVU_Mes_Constante!$CC$1</f>
        <v>12676564.453562105</v>
      </c>
      <c r="CO55" s="9">
        <f t="shared" si="44"/>
        <v>12676564.453562105</v>
      </c>
      <c r="CP55" s="8">
        <f>+MINVU_Mes_Corriente!CP55*MINVU_Mes_Constante!$CP$1</f>
        <v>0</v>
      </c>
      <c r="CQ55" s="8">
        <f>+MINVU_Mes_Corriente!CQ55*MINVU_Mes_Constante!$CP$1</f>
        <v>0</v>
      </c>
      <c r="CR55" s="8">
        <f>+MINVU_Mes_Corriente!CR55*MINVU_Mes_Constante!$CP$1</f>
        <v>630223.59466357296</v>
      </c>
      <c r="CS55" s="8">
        <f>+MINVU_Mes_Corriente!CS55*MINVU_Mes_Constante!$CP$1</f>
        <v>938158.07470997656</v>
      </c>
      <c r="CT55" s="8">
        <f>+MINVU_Mes_Corriente!CT55*MINVU_Mes_Constante!$CP$1</f>
        <v>1296053.0206496518</v>
      </c>
      <c r="CU55" s="8">
        <f>+MINVU_Mes_Corriente!CU55*MINVU_Mes_Constante!$CP$1</f>
        <v>1712104.1999999997</v>
      </c>
      <c r="CV55" s="8">
        <f>+MINVU_Mes_Corriente!CV55*MINVU_Mes_Constante!$CP$1</f>
        <v>1903181.1807424589</v>
      </c>
      <c r="CW55" s="8">
        <f>+MINVU_Mes_Corriente!CW55*MINVU_Mes_Constante!$CP$1</f>
        <v>2632610.8273781897</v>
      </c>
      <c r="CX55" s="8">
        <f>+MINVU_Mes_Corriente!CX55*MINVU_Mes_Constante!$CP$1</f>
        <v>3251502.8164733173</v>
      </c>
      <c r="CY55" s="8">
        <f>+MINVU_Mes_Corriente!CY55*MINVU_Mes_Constante!$CP$1</f>
        <v>3939399.7204176327</v>
      </c>
      <c r="CZ55" s="8">
        <f>+MINVU_Mes_Corriente!CZ55*MINVU_Mes_Constante!$CP$1</f>
        <v>4201554.0069605559</v>
      </c>
      <c r="DA55" s="8">
        <f>+MINVU_Mes_Corriente!DA55*MINVU_Mes_Constante!$CP$1</f>
        <v>5851760.2621809728</v>
      </c>
      <c r="DB55" s="9">
        <f t="shared" si="45"/>
        <v>5851760.2621809728</v>
      </c>
      <c r="DC55" s="8">
        <f>+MINVU_Mes_Corriente!DC55*MINVU_Mes_Constante!$DC$1</f>
        <v>0</v>
      </c>
      <c r="DD55" s="8">
        <f>+MINVU_Mes_Corriente!DD55*MINVU_Mes_Constante!$DC$1</f>
        <v>142350.46044645619</v>
      </c>
      <c r="DE55" s="8">
        <f>+MINVU_Mes_Corriente!DE55*MINVU_Mes_Constante!$DC$1</f>
        <v>714199.15975722694</v>
      </c>
      <c r="DF55" s="8">
        <f>+MINVU_Mes_Corriente!DF55*MINVU_Mes_Constante!$DC$1</f>
        <v>1111386.9653327852</v>
      </c>
      <c r="DG55" s="8">
        <f>+MINVU_Mes_Corriente!DG55*MINVU_Mes_Constante!$DC$1</f>
        <v>1451400.1289990749</v>
      </c>
      <c r="DH55" s="8">
        <f>+MINVU_Mes_Corriente!DH55*MINVU_Mes_Constante!$DC$1</f>
        <v>1952088.7715255641</v>
      </c>
      <c r="DI55" s="8">
        <f>+MINVU_Mes_Corriente!DI55*MINVU_Mes_Constante!$DC$1</f>
        <v>2260678.3051126436</v>
      </c>
      <c r="DJ55" s="8">
        <f>+MINVU_Mes_Corriente!DJ55*MINVU_Mes_Constante!$DC$1</f>
        <v>2658967.5899598817</v>
      </c>
      <c r="DK55" s="8">
        <f>+MINVU_Mes_Corriente!DK55*MINVU_Mes_Constante!$DC$1</f>
        <v>2931297.1002983246</v>
      </c>
      <c r="DL55" s="8">
        <f>+MINVU_Mes_Corriente!DL55*MINVU_Mes_Constante!$DC$1</f>
        <v>3528706.8624627111</v>
      </c>
      <c r="DM55" s="8">
        <f>+MINVU_Mes_Corriente!DM55*MINVU_Mes_Constante!$DC$1</f>
        <v>4083273.576792513</v>
      </c>
      <c r="DN55" s="8">
        <f>+MINVU_Mes_Corriente!DN55*MINVU_Mes_Constante!$DC$1</f>
        <v>5303002.2680794178</v>
      </c>
      <c r="DO55" s="9">
        <f t="shared" si="46"/>
        <v>5303002.2680794178</v>
      </c>
      <c r="DP55" s="8">
        <f>+MINVU_Mes_Corriente!DP55*MINVU_Mes_Constante!$DP$1</f>
        <v>0</v>
      </c>
      <c r="DQ55" s="8">
        <f>+MINVU_Mes_Corriente!DQ55*MINVU_Mes_Constante!$DP$1</f>
        <v>537391.80641330173</v>
      </c>
      <c r="DR55" s="8">
        <f>+MINVU_Mes_Corriente!DR55*MINVU_Mes_Constante!$DP$1</f>
        <v>1114440.1051068886</v>
      </c>
      <c r="DS55" s="8">
        <f>+MINVU_Mes_Corriente!DS55*MINVU_Mes_Constante!$DP$1</f>
        <v>1950786.2600950121</v>
      </c>
      <c r="DT55" s="8">
        <f>+MINVU_Mes_Corriente!DT55*MINVU_Mes_Constante!$DP$1</f>
        <v>2754742.6211401429</v>
      </c>
      <c r="DU55" s="8">
        <f>+MINVU_Mes_Corriente!DU55*MINVU_Mes_Constante!$DP$1</f>
        <v>3704984.5403800476</v>
      </c>
      <c r="DV55" s="8">
        <f>+MINVU_Mes_Corriente!DV55*MINVU_Mes_Constante!$DP$1</f>
        <v>4133712.1728028506</v>
      </c>
      <c r="DW55" s="8">
        <f>+MINVU_Mes_Corriente!DW55*MINVU_Mes_Constante!$DP$1</f>
        <v>4324073.7167458441</v>
      </c>
      <c r="DX55" s="8">
        <f>+MINVU_Mes_Corriente!DX55*MINVU_Mes_Constante!$DP$1</f>
        <v>4720853.8289786223</v>
      </c>
      <c r="DY55" s="8">
        <f>+MINVU_Mes_Corriente!DY55*MINVU_Mes_Constante!$DP$1</f>
        <v>5148889.3948931126</v>
      </c>
      <c r="DZ55" s="8">
        <f>+MINVU_Mes_Corriente!DZ55*MINVU_Mes_Constante!$DP$1</f>
        <v>5727569.4566508317</v>
      </c>
      <c r="EA55" s="8">
        <f>+MINVU_Mes_Corriente!EA55*MINVU_Mes_Constante!$DP$1</f>
        <v>6979092.7980997628</v>
      </c>
      <c r="EB55" s="9">
        <f t="shared" si="47"/>
        <v>6979092.7980997628</v>
      </c>
      <c r="EC55" s="8">
        <f>+MINVU_Mes_Corriente!EC55*MINVU_Mes_Constante!$EC$1</f>
        <v>0</v>
      </c>
      <c r="ED55" s="8">
        <f>+MINVU_Mes_Corriente!ED55*MINVU_Mes_Constante!$EC$1</f>
        <v>287846.61825411842</v>
      </c>
      <c r="EE55" s="8">
        <f>+MINVU_Mes_Corriente!EE55*MINVU_Mes_Constante!$EC$1</f>
        <v>1510535.5341791322</v>
      </c>
      <c r="EF55" s="8">
        <f>+MINVU_Mes_Corriente!EF55*MINVU_Mes_Constante!$EC$1</f>
        <v>2096385.1300889975</v>
      </c>
      <c r="EG55" s="8">
        <f>+MINVU_Mes_Corriente!EG55*MINVU_Mes_Constante!$EC$1</f>
        <v>3498948.5709145982</v>
      </c>
      <c r="EH55" s="8">
        <f>+MINVU_Mes_Corriente!EH55*MINVU_Mes_Constante!$EC$1</f>
        <v>4178787.4215110759</v>
      </c>
      <c r="EI55" s="8">
        <f>+MINVU_Mes_Corriente!EI55*MINVU_Mes_Constante!$EC$1</f>
        <v>5130002.1677712537</v>
      </c>
      <c r="EJ55" s="8">
        <f>+MINVU_Mes_Corriente!EJ55*MINVU_Mes_Constante!$EC$1</f>
        <v>5739746.8284415808</v>
      </c>
      <c r="EK55" s="8">
        <f>+MINVU_Mes_Corriente!EK55*MINVU_Mes_Constante!$EC$1</f>
        <v>6202849.0935428878</v>
      </c>
      <c r="EL55" s="8">
        <f>+MINVU_Mes_Corriente!EL55*MINVU_Mes_Constante!$EC$1</f>
        <v>6752481.0994129879</v>
      </c>
      <c r="EM55" s="8">
        <f>+MINVU_Mes_Corriente!EM55*MINVU_Mes_Constante!$EC$1</f>
        <v>7075955.6637000544</v>
      </c>
      <c r="EN55" s="8">
        <f>+MINVU_Mes_Corriente!EN55*MINVU_Mes_Constante!$EC$1</f>
        <v>8744592.3419806827</v>
      </c>
      <c r="EO55" s="9">
        <f t="shared" si="48"/>
        <v>8744592.3419806827</v>
      </c>
      <c r="EP55" s="8">
        <f>+MINVU_Mes_Corriente!EP55*MINVU_Mes_Constante!$EP$1</f>
        <v>0</v>
      </c>
      <c r="EQ55" s="8">
        <f>+MINVU_Mes_Corriente!EQ55*MINVU_Mes_Constante!$EP$1</f>
        <v>0</v>
      </c>
      <c r="ER55" s="8">
        <f>+MINVU_Mes_Corriente!ER55*MINVU_Mes_Constante!$EP$1</f>
        <v>832107</v>
      </c>
      <c r="ES55" s="8">
        <f>+MINVU_Mes_Corriente!ES55*MINVU_Mes_Constante!$EP$1</f>
        <v>2407636</v>
      </c>
      <c r="ET55" s="8">
        <f>+MINVU_Mes_Corriente!ET55*MINVU_Mes_Constante!$EP$1</f>
        <v>3152766</v>
      </c>
      <c r="EU55" s="8">
        <f>+MINVU_Mes_Corriente!EU55*MINVU_Mes_Constante!$EP$1</f>
        <v>4520387</v>
      </c>
      <c r="EV55" s="8">
        <f>+MINVU_Mes_Corriente!EV55*MINVU_Mes_Constante!$EP$1</f>
        <v>5101149</v>
      </c>
      <c r="EW55" s="8">
        <f>+MINVU_Mes_Corriente!EW55*MINVU_Mes_Constante!$EP$1</f>
        <v>5717562</v>
      </c>
      <c r="EX55" s="8">
        <f>+MINVU_Mes_Corriente!EX55*MINVU_Mes_Constante!$EP$1</f>
        <v>6966959</v>
      </c>
      <c r="EY55" s="8">
        <f>+MINVU_Mes_Corriente!EY55*MINVU_Mes_Constante!$EP$1</f>
        <v>7736069</v>
      </c>
      <c r="EZ55" s="8">
        <f>+MINVU_Mes_Corriente!EZ55*MINVU_Mes_Constante!$EP$1</f>
        <v>8038749</v>
      </c>
      <c r="FA55" s="8">
        <f>+MINVU_Mes_Corriente!FA55*MINVU_Mes_Constante!$EP$1</f>
        <v>9624301</v>
      </c>
      <c r="FB55" s="9">
        <f t="shared" si="49"/>
        <v>9624301</v>
      </c>
      <c r="FC55" s="8">
        <f>+MINVU_Mes_Corriente!FC55*MINVU_Mes_Constante!$FC$1</f>
        <v>0</v>
      </c>
      <c r="FD55" s="8">
        <f>+MINVU_Mes_Corriente!FD55*MINVU_Mes_Constante!$FC$1</f>
        <v>541326</v>
      </c>
      <c r="FE55" s="8">
        <f>+MINVU_Mes_Corriente!FE55*MINVU_Mes_Constante!$FC$1</f>
        <v>1114843</v>
      </c>
      <c r="FF55" s="8">
        <f>+MINVU_Mes_Corriente!FF55*MINVU_Mes_Constante!$FC$1</f>
        <v>1568397</v>
      </c>
      <c r="FG55" s="8">
        <f>+MINVU_Mes_Corriente!FG55*MINVU_Mes_Constante!$FC$1</f>
        <v>1765260</v>
      </c>
      <c r="FH55" s="8">
        <f>+MINVU_Mes_Corriente!FH55*MINVU_Mes_Constante!$FC$1</f>
        <v>2038550</v>
      </c>
      <c r="FI55" s="8">
        <f>+MINVU_Mes_Corriente!FI55*MINVU_Mes_Constante!$FC$1</f>
        <v>2625513</v>
      </c>
      <c r="FJ55" s="8"/>
      <c r="FK55" s="8"/>
      <c r="FL55" s="8"/>
      <c r="FM55" s="8"/>
      <c r="FN55" s="8"/>
      <c r="FO55" s="9">
        <f t="shared" si="50"/>
        <v>2625513</v>
      </c>
    </row>
    <row r="56" spans="2:171" ht="14.25" customHeight="1" x14ac:dyDescent="0.3">
      <c r="B56" s="7" t="s">
        <v>47</v>
      </c>
      <c r="C56" s="8">
        <f>+MINVU_Mes_Corriente!C56*MINVU_Mes_Constante!$C$1</f>
        <v>0</v>
      </c>
      <c r="D56" s="8">
        <f>+MINVU_Mes_Corriente!D56*MINVU_Mes_Constante!$C$1</f>
        <v>0</v>
      </c>
      <c r="E56" s="8">
        <f>+MINVU_Mes_Corriente!E56*MINVU_Mes_Constante!$C$1</f>
        <v>1267383.5930594692</v>
      </c>
      <c r="F56" s="8">
        <f>+MINVU_Mes_Corriente!F56*MINVU_Mes_Constante!$C$1</f>
        <v>2183375.4892481095</v>
      </c>
      <c r="G56" s="8">
        <f>+MINVU_Mes_Corriente!G56*MINVU_Mes_Constante!$C$1</f>
        <v>3334559.1359928818</v>
      </c>
      <c r="H56" s="8">
        <f>+MINVU_Mes_Corriente!H56*MINVU_Mes_Constante!$C$1</f>
        <v>4145139.356369569</v>
      </c>
      <c r="I56" s="8">
        <f>+MINVU_Mes_Corriente!I56*MINVU_Mes_Constante!$C$1</f>
        <v>4898555.3539967379</v>
      </c>
      <c r="J56" s="8">
        <f>+MINVU_Mes_Corriente!J56*MINVU_Mes_Constante!$C$1</f>
        <v>5344179.9525433788</v>
      </c>
      <c r="K56" s="8">
        <f>+MINVU_Mes_Corriente!K56*MINVU_Mes_Constante!$C$1</f>
        <v>5932561.9851698065</v>
      </c>
      <c r="L56" s="8">
        <f>+MINVU_Mes_Corriente!L56*MINVU_Mes_Constante!$C$1</f>
        <v>6921252.3710514614</v>
      </c>
      <c r="M56" s="8">
        <f>+MINVU_Mes_Corriente!M56*MINVU_Mes_Constante!$C$1</f>
        <v>7862533.0232834062</v>
      </c>
      <c r="N56" s="8">
        <f>+MINVU_Mes_Corriente!N56*MINVU_Mes_Constante!$C$1</f>
        <v>10426751.636956846</v>
      </c>
      <c r="O56" s="9">
        <f t="shared" si="38"/>
        <v>10426751.636956846</v>
      </c>
      <c r="P56" s="8">
        <f>+MINVU_Mes_Corriente!P56*MINVU_Mes_Constante!$P$1</f>
        <v>6351.6397215513543</v>
      </c>
      <c r="Q56" s="8">
        <f>+MINVU_Mes_Corriente!Q56*MINVU_Mes_Constante!$P$1</f>
        <v>358606.87313538842</v>
      </c>
      <c r="R56" s="8">
        <f>+MINVU_Mes_Corriente!R56*MINVU_Mes_Constante!$P$1</f>
        <v>454725.87072027259</v>
      </c>
      <c r="S56" s="8">
        <f>+MINVU_Mes_Corriente!S56*MINVU_Mes_Constante!$P$1</f>
        <v>679965.3840034093</v>
      </c>
      <c r="T56" s="8">
        <f>+MINVU_Mes_Corriente!T56*MINVU_Mes_Constante!$P$1</f>
        <v>1785191.052990481</v>
      </c>
      <c r="U56" s="8">
        <f>+MINVU_Mes_Corriente!U56*MINVU_Mes_Constante!$P$1</f>
        <v>4406577.3379741423</v>
      </c>
      <c r="V56" s="8">
        <f>+MINVU_Mes_Corriente!V56*MINVU_Mes_Constante!$P$1</f>
        <v>8179147.0995880067</v>
      </c>
      <c r="W56" s="8">
        <f>+MINVU_Mes_Corriente!W56*MINVU_Mes_Constante!$P$1</f>
        <v>10607294.214519104</v>
      </c>
      <c r="X56" s="8">
        <f>+MINVU_Mes_Corriente!X56*MINVU_Mes_Constante!$P$1</f>
        <v>14932233.113794567</v>
      </c>
      <c r="Y56" s="8">
        <f>+MINVU_Mes_Corriente!Y56*MINVU_Mes_Constante!$P$1</f>
        <v>16418810.17616138</v>
      </c>
      <c r="Z56" s="8">
        <f>+MINVU_Mes_Corriente!Z56*MINVU_Mes_Constante!$P$1</f>
        <v>17891564.816309128</v>
      </c>
      <c r="AA56" s="8">
        <f>+MINVU_Mes_Corriente!AA56*MINVU_Mes_Constante!$P$1</f>
        <v>23713680.814036075</v>
      </c>
      <c r="AB56" s="9">
        <f t="shared" si="39"/>
        <v>23713680.814036075</v>
      </c>
      <c r="AC56" s="8">
        <f>+MINVU_Mes_Corriente!AC56*MINVU_Mes_Constante!$AC$1</f>
        <v>0</v>
      </c>
      <c r="AD56" s="8">
        <f>+MINVU_Mes_Corriente!AD56*MINVU_Mes_Constante!$AC$1</f>
        <v>140899.90648775763</v>
      </c>
      <c r="AE56" s="8">
        <f>+MINVU_Mes_Corriente!AE56*MINVU_Mes_Constante!$AC$1</f>
        <v>4812927.9383040527</v>
      </c>
      <c r="AF56" s="8">
        <f>+MINVU_Mes_Corriente!AF56*MINVU_Mes_Constante!$AC$1</f>
        <v>9001724.1853645034</v>
      </c>
      <c r="AG56" s="8">
        <f>+MINVU_Mes_Corriente!AG56*MINVU_Mes_Constante!$AC$1</f>
        <v>10741086.253977036</v>
      </c>
      <c r="AH56" s="8">
        <f>+MINVU_Mes_Corriente!AH56*MINVU_Mes_Constante!$AC$1</f>
        <v>12453507.397150366</v>
      </c>
      <c r="AI56" s="8">
        <f>+MINVU_Mes_Corriente!AI56*MINVU_Mes_Constante!$AC$1</f>
        <v>15267609.105823765</v>
      </c>
      <c r="AJ56" s="8">
        <f>+MINVU_Mes_Corriente!AJ56*MINVU_Mes_Constante!$AC$1</f>
        <v>17358113.075390786</v>
      </c>
      <c r="AK56" s="8">
        <f>+MINVU_Mes_Corriente!AK56*MINVU_Mes_Constante!$AC$1</f>
        <v>19985002.179831237</v>
      </c>
      <c r="AL56" s="8">
        <f>+MINVU_Mes_Corriente!AL56*MINVU_Mes_Constante!$AC$1</f>
        <v>22134354.501314152</v>
      </c>
      <c r="AM56" s="8">
        <f>+MINVU_Mes_Corriente!AM56*MINVU_Mes_Constante!$AC$1</f>
        <v>27691146.707151748</v>
      </c>
      <c r="AN56" s="8">
        <f>+MINVU_Mes_Corriente!AN56*MINVU_Mes_Constante!$AC$1</f>
        <v>35861445.972333655</v>
      </c>
      <c r="AO56" s="9">
        <f t="shared" si="40"/>
        <v>35861445.972333655</v>
      </c>
      <c r="AP56" s="8">
        <f>+MINVU_Mes_Corriente!AP56*MINVU_Mes_Constante!$AP$1</f>
        <v>0</v>
      </c>
      <c r="AQ56" s="8">
        <f>+MINVU_Mes_Corriente!AQ56*MINVU_Mes_Constante!$AP$1</f>
        <v>637169.20546462864</v>
      </c>
      <c r="AR56" s="8">
        <f>+MINVU_Mes_Corriente!AR56*MINVU_Mes_Constante!$AP$1</f>
        <v>2082998.376301907</v>
      </c>
      <c r="AS56" s="8">
        <f>+MINVU_Mes_Corriente!AS56*MINVU_Mes_Constante!$AP$1</f>
        <v>3810475.3829297982</v>
      </c>
      <c r="AT56" s="8">
        <f>+MINVU_Mes_Corriente!AT56*MINVU_Mes_Constante!$AP$1</f>
        <v>5973430.2656567022</v>
      </c>
      <c r="AU56" s="8">
        <f>+MINVU_Mes_Corriente!AU56*MINVU_Mes_Constante!$AP$1</f>
        <v>7284103.9445421342</v>
      </c>
      <c r="AV56" s="8">
        <f>+MINVU_Mes_Corriente!AV56*MINVU_Mes_Constante!$AP$1</f>
        <v>8869807.4924928974</v>
      </c>
      <c r="AW56" s="8">
        <f>+MINVU_Mes_Corriente!AW56*MINVU_Mes_Constante!$AP$1</f>
        <v>11479152.950358447</v>
      </c>
      <c r="AX56" s="8">
        <f>+MINVU_Mes_Corriente!AX56*MINVU_Mes_Constante!$AP$1</f>
        <v>13939985.796293791</v>
      </c>
      <c r="AY56" s="8">
        <f>+MINVU_Mes_Corriente!AY56*MINVU_Mes_Constante!$AP$1</f>
        <v>16118456.98823211</v>
      </c>
      <c r="AZ56" s="8">
        <f>+MINVU_Mes_Corriente!AZ56*MINVU_Mes_Constante!$AP$1</f>
        <v>18844873.065602597</v>
      </c>
      <c r="BA56" s="8">
        <f>+MINVU_Mes_Corriente!BA56*MINVU_Mes_Constante!$AP$1</f>
        <v>24458870.001352631</v>
      </c>
      <c r="BB56" s="9">
        <f t="shared" si="41"/>
        <v>24458870.001352631</v>
      </c>
      <c r="BC56" s="8">
        <f>+MINVU_Mes_Corriente!BC56*MINVU_Mes_Constante!$BC$1</f>
        <v>0</v>
      </c>
      <c r="BD56" s="8">
        <f>+MINVU_Mes_Corriente!BD56*MINVU_Mes_Constante!$BC$1</f>
        <v>0</v>
      </c>
      <c r="BE56" s="8">
        <f>+MINVU_Mes_Corriente!BE56*MINVU_Mes_Constante!$BC$1</f>
        <v>2730126.8656204673</v>
      </c>
      <c r="BF56" s="8">
        <f>+MINVU_Mes_Corriente!BF56*MINVU_Mes_Constante!$BC$1</f>
        <v>6134474.2384280646</v>
      </c>
      <c r="BG56" s="8">
        <f>+MINVU_Mes_Corriente!BG56*MINVU_Mes_Constante!$BC$1</f>
        <v>7547642.7614400648</v>
      </c>
      <c r="BH56" s="8">
        <f>+MINVU_Mes_Corriente!BH56*MINVU_Mes_Constante!$BC$1</f>
        <v>8896137.0874324162</v>
      </c>
      <c r="BI56" s="8">
        <f>+MINVU_Mes_Corriente!BI56*MINVU_Mes_Constante!$BC$1</f>
        <v>11120745.900039565</v>
      </c>
      <c r="BJ56" s="8">
        <f>+MINVU_Mes_Corriente!BJ56*MINVU_Mes_Constante!$BC$1</f>
        <v>12751660.684161944</v>
      </c>
      <c r="BK56" s="8">
        <f>+MINVU_Mes_Corriente!BK56*MINVU_Mes_Constante!$BC$1</f>
        <v>14049651.617565611</v>
      </c>
      <c r="BL56" s="8">
        <f>+MINVU_Mes_Corriente!BL56*MINVU_Mes_Constante!$BC$1</f>
        <v>14860251.888962155</v>
      </c>
      <c r="BM56" s="8">
        <f>+MINVU_Mes_Corriente!BM56*MINVU_Mes_Constante!$BC$1</f>
        <v>15716259.250428595</v>
      </c>
      <c r="BN56" s="8">
        <f>+MINVU_Mes_Corriente!BN56*MINVU_Mes_Constante!$BC$1</f>
        <v>20852928.75009891</v>
      </c>
      <c r="BO56" s="9">
        <f t="shared" si="42"/>
        <v>20852928.75009891</v>
      </c>
      <c r="BP56" s="8">
        <f>+MINVU_Mes_Corriente!BP56*MINVU_Mes_Constante!$BP$1</f>
        <v>0</v>
      </c>
      <c r="BQ56" s="8">
        <f>+MINVU_Mes_Corriente!BQ56*MINVU_Mes_Constante!$BP$1</f>
        <v>0</v>
      </c>
      <c r="BR56" s="8">
        <f>+MINVU_Mes_Corriente!BR56*MINVU_Mes_Constante!$BP$1</f>
        <v>1274034.5539052498</v>
      </c>
      <c r="BS56" s="8">
        <f>+MINVU_Mes_Corriente!BS56*MINVU_Mes_Constante!$BP$1</f>
        <v>1972208.7518565943</v>
      </c>
      <c r="BT56" s="8">
        <f>+MINVU_Mes_Corriente!BT56*MINVU_Mes_Constante!$BP$1</f>
        <v>3629600.4122919338</v>
      </c>
      <c r="BU56" s="8">
        <f>+MINVU_Mes_Corriente!BU56*MINVU_Mes_Constante!$BP$1</f>
        <v>4781703.0445582587</v>
      </c>
      <c r="BV56" s="8">
        <f>+MINVU_Mes_Corriente!BV56*MINVU_Mes_Constante!$BP$1</f>
        <v>6709246.7001280421</v>
      </c>
      <c r="BW56" s="8">
        <f>+MINVU_Mes_Corriente!BW56*MINVU_Mes_Constante!$BP$1</f>
        <v>8195542.2368758013</v>
      </c>
      <c r="BX56" s="8">
        <f>+MINVU_Mes_Corriente!BX56*MINVU_Mes_Constante!$BP$1</f>
        <v>8581603.5633802824</v>
      </c>
      <c r="BY56" s="8">
        <f>+MINVU_Mes_Corriente!BY56*MINVU_Mes_Constante!$BP$1</f>
        <v>9741515.2778489124</v>
      </c>
      <c r="BZ56" s="8">
        <f>+MINVU_Mes_Corriente!BZ56*MINVU_Mes_Constante!$BP$1</f>
        <v>11099123.239436621</v>
      </c>
      <c r="CA56" s="8">
        <f>+MINVU_Mes_Corriente!CA56*MINVU_Mes_Constante!$BP$1</f>
        <v>19454025.593085788</v>
      </c>
      <c r="CB56" s="9">
        <f t="shared" si="43"/>
        <v>19454025.593085788</v>
      </c>
      <c r="CC56" s="8">
        <f>+MINVU_Mes_Corriente!CC56*MINVU_Mes_Constante!$CC$1</f>
        <v>0</v>
      </c>
      <c r="CD56" s="8">
        <f>+MINVU_Mes_Corriente!CD56*MINVU_Mes_Constante!$CC$1</f>
        <v>0</v>
      </c>
      <c r="CE56" s="8">
        <f>+MINVU_Mes_Corriente!CE56*MINVU_Mes_Constante!$CC$1</f>
        <v>1395861.3659082432</v>
      </c>
      <c r="CF56" s="8">
        <f>+MINVU_Mes_Corriente!CF56*MINVU_Mes_Constante!$CC$1</f>
        <v>2398703.2502797465</v>
      </c>
      <c r="CG56" s="8">
        <f>+MINVU_Mes_Corriente!CG56*MINVU_Mes_Constante!$CC$1</f>
        <v>3533450.4684819099</v>
      </c>
      <c r="CH56" s="8">
        <f>+MINVU_Mes_Corriente!CH56*MINVU_Mes_Constante!$CC$1</f>
        <v>5294601.3099589711</v>
      </c>
      <c r="CI56" s="8">
        <f>+MINVU_Mes_Corriente!CI56*MINVU_Mes_Constante!$CC$1</f>
        <v>7334258.5132413283</v>
      </c>
      <c r="CJ56" s="8">
        <f>+MINVU_Mes_Corriente!CJ56*MINVU_Mes_Constante!$CC$1</f>
        <v>10059161.888101455</v>
      </c>
      <c r="CK56" s="8">
        <f>+MINVU_Mes_Corriente!CK56*MINVU_Mes_Constante!$CC$1</f>
        <v>13057419.030212609</v>
      </c>
      <c r="CL56" s="8">
        <f>+MINVU_Mes_Corriente!CL56*MINVU_Mes_Constante!$CC$1</f>
        <v>15555017.319656845</v>
      </c>
      <c r="CM56" s="8">
        <f>+MINVU_Mes_Corriente!CM56*MINVU_Mes_Constante!$CC$1</f>
        <v>17677228.787019771</v>
      </c>
      <c r="CN56" s="8">
        <f>+MINVU_Mes_Corriente!CN56*MINVU_Mes_Constante!$CC$1</f>
        <v>23534468.155165985</v>
      </c>
      <c r="CO56" s="9">
        <f t="shared" si="44"/>
        <v>23534468.155165985</v>
      </c>
      <c r="CP56" s="8">
        <f>+MINVU_Mes_Corriente!CP56*MINVU_Mes_Constante!$CP$1</f>
        <v>0</v>
      </c>
      <c r="CQ56" s="8">
        <f>+MINVU_Mes_Corriente!CQ56*MINVU_Mes_Constante!$CP$1</f>
        <v>0</v>
      </c>
      <c r="CR56" s="8">
        <f>+MINVU_Mes_Corriente!CR56*MINVU_Mes_Constante!$CP$1</f>
        <v>3168721.2549883984</v>
      </c>
      <c r="CS56" s="8">
        <f>+MINVU_Mes_Corriente!CS56*MINVU_Mes_Constante!$CP$1</f>
        <v>5473860.0890951268</v>
      </c>
      <c r="CT56" s="8">
        <f>+MINVU_Mes_Corriente!CT56*MINVU_Mes_Constante!$CP$1</f>
        <v>7927553.230162411</v>
      </c>
      <c r="CU56" s="8">
        <f>+MINVU_Mes_Corriente!CU56*MINVU_Mes_Constante!$CP$1</f>
        <v>9596517.4754060302</v>
      </c>
      <c r="CV56" s="8">
        <f>+MINVU_Mes_Corriente!CV56*MINVU_Mes_Constante!$CP$1</f>
        <v>11811329.216937352</v>
      </c>
      <c r="CW56" s="8">
        <f>+MINVU_Mes_Corriente!CW56*MINVU_Mes_Constante!$CP$1</f>
        <v>13463583.78027842</v>
      </c>
      <c r="CX56" s="8">
        <f>+MINVU_Mes_Corriente!CX56*MINVU_Mes_Constante!$CP$1</f>
        <v>17700861.497679811</v>
      </c>
      <c r="CY56" s="8">
        <f>+MINVU_Mes_Corriente!CY56*MINVU_Mes_Constante!$CP$1</f>
        <v>21617611.949651968</v>
      </c>
      <c r="CZ56" s="8">
        <f>+MINVU_Mes_Corriente!CZ56*MINVU_Mes_Constante!$CP$1</f>
        <v>25744711.984454751</v>
      </c>
      <c r="DA56" s="8">
        <f>+MINVU_Mes_Corriente!DA56*MINVU_Mes_Constante!$CP$1</f>
        <v>36171420.402320176</v>
      </c>
      <c r="DB56" s="9">
        <f t="shared" si="45"/>
        <v>36171420.402320176</v>
      </c>
      <c r="DC56" s="8">
        <f>+MINVU_Mes_Corriente!DC56*MINVU_Mes_Constante!$DC$1</f>
        <v>0</v>
      </c>
      <c r="DD56" s="8">
        <f>+MINVU_Mes_Corriente!DD56*MINVU_Mes_Constante!$DC$1</f>
        <v>1589577.331755993</v>
      </c>
      <c r="DE56" s="8">
        <f>+MINVU_Mes_Corriente!DE56*MINVU_Mes_Constante!$DC$1</f>
        <v>5215121.081575972</v>
      </c>
      <c r="DF56" s="8">
        <f>+MINVU_Mes_Corriente!DF56*MINVU_Mes_Constante!$DC$1</f>
        <v>8291151.434214591</v>
      </c>
      <c r="DG56" s="8">
        <f>+MINVU_Mes_Corriente!DG56*MINVU_Mes_Constante!$DC$1</f>
        <v>11858121.213866891</v>
      </c>
      <c r="DH56" s="8">
        <f>+MINVU_Mes_Corriente!DH56*MINVU_Mes_Constante!$DC$1</f>
        <v>14510923.891780687</v>
      </c>
      <c r="DI56" s="8">
        <f>+MINVU_Mes_Corriente!DI56*MINVU_Mes_Constante!$DC$1</f>
        <v>17752571.768542338</v>
      </c>
      <c r="DJ56" s="8">
        <f>+MINVU_Mes_Corriente!DJ56*MINVU_Mes_Constante!$DC$1</f>
        <v>19920071.67102151</v>
      </c>
      <c r="DK56" s="8">
        <f>+MINVU_Mes_Corriente!DK56*MINVU_Mes_Constante!$DC$1</f>
        <v>22726931.960497901</v>
      </c>
      <c r="DL56" s="8">
        <f>+MINVU_Mes_Corriente!DL56*MINVU_Mes_Constante!$DC$1</f>
        <v>23767863.590988591</v>
      </c>
      <c r="DM56" s="8">
        <f>+MINVU_Mes_Corriente!DM56*MINVU_Mes_Constante!$DC$1</f>
        <v>25670400.406748287</v>
      </c>
      <c r="DN56" s="8">
        <f>+MINVU_Mes_Corriente!DN56*MINVU_Mes_Constante!$DC$1</f>
        <v>29188183.517127883</v>
      </c>
      <c r="DO56" s="9">
        <f t="shared" si="46"/>
        <v>29188183.517127883</v>
      </c>
      <c r="DP56" s="8">
        <f>+MINVU_Mes_Corriente!DP56*MINVU_Mes_Constante!$DP$1</f>
        <v>0</v>
      </c>
      <c r="DQ56" s="8">
        <f>+MINVU_Mes_Corriente!DQ56*MINVU_Mes_Constante!$DP$1</f>
        <v>0</v>
      </c>
      <c r="DR56" s="8">
        <f>+MINVU_Mes_Corriente!DR56*MINVU_Mes_Constante!$DP$1</f>
        <v>0</v>
      </c>
      <c r="DS56" s="8">
        <f>+MINVU_Mes_Corriente!DS56*MINVU_Mes_Constante!$DP$1</f>
        <v>470925.30641330173</v>
      </c>
      <c r="DT56" s="8">
        <f>+MINVU_Mes_Corriente!DT56*MINVU_Mes_Constante!$DP$1</f>
        <v>3197384.0344418054</v>
      </c>
      <c r="DU56" s="8">
        <f>+MINVU_Mes_Corriente!DU56*MINVU_Mes_Constante!$DP$1</f>
        <v>5904562.222090262</v>
      </c>
      <c r="DV56" s="8">
        <f>+MINVU_Mes_Corriente!DV56*MINVU_Mes_Constante!$DP$1</f>
        <v>7049459.7416864615</v>
      </c>
      <c r="DW56" s="8">
        <f>+MINVU_Mes_Corriente!DW56*MINVU_Mes_Constante!$DP$1</f>
        <v>8177216.7203087891</v>
      </c>
      <c r="DX56" s="8">
        <f>+MINVU_Mes_Corriente!DX56*MINVU_Mes_Constante!$DP$1</f>
        <v>10089405.133610452</v>
      </c>
      <c r="DY56" s="8">
        <f>+MINVU_Mes_Corriente!DY56*MINVU_Mes_Constante!$DP$1</f>
        <v>10643001.028503563</v>
      </c>
      <c r="DZ56" s="8">
        <f>+MINVU_Mes_Corriente!DZ56*MINVU_Mes_Constante!$DP$1</f>
        <v>11979545.821852732</v>
      </c>
      <c r="EA56" s="8">
        <f>+MINVU_Mes_Corriente!EA56*MINVU_Mes_Constante!$DP$1</f>
        <v>16736486.59382423</v>
      </c>
      <c r="EB56" s="9">
        <f t="shared" si="47"/>
        <v>16736486.59382423</v>
      </c>
      <c r="EC56" s="8">
        <f>+MINVU_Mes_Corriente!EC56*MINVU_Mes_Constante!$EC$1</f>
        <v>0</v>
      </c>
      <c r="ED56" s="8">
        <f>+MINVU_Mes_Corriente!ED56*MINVU_Mes_Constante!$EC$1</f>
        <v>522614.93126301822</v>
      </c>
      <c r="EE56" s="8">
        <f>+MINVU_Mes_Corriente!EE56*MINVU_Mes_Constante!$EC$1</f>
        <v>1614330.4652527925</v>
      </c>
      <c r="EF56" s="8">
        <f>+MINVU_Mes_Corriente!EF56*MINVU_Mes_Constante!$EC$1</f>
        <v>4680480.3351637935</v>
      </c>
      <c r="EG56" s="8">
        <f>+MINVU_Mes_Corriente!EG56*MINVU_Mes_Constante!$EC$1</f>
        <v>5303673.0170422252</v>
      </c>
      <c r="EH56" s="8">
        <f>+MINVU_Mes_Corriente!EH56*MINVU_Mes_Constante!$EC$1</f>
        <v>6542491.2827116055</v>
      </c>
      <c r="EI56" s="8">
        <f>+MINVU_Mes_Corriente!EI56*MINVU_Mes_Constante!$EC$1</f>
        <v>7885005.1709903404</v>
      </c>
      <c r="EJ56" s="8">
        <f>+MINVU_Mes_Corriente!EJ56*MINVU_Mes_Constante!$EC$1</f>
        <v>9326056.8485135362</v>
      </c>
      <c r="EK56" s="8">
        <f>+MINVU_Mes_Corriente!EK56*MINVU_Mes_Constante!$EC$1</f>
        <v>9833741.3728460483</v>
      </c>
      <c r="EL56" s="8">
        <f>+MINVU_Mes_Corriente!EL56*MINVU_Mes_Constante!$EC$1</f>
        <v>10572162.907214539</v>
      </c>
      <c r="EM56" s="8">
        <f>+MINVU_Mes_Corriente!EM56*MINVU_Mes_Constante!$EC$1</f>
        <v>11049669.037492895</v>
      </c>
      <c r="EN56" s="8">
        <f>+MINVU_Mes_Corriente!EN56*MINVU_Mes_Constante!$EC$1</f>
        <v>14711801.070062483</v>
      </c>
      <c r="EO56" s="9">
        <f t="shared" si="48"/>
        <v>14711801.070062483</v>
      </c>
      <c r="EP56" s="8">
        <f>+MINVU_Mes_Corriente!EP56*MINVU_Mes_Constante!$EP$1</f>
        <v>0</v>
      </c>
      <c r="EQ56" s="8">
        <f>+MINVU_Mes_Corriente!EQ56*MINVU_Mes_Constante!$EP$1</f>
        <v>15654</v>
      </c>
      <c r="ER56" s="8">
        <f>+MINVU_Mes_Corriente!ER56*MINVU_Mes_Constante!$EP$1</f>
        <v>1221981</v>
      </c>
      <c r="ES56" s="8">
        <f>+MINVU_Mes_Corriente!ES56*MINVU_Mes_Constante!$EP$1</f>
        <v>2116938</v>
      </c>
      <c r="ET56" s="8">
        <f>+MINVU_Mes_Corriente!ET56*MINVU_Mes_Constante!$EP$1</f>
        <v>3506670</v>
      </c>
      <c r="EU56" s="8">
        <f>+MINVU_Mes_Corriente!EU56*MINVU_Mes_Constante!$EP$1</f>
        <v>4366354</v>
      </c>
      <c r="EV56" s="8">
        <f>+MINVU_Mes_Corriente!EV56*MINVU_Mes_Constante!$EP$1</f>
        <v>5588134</v>
      </c>
      <c r="EW56" s="8">
        <f>+MINVU_Mes_Corriente!EW56*MINVU_Mes_Constante!$EP$1</f>
        <v>6509294</v>
      </c>
      <c r="EX56" s="8">
        <f>+MINVU_Mes_Corriente!EX56*MINVU_Mes_Constante!$EP$1</f>
        <v>7740606</v>
      </c>
      <c r="EY56" s="8">
        <f>+MINVU_Mes_Corriente!EY56*MINVU_Mes_Constante!$EP$1</f>
        <v>8339500</v>
      </c>
      <c r="EZ56" s="8">
        <f>+MINVU_Mes_Corriente!EZ56*MINVU_Mes_Constante!$EP$1</f>
        <v>9479079</v>
      </c>
      <c r="FA56" s="8">
        <f>+MINVU_Mes_Corriente!FA56*MINVU_Mes_Constante!$EP$1</f>
        <v>12476694</v>
      </c>
      <c r="FB56" s="9">
        <f t="shared" si="49"/>
        <v>12476694</v>
      </c>
      <c r="FC56" s="8">
        <f>+MINVU_Mes_Corriente!FC56*MINVU_Mes_Constante!$FC$1</f>
        <v>0</v>
      </c>
      <c r="FD56" s="8">
        <f>+MINVU_Mes_Corriente!FD56*MINVU_Mes_Constante!$FC$1</f>
        <v>0</v>
      </c>
      <c r="FE56" s="8">
        <f>+MINVU_Mes_Corriente!FE56*MINVU_Mes_Constante!$FC$1</f>
        <v>2568599</v>
      </c>
      <c r="FF56" s="8">
        <f>+MINVU_Mes_Corriente!FF56*MINVU_Mes_Constante!$FC$1</f>
        <v>3613313</v>
      </c>
      <c r="FG56" s="8">
        <f>+MINVU_Mes_Corriente!FG56*MINVU_Mes_Constante!$FC$1</f>
        <v>4523333</v>
      </c>
      <c r="FH56" s="8">
        <f>+MINVU_Mes_Corriente!FH56*MINVU_Mes_Constante!$FC$1</f>
        <v>5273951</v>
      </c>
      <c r="FI56" s="8">
        <f>+MINVU_Mes_Corriente!FI56*MINVU_Mes_Constante!$FC$1</f>
        <v>5934564</v>
      </c>
      <c r="FJ56" s="8"/>
      <c r="FK56" s="8"/>
      <c r="FL56" s="8"/>
      <c r="FM56" s="8"/>
      <c r="FN56" s="8"/>
      <c r="FO56" s="9">
        <f t="shared" si="50"/>
        <v>5934564</v>
      </c>
    </row>
    <row r="57" spans="2:171" ht="14.25" customHeight="1" x14ac:dyDescent="0.3">
      <c r="B57" s="7" t="s">
        <v>48</v>
      </c>
      <c r="C57" s="8">
        <f>+MINVU_Mes_Corriente!C57*MINVU_Mes_Constante!$C$1</f>
        <v>0</v>
      </c>
      <c r="D57" s="8">
        <f>+MINVU_Mes_Corriente!D57*MINVU_Mes_Constante!$C$1</f>
        <v>0</v>
      </c>
      <c r="E57" s="8">
        <f>+MINVU_Mes_Corriente!E57*MINVU_Mes_Constante!$C$1</f>
        <v>1779883.1540857188</v>
      </c>
      <c r="F57" s="8">
        <f>+MINVU_Mes_Corriente!F57*MINVU_Mes_Constante!$C$1</f>
        <v>3133164.583716447</v>
      </c>
      <c r="G57" s="8">
        <f>+MINVU_Mes_Corriente!G57*MINVU_Mes_Constante!$C$1</f>
        <v>4965730.0806762576</v>
      </c>
      <c r="H57" s="8">
        <f>+MINVU_Mes_Corriente!H57*MINVU_Mes_Constante!$C$1</f>
        <v>6332369.651193832</v>
      </c>
      <c r="I57" s="8">
        <f>+MINVU_Mes_Corriente!I57*MINVU_Mes_Constante!$C$1</f>
        <v>7612338.4796084836</v>
      </c>
      <c r="J57" s="8">
        <f>+MINVU_Mes_Corriente!J57*MINVU_Mes_Constante!$C$1</f>
        <v>8665591.592762867</v>
      </c>
      <c r="K57" s="8">
        <f>+MINVU_Mes_Corriente!K57*MINVU_Mes_Constante!$C$1</f>
        <v>9189942.371941274</v>
      </c>
      <c r="L57" s="8">
        <f>+MINVU_Mes_Corriente!L57*MINVU_Mes_Constante!$C$1</f>
        <v>10109821.480646597</v>
      </c>
      <c r="M57" s="8">
        <f>+MINVU_Mes_Corriente!M57*MINVU_Mes_Constante!$C$1</f>
        <v>12591447.765682932</v>
      </c>
      <c r="N57" s="8">
        <f>+MINVU_Mes_Corriente!N57*MINVU_Mes_Constante!$C$1</f>
        <v>14923025.055020023</v>
      </c>
      <c r="O57" s="9">
        <f t="shared" si="38"/>
        <v>14923025.055020023</v>
      </c>
      <c r="P57" s="8">
        <f>+MINVU_Mes_Corriente!P57*MINVU_Mes_Constante!$P$1</f>
        <v>13968.329876402893</v>
      </c>
      <c r="Q57" s="8">
        <f>+MINVU_Mes_Corriente!Q57*MINVU_Mes_Constante!$P$1</f>
        <v>37343.047023724946</v>
      </c>
      <c r="R57" s="8">
        <f>+MINVU_Mes_Corriente!R57*MINVU_Mes_Constante!$P$1</f>
        <v>404524.32334138354</v>
      </c>
      <c r="S57" s="8">
        <f>+MINVU_Mes_Corriente!S57*MINVU_Mes_Constante!$P$1</f>
        <v>645720.54638442933</v>
      </c>
      <c r="T57" s="8">
        <f>+MINVU_Mes_Corriente!T57*MINVU_Mes_Constante!$P$1</f>
        <v>944410.5952550075</v>
      </c>
      <c r="U57" s="8">
        <f>+MINVU_Mes_Corriente!U57*MINVU_Mes_Constante!$P$1</f>
        <v>1387541.4638442956</v>
      </c>
      <c r="V57" s="8">
        <f>+MINVU_Mes_Corriente!V57*MINVU_Mes_Constante!$P$1</f>
        <v>1733224.6438414541</v>
      </c>
      <c r="W57" s="8">
        <f>+MINVU_Mes_Corriente!W57*MINVU_Mes_Constante!$P$1</f>
        <v>1920655.4473646819</v>
      </c>
      <c r="X57" s="8">
        <f>+MINVU_Mes_Corriente!X57*MINVU_Mes_Constante!$P$1</f>
        <v>2196287.4297485431</v>
      </c>
      <c r="Y57" s="8">
        <f>+MINVU_Mes_Corriente!Y57*MINVU_Mes_Constante!$P$1</f>
        <v>2659988.1736042043</v>
      </c>
      <c r="Z57" s="8">
        <f>+MINVU_Mes_Corriente!Z57*MINVU_Mes_Constante!$P$1</f>
        <v>3062106.5728086364</v>
      </c>
      <c r="AA57" s="8">
        <f>+MINVU_Mes_Corriente!AA57*MINVU_Mes_Constante!$P$1</f>
        <v>6206903.9820997277</v>
      </c>
      <c r="AB57" s="9">
        <f t="shared" si="39"/>
        <v>6206903.9820997277</v>
      </c>
      <c r="AC57" s="8">
        <f>+MINVU_Mes_Corriente!AC57*MINVU_Mes_Constante!$AC$1</f>
        <v>0</v>
      </c>
      <c r="AD57" s="8">
        <f>+MINVU_Mes_Corriente!AD57*MINVU_Mes_Constante!$AC$1</f>
        <v>25078.865403236963</v>
      </c>
      <c r="AE57" s="8">
        <f>+MINVU_Mes_Corriente!AE57*MINVU_Mes_Constante!$AC$1</f>
        <v>2024121.2270023515</v>
      </c>
      <c r="AF57" s="8">
        <f>+MINVU_Mes_Corriente!AF57*MINVU_Mes_Constante!$AC$1</f>
        <v>5098541.0446811449</v>
      </c>
      <c r="AG57" s="8">
        <f>+MINVU_Mes_Corriente!AG57*MINVU_Mes_Constante!$AC$1</f>
        <v>5827424.1928344173</v>
      </c>
      <c r="AH57" s="8">
        <f>+MINVU_Mes_Corriente!AH57*MINVU_Mes_Constante!$AC$1</f>
        <v>7336244.4874809794</v>
      </c>
      <c r="AI57" s="8">
        <f>+MINVU_Mes_Corriente!AI57*MINVU_Mes_Constante!$AC$1</f>
        <v>7917127.1138470052</v>
      </c>
      <c r="AJ57" s="8">
        <f>+MINVU_Mes_Corriente!AJ57*MINVU_Mes_Constante!$AC$1</f>
        <v>9614101.6226310693</v>
      </c>
      <c r="AK57" s="8">
        <f>+MINVU_Mes_Corriente!AK57*MINVU_Mes_Constante!$AC$1</f>
        <v>12428561.536035413</v>
      </c>
      <c r="AL57" s="8">
        <f>+MINVU_Mes_Corriente!AL57*MINVU_Mes_Constante!$AC$1</f>
        <v>14600077.2084659</v>
      </c>
      <c r="AM57" s="8">
        <f>+MINVU_Mes_Corriente!AM57*MINVU_Mes_Constante!$AC$1</f>
        <v>17299174.038732883</v>
      </c>
      <c r="AN57" s="8">
        <f>+MINVU_Mes_Corriente!AN57*MINVU_Mes_Constante!$AC$1</f>
        <v>21565647.812975515</v>
      </c>
      <c r="AO57" s="9">
        <f t="shared" si="40"/>
        <v>21565647.812975515</v>
      </c>
      <c r="AP57" s="8">
        <f>+MINVU_Mes_Corriente!AP57*MINVU_Mes_Constante!$AP$1</f>
        <v>0</v>
      </c>
      <c r="AQ57" s="8">
        <f>+MINVU_Mes_Corriente!AQ57*MINVU_Mes_Constante!$AP$1</f>
        <v>48838.170702015414</v>
      </c>
      <c r="AR57" s="8">
        <f>+MINVU_Mes_Corriente!AR57*MINVU_Mes_Constante!$AP$1</f>
        <v>6141080.0037873657</v>
      </c>
      <c r="AS57" s="8">
        <f>+MINVU_Mes_Corriente!AS57*MINVU_Mes_Constante!$AP$1</f>
        <v>8816866.7144596241</v>
      </c>
      <c r="AT57" s="8">
        <f>+MINVU_Mes_Corriente!AT57*MINVU_Mes_Constante!$AP$1</f>
        <v>9894584.4176924117</v>
      </c>
      <c r="AU57" s="8">
        <f>+MINVU_Mes_Corriente!AU57*MINVU_Mes_Constante!$AP$1</f>
        <v>13903963.839848505</v>
      </c>
      <c r="AV57" s="8">
        <f>+MINVU_Mes_Corriente!AV57*MINVU_Mes_Constante!$AP$1</f>
        <v>15682897.828486405</v>
      </c>
      <c r="AW57" s="8">
        <f>+MINVU_Mes_Corriente!AW57*MINVU_Mes_Constante!$AP$1</f>
        <v>17956798.977411062</v>
      </c>
      <c r="AX57" s="8">
        <f>+MINVU_Mes_Corriente!AX57*MINVU_Mes_Constante!$AP$1</f>
        <v>19520714.074394695</v>
      </c>
      <c r="AY57" s="8">
        <f>+MINVU_Mes_Corriente!AY57*MINVU_Mes_Constante!$AP$1</f>
        <v>21555599.921276882</v>
      </c>
      <c r="AZ57" s="8">
        <f>+MINVU_Mes_Corriente!AZ57*MINVU_Mes_Constante!$AP$1</f>
        <v>23069965.98512106</v>
      </c>
      <c r="BA57" s="8">
        <f>+MINVU_Mes_Corriente!BA57*MINVU_Mes_Constante!$AP$1</f>
        <v>28753951.09644258</v>
      </c>
      <c r="BB57" s="9">
        <f t="shared" si="41"/>
        <v>28753951.09644258</v>
      </c>
      <c r="BC57" s="8">
        <f>+MINVU_Mes_Corriente!BC57*MINVU_Mes_Constante!$BC$1</f>
        <v>0</v>
      </c>
      <c r="BD57" s="8">
        <f>+MINVU_Mes_Corriente!BD57*MINVU_Mes_Constante!$BC$1</f>
        <v>0</v>
      </c>
      <c r="BE57" s="8">
        <f>+MINVU_Mes_Corriente!BE57*MINVU_Mes_Constante!$BC$1</f>
        <v>3717718.8273770283</v>
      </c>
      <c r="BF57" s="8">
        <f>+MINVU_Mes_Corriente!BF57*MINVU_Mes_Constante!$BC$1</f>
        <v>5456380.7142291982</v>
      </c>
      <c r="BG57" s="8">
        <f>+MINVU_Mes_Corriente!BG57*MINVU_Mes_Constante!$BC$1</f>
        <v>7131604.6572596617</v>
      </c>
      <c r="BH57" s="8">
        <f>+MINVU_Mes_Corriente!BH57*MINVU_Mes_Constante!$BC$1</f>
        <v>8113143.5890808403</v>
      </c>
      <c r="BI57" s="8">
        <f>+MINVU_Mes_Corriente!BI57*MINVU_Mes_Constante!$BC$1</f>
        <v>9175592.2669128329</v>
      </c>
      <c r="BJ57" s="8">
        <f>+MINVU_Mes_Corriente!BJ57*MINVU_Mes_Constante!$BC$1</f>
        <v>10510051.228801269</v>
      </c>
      <c r="BK57" s="8">
        <f>+MINVU_Mes_Corriente!BK57*MINVU_Mes_Constante!$BC$1</f>
        <v>12026644.290913889</v>
      </c>
      <c r="BL57" s="8">
        <f>+MINVU_Mes_Corriente!BL57*MINVU_Mes_Constante!$BC$1</f>
        <v>13449436.281418966</v>
      </c>
      <c r="BM57" s="8">
        <f>+MINVU_Mes_Corriente!BM57*MINVU_Mes_Constante!$BC$1</f>
        <v>16021152.716866679</v>
      </c>
      <c r="BN57" s="8">
        <f>+MINVU_Mes_Corriente!BN57*MINVU_Mes_Constante!$BC$1</f>
        <v>21404064.257945411</v>
      </c>
      <c r="BO57" s="9">
        <f t="shared" si="42"/>
        <v>21404064.257945411</v>
      </c>
      <c r="BP57" s="8">
        <f>+MINVU_Mes_Corriente!BP57*MINVU_Mes_Constante!$BP$1</f>
        <v>0</v>
      </c>
      <c r="BQ57" s="8">
        <f>+MINVU_Mes_Corriente!BQ57*MINVU_Mes_Constante!$BP$1</f>
        <v>0</v>
      </c>
      <c r="BR57" s="8">
        <f>+MINVU_Mes_Corriente!BR57*MINVU_Mes_Constante!$BP$1</f>
        <v>3851808.1121638929</v>
      </c>
      <c r="BS57" s="8">
        <f>+MINVU_Mes_Corriente!BS57*MINVU_Mes_Constante!$BP$1</f>
        <v>5157866.6181818191</v>
      </c>
      <c r="BT57" s="8">
        <f>+MINVU_Mes_Corriente!BT57*MINVU_Mes_Constante!$BP$1</f>
        <v>7068034.9959026901</v>
      </c>
      <c r="BU57" s="8">
        <f>+MINVU_Mes_Corriente!BU57*MINVU_Mes_Constante!$BP$1</f>
        <v>8853002.0458386689</v>
      </c>
      <c r="BV57" s="8">
        <f>+MINVU_Mes_Corriente!BV57*MINVU_Mes_Constante!$BP$1</f>
        <v>9908227.0117797703</v>
      </c>
      <c r="BW57" s="8">
        <f>+MINVU_Mes_Corriente!BW57*MINVU_Mes_Constante!$BP$1</f>
        <v>10799231.819462229</v>
      </c>
      <c r="BX57" s="8">
        <f>+MINVU_Mes_Corriente!BX57*MINVU_Mes_Constante!$BP$1</f>
        <v>11837215.809218951</v>
      </c>
      <c r="BY57" s="8">
        <f>+MINVU_Mes_Corriente!BY57*MINVU_Mes_Constante!$BP$1</f>
        <v>12821702.969270168</v>
      </c>
      <c r="BZ57" s="8">
        <f>+MINVU_Mes_Corriente!BZ57*MINVU_Mes_Constante!$BP$1</f>
        <v>14311719.781306019</v>
      </c>
      <c r="CA57" s="8">
        <f>+MINVU_Mes_Corriente!CA57*MINVU_Mes_Constante!$BP$1</f>
        <v>19187683.008706789</v>
      </c>
      <c r="CB57" s="9">
        <f t="shared" si="43"/>
        <v>19187683.008706789</v>
      </c>
      <c r="CC57" s="8">
        <f>+MINVU_Mes_Corriente!CC57*MINVU_Mes_Constante!$CC$1</f>
        <v>0</v>
      </c>
      <c r="CD57" s="8">
        <f>+MINVU_Mes_Corriente!CD57*MINVU_Mes_Constante!$CC$1</f>
        <v>0</v>
      </c>
      <c r="CE57" s="8">
        <f>+MINVU_Mes_Corriente!CE57*MINVU_Mes_Constante!$CC$1</f>
        <v>3035191.994032078</v>
      </c>
      <c r="CF57" s="8">
        <f>+MINVU_Mes_Corriente!CF57*MINVU_Mes_Constante!$CC$1</f>
        <v>4386215.0555762779</v>
      </c>
      <c r="CG57" s="8">
        <f>+MINVU_Mes_Corriente!CG57*MINVU_Mes_Constante!$CC$1</f>
        <v>5563552.3461395008</v>
      </c>
      <c r="CH57" s="8">
        <f>+MINVU_Mes_Corriente!CH57*MINVU_Mes_Constante!$CC$1</f>
        <v>6297686.3565833652</v>
      </c>
      <c r="CI57" s="8">
        <f>+MINVU_Mes_Corriente!CI57*MINVU_Mes_Constante!$CC$1</f>
        <v>6823737.3256247677</v>
      </c>
      <c r="CJ57" s="8">
        <f>+MINVU_Mes_Corriente!CJ57*MINVU_Mes_Constante!$CC$1</f>
        <v>7505617.262215592</v>
      </c>
      <c r="CK57" s="8">
        <f>+MINVU_Mes_Corriente!CK57*MINVU_Mes_Constante!$CC$1</f>
        <v>8188218.5348750474</v>
      </c>
      <c r="CL57" s="8">
        <f>+MINVU_Mes_Corriente!CL57*MINVU_Mes_Constante!$CC$1</f>
        <v>8675542.8586348388</v>
      </c>
      <c r="CM57" s="8">
        <f>+MINVU_Mes_Corriente!CM57*MINVU_Mes_Constante!$CC$1</f>
        <v>9822482.1506900415</v>
      </c>
      <c r="CN57" s="8">
        <f>+MINVU_Mes_Corriente!CN57*MINVU_Mes_Constante!$CC$1</f>
        <v>17025371.917195078</v>
      </c>
      <c r="CO57" s="9">
        <f t="shared" si="44"/>
        <v>17025371.917195078</v>
      </c>
      <c r="CP57" s="8">
        <f>+MINVU_Mes_Corriente!CP57*MINVU_Mes_Constante!$CP$1</f>
        <v>0</v>
      </c>
      <c r="CQ57" s="8">
        <f>+MINVU_Mes_Corriente!CQ57*MINVU_Mes_Constante!$CP$1</f>
        <v>110644.12900232016</v>
      </c>
      <c r="CR57" s="8">
        <f>+MINVU_Mes_Corriente!CR57*MINVU_Mes_Constante!$CP$1</f>
        <v>1005486.0640371228</v>
      </c>
      <c r="CS57" s="8">
        <f>+MINVU_Mes_Corriente!CS57*MINVU_Mes_Constante!$CP$1</f>
        <v>1972696.905104408</v>
      </c>
      <c r="CT57" s="8">
        <f>+MINVU_Mes_Corriente!CT57*MINVU_Mes_Constante!$CP$1</f>
        <v>2892915.8060324821</v>
      </c>
      <c r="CU57" s="8">
        <f>+MINVU_Mes_Corriente!CU57*MINVU_Mes_Constante!$CP$1</f>
        <v>3667789.7540603243</v>
      </c>
      <c r="CV57" s="8">
        <f>+MINVU_Mes_Corriente!CV57*MINVU_Mes_Constante!$CP$1</f>
        <v>4603770.2338747093</v>
      </c>
      <c r="CW57" s="8">
        <f>+MINVU_Mes_Corriente!CW57*MINVU_Mes_Constante!$CP$1</f>
        <v>6260227.8849187922</v>
      </c>
      <c r="CX57" s="8">
        <f>+MINVU_Mes_Corriente!CX57*MINVU_Mes_Constante!$CP$1</f>
        <v>8350308.3090487225</v>
      </c>
      <c r="CY57" s="8">
        <f>+MINVU_Mes_Corriente!CY57*MINVU_Mes_Constante!$CP$1</f>
        <v>10513850.239211135</v>
      </c>
      <c r="CZ57" s="8">
        <f>+MINVU_Mes_Corriente!CZ57*MINVU_Mes_Constante!$CP$1</f>
        <v>12730156.383758698</v>
      </c>
      <c r="DA57" s="8">
        <f>+MINVU_Mes_Corriente!DA57*MINVU_Mes_Constante!$CP$1</f>
        <v>19844403.270765658</v>
      </c>
      <c r="DB57" s="9">
        <f t="shared" si="45"/>
        <v>19844403.270765658</v>
      </c>
      <c r="DC57" s="8">
        <f>+MINVU_Mes_Corriente!DC57*MINVU_Mes_Constante!$DC$1</f>
        <v>0</v>
      </c>
      <c r="DD57" s="8">
        <f>+MINVU_Mes_Corriente!DD57*MINVU_Mes_Constante!$DC$1</f>
        <v>97178.570723176672</v>
      </c>
      <c r="DE57" s="8">
        <f>+MINVU_Mes_Corriente!DE57*MINVU_Mes_Constante!$DC$1</f>
        <v>1142758.8933237328</v>
      </c>
      <c r="DF57" s="8">
        <f>+MINVU_Mes_Corriente!DF57*MINVU_Mes_Constante!$DC$1</f>
        <v>1765362.1839316951</v>
      </c>
      <c r="DG57" s="8">
        <f>+MINVU_Mes_Corriente!DG57*MINVU_Mes_Constante!$DC$1</f>
        <v>2605481.7796523003</v>
      </c>
      <c r="DH57" s="8">
        <f>+MINVU_Mes_Corriente!DH57*MINVU_Mes_Constante!$DC$1</f>
        <v>5633955.2027569208</v>
      </c>
      <c r="DI57" s="8">
        <f>+MINVU_Mes_Corriente!DI57*MINVU_Mes_Constante!$DC$1</f>
        <v>6336290.9811747791</v>
      </c>
      <c r="DJ57" s="8">
        <f>+MINVU_Mes_Corriente!DJ57*MINVU_Mes_Constante!$DC$1</f>
        <v>6980258.4738195688</v>
      </c>
      <c r="DK57" s="8">
        <f>+MINVU_Mes_Corriente!DK57*MINVU_Mes_Constante!$DC$1</f>
        <v>8484854.43184858</v>
      </c>
      <c r="DL57" s="8">
        <f>+MINVU_Mes_Corriente!DL57*MINVU_Mes_Constante!$DC$1</f>
        <v>9890267.8012550194</v>
      </c>
      <c r="DM57" s="8">
        <f>+MINVU_Mes_Corriente!DM57*MINVU_Mes_Constante!$DC$1</f>
        <v>11940430.93838083</v>
      </c>
      <c r="DN57" s="8">
        <f>+MINVU_Mes_Corriente!DN57*MINVU_Mes_Constante!$DC$1</f>
        <v>20060899.167781103</v>
      </c>
      <c r="DO57" s="9">
        <f t="shared" si="46"/>
        <v>20060899.167781103</v>
      </c>
      <c r="DP57" s="8">
        <f>+MINVU_Mes_Corriente!DP57*MINVU_Mes_Constante!$DP$1</f>
        <v>0</v>
      </c>
      <c r="DQ57" s="8">
        <f>+MINVU_Mes_Corriente!DQ57*MINVU_Mes_Constante!$DP$1</f>
        <v>0</v>
      </c>
      <c r="DR57" s="8">
        <f>+MINVU_Mes_Corriente!DR57*MINVU_Mes_Constante!$DP$1</f>
        <v>3020505.8925178149</v>
      </c>
      <c r="DS57" s="8">
        <f>+MINVU_Mes_Corriente!DS57*MINVU_Mes_Constante!$DP$1</f>
        <v>5014615.5160332546</v>
      </c>
      <c r="DT57" s="8">
        <f>+MINVU_Mes_Corriente!DT57*MINVU_Mes_Constante!$DP$1</f>
        <v>7354239.3438242292</v>
      </c>
      <c r="DU57" s="8">
        <f>+MINVU_Mes_Corriente!DU57*MINVU_Mes_Constante!$DP$1</f>
        <v>10062442.654988125</v>
      </c>
      <c r="DV57" s="8">
        <f>+MINVU_Mes_Corriente!DV57*MINVU_Mes_Constante!$DP$1</f>
        <v>12552665.561757721</v>
      </c>
      <c r="DW57" s="8">
        <f>+MINVU_Mes_Corriente!DW57*MINVU_Mes_Constante!$DP$1</f>
        <v>14121287.289192401</v>
      </c>
      <c r="DX57" s="8">
        <f>+MINVU_Mes_Corriente!DX57*MINVU_Mes_Constante!$DP$1</f>
        <v>16316513.602731593</v>
      </c>
      <c r="DY57" s="8">
        <f>+MINVU_Mes_Corriente!DY57*MINVU_Mes_Constante!$DP$1</f>
        <v>16867751.064726841</v>
      </c>
      <c r="DZ57" s="8">
        <f>+MINVU_Mes_Corriente!DZ57*MINVU_Mes_Constante!$DP$1</f>
        <v>19050050.873515442</v>
      </c>
      <c r="EA57" s="8">
        <f>+MINVU_Mes_Corriente!EA57*MINVU_Mes_Constante!$DP$1</f>
        <v>24776933.670427557</v>
      </c>
      <c r="EB57" s="9">
        <f t="shared" si="47"/>
        <v>24776933.670427557</v>
      </c>
      <c r="EC57" s="8">
        <f>+MINVU_Mes_Corriente!EC57*MINVU_Mes_Constante!$EC$1</f>
        <v>0</v>
      </c>
      <c r="ED57" s="8">
        <f>+MINVU_Mes_Corriente!ED57*MINVU_Mes_Constante!$EC$1</f>
        <v>94457.86650255631</v>
      </c>
      <c r="EE57" s="8">
        <f>+MINVU_Mes_Corriente!EE57*MINVU_Mes_Constante!$EC$1</f>
        <v>1596326.6682446501</v>
      </c>
      <c r="EF57" s="8">
        <f>+MINVU_Mes_Corriente!EF57*MINVU_Mes_Constante!$EC$1</f>
        <v>1874602.4332512775</v>
      </c>
      <c r="EG57" s="8">
        <f>+MINVU_Mes_Corriente!EG57*MINVU_Mes_Constante!$EC$1</f>
        <v>2965774.8740768787</v>
      </c>
      <c r="EH57" s="8">
        <f>+MINVU_Mes_Corriente!EH57*MINVU_Mes_Constante!$EC$1</f>
        <v>3308286.6640787721</v>
      </c>
      <c r="EI57" s="8">
        <f>+MINVU_Mes_Corriente!EI57*MINVU_Mes_Constante!$EC$1</f>
        <v>3673195.6161711784</v>
      </c>
      <c r="EJ57" s="8">
        <f>+MINVU_Mes_Corriente!EJ57*MINVU_Mes_Constante!$EC$1</f>
        <v>4012715.7386858538</v>
      </c>
      <c r="EK57" s="8">
        <f>+MINVU_Mes_Corriente!EK57*MINVU_Mes_Constante!$EC$1</f>
        <v>4369878.6305623921</v>
      </c>
      <c r="EL57" s="8">
        <f>+MINVU_Mes_Corriente!EL57*MINVU_Mes_Constante!$EC$1</f>
        <v>5136276.1868964192</v>
      </c>
      <c r="EM57" s="8">
        <f>+MINVU_Mes_Corriente!EM57*MINVU_Mes_Constante!$EC$1</f>
        <v>5687164.0310547231</v>
      </c>
      <c r="EN57" s="8">
        <f>+MINVU_Mes_Corriente!EN57*MINVU_Mes_Constante!$EC$1</f>
        <v>8349140.8647983307</v>
      </c>
      <c r="EO57" s="9">
        <f t="shared" si="48"/>
        <v>8349140.8647983307</v>
      </c>
      <c r="EP57" s="8">
        <f>+MINVU_Mes_Corriente!EP57*MINVU_Mes_Constante!$EP$1</f>
        <v>0</v>
      </c>
      <c r="EQ57" s="8">
        <f>+MINVU_Mes_Corriente!EQ57*MINVU_Mes_Constante!$EP$1</f>
        <v>0</v>
      </c>
      <c r="ER57" s="8">
        <f>+MINVU_Mes_Corriente!ER57*MINVU_Mes_Constante!$EP$1</f>
        <v>782785</v>
      </c>
      <c r="ES57" s="8">
        <f>+MINVU_Mes_Corriente!ES57*MINVU_Mes_Constante!$EP$1</f>
        <v>3521623</v>
      </c>
      <c r="ET57" s="8">
        <f>+MINVU_Mes_Corriente!ET57*MINVU_Mes_Constante!$EP$1</f>
        <v>5392411</v>
      </c>
      <c r="EU57" s="8">
        <f>+MINVU_Mes_Corriente!EU57*MINVU_Mes_Constante!$EP$1</f>
        <v>7003168</v>
      </c>
      <c r="EV57" s="8">
        <f>+MINVU_Mes_Corriente!EV57*MINVU_Mes_Constante!$EP$1</f>
        <v>8794735</v>
      </c>
      <c r="EW57" s="8">
        <f>+MINVU_Mes_Corriente!EW57*MINVU_Mes_Constante!$EP$1</f>
        <v>9187072</v>
      </c>
      <c r="EX57" s="8">
        <f>+MINVU_Mes_Corriente!EX57*MINVU_Mes_Constante!$EP$1</f>
        <v>9707571</v>
      </c>
      <c r="EY57" s="8">
        <f>+MINVU_Mes_Corriente!EY57*MINVU_Mes_Constante!$EP$1</f>
        <v>11078757</v>
      </c>
      <c r="EZ57" s="8">
        <f>+MINVU_Mes_Corriente!EZ57*MINVU_Mes_Constante!$EP$1</f>
        <v>11801848</v>
      </c>
      <c r="FA57" s="8">
        <f>+MINVU_Mes_Corriente!FA57*MINVU_Mes_Constante!$EP$1</f>
        <v>13299232</v>
      </c>
      <c r="FB57" s="9">
        <f t="shared" si="49"/>
        <v>13299232</v>
      </c>
      <c r="FC57" s="8">
        <f>+MINVU_Mes_Corriente!FC57*MINVU_Mes_Constante!$FC$1</f>
        <v>0</v>
      </c>
      <c r="FD57" s="8">
        <f>+MINVU_Mes_Corriente!FD57*MINVU_Mes_Constante!$FC$1</f>
        <v>0</v>
      </c>
      <c r="FE57" s="8">
        <f>+MINVU_Mes_Corriente!FE57*MINVU_Mes_Constante!$FC$1</f>
        <v>671571</v>
      </c>
      <c r="FF57" s="8">
        <f>+MINVU_Mes_Corriente!FF57*MINVU_Mes_Constante!$FC$1</f>
        <v>947529</v>
      </c>
      <c r="FG57" s="8">
        <f>+MINVU_Mes_Corriente!FG57*MINVU_Mes_Constante!$FC$1</f>
        <v>1212531</v>
      </c>
      <c r="FH57" s="8">
        <f>+MINVU_Mes_Corriente!FH57*MINVU_Mes_Constante!$FC$1</f>
        <v>3074751</v>
      </c>
      <c r="FI57" s="8">
        <f>+MINVU_Mes_Corriente!FI57*MINVU_Mes_Constante!$FC$1</f>
        <v>4493515</v>
      </c>
      <c r="FJ57" s="8"/>
      <c r="FK57" s="8"/>
      <c r="FL57" s="8"/>
      <c r="FM57" s="8"/>
      <c r="FN57" s="8"/>
      <c r="FO57" s="9">
        <f t="shared" si="50"/>
        <v>4493515</v>
      </c>
    </row>
    <row r="58" spans="2:171" ht="14.25" customHeight="1" x14ac:dyDescent="0.3">
      <c r="B58" s="7" t="s">
        <v>49</v>
      </c>
      <c r="C58" s="8">
        <f>+MINVU_Mes_Corriente!C58*MINVU_Mes_Constante!$C$1</f>
        <v>0</v>
      </c>
      <c r="D58" s="8">
        <f>+MINVU_Mes_Corriente!D58*MINVU_Mes_Constante!$C$1</f>
        <v>0</v>
      </c>
      <c r="E58" s="8">
        <f>+MINVU_Mes_Corriente!E58*MINVU_Mes_Constante!$C$1</f>
        <v>4072810.3057986065</v>
      </c>
      <c r="F58" s="8">
        <f>+MINVU_Mes_Corriente!F58*MINVU_Mes_Constante!$C$1</f>
        <v>5529063.1686193096</v>
      </c>
      <c r="G58" s="8">
        <f>+MINVU_Mes_Corriente!G58*MINVU_Mes_Constante!$C$1</f>
        <v>7143858.8862524107</v>
      </c>
      <c r="H58" s="8">
        <f>+MINVU_Mes_Corriente!H58*MINVU_Mes_Constante!$C$1</f>
        <v>8404074.0640664399</v>
      </c>
      <c r="I58" s="8">
        <f>+MINVU_Mes_Corriente!I58*MINVU_Mes_Constante!$C$1</f>
        <v>8873679.7986059636</v>
      </c>
      <c r="J58" s="8">
        <f>+MINVU_Mes_Corriente!J58*MINVU_Mes_Constante!$C$1</f>
        <v>9540331.0740026701</v>
      </c>
      <c r="K58" s="8">
        <f>+MINVU_Mes_Corriente!K58*MINVU_Mes_Constante!$C$1</f>
        <v>9643331.6734391227</v>
      </c>
      <c r="L58" s="8">
        <f>+MINVU_Mes_Corriente!L58*MINVU_Mes_Constante!$C$1</f>
        <v>11640057.768352367</v>
      </c>
      <c r="M58" s="8">
        <f>+MINVU_Mes_Corriente!M58*MINVU_Mes_Constante!$C$1</f>
        <v>18091351.16921252</v>
      </c>
      <c r="N58" s="8">
        <f>+MINVU_Mes_Corriente!N58*MINVU_Mes_Constante!$C$1</f>
        <v>25469849.267685011</v>
      </c>
      <c r="O58" s="9">
        <f t="shared" si="38"/>
        <v>25469849.267685011</v>
      </c>
      <c r="P58" s="8">
        <f>+MINVU_Mes_Corriente!P58*MINVU_Mes_Constante!$P$1</f>
        <v>110377.59056684184</v>
      </c>
      <c r="Q58" s="8">
        <f>+MINVU_Mes_Corriente!Q58*MINVU_Mes_Constante!$P$1</f>
        <v>705207.40872282966</v>
      </c>
      <c r="R58" s="8">
        <f>+MINVU_Mes_Corriente!R58*MINVU_Mes_Constante!$P$1</f>
        <v>2729438.666287824</v>
      </c>
      <c r="S58" s="8">
        <f>+MINVU_Mes_Corriente!S58*MINVU_Mes_Constante!$P$1</f>
        <v>4155246.7415826097</v>
      </c>
      <c r="T58" s="8">
        <f>+MINVU_Mes_Corriente!T58*MINVU_Mes_Constante!$P$1</f>
        <v>5740191.9525500759</v>
      </c>
      <c r="U58" s="8">
        <f>+MINVU_Mes_Corriente!U58*MINVU_Mes_Constante!$P$1</f>
        <v>6836240.9612160791</v>
      </c>
      <c r="V58" s="8">
        <f>+MINVU_Mes_Corriente!V58*MINVU_Mes_Constante!$P$1</f>
        <v>8498399.2626793552</v>
      </c>
      <c r="W58" s="8">
        <f>+MINVU_Mes_Corriente!W58*MINVU_Mes_Constante!$P$1</f>
        <v>9840746.605767861</v>
      </c>
      <c r="X58" s="8">
        <f>+MINVU_Mes_Corriente!X58*MINVU_Mes_Constante!$P$1</f>
        <v>11903960.043187948</v>
      </c>
      <c r="Y58" s="8">
        <f>+MINVU_Mes_Corriente!Y58*MINVU_Mes_Constante!$P$1</f>
        <v>14566507.809632044</v>
      </c>
      <c r="Z58" s="8">
        <f>+MINVU_Mes_Corriente!Z58*MINVU_Mes_Constante!$P$1</f>
        <v>16858777.642562859</v>
      </c>
      <c r="AA58" s="8">
        <f>+MINVU_Mes_Corriente!AA58*MINVU_Mes_Constante!$P$1</f>
        <v>20137876.841596812</v>
      </c>
      <c r="AB58" s="9">
        <f t="shared" si="39"/>
        <v>20137876.841596812</v>
      </c>
      <c r="AC58" s="8">
        <f>+MINVU_Mes_Corriente!AC58*MINVU_Mes_Constante!$AC$1</f>
        <v>0</v>
      </c>
      <c r="AD58" s="8">
        <f>+MINVU_Mes_Corriente!AD58*MINVU_Mes_Constante!$AC$1</f>
        <v>6347.9319407940238</v>
      </c>
      <c r="AE58" s="8">
        <f>+MINVU_Mes_Corriente!AE58*MINVU_Mes_Constante!$AC$1</f>
        <v>4084431.7117166966</v>
      </c>
      <c r="AF58" s="8">
        <f>+MINVU_Mes_Corriente!AF58*MINVU_Mes_Constante!$AC$1</f>
        <v>5466083.2812283859</v>
      </c>
      <c r="AG58" s="8">
        <f>+MINVU_Mes_Corriente!AG58*MINVU_Mes_Constante!$AC$1</f>
        <v>7177556.7688476965</v>
      </c>
      <c r="AH58" s="8">
        <f>+MINVU_Mes_Corriente!AH58*MINVU_Mes_Constante!$AC$1</f>
        <v>9318792.8059205972</v>
      </c>
      <c r="AI58" s="8">
        <f>+MINVU_Mes_Corriente!AI58*MINVU_Mes_Constante!$AC$1</f>
        <v>10998354.332826117</v>
      </c>
      <c r="AJ58" s="8">
        <f>+MINVU_Mes_Corriente!AJ58*MINVU_Mes_Constante!$AC$1</f>
        <v>12636571.174436297</v>
      </c>
      <c r="AK58" s="8">
        <f>+MINVU_Mes_Corriente!AK58*MINVU_Mes_Constante!$AC$1</f>
        <v>14150664.78683082</v>
      </c>
      <c r="AL58" s="8">
        <f>+MINVU_Mes_Corriente!AL58*MINVU_Mes_Constante!$AC$1</f>
        <v>16551000.734541431</v>
      </c>
      <c r="AM58" s="8">
        <f>+MINVU_Mes_Corriente!AM58*MINVU_Mes_Constante!$AC$1</f>
        <v>20376548.667588878</v>
      </c>
      <c r="AN58" s="8">
        <f>+MINVU_Mes_Corriente!AN58*MINVU_Mes_Constante!$AC$1</f>
        <v>27055936.363259096</v>
      </c>
      <c r="AO58" s="9">
        <f t="shared" si="40"/>
        <v>27055936.363259096</v>
      </c>
      <c r="AP58" s="8">
        <f>+MINVU_Mes_Corriente!AP58*MINVU_Mes_Constante!$AP$1</f>
        <v>0</v>
      </c>
      <c r="AQ58" s="8">
        <f>+MINVU_Mes_Corriente!AQ58*MINVU_Mes_Constante!$AP$1</f>
        <v>943185.87853374809</v>
      </c>
      <c r="AR58" s="8">
        <f>+MINVU_Mes_Corriente!AR58*MINVU_Mes_Constante!$AP$1</f>
        <v>5754880.7079669954</v>
      </c>
      <c r="AS58" s="8">
        <f>+MINVU_Mes_Corriente!AS58*MINVU_Mes_Constante!$AP$1</f>
        <v>8051758.526984985</v>
      </c>
      <c r="AT58" s="8">
        <f>+MINVU_Mes_Corriente!AT58*MINVU_Mes_Constante!$AP$1</f>
        <v>10555615.546057081</v>
      </c>
      <c r="AU58" s="8">
        <f>+MINVU_Mes_Corriente!AU58*MINVU_Mes_Constante!$AP$1</f>
        <v>13809049.664547544</v>
      </c>
      <c r="AV58" s="8">
        <f>+MINVU_Mes_Corriente!AV58*MINVU_Mes_Constante!$AP$1</f>
        <v>16739523.16434465</v>
      </c>
      <c r="AW58" s="8">
        <f>+MINVU_Mes_Corriente!AW58*MINVU_Mes_Constante!$AP$1</f>
        <v>20524870.077370483</v>
      </c>
      <c r="AX58" s="8">
        <f>+MINVU_Mes_Corriente!AX58*MINVU_Mes_Constante!$AP$1</f>
        <v>22314467.002569996</v>
      </c>
      <c r="AY58" s="8">
        <f>+MINVU_Mes_Corriente!AY58*MINVU_Mes_Constante!$AP$1</f>
        <v>24240379.559042335</v>
      </c>
      <c r="AZ58" s="8">
        <f>+MINVU_Mes_Corriente!AZ58*MINVU_Mes_Constante!$AP$1</f>
        <v>26137202.915190045</v>
      </c>
      <c r="BA58" s="8">
        <f>+MINVU_Mes_Corriente!BA58*MINVU_Mes_Constante!$AP$1</f>
        <v>29478690.869200595</v>
      </c>
      <c r="BB58" s="9">
        <f t="shared" si="41"/>
        <v>29478690.869200595</v>
      </c>
      <c r="BC58" s="8">
        <f>+MINVU_Mes_Corriente!BC58*MINVU_Mes_Constante!$BC$1</f>
        <v>0</v>
      </c>
      <c r="BD58" s="8">
        <f>+MINVU_Mes_Corriente!BD58*MINVU_Mes_Constante!$BC$1</f>
        <v>6123.6318079915618</v>
      </c>
      <c r="BE58" s="8">
        <f>+MINVU_Mes_Corriente!BE58*MINVU_Mes_Constante!$BC$1</f>
        <v>6702042.6923381267</v>
      </c>
      <c r="BF58" s="8">
        <f>+MINVU_Mes_Corriente!BF58*MINVU_Mes_Constante!$BC$1</f>
        <v>8300520.9589872099</v>
      </c>
      <c r="BG58" s="8">
        <f>+MINVU_Mes_Corriente!BG58*MINVU_Mes_Constante!$BC$1</f>
        <v>10274010.437557697</v>
      </c>
      <c r="BH58" s="8">
        <f>+MINVU_Mes_Corriente!BH58*MINVU_Mes_Constante!$BC$1</f>
        <v>12451055.200843995</v>
      </c>
      <c r="BI58" s="8">
        <f>+MINVU_Mes_Corriente!BI58*MINVU_Mes_Constante!$BC$1</f>
        <v>13683974.261374129</v>
      </c>
      <c r="BJ58" s="8">
        <f>+MINVU_Mes_Corriente!BJ58*MINVU_Mes_Constante!$BC$1</f>
        <v>15393408.413820392</v>
      </c>
      <c r="BK58" s="8">
        <f>+MINVU_Mes_Corriente!BK58*MINVU_Mes_Constante!$BC$1</f>
        <v>16796630.717921671</v>
      </c>
      <c r="BL58" s="8">
        <f>+MINVU_Mes_Corriente!BL58*MINVU_Mes_Constante!$BC$1</f>
        <v>19146474.284847692</v>
      </c>
      <c r="BM58" s="8">
        <f>+MINVU_Mes_Corriente!BM58*MINVU_Mes_Constante!$BC$1</f>
        <v>20306439.998153768</v>
      </c>
      <c r="BN58" s="8">
        <f>+MINVU_Mes_Corriente!BN58*MINVU_Mes_Constante!$BC$1</f>
        <v>23962751.045760259</v>
      </c>
      <c r="BO58" s="9">
        <f t="shared" si="42"/>
        <v>23962751.045760259</v>
      </c>
      <c r="BP58" s="8">
        <f>+MINVU_Mes_Corriente!BP58*MINVU_Mes_Constante!$BP$1</f>
        <v>0</v>
      </c>
      <c r="BQ58" s="8">
        <f>+MINVU_Mes_Corriente!BQ58*MINVU_Mes_Constante!$BP$1</f>
        <v>0</v>
      </c>
      <c r="BR58" s="8">
        <f>+MINVU_Mes_Corriente!BR58*MINVU_Mes_Constante!$BP$1</f>
        <v>3084858.8711907812</v>
      </c>
      <c r="BS58" s="8">
        <f>+MINVU_Mes_Corriente!BS58*MINVU_Mes_Constante!$BP$1</f>
        <v>3640406.1003841232</v>
      </c>
      <c r="BT58" s="8">
        <f>+MINVU_Mes_Corriente!BT58*MINVU_Mes_Constante!$BP$1</f>
        <v>5415082.2852752889</v>
      </c>
      <c r="BU58" s="8">
        <f>+MINVU_Mes_Corriente!BU58*MINVU_Mes_Constante!$BP$1</f>
        <v>7078419.5923175421</v>
      </c>
      <c r="BV58" s="8">
        <f>+MINVU_Mes_Corriente!BV58*MINVU_Mes_Constante!$BP$1</f>
        <v>7654583.5259923181</v>
      </c>
      <c r="BW58" s="8">
        <f>+MINVU_Mes_Corriente!BW58*MINVU_Mes_Constante!$BP$1</f>
        <v>8335816.1285531381</v>
      </c>
      <c r="BX58" s="8">
        <f>+MINVU_Mes_Corriente!BX58*MINVU_Mes_Constante!$BP$1</f>
        <v>9053591.3746478874</v>
      </c>
      <c r="BY58" s="8">
        <f>+MINVU_Mes_Corriente!BY58*MINVU_Mes_Constante!$BP$1</f>
        <v>9896714.8409731127</v>
      </c>
      <c r="BZ58" s="8">
        <f>+MINVU_Mes_Corriente!BZ58*MINVU_Mes_Constante!$BP$1</f>
        <v>12130376.757234316</v>
      </c>
      <c r="CA58" s="8">
        <f>+MINVU_Mes_Corriente!CA58*MINVU_Mes_Constante!$BP$1</f>
        <v>14389704.281177979</v>
      </c>
      <c r="CB58" s="9">
        <f t="shared" si="43"/>
        <v>14389704.281177979</v>
      </c>
      <c r="CC58" s="8">
        <f>+MINVU_Mes_Corriente!CC58*MINVU_Mes_Constante!$CC$1</f>
        <v>0</v>
      </c>
      <c r="CD58" s="8">
        <f>+MINVU_Mes_Corriente!CD58*MINVU_Mes_Constante!$CC$1</f>
        <v>0</v>
      </c>
      <c r="CE58" s="8">
        <f>+MINVU_Mes_Corriente!CE58*MINVU_Mes_Constante!$CC$1</f>
        <v>2641468.836255129</v>
      </c>
      <c r="CF58" s="8">
        <f>+MINVU_Mes_Corriente!CF58*MINVU_Mes_Constante!$CC$1</f>
        <v>4409060.0813129432</v>
      </c>
      <c r="CG58" s="8">
        <f>+MINVU_Mes_Corriente!CG58*MINVU_Mes_Constante!$CC$1</f>
        <v>6371833.18388661</v>
      </c>
      <c r="CH58" s="8">
        <f>+MINVU_Mes_Corriente!CH58*MINVU_Mes_Constante!$CC$1</f>
        <v>7436515.7120477436</v>
      </c>
      <c r="CI58" s="8">
        <f>+MINVU_Mes_Corriente!CI58*MINVU_Mes_Constante!$CC$1</f>
        <v>8455476.944423724</v>
      </c>
      <c r="CJ58" s="8">
        <f>+MINVU_Mes_Corriente!CJ58*MINVU_Mes_Constante!$CC$1</f>
        <v>9337681.8239462897</v>
      </c>
      <c r="CK58" s="8">
        <f>+MINVU_Mes_Corriente!CK58*MINVU_Mes_Constante!$CC$1</f>
        <v>9802564.5811264459</v>
      </c>
      <c r="CL58" s="8">
        <f>+MINVU_Mes_Corriente!CL58*MINVU_Mes_Constante!$CC$1</f>
        <v>10647717.782170832</v>
      </c>
      <c r="CM58" s="8">
        <f>+MINVU_Mes_Corriente!CM58*MINVU_Mes_Constante!$CC$1</f>
        <v>12056944.921298023</v>
      </c>
      <c r="CN58" s="8">
        <f>+MINVU_Mes_Corriente!CN58*MINVU_Mes_Constante!$CC$1</f>
        <v>14733249.806788513</v>
      </c>
      <c r="CO58" s="9">
        <f t="shared" si="44"/>
        <v>14733249.806788513</v>
      </c>
      <c r="CP58" s="8">
        <f>+MINVU_Mes_Corriente!CP58*MINVU_Mes_Constante!$CP$1</f>
        <v>0</v>
      </c>
      <c r="CQ58" s="8">
        <f>+MINVU_Mes_Corriente!CQ58*MINVU_Mes_Constante!$CP$1</f>
        <v>183883.81948955913</v>
      </c>
      <c r="CR58" s="8">
        <f>+MINVU_Mes_Corriente!CR58*MINVU_Mes_Constante!$CP$1</f>
        <v>1342147.5584686771</v>
      </c>
      <c r="CS58" s="8">
        <f>+MINVU_Mes_Corriente!CS58*MINVU_Mes_Constante!$CP$1</f>
        <v>2585435.0972157768</v>
      </c>
      <c r="CT58" s="8">
        <f>+MINVU_Mes_Corriente!CT58*MINVU_Mes_Constante!$CP$1</f>
        <v>3744128.5245939665</v>
      </c>
      <c r="CU58" s="8">
        <f>+MINVU_Mes_Corriente!CU58*MINVU_Mes_Constante!$CP$1</f>
        <v>4789156.061484918</v>
      </c>
      <c r="CV58" s="8">
        <f>+MINVU_Mes_Corriente!CV58*MINVU_Mes_Constante!$CP$1</f>
        <v>5564819.6728538275</v>
      </c>
      <c r="CW58" s="8">
        <f>+MINVU_Mes_Corriente!CW58*MINVU_Mes_Constante!$CP$1</f>
        <v>6322570.7283062628</v>
      </c>
      <c r="CX58" s="8">
        <f>+MINVU_Mes_Corriente!CX58*MINVU_Mes_Constante!$CP$1</f>
        <v>7727021.8371229684</v>
      </c>
      <c r="CY58" s="8">
        <f>+MINVU_Mes_Corriente!CY58*MINVU_Mes_Constante!$CP$1</f>
        <v>9277361.6638051029</v>
      </c>
      <c r="CZ58" s="8">
        <f>+MINVU_Mes_Corriente!CZ58*MINVU_Mes_Constante!$CP$1</f>
        <v>10406396.451508118</v>
      </c>
      <c r="DA58" s="8">
        <f>+MINVU_Mes_Corriente!DA58*MINVU_Mes_Constante!$CP$1</f>
        <v>14858372.603944313</v>
      </c>
      <c r="DB58" s="9">
        <f t="shared" si="45"/>
        <v>14858372.603944313</v>
      </c>
      <c r="DC58" s="8">
        <f>+MINVU_Mes_Corriente!DC58*MINVU_Mes_Constante!$DC$1</f>
        <v>0</v>
      </c>
      <c r="DD58" s="8">
        <f>+MINVU_Mes_Corriente!DD58*MINVU_Mes_Constante!$DC$1</f>
        <v>0</v>
      </c>
      <c r="DE58" s="8">
        <f>+MINVU_Mes_Corriente!DE58*MINVU_Mes_Constante!$DC$1</f>
        <v>2521027.5424339073</v>
      </c>
      <c r="DF58" s="8">
        <f>+MINVU_Mes_Corriente!DF58*MINVU_Mes_Constante!$DC$1</f>
        <v>3274870.9643040854</v>
      </c>
      <c r="DG58" s="8">
        <f>+MINVU_Mes_Corriente!DG58*MINVU_Mes_Constante!$DC$1</f>
        <v>3906553.5911943233</v>
      </c>
      <c r="DH58" s="8">
        <f>+MINVU_Mes_Corriente!DH58*MINVU_Mes_Constante!$DC$1</f>
        <v>5128671.8181257099</v>
      </c>
      <c r="DI58" s="8">
        <f>+MINVU_Mes_Corriente!DI58*MINVU_Mes_Constante!$DC$1</f>
        <v>6185954.7960086437</v>
      </c>
      <c r="DJ58" s="8">
        <f>+MINVU_Mes_Corriente!DJ58*MINVU_Mes_Constante!$DC$1</f>
        <v>6723817.2399958884</v>
      </c>
      <c r="DK58" s="8">
        <f>+MINVU_Mes_Corriente!DK58*MINVU_Mes_Constante!$DC$1</f>
        <v>8232180.7067174194</v>
      </c>
      <c r="DL58" s="8">
        <f>+MINVU_Mes_Corriente!DL58*MINVU_Mes_Constante!$DC$1</f>
        <v>9523313.3537701927</v>
      </c>
      <c r="DM58" s="8">
        <f>+MINVU_Mes_Corriente!DM58*MINVU_Mes_Constante!$DC$1</f>
        <v>10756607.099475367</v>
      </c>
      <c r="DN58" s="8">
        <f>+MINVU_Mes_Corriente!DN58*MINVU_Mes_Constante!$DC$1</f>
        <v>13823817.750231463</v>
      </c>
      <c r="DO58" s="9">
        <f t="shared" si="46"/>
        <v>13823817.750231463</v>
      </c>
      <c r="DP58" s="8">
        <f>+MINVU_Mes_Corriente!DP58*MINVU_Mes_Constante!$DP$1</f>
        <v>0</v>
      </c>
      <c r="DQ58" s="8">
        <f>+MINVU_Mes_Corriente!DQ58*MINVU_Mes_Constante!$DP$1</f>
        <v>199900.16686460809</v>
      </c>
      <c r="DR58" s="8">
        <f>+MINVU_Mes_Corriente!DR58*MINVU_Mes_Constante!$DP$1</f>
        <v>2757478.4465558198</v>
      </c>
      <c r="DS58" s="8">
        <f>+MINVU_Mes_Corriente!DS58*MINVU_Mes_Constante!$DP$1</f>
        <v>3606777.058788599</v>
      </c>
      <c r="DT58" s="8">
        <f>+MINVU_Mes_Corriente!DT58*MINVU_Mes_Constante!$DP$1</f>
        <v>4275709.0813539196</v>
      </c>
      <c r="DU58" s="8">
        <f>+MINVU_Mes_Corriente!DU58*MINVU_Mes_Constante!$DP$1</f>
        <v>5555960.7523752972</v>
      </c>
      <c r="DV58" s="8">
        <f>+MINVU_Mes_Corriente!DV58*MINVU_Mes_Constante!$DP$1</f>
        <v>7045996.1650831364</v>
      </c>
      <c r="DW58" s="8">
        <f>+MINVU_Mes_Corriente!DW58*MINVU_Mes_Constante!$DP$1</f>
        <v>10672109.994655583</v>
      </c>
      <c r="DX58" s="8">
        <f>+MINVU_Mes_Corriente!DX58*MINVU_Mes_Constante!$DP$1</f>
        <v>12200213.390736343</v>
      </c>
      <c r="DY58" s="8">
        <f>+MINVU_Mes_Corriente!DY58*MINVU_Mes_Constante!$DP$1</f>
        <v>15287121.983372923</v>
      </c>
      <c r="DZ58" s="8">
        <f>+MINVU_Mes_Corriente!DZ58*MINVU_Mes_Constante!$DP$1</f>
        <v>17800464.236935869</v>
      </c>
      <c r="EA58" s="8">
        <f>+MINVU_Mes_Corriente!EA58*MINVU_Mes_Constante!$DP$1</f>
        <v>21722218.065320667</v>
      </c>
      <c r="EB58" s="9">
        <f t="shared" si="47"/>
        <v>21722218.065320667</v>
      </c>
      <c r="EC58" s="8">
        <f>+MINVU_Mes_Corriente!EC58*MINVU_Mes_Constante!$EC$1</f>
        <v>0</v>
      </c>
      <c r="ED58" s="8">
        <f>+MINVU_Mes_Corriente!ED58*MINVU_Mes_Constante!$EC$1</f>
        <v>0</v>
      </c>
      <c r="EE58" s="8">
        <f>+MINVU_Mes_Corriente!EE58*MINVU_Mes_Constante!$EC$1</f>
        <v>2651475.9981064182</v>
      </c>
      <c r="EF58" s="8">
        <f>+MINVU_Mes_Corriente!EF58*MINVU_Mes_Constante!$EC$1</f>
        <v>5107386.7339519011</v>
      </c>
      <c r="EG58" s="8">
        <f>+MINVU_Mes_Corriente!EG58*MINVU_Mes_Constante!$EC$1</f>
        <v>6677952.1658776728</v>
      </c>
      <c r="EH58" s="8">
        <f>+MINVU_Mes_Corriente!EH58*MINVU_Mes_Constante!$EC$1</f>
        <v>8145551.2717288369</v>
      </c>
      <c r="EI58" s="8">
        <f>+MINVU_Mes_Corriente!EI58*MINVU_Mes_Constante!$EC$1</f>
        <v>9865916.2808180247</v>
      </c>
      <c r="EJ58" s="8">
        <f>+MINVU_Mes_Corriente!EJ58*MINVU_Mes_Constante!$EC$1</f>
        <v>10993494.583980303</v>
      </c>
      <c r="EK58" s="8">
        <f>+MINVU_Mes_Corriente!EK58*MINVU_Mes_Constante!$EC$1</f>
        <v>12154582.252603671</v>
      </c>
      <c r="EL58" s="8">
        <f>+MINVU_Mes_Corriente!EL58*MINVU_Mes_Constante!$EC$1</f>
        <v>13175092.58322287</v>
      </c>
      <c r="EM58" s="8">
        <f>+MINVU_Mes_Corriente!EM58*MINVU_Mes_Constante!$EC$1</f>
        <v>14849600.874455592</v>
      </c>
      <c r="EN58" s="8">
        <f>+MINVU_Mes_Corriente!EN58*MINVU_Mes_Constante!$EC$1</f>
        <v>18935585.570535876</v>
      </c>
      <c r="EO58" s="9">
        <f t="shared" si="48"/>
        <v>18935585.570535876</v>
      </c>
      <c r="EP58" s="8">
        <f>+MINVU_Mes_Corriente!EP58*MINVU_Mes_Constante!$EP$1</f>
        <v>0</v>
      </c>
      <c r="EQ58" s="8">
        <f>+MINVU_Mes_Corriente!EQ58*MINVU_Mes_Constante!$EP$1</f>
        <v>0</v>
      </c>
      <c r="ER58" s="8">
        <f>+MINVU_Mes_Corriente!ER58*MINVU_Mes_Constante!$EP$1</f>
        <v>537044</v>
      </c>
      <c r="ES58" s="8">
        <f>+MINVU_Mes_Corriente!ES58*MINVU_Mes_Constante!$EP$1</f>
        <v>4624082</v>
      </c>
      <c r="ET58" s="8">
        <f>+MINVU_Mes_Corriente!ET58*MINVU_Mes_Constante!$EP$1</f>
        <v>6663050</v>
      </c>
      <c r="EU58" s="8">
        <f>+MINVU_Mes_Corriente!EU58*MINVU_Mes_Constante!$EP$1</f>
        <v>7372366</v>
      </c>
      <c r="EV58" s="8">
        <f>+MINVU_Mes_Corriente!EV58*MINVU_Mes_Constante!$EP$1</f>
        <v>8896020</v>
      </c>
      <c r="EW58" s="8">
        <f>+MINVU_Mes_Corriente!EW58*MINVU_Mes_Constante!$EP$1</f>
        <v>10874834</v>
      </c>
      <c r="EX58" s="8">
        <f>+MINVU_Mes_Corriente!EX58*MINVU_Mes_Constante!$EP$1</f>
        <v>11736753</v>
      </c>
      <c r="EY58" s="8">
        <f>+MINVU_Mes_Corriente!EY58*MINVU_Mes_Constante!$EP$1</f>
        <v>13073544</v>
      </c>
      <c r="EZ58" s="8">
        <f>+MINVU_Mes_Corriente!EZ58*MINVU_Mes_Constante!$EP$1</f>
        <v>14605811</v>
      </c>
      <c r="FA58" s="8">
        <f>+MINVU_Mes_Corriente!FA58*MINVU_Mes_Constante!$EP$1</f>
        <v>17113896</v>
      </c>
      <c r="FB58" s="9">
        <f t="shared" si="49"/>
        <v>17113896</v>
      </c>
      <c r="FC58" s="8">
        <f>+MINVU_Mes_Corriente!FC58*MINVU_Mes_Constante!$FC$1</f>
        <v>0</v>
      </c>
      <c r="FD58" s="8">
        <f>+MINVU_Mes_Corriente!FD58*MINVU_Mes_Constante!$FC$1</f>
        <v>1214485</v>
      </c>
      <c r="FE58" s="8">
        <f>+MINVU_Mes_Corriente!FE58*MINVU_Mes_Constante!$FC$1</f>
        <v>1998311</v>
      </c>
      <c r="FF58" s="8">
        <f>+MINVU_Mes_Corriente!FF58*MINVU_Mes_Constante!$FC$1</f>
        <v>3214367</v>
      </c>
      <c r="FG58" s="8">
        <f>+MINVU_Mes_Corriente!FG58*MINVU_Mes_Constante!$FC$1</f>
        <v>6370940</v>
      </c>
      <c r="FH58" s="8">
        <f>+MINVU_Mes_Corriente!FH58*MINVU_Mes_Constante!$FC$1</f>
        <v>7328213</v>
      </c>
      <c r="FI58" s="8">
        <f>+MINVU_Mes_Corriente!FI58*MINVU_Mes_Constante!$FC$1</f>
        <v>8973928</v>
      </c>
      <c r="FJ58" s="8"/>
      <c r="FK58" s="8"/>
      <c r="FL58" s="8"/>
      <c r="FM58" s="8"/>
      <c r="FN58" s="8"/>
      <c r="FO58" s="9">
        <f t="shared" si="50"/>
        <v>8973928</v>
      </c>
    </row>
    <row r="59" spans="2:171" ht="14.25" customHeight="1" x14ac:dyDescent="0.3">
      <c r="B59" s="7" t="s">
        <v>50</v>
      </c>
      <c r="C59" s="8">
        <f>+MINVU_Mes_Corriente!C59*MINVU_Mes_Constante!$C$1</f>
        <v>0</v>
      </c>
      <c r="D59" s="8">
        <f>+MINVU_Mes_Corriente!D59*MINVU_Mes_Constante!$C$1</f>
        <v>0</v>
      </c>
      <c r="E59" s="8">
        <f>+MINVU_Mes_Corriente!E59*MINVU_Mes_Constante!$C$1</f>
        <v>7588068.9218448773</v>
      </c>
      <c r="F59" s="8">
        <f>+MINVU_Mes_Corriente!F59*MINVU_Mes_Constante!$C$1</f>
        <v>10916386.481091505</v>
      </c>
      <c r="G59" s="8">
        <f>+MINVU_Mes_Corriente!G59*MINVU_Mes_Constante!$C$1</f>
        <v>14702170.134954771</v>
      </c>
      <c r="H59" s="8">
        <f>+MINVU_Mes_Corriente!H59*MINVU_Mes_Constante!$C$1</f>
        <v>18268732.178555541</v>
      </c>
      <c r="I59" s="8">
        <f>+MINVU_Mes_Corriente!I59*MINVU_Mes_Constante!$C$1</f>
        <v>20554952.713925555</v>
      </c>
      <c r="J59" s="8">
        <f>+MINVU_Mes_Corriente!J59*MINVU_Mes_Constante!$C$1</f>
        <v>23831647.637253452</v>
      </c>
      <c r="K59" s="8">
        <f>+MINVU_Mes_Corriente!K59*MINVU_Mes_Constante!$C$1</f>
        <v>26198882.283256713</v>
      </c>
      <c r="L59" s="8">
        <f>+MINVU_Mes_Corriente!L59*MINVU_Mes_Constante!$C$1</f>
        <v>30184129.035740774</v>
      </c>
      <c r="M59" s="8">
        <f>+MINVU_Mes_Corriente!M59*MINVU_Mes_Constante!$C$1</f>
        <v>35044766.648969308</v>
      </c>
      <c r="N59" s="8">
        <f>+MINVU_Mes_Corriente!N59*MINVU_Mes_Constante!$C$1</f>
        <v>43297187.573780224</v>
      </c>
      <c r="O59" s="9">
        <f t="shared" si="38"/>
        <v>43297187.573780224</v>
      </c>
      <c r="P59" s="8">
        <f>+MINVU_Mes_Corriente!P59*MINVU_Mes_Constante!$P$1</f>
        <v>3975313.1081119464</v>
      </c>
      <c r="Q59" s="8">
        <f>+MINVU_Mes_Corriente!Q59*MINVU_Mes_Constante!$P$1</f>
        <v>7478257.9366387241</v>
      </c>
      <c r="R59" s="8">
        <f>+MINVU_Mes_Corriente!R59*MINVU_Mes_Constante!$P$1</f>
        <v>12591501.759909073</v>
      </c>
      <c r="S59" s="8">
        <f>+MINVU_Mes_Corriente!S59*MINVU_Mes_Constante!$P$1</f>
        <v>16859558.403750528</v>
      </c>
      <c r="T59" s="8">
        <f>+MINVU_Mes_Corriente!T59*MINVU_Mes_Constante!$P$1</f>
        <v>21088811.371785756</v>
      </c>
      <c r="U59" s="8">
        <f>+MINVU_Mes_Corriente!U59*MINVU_Mes_Constante!$P$1</f>
        <v>23403717.07032248</v>
      </c>
      <c r="V59" s="8">
        <f>+MINVU_Mes_Corriente!V59*MINVU_Mes_Constante!$P$1</f>
        <v>26260796.997016612</v>
      </c>
      <c r="W59" s="8">
        <f>+MINVU_Mes_Corriente!W59*MINVU_Mes_Constante!$P$1</f>
        <v>29013546.739877813</v>
      </c>
      <c r="X59" s="8">
        <f>+MINVU_Mes_Corriente!X59*MINVU_Mes_Constante!$P$1</f>
        <v>32168130.827674374</v>
      </c>
      <c r="Y59" s="8">
        <f>+MINVU_Mes_Corriente!Y59*MINVU_Mes_Constante!$P$1</f>
        <v>36429708.550646387</v>
      </c>
      <c r="Z59" s="8">
        <f>+MINVU_Mes_Corriente!Z59*MINVU_Mes_Constante!$P$1</f>
        <v>45275052.939337954</v>
      </c>
      <c r="AA59" s="8">
        <f>+MINVU_Mes_Corriente!AA59*MINVU_Mes_Constante!$P$1</f>
        <v>54054900.311976112</v>
      </c>
      <c r="AB59" s="9">
        <f t="shared" si="39"/>
        <v>54054900.311976112</v>
      </c>
      <c r="AC59" s="8">
        <f>+MINVU_Mes_Corriente!AC59*MINVU_Mes_Constante!$AC$1</f>
        <v>339797.23972886981</v>
      </c>
      <c r="AD59" s="8">
        <f>+MINVU_Mes_Corriente!AD59*MINVU_Mes_Constante!$AC$1</f>
        <v>1932496.3864988242</v>
      </c>
      <c r="AE59" s="8">
        <f>+MINVU_Mes_Corriente!AE59*MINVU_Mes_Constante!$AC$1</f>
        <v>4047003.0958638815</v>
      </c>
      <c r="AF59" s="8">
        <f>+MINVU_Mes_Corriente!AF59*MINVU_Mes_Constante!$AC$1</f>
        <v>6686441.4571863329</v>
      </c>
      <c r="AG59" s="8">
        <f>+MINVU_Mes_Corriente!AG59*MINVU_Mes_Constante!$AC$1</f>
        <v>8691828.7279015072</v>
      </c>
      <c r="AH59" s="8">
        <f>+MINVU_Mes_Corriente!AH59*MINVU_Mes_Constante!$AC$1</f>
        <v>11159687.023101397</v>
      </c>
      <c r="AI59" s="8">
        <f>+MINVU_Mes_Corriente!AI59*MINVU_Mes_Constante!$AC$1</f>
        <v>12745903.722229907</v>
      </c>
      <c r="AJ59" s="8">
        <f>+MINVU_Mes_Corriente!AJ59*MINVU_Mes_Constante!$AC$1</f>
        <v>15333731.885461336</v>
      </c>
      <c r="AK59" s="8">
        <f>+MINVU_Mes_Corriente!AK59*MINVU_Mes_Constante!$AC$1</f>
        <v>20920122.079679072</v>
      </c>
      <c r="AL59" s="8">
        <f>+MINVU_Mes_Corriente!AL59*MINVU_Mes_Constante!$AC$1</f>
        <v>24927775.554571863</v>
      </c>
      <c r="AM59" s="8">
        <f>+MINVU_Mes_Corriente!AM59*MINVU_Mes_Constante!$AC$1</f>
        <v>29586291.559828468</v>
      </c>
      <c r="AN59" s="8">
        <f>+MINVU_Mes_Corriente!AN59*MINVU_Mes_Constante!$AC$1</f>
        <v>45170074.530087151</v>
      </c>
      <c r="AO59" s="9">
        <f t="shared" si="40"/>
        <v>45170074.530087151</v>
      </c>
      <c r="AP59" s="8">
        <f>+MINVU_Mes_Corriente!AP59*MINVU_Mes_Constante!$AP$1</f>
        <v>24393.961314757202</v>
      </c>
      <c r="AQ59" s="8">
        <f>+MINVU_Mes_Corriente!AQ59*MINVU_Mes_Constante!$AP$1</f>
        <v>2991783.5376707693</v>
      </c>
      <c r="AR59" s="8">
        <f>+MINVU_Mes_Corriente!AR59*MINVU_Mes_Constante!$AP$1</f>
        <v>5852685.6253212495</v>
      </c>
      <c r="AS59" s="8">
        <f>+MINVU_Mes_Corriente!AS59*MINVU_Mes_Constante!$AP$1</f>
        <v>8230350.5218449878</v>
      </c>
      <c r="AT59" s="8">
        <f>+MINVU_Mes_Corriente!AT59*MINVU_Mes_Constante!$AP$1</f>
        <v>10715389.637765452</v>
      </c>
      <c r="AU59" s="8">
        <f>+MINVU_Mes_Corriente!AU59*MINVU_Mes_Constante!$AP$1</f>
        <v>13595406.683349114</v>
      </c>
      <c r="AV59" s="8">
        <f>+MINVU_Mes_Corriente!AV59*MINVU_Mes_Constante!$AP$1</f>
        <v>17907637.150006764</v>
      </c>
      <c r="AW59" s="8">
        <f>+MINVU_Mes_Corriente!AW59*MINVU_Mes_Constante!$AP$1</f>
        <v>23092261.350466657</v>
      </c>
      <c r="AX59" s="8">
        <f>+MINVU_Mes_Corriente!AX59*MINVU_Mes_Constante!$AP$1</f>
        <v>27764906.462329227</v>
      </c>
      <c r="AY59" s="8">
        <f>+MINVU_Mes_Corriente!AY59*MINVU_Mes_Constante!$AP$1</f>
        <v>33921688.98877316</v>
      </c>
      <c r="AZ59" s="8">
        <f>+MINVU_Mes_Corriente!AZ59*MINVU_Mes_Constante!$AP$1</f>
        <v>41474787.122142568</v>
      </c>
      <c r="BA59" s="8">
        <f>+MINVU_Mes_Corriente!BA59*MINVU_Mes_Constante!$AP$1</f>
        <v>56506829.056945756</v>
      </c>
      <c r="BB59" s="9">
        <f t="shared" si="41"/>
        <v>56506829.056945756</v>
      </c>
      <c r="BC59" s="8">
        <f>+MINVU_Mes_Corriente!BC59*MINVU_Mes_Constante!$BC$1</f>
        <v>0</v>
      </c>
      <c r="BD59" s="8">
        <f>+MINVU_Mes_Corriente!BD59*MINVU_Mes_Constante!$BC$1</f>
        <v>2047955.7230647507</v>
      </c>
      <c r="BE59" s="8">
        <f>+MINVU_Mes_Corriente!BE59*MINVU_Mes_Constante!$BC$1</f>
        <v>6226088.0928392475</v>
      </c>
      <c r="BF59" s="8">
        <f>+MINVU_Mes_Corriente!BF59*MINVU_Mes_Constante!$BC$1</f>
        <v>9189421.5888170935</v>
      </c>
      <c r="BG59" s="8">
        <f>+MINVU_Mes_Corriente!BG59*MINVU_Mes_Constante!$BC$1</f>
        <v>12270137.181854151</v>
      </c>
      <c r="BH59" s="8">
        <f>+MINVU_Mes_Corriente!BH59*MINVU_Mes_Constante!$BC$1</f>
        <v>14790621.152314391</v>
      </c>
      <c r="BI59" s="8">
        <f>+MINVU_Mes_Corriente!BI59*MINVU_Mes_Constante!$BC$1</f>
        <v>18327054.542793095</v>
      </c>
      <c r="BJ59" s="8">
        <f>+MINVU_Mes_Corriente!BJ59*MINVU_Mes_Constante!$BC$1</f>
        <v>21618685.305551898</v>
      </c>
      <c r="BK59" s="8">
        <f>+MINVU_Mes_Corriente!BK59*MINVU_Mes_Constante!$BC$1</f>
        <v>24837655.214558888</v>
      </c>
      <c r="BL59" s="8">
        <f>+MINVU_Mes_Corriente!BL59*MINVU_Mes_Constante!$BC$1</f>
        <v>28426083.282078341</v>
      </c>
      <c r="BM59" s="8">
        <f>+MINVU_Mes_Corriente!BM59*MINVU_Mes_Constante!$BC$1</f>
        <v>32679422.49558223</v>
      </c>
      <c r="BN59" s="8">
        <f>+MINVU_Mes_Corriente!BN59*MINVU_Mes_Constante!$BC$1</f>
        <v>39932718.845839389</v>
      </c>
      <c r="BO59" s="9">
        <f t="shared" si="42"/>
        <v>39932718.845839389</v>
      </c>
      <c r="BP59" s="8">
        <f>+MINVU_Mes_Corriente!BP59*MINVU_Mes_Constante!$BP$1</f>
        <v>0</v>
      </c>
      <c r="BQ59" s="8">
        <f>+MINVU_Mes_Corriente!BQ59*MINVU_Mes_Constante!$BP$1</f>
        <v>0</v>
      </c>
      <c r="BR59" s="8">
        <f>+MINVU_Mes_Corriente!BR59*MINVU_Mes_Constante!$BP$1</f>
        <v>6084051.4670934705</v>
      </c>
      <c r="BS59" s="8">
        <f>+MINVU_Mes_Corriente!BS59*MINVU_Mes_Constante!$BP$1</f>
        <v>9617759.0919334199</v>
      </c>
      <c r="BT59" s="8">
        <f>+MINVU_Mes_Corriente!BT59*MINVU_Mes_Constante!$BP$1</f>
        <v>13174009.810755443</v>
      </c>
      <c r="BU59" s="8">
        <f>+MINVU_Mes_Corriente!BU59*MINVU_Mes_Constante!$BP$1</f>
        <v>15956786.466069143</v>
      </c>
      <c r="BV59" s="8">
        <f>+MINVU_Mes_Corriente!BV59*MINVU_Mes_Constante!$BP$1</f>
        <v>19893864.943405893</v>
      </c>
      <c r="BW59" s="8">
        <f>+MINVU_Mes_Corriente!BW59*MINVU_Mes_Constante!$BP$1</f>
        <v>23880167.7787452</v>
      </c>
      <c r="BX59" s="8">
        <f>+MINVU_Mes_Corriente!BX59*MINVU_Mes_Constante!$BP$1</f>
        <v>27437473.325224075</v>
      </c>
      <c r="BY59" s="8">
        <f>+MINVU_Mes_Corriente!BY59*MINVU_Mes_Constante!$BP$1</f>
        <v>31960416.233546738</v>
      </c>
      <c r="BZ59" s="8">
        <f>+MINVU_Mes_Corriente!BZ59*MINVU_Mes_Constante!$BP$1</f>
        <v>37615484.401536494</v>
      </c>
      <c r="CA59" s="8">
        <f>+MINVU_Mes_Corriente!CA59*MINVU_Mes_Constante!$BP$1</f>
        <v>45563095.972855322</v>
      </c>
      <c r="CB59" s="9">
        <f t="shared" si="43"/>
        <v>45563095.972855322</v>
      </c>
      <c r="CC59" s="8">
        <f>+MINVU_Mes_Corriente!CC59*MINVU_Mes_Constante!$CC$1</f>
        <v>0</v>
      </c>
      <c r="CD59" s="8">
        <f>+MINVU_Mes_Corriente!CD59*MINVU_Mes_Constante!$CC$1</f>
        <v>0</v>
      </c>
      <c r="CE59" s="8">
        <f>+MINVU_Mes_Corriente!CE59*MINVU_Mes_Constante!$CC$1</f>
        <v>6205988.3767251028</v>
      </c>
      <c r="CF59" s="8">
        <f>+MINVU_Mes_Corriente!CF59*MINVU_Mes_Constante!$CC$1</f>
        <v>8970235.1324132793</v>
      </c>
      <c r="CG59" s="8">
        <f>+MINVU_Mes_Corriente!CG59*MINVU_Mes_Constante!$CC$1</f>
        <v>12633746.161879897</v>
      </c>
      <c r="CH59" s="8">
        <f>+MINVU_Mes_Corriente!CH59*MINVU_Mes_Constante!$CC$1</f>
        <v>16621431.869451698</v>
      </c>
      <c r="CI59" s="8">
        <f>+MINVU_Mes_Corriente!CI59*MINVU_Mes_Constante!$CC$1</f>
        <v>19732998.546064902</v>
      </c>
      <c r="CJ59" s="8">
        <f>+MINVU_Mes_Corriente!CJ59*MINVU_Mes_Constante!$CC$1</f>
        <v>23011053.934352856</v>
      </c>
      <c r="CK59" s="8">
        <f>+MINVU_Mes_Corriente!CK59*MINVU_Mes_Constante!$CC$1</f>
        <v>27057155.637448717</v>
      </c>
      <c r="CL59" s="8">
        <f>+MINVU_Mes_Corriente!CL59*MINVU_Mes_Constante!$CC$1</f>
        <v>31593719.679970164</v>
      </c>
      <c r="CM59" s="8">
        <f>+MINVU_Mes_Corriente!CM59*MINVU_Mes_Constante!$CC$1</f>
        <v>36313239.544945918</v>
      </c>
      <c r="CN59" s="8">
        <f>+MINVU_Mes_Corriente!CN59*MINVU_Mes_Constante!$CC$1</f>
        <v>46142856.266318545</v>
      </c>
      <c r="CO59" s="9">
        <f t="shared" si="44"/>
        <v>46142856.266318545</v>
      </c>
      <c r="CP59" s="8">
        <f>+MINVU_Mes_Corriente!CP59*MINVU_Mes_Constante!$CP$1</f>
        <v>0</v>
      </c>
      <c r="CQ59" s="8">
        <f>+MINVU_Mes_Corriente!CQ59*MINVU_Mes_Constante!$CP$1</f>
        <v>3071609.1417633402</v>
      </c>
      <c r="CR59" s="8">
        <f>+MINVU_Mes_Corriente!CR59*MINVU_Mes_Constante!$CP$1</f>
        <v>8597235.9090487231</v>
      </c>
      <c r="CS59" s="8">
        <f>+MINVU_Mes_Corriente!CS59*MINVU_Mes_Constante!$CP$1</f>
        <v>19331754.590255216</v>
      </c>
      <c r="CT59" s="8">
        <f>+MINVU_Mes_Corriente!CT59*MINVU_Mes_Constante!$CP$1</f>
        <v>21229294.05104408</v>
      </c>
      <c r="CU59" s="8">
        <f>+MINVU_Mes_Corriente!CU59*MINVU_Mes_Constante!$CP$1</f>
        <v>23341718.271925751</v>
      </c>
      <c r="CV59" s="8">
        <f>+MINVU_Mes_Corriente!CV59*MINVU_Mes_Constante!$CP$1</f>
        <v>27048394.19234338</v>
      </c>
      <c r="CW59" s="8">
        <f>+MINVU_Mes_Corriente!CW59*MINVU_Mes_Constante!$CP$1</f>
        <v>29634573.322273776</v>
      </c>
      <c r="CX59" s="8">
        <f>+MINVU_Mes_Corriente!CX59*MINVU_Mes_Constante!$CP$1</f>
        <v>32174065.983758695</v>
      </c>
      <c r="CY59" s="8">
        <f>+MINVU_Mes_Corriente!CY59*MINVU_Mes_Constante!$CP$1</f>
        <v>39312294.29999999</v>
      </c>
      <c r="CZ59" s="8">
        <f>+MINVU_Mes_Corriente!CZ59*MINVU_Mes_Constante!$CP$1</f>
        <v>44118615.08213456</v>
      </c>
      <c r="DA59" s="8">
        <f>+MINVU_Mes_Corriente!DA59*MINVU_Mes_Constante!$CP$1</f>
        <v>52028180.972853817</v>
      </c>
      <c r="DB59" s="9">
        <f t="shared" si="45"/>
        <v>52028180.972853817</v>
      </c>
      <c r="DC59" s="8">
        <f>+MINVU_Mes_Corriente!DC59*MINVU_Mes_Constante!$DC$1</f>
        <v>0</v>
      </c>
      <c r="DD59" s="8">
        <f>+MINVU_Mes_Corriente!DD59*MINVU_Mes_Constante!$DC$1</f>
        <v>2196563.2198333517</v>
      </c>
      <c r="DE59" s="8">
        <f>+MINVU_Mes_Corriente!DE59*MINVU_Mes_Constante!$DC$1</f>
        <v>6111238.5347186532</v>
      </c>
      <c r="DF59" s="8">
        <f>+MINVU_Mes_Corriente!DF59*MINVU_Mes_Constante!$DC$1</f>
        <v>10199210.257792413</v>
      </c>
      <c r="DG59" s="8">
        <f>+MINVU_Mes_Corriente!DG59*MINVU_Mes_Constante!$DC$1</f>
        <v>12997824.064190933</v>
      </c>
      <c r="DH59" s="8">
        <f>+MINVU_Mes_Corriente!DH59*MINVU_Mes_Constante!$DC$1</f>
        <v>15125957.322291952</v>
      </c>
      <c r="DI59" s="8">
        <f>+MINVU_Mes_Corriente!DI59*MINVU_Mes_Constante!$DC$1</f>
        <v>18042760.978500161</v>
      </c>
      <c r="DJ59" s="8">
        <f>+MINVU_Mes_Corriente!DJ59*MINVU_Mes_Constante!$DC$1</f>
        <v>20895708.059870392</v>
      </c>
      <c r="DK59" s="8">
        <f>+MINVU_Mes_Corriente!DK59*MINVU_Mes_Constante!$DC$1</f>
        <v>24046116.362308417</v>
      </c>
      <c r="DL59" s="8">
        <f>+MINVU_Mes_Corriente!DL59*MINVU_Mes_Constante!$DC$1</f>
        <v>27807918.717827398</v>
      </c>
      <c r="DM59" s="8">
        <f>+MINVU_Mes_Corriente!DM59*MINVU_Mes_Constante!$DC$1</f>
        <v>30697735.00792101</v>
      </c>
      <c r="DN59" s="8">
        <f>+MINVU_Mes_Corriente!DN59*MINVU_Mes_Constante!$DC$1</f>
        <v>38501633.598806724</v>
      </c>
      <c r="DO59" s="9">
        <f t="shared" si="46"/>
        <v>38501633.598806724</v>
      </c>
      <c r="DP59" s="8">
        <f>+MINVU_Mes_Corriente!DP59*MINVU_Mes_Constante!$DP$1</f>
        <v>0</v>
      </c>
      <c r="DQ59" s="8">
        <f>+MINVU_Mes_Corriente!DQ59*MINVU_Mes_Constante!$DP$1</f>
        <v>1161007.5302850357</v>
      </c>
      <c r="DR59" s="8">
        <f>+MINVU_Mes_Corriente!DR59*MINVU_Mes_Constante!$DP$1</f>
        <v>7010149.2826603334</v>
      </c>
      <c r="DS59" s="8">
        <f>+MINVU_Mes_Corriente!DS59*MINVU_Mes_Constante!$DP$1</f>
        <v>11945099.292755345</v>
      </c>
      <c r="DT59" s="8">
        <f>+MINVU_Mes_Corriente!DT59*MINVU_Mes_Constante!$DP$1</f>
        <v>15976091.494061759</v>
      </c>
      <c r="DU59" s="8">
        <f>+MINVU_Mes_Corriente!DU59*MINVU_Mes_Constante!$DP$1</f>
        <v>18535988.196555823</v>
      </c>
      <c r="DV59" s="8">
        <f>+MINVU_Mes_Corriente!DV59*MINVU_Mes_Constante!$DP$1</f>
        <v>20736552.073040381</v>
      </c>
      <c r="DW59" s="8">
        <f>+MINVU_Mes_Corriente!DW59*MINVU_Mes_Constante!$DP$1</f>
        <v>24306318.712589078</v>
      </c>
      <c r="DX59" s="8">
        <f>+MINVU_Mes_Corriente!DX59*MINVU_Mes_Constante!$DP$1</f>
        <v>26576164.934679337</v>
      </c>
      <c r="DY59" s="8">
        <f>+MINVU_Mes_Corriente!DY59*MINVU_Mes_Constante!$DP$1</f>
        <v>30284331.899643708</v>
      </c>
      <c r="DZ59" s="8">
        <f>+MINVU_Mes_Corriente!DZ59*MINVU_Mes_Constante!$DP$1</f>
        <v>33432423.49703088</v>
      </c>
      <c r="EA59" s="8">
        <f>+MINVU_Mes_Corriente!EA59*MINVU_Mes_Constante!$DP$1</f>
        <v>46826233.181116395</v>
      </c>
      <c r="EB59" s="9">
        <f t="shared" si="47"/>
        <v>46826233.181116395</v>
      </c>
      <c r="EC59" s="8">
        <f>+MINVU_Mes_Corriente!EC59*MINVU_Mes_Constante!$EC$1</f>
        <v>0</v>
      </c>
      <c r="ED59" s="8">
        <f>+MINVU_Mes_Corriente!ED59*MINVU_Mes_Constante!$EC$1</f>
        <v>845183.30581329262</v>
      </c>
      <c r="EE59" s="8">
        <f>+MINVU_Mes_Corriente!EE59*MINVU_Mes_Constante!$EC$1</f>
        <v>7459818.0499905301</v>
      </c>
      <c r="EF59" s="8">
        <f>+MINVU_Mes_Corriente!EF59*MINVU_Mes_Constante!$EC$1</f>
        <v>10623251.939784128</v>
      </c>
      <c r="EG59" s="8">
        <f>+MINVU_Mes_Corriente!EG59*MINVU_Mes_Constante!$EC$1</f>
        <v>13595491.174209425</v>
      </c>
      <c r="EH59" s="8">
        <f>+MINVU_Mes_Corriente!EH59*MINVU_Mes_Constante!$EC$1</f>
        <v>16571090.345010409</v>
      </c>
      <c r="EI59" s="8">
        <f>+MINVU_Mes_Corriente!EI59*MINVU_Mes_Constante!$EC$1</f>
        <v>18157078.588335536</v>
      </c>
      <c r="EJ59" s="8">
        <f>+MINVU_Mes_Corriente!EJ59*MINVU_Mes_Constante!$EC$1</f>
        <v>21280013.245029345</v>
      </c>
      <c r="EK59" s="8">
        <f>+MINVU_Mes_Corriente!EK59*MINVU_Mes_Constante!$EC$1</f>
        <v>23931971.302972913</v>
      </c>
      <c r="EL59" s="8">
        <f>+MINVU_Mes_Corriente!EL59*MINVU_Mes_Constante!$EC$1</f>
        <v>26115629.952849831</v>
      </c>
      <c r="EM59" s="8">
        <f>+MINVU_Mes_Corriente!EM59*MINVU_Mes_Constante!$EC$1</f>
        <v>29325824.681310348</v>
      </c>
      <c r="EN59" s="8">
        <f>+MINVU_Mes_Corriente!EN59*MINVU_Mes_Constante!$EC$1</f>
        <v>36893721.374360904</v>
      </c>
      <c r="EO59" s="9">
        <f t="shared" si="48"/>
        <v>36893721.374360904</v>
      </c>
      <c r="EP59" s="8">
        <f>+MINVU_Mes_Corriente!EP59*MINVU_Mes_Constante!$EP$1</f>
        <v>0</v>
      </c>
      <c r="EQ59" s="8">
        <f>+MINVU_Mes_Corriente!EQ59*MINVU_Mes_Constante!$EP$1</f>
        <v>0</v>
      </c>
      <c r="ER59" s="8">
        <f>+MINVU_Mes_Corriente!ER59*MINVU_Mes_Constante!$EP$1</f>
        <v>6894377</v>
      </c>
      <c r="ES59" s="8">
        <f>+MINVU_Mes_Corriente!ES59*MINVU_Mes_Constante!$EP$1</f>
        <v>14671995</v>
      </c>
      <c r="ET59" s="8">
        <f>+MINVU_Mes_Corriente!ET59*MINVU_Mes_Constante!$EP$1</f>
        <v>18775808</v>
      </c>
      <c r="EU59" s="8">
        <f>+MINVU_Mes_Corriente!EU59*MINVU_Mes_Constante!$EP$1</f>
        <v>23907660</v>
      </c>
      <c r="EV59" s="8">
        <f>+MINVU_Mes_Corriente!EV59*MINVU_Mes_Constante!$EP$1</f>
        <v>29396833</v>
      </c>
      <c r="EW59" s="8">
        <f>+MINVU_Mes_Corriente!EW59*MINVU_Mes_Constante!$EP$1</f>
        <v>33730948</v>
      </c>
      <c r="EX59" s="8">
        <f>+MINVU_Mes_Corriente!EX59*MINVU_Mes_Constante!$EP$1</f>
        <v>37737801</v>
      </c>
      <c r="EY59" s="8">
        <f>+MINVU_Mes_Corriente!EY59*MINVU_Mes_Constante!$EP$1</f>
        <v>42029251</v>
      </c>
      <c r="EZ59" s="8">
        <f>+MINVU_Mes_Corriente!EZ59*MINVU_Mes_Constante!$EP$1</f>
        <v>45580303</v>
      </c>
      <c r="FA59" s="8">
        <f>+MINVU_Mes_Corriente!FA59*MINVU_Mes_Constante!$EP$1</f>
        <v>55696292</v>
      </c>
      <c r="FB59" s="9">
        <f t="shared" si="49"/>
        <v>55696292</v>
      </c>
      <c r="FC59" s="8">
        <f>+MINVU_Mes_Corriente!FC59*MINVU_Mes_Constante!$FC$1</f>
        <v>0</v>
      </c>
      <c r="FD59" s="8">
        <f>+MINVU_Mes_Corriente!FD59*MINVU_Mes_Constante!$FC$1</f>
        <v>575811</v>
      </c>
      <c r="FE59" s="8">
        <f>+MINVU_Mes_Corriente!FE59*MINVU_Mes_Constante!$FC$1</f>
        <v>5659243</v>
      </c>
      <c r="FF59" s="8">
        <f>+MINVU_Mes_Corriente!FF59*MINVU_Mes_Constante!$FC$1</f>
        <v>9197930</v>
      </c>
      <c r="FG59" s="8">
        <f>+MINVU_Mes_Corriente!FG59*MINVU_Mes_Constante!$FC$1</f>
        <v>13083654</v>
      </c>
      <c r="FH59" s="8">
        <f>+MINVU_Mes_Corriente!FH59*MINVU_Mes_Constante!$FC$1</f>
        <v>16463966</v>
      </c>
      <c r="FI59" s="8">
        <f>+MINVU_Mes_Corriente!FI59*MINVU_Mes_Constante!$FC$1</f>
        <v>18166057</v>
      </c>
      <c r="FJ59" s="8"/>
      <c r="FK59" s="8"/>
      <c r="FL59" s="8"/>
      <c r="FM59" s="8"/>
      <c r="FN59" s="8"/>
      <c r="FO59" s="9">
        <f t="shared" si="50"/>
        <v>18166057</v>
      </c>
    </row>
    <row r="60" spans="2:171" ht="14.25" customHeight="1" x14ac:dyDescent="0.3">
      <c r="B60" s="7" t="s">
        <v>51</v>
      </c>
      <c r="C60" s="8">
        <f>+MINVU_Mes_Corriente!C60*MINVU_Mes_Constante!$C$1</f>
        <v>0</v>
      </c>
      <c r="D60" s="8">
        <f>+MINVU_Mes_Corriente!D60*MINVU_Mes_Constante!$C$1</f>
        <v>0</v>
      </c>
      <c r="E60" s="8">
        <f>+MINVU_Mes_Corriente!E60*MINVU_Mes_Constante!$C$1</f>
        <v>4813176.0284739742</v>
      </c>
      <c r="F60" s="8">
        <f>+MINVU_Mes_Corriente!F60*MINVU_Mes_Constante!$C$1</f>
        <v>11464559.602254191</v>
      </c>
      <c r="G60" s="8">
        <f>+MINVU_Mes_Corriente!G60*MINVU_Mes_Constante!$C$1</f>
        <v>17871000.177072521</v>
      </c>
      <c r="H60" s="8">
        <f>+MINVU_Mes_Corriente!H60*MINVU_Mes_Constante!$C$1</f>
        <v>23776766.483464338</v>
      </c>
      <c r="I60" s="8">
        <f>+MINVU_Mes_Corriente!I60*MINVU_Mes_Constante!$C$1</f>
        <v>30672566.443422813</v>
      </c>
      <c r="J60" s="8">
        <f>+MINVU_Mes_Corriente!J60*MINVU_Mes_Constante!$C$1</f>
        <v>36130438.045083798</v>
      </c>
      <c r="K60" s="8">
        <f>+MINVU_Mes_Corriente!K60*MINVU_Mes_Constante!$C$1</f>
        <v>41993923.016164921</v>
      </c>
      <c r="L60" s="8">
        <f>+MINVU_Mes_Corriente!L60*MINVU_Mes_Constante!$C$1</f>
        <v>49228545.641109303</v>
      </c>
      <c r="M60" s="8">
        <f>+MINVU_Mes_Corriente!M60*MINVU_Mes_Constante!$C$1</f>
        <v>68716068.825745225</v>
      </c>
      <c r="N60" s="8">
        <f>+MINVU_Mes_Corriente!N60*MINVU_Mes_Constante!$C$1</f>
        <v>93024936.208215937</v>
      </c>
      <c r="O60" s="9">
        <f t="shared" si="38"/>
        <v>93024936.208215937</v>
      </c>
      <c r="P60" s="8">
        <f>+MINVU_Mes_Corriente!P60*MINVU_Mes_Constante!$P$1</f>
        <v>216624.75266373056</v>
      </c>
      <c r="Q60" s="8">
        <f>+MINVU_Mes_Corriente!Q60*MINVU_Mes_Constante!$P$1</f>
        <v>6311279.1799971564</v>
      </c>
      <c r="R60" s="8">
        <f>+MINVU_Mes_Corriente!R60*MINVU_Mes_Constante!$P$1</f>
        <v>12586702.329308135</v>
      </c>
      <c r="S60" s="8">
        <f>+MINVU_Mes_Corriente!S60*MINVU_Mes_Constante!$P$1</f>
        <v>20716919.140787035</v>
      </c>
      <c r="T60" s="8">
        <f>+MINVU_Mes_Corriente!T60*MINVU_Mes_Constante!$P$1</f>
        <v>34544361.2041483</v>
      </c>
      <c r="U60" s="8">
        <f>+MINVU_Mes_Corriente!U60*MINVU_Mes_Constante!$P$1</f>
        <v>40861136.756641552</v>
      </c>
      <c r="V60" s="8">
        <f>+MINVU_Mes_Corriente!V60*MINVU_Mes_Constante!$P$1</f>
        <v>46022548.733342789</v>
      </c>
      <c r="W60" s="8">
        <f>+MINVU_Mes_Corriente!W60*MINVU_Mes_Constante!$P$1</f>
        <v>51971435.202159375</v>
      </c>
      <c r="X60" s="8">
        <f>+MINVU_Mes_Corriente!X60*MINVU_Mes_Constante!$P$1</f>
        <v>58032537.07714162</v>
      </c>
      <c r="Y60" s="8">
        <f>+MINVU_Mes_Corriente!Y60*MINVU_Mes_Constante!$P$1</f>
        <v>71846949.897144452</v>
      </c>
      <c r="Z60" s="8">
        <f>+MINVU_Mes_Corriente!Z60*MINVU_Mes_Constante!$P$1</f>
        <v>81881638.823696524</v>
      </c>
      <c r="AA60" s="8">
        <f>+MINVU_Mes_Corriente!AA60*MINVU_Mes_Constante!$P$1</f>
        <v>120232471.588862</v>
      </c>
      <c r="AB60" s="9">
        <f t="shared" si="39"/>
        <v>120232471.588862</v>
      </c>
      <c r="AC60" s="8">
        <f>+MINVU_Mes_Corriente!AC60*MINVU_Mes_Constante!$AC$1</f>
        <v>0</v>
      </c>
      <c r="AD60" s="8">
        <f>+MINVU_Mes_Corriente!AD60*MINVU_Mes_Constante!$AC$1</f>
        <v>4355099.97261032</v>
      </c>
      <c r="AE60" s="8">
        <f>+MINVU_Mes_Corriente!AE60*MINVU_Mes_Constante!$AC$1</f>
        <v>12342710.290773274</v>
      </c>
      <c r="AF60" s="8">
        <f>+MINVU_Mes_Corriente!AF60*MINVU_Mes_Constante!$AC$1</f>
        <v>20471016.47475446</v>
      </c>
      <c r="AG60" s="8">
        <f>+MINVU_Mes_Corriente!AG60*MINVU_Mes_Constante!$AC$1</f>
        <v>27537061.239175543</v>
      </c>
      <c r="AH60" s="8">
        <f>+MINVU_Mes_Corriente!AH60*MINVU_Mes_Constante!$AC$1</f>
        <v>33784027.811038874</v>
      </c>
      <c r="AI60" s="8">
        <f>+MINVU_Mes_Corriente!AI60*MINVU_Mes_Constante!$AC$1</f>
        <v>39271097.052981049</v>
      </c>
      <c r="AJ60" s="8">
        <f>+MINVU_Mes_Corriente!AJ60*MINVU_Mes_Constante!$AC$1</f>
        <v>46021675.293954901</v>
      </c>
      <c r="AK60" s="8">
        <f>+MINVU_Mes_Corriente!AK60*MINVU_Mes_Constante!$AC$1</f>
        <v>51991132.952552222</v>
      </c>
      <c r="AL60" s="8">
        <f>+MINVU_Mes_Corriente!AL60*MINVU_Mes_Constante!$AC$1</f>
        <v>60189795.382210538</v>
      </c>
      <c r="AM60" s="8">
        <f>+MINVU_Mes_Corriente!AM60*MINVU_Mes_Constante!$AC$1</f>
        <v>71052048.542813674</v>
      </c>
      <c r="AN60" s="8">
        <f>+MINVU_Mes_Corriente!AN60*MINVU_Mes_Constante!$AC$1</f>
        <v>92889839.755152851</v>
      </c>
      <c r="AO60" s="9">
        <f t="shared" si="40"/>
        <v>92889839.755152851</v>
      </c>
      <c r="AP60" s="8">
        <f>+MINVU_Mes_Corriente!AP60*MINVU_Mes_Constante!$AP$1</f>
        <v>0</v>
      </c>
      <c r="AQ60" s="8">
        <f>+MINVU_Mes_Corriente!AQ60*MINVU_Mes_Constante!$AP$1</f>
        <v>64215.558771811171</v>
      </c>
      <c r="AR60" s="8">
        <f>+MINVU_Mes_Corriente!AR60*MINVU_Mes_Constante!$AP$1</f>
        <v>9431507.0488299746</v>
      </c>
      <c r="AS60" s="8">
        <f>+MINVU_Mes_Corriente!AS60*MINVU_Mes_Constante!$AP$1</f>
        <v>16337455.822805356</v>
      </c>
      <c r="AT60" s="8">
        <f>+MINVU_Mes_Corriente!AT60*MINVU_Mes_Constante!$AP$1</f>
        <v>22285723.627214931</v>
      </c>
      <c r="AU60" s="8">
        <f>+MINVU_Mes_Corriente!AU60*MINVU_Mes_Constante!$AP$1</f>
        <v>27078059.64777492</v>
      </c>
      <c r="AV60" s="8">
        <f>+MINVU_Mes_Corriente!AV60*MINVU_Mes_Constante!$AP$1</f>
        <v>33236450.112538885</v>
      </c>
      <c r="AW60" s="8">
        <f>+MINVU_Mes_Corriente!AW60*MINVU_Mes_Constante!$AP$1</f>
        <v>39450586.380089268</v>
      </c>
      <c r="AX60" s="8">
        <f>+MINVU_Mes_Corriente!AX60*MINVU_Mes_Constante!$AP$1</f>
        <v>46657735.401596099</v>
      </c>
      <c r="AY60" s="8">
        <f>+MINVU_Mes_Corriente!AY60*MINVU_Mes_Constante!$AP$1</f>
        <v>55607450.63032598</v>
      </c>
      <c r="AZ60" s="8">
        <f>+MINVU_Mes_Corriente!AZ60*MINVU_Mes_Constante!$AP$1</f>
        <v>66714340.735560663</v>
      </c>
      <c r="BA60" s="8">
        <f>+MINVU_Mes_Corriente!BA60*MINVU_Mes_Constante!$AP$1</f>
        <v>96775791.015014201</v>
      </c>
      <c r="BB60" s="9">
        <f t="shared" si="41"/>
        <v>96775791.015014201</v>
      </c>
      <c r="BC60" s="8">
        <f>+MINVU_Mes_Corriente!BC60*MINVU_Mes_Constante!$BC$1</f>
        <v>0</v>
      </c>
      <c r="BD60" s="8">
        <f>+MINVU_Mes_Corriente!BD60*MINVU_Mes_Constante!$BC$1</f>
        <v>0</v>
      </c>
      <c r="BE60" s="8">
        <f>+MINVU_Mes_Corriente!BE60*MINVU_Mes_Constante!$BC$1</f>
        <v>12949151.41210603</v>
      </c>
      <c r="BF60" s="8">
        <f>+MINVU_Mes_Corriente!BF60*MINVU_Mes_Constante!$BC$1</f>
        <v>20344730.707635507</v>
      </c>
      <c r="BG60" s="8">
        <f>+MINVU_Mes_Corriente!BG60*MINVU_Mes_Constante!$BC$1</f>
        <v>25960116.924963742</v>
      </c>
      <c r="BH60" s="8">
        <f>+MINVU_Mes_Corriente!BH60*MINVU_Mes_Constante!$BC$1</f>
        <v>30853156.652512208</v>
      </c>
      <c r="BI60" s="8">
        <f>+MINVU_Mes_Corriente!BI60*MINVU_Mes_Constante!$BC$1</f>
        <v>35201416.481603593</v>
      </c>
      <c r="BJ60" s="8">
        <f>+MINVU_Mes_Corriente!BJ60*MINVU_Mes_Constante!$BC$1</f>
        <v>39695937.455360688</v>
      </c>
      <c r="BK60" s="8">
        <f>+MINVU_Mes_Corriente!BK60*MINVU_Mes_Constante!$BC$1</f>
        <v>44286394.847158127</v>
      </c>
      <c r="BL60" s="8">
        <f>+MINVU_Mes_Corriente!BL60*MINVU_Mes_Constante!$BC$1</f>
        <v>51028442.86588423</v>
      </c>
      <c r="BM60" s="8">
        <f>+MINVU_Mes_Corriente!BM60*MINVU_Mes_Constante!$BC$1</f>
        <v>66536961.149149433</v>
      </c>
      <c r="BN60" s="8">
        <f>+MINVU_Mes_Corriente!BN60*MINVU_Mes_Constante!$BC$1</f>
        <v>83233566.303837553</v>
      </c>
      <c r="BO60" s="9">
        <f t="shared" si="42"/>
        <v>83233566.303837553</v>
      </c>
      <c r="BP60" s="8">
        <f>+MINVU_Mes_Corriente!BP60*MINVU_Mes_Constante!$BP$1</f>
        <v>0</v>
      </c>
      <c r="BQ60" s="8">
        <f>+MINVU_Mes_Corriente!BQ60*MINVU_Mes_Constante!$BP$1</f>
        <v>0</v>
      </c>
      <c r="BR60" s="8">
        <f>+MINVU_Mes_Corriente!BR60*MINVU_Mes_Constante!$BP$1</f>
        <v>13447028.307042254</v>
      </c>
      <c r="BS60" s="8">
        <f>+MINVU_Mes_Corriente!BS60*MINVU_Mes_Constante!$BP$1</f>
        <v>19332274.139308579</v>
      </c>
      <c r="BT60" s="8">
        <f>+MINVU_Mes_Corriente!BT60*MINVU_Mes_Constante!$BP$1</f>
        <v>23604380.709603075</v>
      </c>
      <c r="BU60" s="8">
        <f>+MINVU_Mes_Corriente!BU60*MINVU_Mes_Constante!$BP$1</f>
        <v>29869745.019718312</v>
      </c>
      <c r="BV60" s="8">
        <f>+MINVU_Mes_Corriente!BV60*MINVU_Mes_Constante!$BP$1</f>
        <v>35415617.54058899</v>
      </c>
      <c r="BW60" s="8">
        <f>+MINVU_Mes_Corriente!BW60*MINVU_Mes_Constante!$BP$1</f>
        <v>39583978.872983359</v>
      </c>
      <c r="BX60" s="8">
        <f>+MINVU_Mes_Corriente!BX60*MINVU_Mes_Constante!$BP$1</f>
        <v>43102612.534955189</v>
      </c>
      <c r="BY60" s="8">
        <f>+MINVU_Mes_Corriente!BY60*MINVU_Mes_Constante!$BP$1</f>
        <v>46785837.083738804</v>
      </c>
      <c r="BZ60" s="8">
        <f>+MINVU_Mes_Corriente!BZ60*MINVU_Mes_Constante!$BP$1</f>
        <v>53245653.416389249</v>
      </c>
      <c r="CA60" s="8">
        <f>+MINVU_Mes_Corriente!CA60*MINVU_Mes_Constante!$BP$1</f>
        <v>71405935.686299622</v>
      </c>
      <c r="CB60" s="9">
        <f t="shared" si="43"/>
        <v>71405935.686299622</v>
      </c>
      <c r="CC60" s="8">
        <f>+MINVU_Mes_Corriente!CC60*MINVU_Mes_Constante!$CC$1</f>
        <v>0</v>
      </c>
      <c r="CD60" s="8">
        <f>+MINVU_Mes_Corriente!CD60*MINVU_Mes_Constante!$CC$1</f>
        <v>0</v>
      </c>
      <c r="CE60" s="8">
        <f>+MINVU_Mes_Corriente!CE60*MINVU_Mes_Constante!$CC$1</f>
        <v>8727355.4367773235</v>
      </c>
      <c r="CF60" s="8">
        <f>+MINVU_Mes_Corriente!CF60*MINVU_Mes_Constante!$CC$1</f>
        <v>13419528.378217084</v>
      </c>
      <c r="CG60" s="8">
        <f>+MINVU_Mes_Corriente!CG60*MINVU_Mes_Constante!$CC$1</f>
        <v>17801363.796344649</v>
      </c>
      <c r="CH60" s="8">
        <f>+MINVU_Mes_Corriente!CH60*MINVU_Mes_Constante!$CC$1</f>
        <v>21399662.513241328</v>
      </c>
      <c r="CI60" s="8">
        <f>+MINVU_Mes_Corriente!CI60*MINVU_Mes_Constante!$CC$1</f>
        <v>25842508.56322268</v>
      </c>
      <c r="CJ60" s="8">
        <f>+MINVU_Mes_Corriente!CJ60*MINVU_Mes_Constante!$CC$1</f>
        <v>31569478.169339802</v>
      </c>
      <c r="CK60" s="8">
        <f>+MINVU_Mes_Corriente!CK60*MINVU_Mes_Constante!$CC$1</f>
        <v>42291178.40656472</v>
      </c>
      <c r="CL60" s="8">
        <f>+MINVU_Mes_Corriente!CL60*MINVU_Mes_Constante!$CC$1</f>
        <v>48295520.070123091</v>
      </c>
      <c r="CM60" s="8">
        <f>+MINVU_Mes_Corriente!CM60*MINVU_Mes_Constante!$CC$1</f>
        <v>63704735.129429325</v>
      </c>
      <c r="CN60" s="8">
        <f>+MINVU_Mes_Corriente!CN60*MINVU_Mes_Constante!$CC$1</f>
        <v>83645232.584110409</v>
      </c>
      <c r="CO60" s="9">
        <f t="shared" si="44"/>
        <v>83645232.584110409</v>
      </c>
      <c r="CP60" s="8">
        <f>+MINVU_Mes_Corriente!CP60*MINVU_Mes_Constante!$CP$1</f>
        <v>0</v>
      </c>
      <c r="CQ60" s="8">
        <f>+MINVU_Mes_Corriente!CQ60*MINVU_Mes_Constante!$CP$1</f>
        <v>0</v>
      </c>
      <c r="CR60" s="8">
        <f>+MINVU_Mes_Corriente!CR60*MINVU_Mes_Constante!$CP$1</f>
        <v>11624872.337122967</v>
      </c>
      <c r="CS60" s="8">
        <f>+MINVU_Mes_Corriente!CS60*MINVU_Mes_Constante!$CP$1</f>
        <v>25562790.281902548</v>
      </c>
      <c r="CT60" s="8">
        <f>+MINVU_Mes_Corriente!CT60*MINVU_Mes_Constante!$CP$1</f>
        <v>33929548.431786537</v>
      </c>
      <c r="CU60" s="8">
        <f>+MINVU_Mes_Corriente!CU60*MINVU_Mes_Constante!$CP$1</f>
        <v>43689074.982598595</v>
      </c>
      <c r="CV60" s="8">
        <f>+MINVU_Mes_Corriente!CV60*MINVU_Mes_Constante!$CP$1</f>
        <v>52078564.789559156</v>
      </c>
      <c r="CW60" s="8">
        <f>+MINVU_Mes_Corriente!CW60*MINVU_Mes_Constante!$CP$1</f>
        <v>62803026.987703003</v>
      </c>
      <c r="CX60" s="8">
        <f>+MINVU_Mes_Corriente!CX60*MINVU_Mes_Constante!$CP$1</f>
        <v>72787388.310208797</v>
      </c>
      <c r="CY60" s="8">
        <f>+MINVU_Mes_Corriente!CY60*MINVU_Mes_Constante!$CP$1</f>
        <v>83720439.509512737</v>
      </c>
      <c r="CZ60" s="8">
        <f>+MINVU_Mes_Corriente!CZ60*MINVU_Mes_Constante!$CP$1</f>
        <v>94435927.684454739</v>
      </c>
      <c r="DA60" s="8">
        <f>+MINVU_Mes_Corriente!DA60*MINVU_Mes_Constante!$CP$1</f>
        <v>118193913.88120647</v>
      </c>
      <c r="DB60" s="9">
        <f t="shared" si="45"/>
        <v>118193913.88120647</v>
      </c>
      <c r="DC60" s="8">
        <f>+MINVU_Mes_Corriente!DC60*MINVU_Mes_Constante!$DC$1</f>
        <v>0</v>
      </c>
      <c r="DD60" s="8">
        <f>+MINVU_Mes_Corriente!DD60*MINVU_Mes_Constante!$DC$1</f>
        <v>22.479168809793244</v>
      </c>
      <c r="DE60" s="8">
        <f>+MINVU_Mes_Corriente!DE60*MINVU_Mes_Constante!$DC$1</f>
        <v>8783563.2467853148</v>
      </c>
      <c r="DF60" s="8">
        <f>+MINVU_Mes_Corriente!DF60*MINVU_Mes_Constante!$DC$1</f>
        <v>16284959.662997643</v>
      </c>
      <c r="DG60" s="8">
        <f>+MINVU_Mes_Corriente!DG60*MINVU_Mes_Constante!$DC$1</f>
        <v>23097780.923979025</v>
      </c>
      <c r="DH60" s="8">
        <f>+MINVU_Mes_Corriente!DH60*MINVU_Mes_Constante!$DC$1</f>
        <v>29116668.289476406</v>
      </c>
      <c r="DI60" s="8">
        <f>+MINVU_Mes_Corriente!DI60*MINVU_Mes_Constante!$DC$1</f>
        <v>35045344.5026232</v>
      </c>
      <c r="DJ60" s="8">
        <f>+MINVU_Mes_Corriente!DJ60*MINVU_Mes_Constante!$DC$1</f>
        <v>39849477.816891283</v>
      </c>
      <c r="DK60" s="8">
        <f>+MINVU_Mes_Corriente!DK60*MINVU_Mes_Constante!$DC$1</f>
        <v>48685970.51455614</v>
      </c>
      <c r="DL60" s="8">
        <f>+MINVU_Mes_Corriente!DL60*MINVU_Mes_Constante!$DC$1</f>
        <v>56456407.738710038</v>
      </c>
      <c r="DM60" s="8">
        <f>+MINVU_Mes_Corriente!DM60*MINVU_Mes_Constante!$DC$1</f>
        <v>67992505.867709115</v>
      </c>
      <c r="DN60" s="8">
        <f>+MINVU_Mes_Corriente!DN60*MINVU_Mes_Constante!$DC$1</f>
        <v>102510338.45962355</v>
      </c>
      <c r="DO60" s="9">
        <f t="shared" si="46"/>
        <v>102510338.45962355</v>
      </c>
      <c r="DP60" s="8">
        <f>+MINVU_Mes_Corriente!DP60*MINVU_Mes_Constante!$DP$1</f>
        <v>0</v>
      </c>
      <c r="DQ60" s="8">
        <f>+MINVU_Mes_Corriente!DQ60*MINVU_Mes_Constante!$DP$1</f>
        <v>0</v>
      </c>
      <c r="DR60" s="8">
        <f>+MINVU_Mes_Corriente!DR60*MINVU_Mes_Constante!$DP$1</f>
        <v>8373548.4192399057</v>
      </c>
      <c r="DS60" s="8">
        <f>+MINVU_Mes_Corriente!DS60*MINVU_Mes_Constante!$DP$1</f>
        <v>13809729.760688838</v>
      </c>
      <c r="DT60" s="8">
        <f>+MINVU_Mes_Corriente!DT60*MINVU_Mes_Constante!$DP$1</f>
        <v>24438971.641923994</v>
      </c>
      <c r="DU60" s="8">
        <f>+MINVU_Mes_Corriente!DU60*MINVU_Mes_Constante!$DP$1</f>
        <v>31802193.792755347</v>
      </c>
      <c r="DV60" s="8">
        <f>+MINVU_Mes_Corriente!DV60*MINVU_Mes_Constante!$DP$1</f>
        <v>37691644.09382423</v>
      </c>
      <c r="DW60" s="8">
        <f>+MINVU_Mes_Corriente!DW60*MINVU_Mes_Constante!$DP$1</f>
        <v>41695041.224465564</v>
      </c>
      <c r="DX60" s="8">
        <f>+MINVU_Mes_Corriente!DX60*MINVU_Mes_Constante!$DP$1</f>
        <v>43151434.635391928</v>
      </c>
      <c r="DY60" s="8">
        <f>+MINVU_Mes_Corriente!DY60*MINVU_Mes_Constante!$DP$1</f>
        <v>47239189.266627081</v>
      </c>
      <c r="DZ60" s="8">
        <f>+MINVU_Mes_Corriente!DZ60*MINVU_Mes_Constante!$DP$1</f>
        <v>52430004.915676966</v>
      </c>
      <c r="EA60" s="8">
        <f>+MINVU_Mes_Corriente!EA60*MINVU_Mes_Constante!$DP$1</f>
        <v>75484188.240498826</v>
      </c>
      <c r="EB60" s="9">
        <f t="shared" si="47"/>
        <v>75484188.240498826</v>
      </c>
      <c r="EC60" s="8">
        <f>+MINVU_Mes_Corriente!EC60*MINVU_Mes_Constante!$EC$1</f>
        <v>0</v>
      </c>
      <c r="ED60" s="8">
        <f>+MINVU_Mes_Corriente!ED60*MINVU_Mes_Constante!$EC$1</f>
        <v>0</v>
      </c>
      <c r="EE60" s="8">
        <f>+MINVU_Mes_Corriente!EE60*MINVU_Mes_Constante!$EC$1</f>
        <v>6002019.4482105644</v>
      </c>
      <c r="EF60" s="8">
        <f>+MINVU_Mes_Corriente!EF60*MINVU_Mes_Constante!$EC$1</f>
        <v>27523263.297670886</v>
      </c>
      <c r="EG60" s="8">
        <f>+MINVU_Mes_Corriente!EG60*MINVU_Mes_Constante!$EC$1</f>
        <v>39133921.712175712</v>
      </c>
      <c r="EH60" s="8">
        <f>+MINVU_Mes_Corriente!EH60*MINVU_Mes_Constante!$EC$1</f>
        <v>49091287.640598357</v>
      </c>
      <c r="EI60" s="8">
        <f>+MINVU_Mes_Corriente!EI60*MINVU_Mes_Constante!$EC$1</f>
        <v>54180274.378148064</v>
      </c>
      <c r="EJ60" s="8">
        <f>+MINVU_Mes_Corriente!EJ60*MINVU_Mes_Constante!$EC$1</f>
        <v>58819671.008521095</v>
      </c>
      <c r="EK60" s="8">
        <f>+MINVU_Mes_Corriente!EK60*MINVU_Mes_Constante!$EC$1</f>
        <v>62256012.833932951</v>
      </c>
      <c r="EL60" s="8">
        <f>+MINVU_Mes_Corriente!EL60*MINVU_Mes_Constante!$EC$1</f>
        <v>65622964.93883732</v>
      </c>
      <c r="EM60" s="8">
        <f>+MINVU_Mes_Corriente!EM60*MINVU_Mes_Constante!$EC$1</f>
        <v>72249281.875591725</v>
      </c>
      <c r="EN60" s="8">
        <f>+MINVU_Mes_Corriente!EN60*MINVU_Mes_Constante!$EC$1</f>
        <v>87235678.090702489</v>
      </c>
      <c r="EO60" s="9">
        <f t="shared" si="48"/>
        <v>87235678.090702489</v>
      </c>
      <c r="EP60" s="8">
        <f>+MINVU_Mes_Corriente!EP60*MINVU_Mes_Constante!$EP$1</f>
        <v>0</v>
      </c>
      <c r="EQ60" s="8">
        <f>+MINVU_Mes_Corriente!EQ60*MINVU_Mes_Constante!$EP$1</f>
        <v>0</v>
      </c>
      <c r="ER60" s="8">
        <f>+MINVU_Mes_Corriente!ER60*MINVU_Mes_Constante!$EP$1</f>
        <v>12132484</v>
      </c>
      <c r="ES60" s="8">
        <f>+MINVU_Mes_Corriente!ES60*MINVU_Mes_Constante!$EP$1</f>
        <v>17263226</v>
      </c>
      <c r="ET60" s="8">
        <f>+MINVU_Mes_Corriente!ET60*MINVU_Mes_Constante!$EP$1</f>
        <v>25244869</v>
      </c>
      <c r="EU60" s="8">
        <f>+MINVU_Mes_Corriente!EU60*MINVU_Mes_Constante!$EP$1</f>
        <v>31340839</v>
      </c>
      <c r="EV60" s="8">
        <f>+MINVU_Mes_Corriente!EV60*MINVU_Mes_Constante!$EP$1</f>
        <v>39240658</v>
      </c>
      <c r="EW60" s="8">
        <f>+MINVU_Mes_Corriente!EW60*MINVU_Mes_Constante!$EP$1</f>
        <v>41627865</v>
      </c>
      <c r="EX60" s="8">
        <f>+MINVU_Mes_Corriente!EX60*MINVU_Mes_Constante!$EP$1</f>
        <v>45007011</v>
      </c>
      <c r="EY60" s="8">
        <f>+MINVU_Mes_Corriente!EY60*MINVU_Mes_Constante!$EP$1</f>
        <v>56559786</v>
      </c>
      <c r="EZ60" s="8">
        <f>+MINVU_Mes_Corriente!EZ60*MINVU_Mes_Constante!$EP$1</f>
        <v>61325912</v>
      </c>
      <c r="FA60" s="8">
        <f>+MINVU_Mes_Corriente!FA60*MINVU_Mes_Constante!$EP$1</f>
        <v>79219999</v>
      </c>
      <c r="FB60" s="9">
        <f t="shared" si="49"/>
        <v>79219999</v>
      </c>
      <c r="FC60" s="8">
        <f>+MINVU_Mes_Corriente!FC60*MINVU_Mes_Constante!$FC$1</f>
        <v>0</v>
      </c>
      <c r="FD60" s="8">
        <f>+MINVU_Mes_Corriente!FD60*MINVU_Mes_Constante!$FC$1</f>
        <v>8700230</v>
      </c>
      <c r="FE60" s="8">
        <f>+MINVU_Mes_Corriente!FE60*MINVU_Mes_Constante!$FC$1</f>
        <v>16017382</v>
      </c>
      <c r="FF60" s="8">
        <f>+MINVU_Mes_Corriente!FF60*MINVU_Mes_Constante!$FC$1</f>
        <v>19225220</v>
      </c>
      <c r="FG60" s="8">
        <f>+MINVU_Mes_Corriente!FG60*MINVU_Mes_Constante!$FC$1</f>
        <v>23499085</v>
      </c>
      <c r="FH60" s="8">
        <f>+MINVU_Mes_Corriente!FH60*MINVU_Mes_Constante!$FC$1</f>
        <v>28587732</v>
      </c>
      <c r="FI60" s="8">
        <f>+MINVU_Mes_Corriente!FI60*MINVU_Mes_Constante!$FC$1</f>
        <v>32956485</v>
      </c>
      <c r="FJ60" s="8"/>
      <c r="FK60" s="8"/>
      <c r="FL60" s="8"/>
      <c r="FM60" s="8"/>
      <c r="FN60" s="8"/>
      <c r="FO60" s="9">
        <f t="shared" si="50"/>
        <v>32956485</v>
      </c>
    </row>
    <row r="61" spans="2:171" ht="14.25" customHeight="1" x14ac:dyDescent="0.3">
      <c r="B61" s="7" t="s">
        <v>52</v>
      </c>
      <c r="C61" s="8">
        <f>+MINVU_Mes_Corriente!C61*MINVU_Mes_Constante!$C$1</f>
        <v>0</v>
      </c>
      <c r="D61" s="8">
        <f>+MINVU_Mes_Corriente!D61*MINVU_Mes_Constante!$C$1</f>
        <v>36039.758564437201</v>
      </c>
      <c r="E61" s="8">
        <f>+MINVU_Mes_Corriente!E61*MINVU_Mes_Constante!$C$1</f>
        <v>775977.70962479617</v>
      </c>
      <c r="F61" s="8">
        <f>+MINVU_Mes_Corriente!F61*MINVU_Mes_Constante!$C$1</f>
        <v>4131742.3271540864</v>
      </c>
      <c r="G61" s="8">
        <f>+MINVU_Mes_Corriente!G61*MINVU_Mes_Constante!$C$1</f>
        <v>8373912.9245143123</v>
      </c>
      <c r="H61" s="8">
        <f>+MINVU_Mes_Corriente!H61*MINVU_Mes_Constante!$C$1</f>
        <v>10108014.793711999</v>
      </c>
      <c r="I61" s="8">
        <f>+MINVU_Mes_Corriente!I61*MINVU_Mes_Constante!$C$1</f>
        <v>12808888.614563253</v>
      </c>
      <c r="J61" s="8">
        <f>+MINVU_Mes_Corriente!J61*MINVU_Mes_Constante!$C$1</f>
        <v>16081568.317959368</v>
      </c>
      <c r="K61" s="8">
        <f>+MINVU_Mes_Corriente!K61*MINVU_Mes_Constante!$C$1</f>
        <v>19387938.276731428</v>
      </c>
      <c r="L61" s="8">
        <f>+MINVU_Mes_Corriente!L61*MINVU_Mes_Constante!$C$1</f>
        <v>24376486.084235508</v>
      </c>
      <c r="M61" s="8">
        <f>+MINVU_Mes_Corriente!M61*MINVU_Mes_Constante!$C$1</f>
        <v>28610365.365860898</v>
      </c>
      <c r="N61" s="8">
        <f>+MINVU_Mes_Corriente!N61*MINVU_Mes_Constante!$C$1</f>
        <v>38481234.270502746</v>
      </c>
      <c r="O61" s="9">
        <f t="shared" si="38"/>
        <v>38481234.270502746</v>
      </c>
      <c r="P61" s="8">
        <f>+MINVU_Mes_Corriente!P61*MINVU_Mes_Constante!$P$1</f>
        <v>1947345.6831936347</v>
      </c>
      <c r="Q61" s="8">
        <f>+MINVU_Mes_Corriente!Q61*MINVU_Mes_Constante!$P$1</f>
        <v>4925850.2727660164</v>
      </c>
      <c r="R61" s="8">
        <f>+MINVU_Mes_Corriente!R61*MINVU_Mes_Constante!$P$1</f>
        <v>7748270.9220059635</v>
      </c>
      <c r="S61" s="8">
        <f>+MINVU_Mes_Corriente!S61*MINVU_Mes_Constante!$P$1</f>
        <v>9802456.7111805622</v>
      </c>
      <c r="T61" s="8">
        <f>+MINVU_Mes_Corriente!T61*MINVU_Mes_Constante!$P$1</f>
        <v>11222431.584600082</v>
      </c>
      <c r="U61" s="8">
        <f>+MINVU_Mes_Corriente!U61*MINVU_Mes_Constante!$P$1</f>
        <v>13786383.027702793</v>
      </c>
      <c r="V61" s="8">
        <f>+MINVU_Mes_Corriente!V61*MINVU_Mes_Constante!$P$1</f>
        <v>15515767.506179849</v>
      </c>
      <c r="W61" s="8">
        <f>+MINVU_Mes_Corriente!W61*MINVU_Mes_Constante!$P$1</f>
        <v>17276596.637022298</v>
      </c>
      <c r="X61" s="8">
        <f>+MINVU_Mes_Corriente!X61*MINVU_Mes_Constante!$P$1</f>
        <v>19040368.756357431</v>
      </c>
      <c r="Y61" s="8">
        <f>+MINVU_Mes_Corriente!Y61*MINVU_Mes_Constante!$P$1</f>
        <v>20083794.771416388</v>
      </c>
      <c r="Z61" s="8">
        <f>+MINVU_Mes_Corriente!Z61*MINVU_Mes_Constante!$P$1</f>
        <v>22666225.264100004</v>
      </c>
      <c r="AA61" s="8">
        <f>+MINVU_Mes_Corriente!AA61*MINVU_Mes_Constante!$P$1</f>
        <v>27625480.629350748</v>
      </c>
      <c r="AB61" s="9">
        <f t="shared" si="39"/>
        <v>27625480.629350748</v>
      </c>
      <c r="AC61" s="8">
        <f>+MINVU_Mes_Corriente!AC61*MINVU_Mes_Constante!$AC$1</f>
        <v>13868.719878268086</v>
      </c>
      <c r="AD61" s="8">
        <f>+MINVU_Mes_Corriente!AD61*MINVU_Mes_Constante!$AC$1</f>
        <v>2159252.0724858209</v>
      </c>
      <c r="AE61" s="8">
        <f>+MINVU_Mes_Corriente!AE61*MINVU_Mes_Constante!$AC$1</f>
        <v>3726523.2175957947</v>
      </c>
      <c r="AF61" s="8">
        <f>+MINVU_Mes_Corriente!AF61*MINVU_Mes_Constante!$AC$1</f>
        <v>5189432.8501867475</v>
      </c>
      <c r="AG61" s="8">
        <f>+MINVU_Mes_Corriente!AG61*MINVU_Mes_Constante!$AC$1</f>
        <v>6576620.7231982294</v>
      </c>
      <c r="AH61" s="8">
        <f>+MINVU_Mes_Corriente!AH61*MINVU_Mes_Constante!$AC$1</f>
        <v>7899065.736063079</v>
      </c>
      <c r="AI61" s="8">
        <f>+MINVU_Mes_Corriente!AI61*MINVU_Mes_Constante!$AC$1</f>
        <v>9020999.2272790149</v>
      </c>
      <c r="AJ61" s="8">
        <f>+MINVU_Mes_Corriente!AJ61*MINVU_Mes_Constante!$AC$1</f>
        <v>10084344.329506155</v>
      </c>
      <c r="AK61" s="8">
        <f>+MINVU_Mes_Corriente!AK61*MINVU_Mes_Constante!$AC$1</f>
        <v>11170253.306958085</v>
      </c>
      <c r="AL61" s="8">
        <f>+MINVU_Mes_Corriente!AL61*MINVU_Mes_Constante!$AC$1</f>
        <v>12927963.921704246</v>
      </c>
      <c r="AM61" s="8">
        <f>+MINVU_Mes_Corriente!AM61*MINVU_Mes_Constante!$AC$1</f>
        <v>15093266.17789459</v>
      </c>
      <c r="AN61" s="8">
        <f>+MINVU_Mes_Corriente!AN61*MINVU_Mes_Constante!$AC$1</f>
        <v>20213334.268916864</v>
      </c>
      <c r="AO61" s="9">
        <f t="shared" si="40"/>
        <v>20213334.268916864</v>
      </c>
      <c r="AP61" s="8">
        <f>+MINVU_Mes_Corriente!AP61*MINVU_Mes_Constante!$AP$1</f>
        <v>376972.86297849315</v>
      </c>
      <c r="AQ61" s="8">
        <f>+MINVU_Mes_Corriente!AQ61*MINVU_Mes_Constante!$AP$1</f>
        <v>1756974.1030704719</v>
      </c>
      <c r="AR61" s="8">
        <f>+MINVU_Mes_Corriente!AR61*MINVU_Mes_Constante!$AP$1</f>
        <v>3758953.3740024343</v>
      </c>
      <c r="AS61" s="8">
        <f>+MINVU_Mes_Corriente!AS61*MINVU_Mes_Constante!$AP$1</f>
        <v>4856561.9245231971</v>
      </c>
      <c r="AT61" s="8">
        <f>+MINVU_Mes_Corriente!AT61*MINVU_Mes_Constante!$AP$1</f>
        <v>5879884.6113891518</v>
      </c>
      <c r="AU61" s="8">
        <f>+MINVU_Mes_Corriente!AU61*MINVU_Mes_Constante!$AP$1</f>
        <v>7866663.8403895572</v>
      </c>
      <c r="AV61" s="8">
        <f>+MINVU_Mes_Corriente!AV61*MINVU_Mes_Constante!$AP$1</f>
        <v>8512100.3316650875</v>
      </c>
      <c r="AW61" s="8">
        <f>+MINVU_Mes_Corriente!AW61*MINVU_Mes_Constante!$AP$1</f>
        <v>10071562.56269444</v>
      </c>
      <c r="AX61" s="8">
        <f>+MINVU_Mes_Corriente!AX61*MINVU_Mes_Constante!$AP$1</f>
        <v>11281048.446638711</v>
      </c>
      <c r="AY61" s="8">
        <f>+MINVU_Mes_Corriente!AY61*MINVU_Mes_Constante!$AP$1</f>
        <v>12168077.67049912</v>
      </c>
      <c r="AZ61" s="8">
        <f>+MINVU_Mes_Corriente!AZ61*MINVU_Mes_Constante!$AP$1</f>
        <v>13405529.562559176</v>
      </c>
      <c r="BA61" s="8">
        <f>+MINVU_Mes_Corriente!BA61*MINVU_Mes_Constante!$AP$1</f>
        <v>17247005.05045313</v>
      </c>
      <c r="BB61" s="9">
        <f t="shared" si="41"/>
        <v>17247005.05045313</v>
      </c>
      <c r="BC61" s="8">
        <f>+MINVU_Mes_Corriente!BC61*MINVU_Mes_Constante!$BC$1</f>
        <v>0</v>
      </c>
      <c r="BD61" s="8">
        <f>+MINVU_Mes_Corriente!BD61*MINVU_Mes_Constante!$BC$1</f>
        <v>819765.54714492965</v>
      </c>
      <c r="BE61" s="8">
        <f>+MINVU_Mes_Corriente!BE61*MINVU_Mes_Constante!$BC$1</f>
        <v>2846439.8486087308</v>
      </c>
      <c r="BF61" s="8">
        <f>+MINVU_Mes_Corriente!BF61*MINVU_Mes_Constante!$BC$1</f>
        <v>4211008.3478834247</v>
      </c>
      <c r="BG61" s="8">
        <f>+MINVU_Mes_Corriente!BG61*MINVU_Mes_Constante!$BC$1</f>
        <v>5654277.7631544257</v>
      </c>
      <c r="BH61" s="8">
        <f>+MINVU_Mes_Corriente!BH61*MINVU_Mes_Constante!$BC$1</f>
        <v>6972865.7122510895</v>
      </c>
      <c r="BI61" s="8">
        <f>+MINVU_Mes_Corriente!BI61*MINVU_Mes_Constante!$BC$1</f>
        <v>8130439.6070156954</v>
      </c>
      <c r="BJ61" s="8">
        <f>+MINVU_Mes_Corriente!BJ61*MINVU_Mes_Constante!$BC$1</f>
        <v>9629465.7705393676</v>
      </c>
      <c r="BK61" s="8">
        <f>+MINVU_Mes_Corriente!BK61*MINVU_Mes_Constante!$BC$1</f>
        <v>10993212.982724518</v>
      </c>
      <c r="BL61" s="8">
        <f>+MINVU_Mes_Corriente!BL61*MINVU_Mes_Constante!$BC$1</f>
        <v>12307260.79915601</v>
      </c>
      <c r="BM61" s="8">
        <f>+MINVU_Mes_Corriente!BM61*MINVU_Mes_Constante!$BC$1</f>
        <v>13216281.521825138</v>
      </c>
      <c r="BN61" s="8">
        <f>+MINVU_Mes_Corriente!BN61*MINVU_Mes_Constante!$BC$1</f>
        <v>20163167.185810369</v>
      </c>
      <c r="BO61" s="9">
        <f t="shared" si="42"/>
        <v>20163167.185810369</v>
      </c>
      <c r="BP61" s="8">
        <f>+MINVU_Mes_Corriente!BP61*MINVU_Mes_Constante!$BP$1</f>
        <v>0</v>
      </c>
      <c r="BQ61" s="8">
        <f>+MINVU_Mes_Corriente!BQ61*MINVU_Mes_Constante!$BP$1</f>
        <v>783485.13341869402</v>
      </c>
      <c r="BR61" s="8">
        <f>+MINVU_Mes_Corriente!BR61*MINVU_Mes_Constante!$BP$1</f>
        <v>3762684.9679897572</v>
      </c>
      <c r="BS61" s="8">
        <f>+MINVU_Mes_Corriente!BS61*MINVU_Mes_Constante!$BP$1</f>
        <v>3962632.1669654292</v>
      </c>
      <c r="BT61" s="8">
        <f>+MINVU_Mes_Corriente!BT61*MINVU_Mes_Constante!$BP$1</f>
        <v>5175282.4663252244</v>
      </c>
      <c r="BU61" s="8">
        <f>+MINVU_Mes_Corriente!BU61*MINVU_Mes_Constante!$BP$1</f>
        <v>6490764.4724711915</v>
      </c>
      <c r="BV61" s="8">
        <f>+MINVU_Mes_Corriente!BV61*MINVU_Mes_Constante!$BP$1</f>
        <v>6579350.4099871963</v>
      </c>
      <c r="BW61" s="8">
        <f>+MINVU_Mes_Corriente!BW61*MINVU_Mes_Constante!$BP$1</f>
        <v>7538502.1206145976</v>
      </c>
      <c r="BX61" s="8">
        <f>+MINVU_Mes_Corriente!BX61*MINVU_Mes_Constante!$BP$1</f>
        <v>8330252.4023047388</v>
      </c>
      <c r="BY61" s="8">
        <f>+MINVU_Mes_Corriente!BY61*MINVU_Mes_Constante!$BP$1</f>
        <v>9110013.4624839965</v>
      </c>
      <c r="BZ61" s="8">
        <f>+MINVU_Mes_Corriente!BZ61*MINVU_Mes_Constante!$BP$1</f>
        <v>11104128.774391806</v>
      </c>
      <c r="CA61" s="8">
        <f>+MINVU_Mes_Corriente!CA61*MINVU_Mes_Constante!$BP$1</f>
        <v>16846867.949807942</v>
      </c>
      <c r="CB61" s="9">
        <f t="shared" si="43"/>
        <v>16846867.949807942</v>
      </c>
      <c r="CC61" s="8">
        <f>+MINVU_Mes_Corriente!CC61*MINVU_Mes_Constante!$CC$1</f>
        <v>0</v>
      </c>
      <c r="CD61" s="8">
        <f>+MINVU_Mes_Corriente!CD61*MINVU_Mes_Constante!$CC$1</f>
        <v>0</v>
      </c>
      <c r="CE61" s="8">
        <f>+MINVU_Mes_Corriente!CE61*MINVU_Mes_Constante!$CC$1</f>
        <v>1417692.9891831407</v>
      </c>
      <c r="CF61" s="8">
        <f>+MINVU_Mes_Corriente!CF61*MINVU_Mes_Constante!$CC$1</f>
        <v>2241438.4028347633</v>
      </c>
      <c r="CG61" s="8">
        <f>+MINVU_Mes_Corriente!CG61*MINVU_Mes_Constante!$CC$1</f>
        <v>4300620.5841104072</v>
      </c>
      <c r="CH61" s="8">
        <f>+MINVU_Mes_Corriente!CH61*MINVU_Mes_Constante!$CC$1</f>
        <v>4909934.9272659458</v>
      </c>
      <c r="CI61" s="8">
        <f>+MINVU_Mes_Corriente!CI61*MINVU_Mes_Constante!$CC$1</f>
        <v>5971759.2801193586</v>
      </c>
      <c r="CJ61" s="8">
        <f>+MINVU_Mes_Corriente!CJ61*MINVU_Mes_Constante!$CC$1</f>
        <v>6491928.1678478187</v>
      </c>
      <c r="CK61" s="8">
        <f>+MINVU_Mes_Corriente!CK61*MINVU_Mes_Constante!$CC$1</f>
        <v>6856897.0496083554</v>
      </c>
      <c r="CL61" s="8">
        <f>+MINVU_Mes_Corriente!CL61*MINVU_Mes_Constante!$CC$1</f>
        <v>8319526.1514360318</v>
      </c>
      <c r="CM61" s="8">
        <f>+MINVU_Mes_Corriente!CM61*MINVU_Mes_Constante!$CC$1</f>
        <v>8610223.2286460288</v>
      </c>
      <c r="CN61" s="8">
        <f>+MINVU_Mes_Corriente!CN61*MINVU_Mes_Constante!$CC$1</f>
        <v>14130934.189481538</v>
      </c>
      <c r="CO61" s="9">
        <f t="shared" si="44"/>
        <v>14130934.189481538</v>
      </c>
      <c r="CP61" s="8">
        <f>+MINVU_Mes_Corriente!CP61*MINVU_Mes_Constante!$CP$1</f>
        <v>1267.5174013921112</v>
      </c>
      <c r="CQ61" s="8">
        <f>+MINVU_Mes_Corriente!CQ61*MINVU_Mes_Constante!$CP$1</f>
        <v>125608.43944315542</v>
      </c>
      <c r="CR61" s="8">
        <f>+MINVU_Mes_Corriente!CR61*MINVU_Mes_Constante!$CP$1</f>
        <v>526909.5187935034</v>
      </c>
      <c r="CS61" s="8">
        <f>+MINVU_Mes_Corriente!CS61*MINVU_Mes_Constante!$CP$1</f>
        <v>1497703.6315545239</v>
      </c>
      <c r="CT61" s="8">
        <f>+MINVU_Mes_Corriente!CT61*MINVU_Mes_Constante!$CP$1</f>
        <v>2613619.6141531318</v>
      </c>
      <c r="CU61" s="8">
        <f>+MINVU_Mes_Corriente!CU61*MINVU_Mes_Constante!$CP$1</f>
        <v>3192093.0083526676</v>
      </c>
      <c r="CV61" s="8">
        <f>+MINVU_Mes_Corriente!CV61*MINVU_Mes_Constante!$CP$1</f>
        <v>4372894.4742459385</v>
      </c>
      <c r="CW61" s="8">
        <f>+MINVU_Mes_Corriente!CW61*MINVU_Mes_Constante!$CP$1</f>
        <v>4916309.6046403702</v>
      </c>
      <c r="CX61" s="8">
        <f>+MINVU_Mes_Corriente!CX61*MINVU_Mes_Constante!$CP$1</f>
        <v>8080215.56102088</v>
      </c>
      <c r="CY61" s="8">
        <f>+MINVU_Mes_Corriente!CY61*MINVU_Mes_Constante!$CP$1</f>
        <v>8808688.2320185602</v>
      </c>
      <c r="CZ61" s="8">
        <f>+MINVU_Mes_Corriente!CZ61*MINVU_Mes_Constante!$CP$1</f>
        <v>9905648.4918793477</v>
      </c>
      <c r="DA61" s="8">
        <f>+MINVU_Mes_Corriente!DA61*MINVU_Mes_Constante!$CP$1</f>
        <v>12008420.567749418</v>
      </c>
      <c r="DB61" s="9">
        <f t="shared" si="45"/>
        <v>12008420.567749418</v>
      </c>
      <c r="DC61" s="8">
        <f>+MINVU_Mes_Corriente!DC61*MINVU_Mes_Constante!$DC$1</f>
        <v>0</v>
      </c>
      <c r="DD61" s="8">
        <f>+MINVU_Mes_Corriente!DD61*MINVU_Mes_Constante!$DC$1</f>
        <v>649623.25151733391</v>
      </c>
      <c r="DE61" s="8">
        <f>+MINVU_Mes_Corriente!DE61*MINVU_Mes_Constante!$DC$1</f>
        <v>1390133.1544079834</v>
      </c>
      <c r="DF61" s="8">
        <f>+MINVU_Mes_Corriente!DF61*MINVU_Mes_Constante!$DC$1</f>
        <v>2222961.631725132</v>
      </c>
      <c r="DG61" s="8">
        <f>+MINVU_Mes_Corriente!DG61*MINVU_Mes_Constante!$DC$1</f>
        <v>2649430.8025923274</v>
      </c>
      <c r="DH61" s="8">
        <f>+MINVU_Mes_Corriente!DH61*MINVU_Mes_Constante!$DC$1</f>
        <v>3337603.5807015756</v>
      </c>
      <c r="DI61" s="8">
        <f>+MINVU_Mes_Corriente!DI61*MINVU_Mes_Constante!$DC$1</f>
        <v>3730323.6514761872</v>
      </c>
      <c r="DJ61" s="8">
        <f>+MINVU_Mes_Corriente!DJ61*MINVU_Mes_Constante!$DC$1</f>
        <v>4490773.701059564</v>
      </c>
      <c r="DK61" s="8">
        <f>+MINVU_Mes_Corriente!DK61*MINVU_Mes_Constante!$DC$1</f>
        <v>5109363.3360765381</v>
      </c>
      <c r="DL61" s="8">
        <f>+MINVU_Mes_Corriente!DL61*MINVU_Mes_Constante!$DC$1</f>
        <v>5480637.155848166</v>
      </c>
      <c r="DM61" s="8">
        <f>+MINVU_Mes_Corriente!DM61*MINVU_Mes_Constante!$DC$1</f>
        <v>6458289.9261392895</v>
      </c>
      <c r="DN61" s="8">
        <f>+MINVU_Mes_Corriente!DN61*MINVU_Mes_Constante!$DC$1</f>
        <v>7711707.0237629907</v>
      </c>
      <c r="DO61" s="9">
        <f t="shared" si="46"/>
        <v>7711707.0237629907</v>
      </c>
      <c r="DP61" s="8">
        <f>+MINVU_Mes_Corriente!DP61*MINVU_Mes_Constante!$DP$1</f>
        <v>0</v>
      </c>
      <c r="DQ61" s="8">
        <f>+MINVU_Mes_Corriente!DQ61*MINVU_Mes_Constante!$DP$1</f>
        <v>532447.85629453685</v>
      </c>
      <c r="DR61" s="8">
        <f>+MINVU_Mes_Corriente!DR61*MINVU_Mes_Constante!$DP$1</f>
        <v>1918721.9536817104</v>
      </c>
      <c r="DS61" s="8">
        <f>+MINVU_Mes_Corriente!DS61*MINVU_Mes_Constante!$DP$1</f>
        <v>2840488.580166271</v>
      </c>
      <c r="DT61" s="8">
        <f>+MINVU_Mes_Corriente!DT61*MINVU_Mes_Constante!$DP$1</f>
        <v>3878342.8752969126</v>
      </c>
      <c r="DU61" s="8">
        <f>+MINVU_Mes_Corriente!DU61*MINVU_Mes_Constante!$DP$1</f>
        <v>4443530.8842042759</v>
      </c>
      <c r="DV61" s="8">
        <f>+MINVU_Mes_Corriente!DV61*MINVU_Mes_Constante!$DP$1</f>
        <v>5180975.328384799</v>
      </c>
      <c r="DW61" s="8">
        <f>+MINVU_Mes_Corriente!DW61*MINVU_Mes_Constante!$DP$1</f>
        <v>5391419.7773159146</v>
      </c>
      <c r="DX61" s="8">
        <f>+MINVU_Mes_Corriente!DX61*MINVU_Mes_Constante!$DP$1</f>
        <v>5912051.6793349171</v>
      </c>
      <c r="DY61" s="8">
        <f>+MINVU_Mes_Corriente!DY61*MINVU_Mes_Constante!$DP$1</f>
        <v>6338705.2749406183</v>
      </c>
      <c r="DZ61" s="8">
        <f>+MINVU_Mes_Corriente!DZ61*MINVU_Mes_Constante!$DP$1</f>
        <v>6948155.2624703096</v>
      </c>
      <c r="EA61" s="8">
        <f>+MINVU_Mes_Corriente!EA61*MINVU_Mes_Constante!$DP$1</f>
        <v>9724424.3960807603</v>
      </c>
      <c r="EB61" s="9">
        <f t="shared" si="47"/>
        <v>9724424.3960807603</v>
      </c>
      <c r="EC61" s="8">
        <f>+MINVU_Mes_Corriente!EC61*MINVU_Mes_Constante!$EC$1</f>
        <v>0</v>
      </c>
      <c r="ED61" s="8">
        <f>+MINVU_Mes_Corriente!ED61*MINVU_Mes_Constante!$EC$1</f>
        <v>286384.92179511447</v>
      </c>
      <c r="EE61" s="8">
        <f>+MINVU_Mes_Corriente!EE61*MINVU_Mes_Constante!$EC$1</f>
        <v>1205029.5951524328</v>
      </c>
      <c r="EF61" s="8">
        <f>+MINVU_Mes_Corriente!EF61*MINVU_Mes_Constante!$EC$1</f>
        <v>1495023.7589471687</v>
      </c>
      <c r="EG61" s="8">
        <f>+MINVU_Mes_Corriente!EG61*MINVU_Mes_Constante!$EC$1</f>
        <v>1692307.2645332317</v>
      </c>
      <c r="EH61" s="8">
        <f>+MINVU_Mes_Corriente!EH61*MINVU_Mes_Constante!$EC$1</f>
        <v>1853544.9009657255</v>
      </c>
      <c r="EI61" s="8">
        <f>+MINVU_Mes_Corriente!EI61*MINVU_Mes_Constante!$EC$1</f>
        <v>1939680.511266805</v>
      </c>
      <c r="EJ61" s="8">
        <f>+MINVU_Mes_Corriente!EJ61*MINVU_Mes_Constante!$EC$1</f>
        <v>2380424.9238780527</v>
      </c>
      <c r="EK61" s="8">
        <f>+MINVU_Mes_Corriente!EK61*MINVU_Mes_Constante!$EC$1</f>
        <v>2796182.913084642</v>
      </c>
      <c r="EL61" s="8">
        <f>+MINVU_Mes_Corriente!EL61*MINVU_Mes_Constante!$EC$1</f>
        <v>3471529.0901344432</v>
      </c>
      <c r="EM61" s="8">
        <f>+MINVU_Mes_Corriente!EM61*MINVU_Mes_Constante!$EC$1</f>
        <v>4196792.2529823883</v>
      </c>
      <c r="EN61" s="8">
        <f>+MINVU_Mes_Corriente!EN61*MINVU_Mes_Constante!$EC$1</f>
        <v>5364962.8909297464</v>
      </c>
      <c r="EO61" s="9">
        <f t="shared" si="48"/>
        <v>5364962.8909297464</v>
      </c>
      <c r="EP61" s="8">
        <f>+MINVU_Mes_Corriente!EP61*MINVU_Mes_Constante!$EP$1</f>
        <v>0</v>
      </c>
      <c r="EQ61" s="8">
        <f>+MINVU_Mes_Corriente!EQ61*MINVU_Mes_Constante!$EP$1</f>
        <v>454298</v>
      </c>
      <c r="ER61" s="8">
        <f>+MINVU_Mes_Corriente!ER61*MINVU_Mes_Constante!$EP$1</f>
        <v>1364864</v>
      </c>
      <c r="ES61" s="8">
        <f>+MINVU_Mes_Corriente!ES61*MINVU_Mes_Constante!$EP$1</f>
        <v>2152908</v>
      </c>
      <c r="ET61" s="8">
        <f>+MINVU_Mes_Corriente!ET61*MINVU_Mes_Constante!$EP$1</f>
        <v>3067456</v>
      </c>
      <c r="EU61" s="8">
        <f>+MINVU_Mes_Corriente!EU61*MINVU_Mes_Constante!$EP$1</f>
        <v>3591831</v>
      </c>
      <c r="EV61" s="8">
        <f>+MINVU_Mes_Corriente!EV61*MINVU_Mes_Constante!$EP$1</f>
        <v>4024502</v>
      </c>
      <c r="EW61" s="8">
        <f>+MINVU_Mes_Corriente!EW61*MINVU_Mes_Constante!$EP$1</f>
        <v>4758598</v>
      </c>
      <c r="EX61" s="8">
        <f>+MINVU_Mes_Corriente!EX61*MINVU_Mes_Constante!$EP$1</f>
        <v>6018242</v>
      </c>
      <c r="EY61" s="8">
        <f>+MINVU_Mes_Corriente!EY61*MINVU_Mes_Constante!$EP$1</f>
        <v>6553969</v>
      </c>
      <c r="EZ61" s="8">
        <f>+MINVU_Mes_Corriente!EZ61*MINVU_Mes_Constante!$EP$1</f>
        <v>7179799</v>
      </c>
      <c r="FA61" s="8">
        <f>+MINVU_Mes_Corriente!FA61*MINVU_Mes_Constante!$EP$1</f>
        <v>8275294</v>
      </c>
      <c r="FB61" s="9">
        <f t="shared" si="49"/>
        <v>8275294</v>
      </c>
      <c r="FC61" s="8">
        <f>+MINVU_Mes_Corriente!FC61*MINVU_Mes_Constante!$FC$1</f>
        <v>204442</v>
      </c>
      <c r="FD61" s="8">
        <f>+MINVU_Mes_Corriente!FD61*MINVU_Mes_Constante!$FC$1</f>
        <v>1444145</v>
      </c>
      <c r="FE61" s="8">
        <f>+MINVU_Mes_Corriente!FE61*MINVU_Mes_Constante!$FC$1</f>
        <v>3179839</v>
      </c>
      <c r="FF61" s="8">
        <f>+MINVU_Mes_Corriente!FF61*MINVU_Mes_Constante!$FC$1</f>
        <v>3866613</v>
      </c>
      <c r="FG61" s="8">
        <f>+MINVU_Mes_Corriente!FG61*MINVU_Mes_Constante!$FC$1</f>
        <v>4135039</v>
      </c>
      <c r="FH61" s="8">
        <f>+MINVU_Mes_Corriente!FH61*MINVU_Mes_Constante!$FC$1</f>
        <v>4729235</v>
      </c>
      <c r="FI61" s="8">
        <f>+MINVU_Mes_Corriente!FI61*MINVU_Mes_Constante!$FC$1</f>
        <v>5630349</v>
      </c>
      <c r="FJ61" s="8"/>
      <c r="FK61" s="8"/>
      <c r="FL61" s="8"/>
      <c r="FM61" s="8"/>
      <c r="FN61" s="8"/>
      <c r="FO61" s="9">
        <f t="shared" si="50"/>
        <v>5630349</v>
      </c>
    </row>
    <row r="62" spans="2:171" ht="14.25" customHeight="1" x14ac:dyDescent="0.3">
      <c r="B62" s="7" t="s">
        <v>53</v>
      </c>
      <c r="C62" s="8">
        <f>+MINVU_Mes_Corriente!C62*MINVU_Mes_Constante!$C$1</f>
        <v>0</v>
      </c>
      <c r="D62" s="8">
        <f>+MINVU_Mes_Corriente!D62*MINVU_Mes_Constante!$C$1</f>
        <v>11669.739285184638</v>
      </c>
      <c r="E62" s="8">
        <f>+MINVU_Mes_Corriente!E62*MINVU_Mes_Constante!$C$1</f>
        <v>5146546.225715558</v>
      </c>
      <c r="F62" s="8">
        <f>+MINVU_Mes_Corriente!F62*MINVU_Mes_Constante!$C$1</f>
        <v>6492502.066439271</v>
      </c>
      <c r="G62" s="8">
        <f>+MINVU_Mes_Corriente!G62*MINVU_Mes_Constante!$C$1</f>
        <v>7169893.0019279262</v>
      </c>
      <c r="H62" s="8">
        <f>+MINVU_Mes_Corriente!H62*MINVU_Mes_Constante!$C$1</f>
        <v>7811950.6501557184</v>
      </c>
      <c r="I62" s="8">
        <f>+MINVU_Mes_Corriente!I62*MINVU_Mes_Constante!$C$1</f>
        <v>8358459.6749221431</v>
      </c>
      <c r="J62" s="8">
        <f>+MINVU_Mes_Corriente!J62*MINVU_Mes_Constante!$C$1</f>
        <v>8787211.5998813603</v>
      </c>
      <c r="K62" s="8">
        <f>+MINVU_Mes_Corriente!K62*MINVU_Mes_Constante!$C$1</f>
        <v>11244602.354441645</v>
      </c>
      <c r="L62" s="8">
        <f>+MINVU_Mes_Corriente!L62*MINVU_Mes_Constante!$C$1</f>
        <v>13578266.650748927</v>
      </c>
      <c r="M62" s="8">
        <f>+MINVU_Mes_Corriente!M62*MINVU_Mes_Constante!$C$1</f>
        <v>15633699.538780961</v>
      </c>
      <c r="N62" s="8">
        <f>+MINVU_Mes_Corriente!N62*MINVU_Mes_Constante!$C$1</f>
        <v>18946178.205843098</v>
      </c>
      <c r="O62" s="9">
        <f t="shared" si="38"/>
        <v>18946178.205843098</v>
      </c>
      <c r="P62" s="8">
        <f>+MINVU_Mes_Corriente!P62*MINVU_Mes_Constante!$P$1</f>
        <v>0</v>
      </c>
      <c r="Q62" s="8">
        <f>+MINVU_Mes_Corriente!Q62*MINVU_Mes_Constante!$P$1</f>
        <v>1178819.0078136094</v>
      </c>
      <c r="R62" s="8">
        <f>+MINVU_Mes_Corriente!R62*MINVU_Mes_Constante!$P$1</f>
        <v>2686589.9335132823</v>
      </c>
      <c r="S62" s="8">
        <f>+MINVU_Mes_Corriente!S62*MINVU_Mes_Constante!$P$1</f>
        <v>4271021.3632618254</v>
      </c>
      <c r="T62" s="8">
        <f>+MINVU_Mes_Corriente!T62*MINVU_Mes_Constante!$P$1</f>
        <v>4957960.8228441523</v>
      </c>
      <c r="U62" s="8">
        <f>+MINVU_Mes_Corriente!U62*MINVU_Mes_Constante!$P$1</f>
        <v>7197593.6922858329</v>
      </c>
      <c r="V62" s="8">
        <f>+MINVU_Mes_Corriente!V62*MINVU_Mes_Constante!$P$1</f>
        <v>8509438.5739451591</v>
      </c>
      <c r="W62" s="8">
        <f>+MINVU_Mes_Corriente!W62*MINVU_Mes_Constante!$P$1</f>
        <v>11362448.608325042</v>
      </c>
      <c r="X62" s="8">
        <f>+MINVU_Mes_Corriente!X62*MINVU_Mes_Constante!$P$1</f>
        <v>15376643.002699241</v>
      </c>
      <c r="Y62" s="8">
        <f>+MINVU_Mes_Corriente!Y62*MINVU_Mes_Constante!$P$1</f>
        <v>20652961.916181266</v>
      </c>
      <c r="Z62" s="8">
        <f>+MINVU_Mes_Corriente!Z62*MINVU_Mes_Constante!$P$1</f>
        <v>24934634.538428746</v>
      </c>
      <c r="AA62" s="8">
        <f>+MINVU_Mes_Corriente!AA62*MINVU_Mes_Constante!$P$1</f>
        <v>34522905.017474063</v>
      </c>
      <c r="AB62" s="9">
        <f t="shared" si="39"/>
        <v>34522905.017474063</v>
      </c>
      <c r="AC62" s="8">
        <f>+MINVU_Mes_Corriente!AC62*MINVU_Mes_Constante!$AC$1</f>
        <v>4110781.6749204593</v>
      </c>
      <c r="AD62" s="8">
        <f>+MINVU_Mes_Corriente!AD62*MINVU_Mes_Constante!$AC$1</f>
        <v>8990696.9207359254</v>
      </c>
      <c r="AE62" s="8">
        <f>+MINVU_Mes_Corriente!AE62*MINVU_Mes_Constante!$AC$1</f>
        <v>13421458.196431041</v>
      </c>
      <c r="AF62" s="8">
        <f>+MINVU_Mes_Corriente!AF62*MINVU_Mes_Constante!$AC$1</f>
        <v>15710428.746714622</v>
      </c>
      <c r="AG62" s="8">
        <f>+MINVU_Mes_Corriente!AG62*MINVU_Mes_Constante!$AC$1</f>
        <v>17736714.316226311</v>
      </c>
      <c r="AH62" s="8">
        <f>+MINVU_Mes_Corriente!AH62*MINVU_Mes_Constante!$AC$1</f>
        <v>20952612.911329366</v>
      </c>
      <c r="AI62" s="8">
        <f>+MINVU_Mes_Corriente!AI62*MINVU_Mes_Constante!$AC$1</f>
        <v>23962271.731913127</v>
      </c>
      <c r="AJ62" s="8">
        <f>+MINVU_Mes_Corriente!AJ62*MINVU_Mes_Constante!$AC$1</f>
        <v>26717588.567990039</v>
      </c>
      <c r="AK62" s="8">
        <f>+MINVU_Mes_Corriente!AK62*MINVU_Mes_Constante!$AC$1</f>
        <v>28170915.846175127</v>
      </c>
      <c r="AL62" s="8">
        <f>+MINVU_Mes_Corriente!AL62*MINVU_Mes_Constante!$AC$1</f>
        <v>29759260.61391617</v>
      </c>
      <c r="AM62" s="8">
        <f>+MINVU_Mes_Corriente!AM62*MINVU_Mes_Constante!$AC$1</f>
        <v>32252797.805228937</v>
      </c>
      <c r="AN62" s="8">
        <f>+MINVU_Mes_Corriente!AN62*MINVU_Mes_Constante!$AC$1</f>
        <v>37715506.102642134</v>
      </c>
      <c r="AO62" s="9">
        <f t="shared" si="40"/>
        <v>37715506.102642134</v>
      </c>
      <c r="AP62" s="8">
        <f>+MINVU_Mes_Corriente!AP62*MINVU_Mes_Constante!$AP$1</f>
        <v>0</v>
      </c>
      <c r="AQ62" s="8">
        <f>+MINVU_Mes_Corriente!AQ62*MINVU_Mes_Constante!$AP$1</f>
        <v>3132129.3599350736</v>
      </c>
      <c r="AR62" s="8">
        <f>+MINVU_Mes_Corriente!AR62*MINVU_Mes_Constante!$AP$1</f>
        <v>6296278.5651291758</v>
      </c>
      <c r="AS62" s="8">
        <f>+MINVU_Mes_Corriente!AS62*MINVU_Mes_Constante!$AP$1</f>
        <v>7962596.2781009059</v>
      </c>
      <c r="AT62" s="8">
        <f>+MINVU_Mes_Corriente!AT62*MINVU_Mes_Constante!$AP$1</f>
        <v>12115234.432841877</v>
      </c>
      <c r="AU62" s="8">
        <f>+MINVU_Mes_Corriente!AU62*MINVU_Mes_Constante!$AP$1</f>
        <v>14882049.960503178</v>
      </c>
      <c r="AV62" s="8">
        <f>+MINVU_Mes_Corriente!AV62*MINVU_Mes_Constante!$AP$1</f>
        <v>16929338.213986203</v>
      </c>
      <c r="AW62" s="8">
        <f>+MINVU_Mes_Corriente!AW62*MINVU_Mes_Constante!$AP$1</f>
        <v>18942066.138779927</v>
      </c>
      <c r="AX62" s="8">
        <f>+MINVU_Mes_Corriente!AX62*MINVU_Mes_Constante!$AP$1</f>
        <v>20799886.645475447</v>
      </c>
      <c r="AY62" s="8">
        <f>+MINVU_Mes_Corriente!AY62*MINVU_Mes_Constante!$AP$1</f>
        <v>23999298.174489379</v>
      </c>
      <c r="AZ62" s="8">
        <f>+MINVU_Mes_Corriente!AZ62*MINVU_Mes_Constante!$AP$1</f>
        <v>29383628.9054511</v>
      </c>
      <c r="BA62" s="8">
        <f>+MINVU_Mes_Corriente!BA62*MINVU_Mes_Constante!$AP$1</f>
        <v>37383074.755309075</v>
      </c>
      <c r="BB62" s="9">
        <f t="shared" si="41"/>
        <v>37383074.755309075</v>
      </c>
      <c r="BC62" s="8">
        <f>+MINVU_Mes_Corriente!BC62*MINVU_Mes_Constante!$BC$1</f>
        <v>4310081.5062640123</v>
      </c>
      <c r="BD62" s="8">
        <f>+MINVU_Mes_Corriente!BD62*MINVU_Mes_Constante!$BC$1</f>
        <v>8009020.2355268383</v>
      </c>
      <c r="BE62" s="8">
        <f>+MINVU_Mes_Corriente!BE62*MINVU_Mes_Constante!$BC$1</f>
        <v>10772855.893182121</v>
      </c>
      <c r="BF62" s="8">
        <f>+MINVU_Mes_Corriente!BF62*MINVU_Mes_Constante!$BC$1</f>
        <v>15019075.844388768</v>
      </c>
      <c r="BG62" s="8">
        <f>+MINVU_Mes_Corriente!BG62*MINVU_Mes_Constante!$BC$1</f>
        <v>20146520.993274435</v>
      </c>
      <c r="BH62" s="8">
        <f>+MINVU_Mes_Corriente!BH62*MINVU_Mes_Constante!$BC$1</f>
        <v>22636963.146511938</v>
      </c>
      <c r="BI62" s="8">
        <f>+MINVU_Mes_Corriente!BI62*MINVU_Mes_Constante!$BC$1</f>
        <v>26051399.38283002</v>
      </c>
      <c r="BJ62" s="8">
        <f>+MINVU_Mes_Corriente!BJ62*MINVU_Mes_Constante!$BC$1</f>
        <v>28282875.308189377</v>
      </c>
      <c r="BK62" s="8">
        <f>+MINVU_Mes_Corriente!BK62*MINVU_Mes_Constante!$BC$1</f>
        <v>30585738.371884488</v>
      </c>
      <c r="BL62" s="8">
        <f>+MINVU_Mes_Corriente!BL62*MINVU_Mes_Constante!$BC$1</f>
        <v>32207215.558749843</v>
      </c>
      <c r="BM62" s="8">
        <f>+MINVU_Mes_Corriente!BM62*MINVU_Mes_Constante!$BC$1</f>
        <v>37368304.661215886</v>
      </c>
      <c r="BN62" s="8">
        <f>+MINVU_Mes_Corriente!BN62*MINVU_Mes_Constante!$BC$1</f>
        <v>42767010.84979561</v>
      </c>
      <c r="BO62" s="9">
        <f t="shared" si="42"/>
        <v>42767010.84979561</v>
      </c>
      <c r="BP62" s="8">
        <f>+MINVU_Mes_Corriente!BP62*MINVU_Mes_Constante!$BP$1</f>
        <v>0</v>
      </c>
      <c r="BQ62" s="8">
        <f>+MINVU_Mes_Corriente!BQ62*MINVU_Mes_Constante!$BP$1</f>
        <v>2009172.4870678619</v>
      </c>
      <c r="BR62" s="8">
        <f>+MINVU_Mes_Corriente!BR62*MINVU_Mes_Constante!$BP$1</f>
        <v>6511418.949295775</v>
      </c>
      <c r="BS62" s="8">
        <f>+MINVU_Mes_Corriente!BS62*MINVU_Mes_Constante!$BP$1</f>
        <v>8259072.5201024339</v>
      </c>
      <c r="BT62" s="8">
        <f>+MINVU_Mes_Corriente!BT62*MINVU_Mes_Constante!$BP$1</f>
        <v>12202863.282714469</v>
      </c>
      <c r="BU62" s="8">
        <f>+MINVU_Mes_Corriente!BU62*MINVU_Mes_Constante!$BP$1</f>
        <v>15392857.973623561</v>
      </c>
      <c r="BV62" s="8">
        <f>+MINVU_Mes_Corriente!BV62*MINVU_Mes_Constante!$BP$1</f>
        <v>17902395.094494238</v>
      </c>
      <c r="BW62" s="8">
        <f>+MINVU_Mes_Corriente!BW62*MINVU_Mes_Constante!$BP$1</f>
        <v>20903252.471446864</v>
      </c>
      <c r="BX62" s="8">
        <f>+MINVU_Mes_Corriente!BX62*MINVU_Mes_Constante!$BP$1</f>
        <v>23526768.337259926</v>
      </c>
      <c r="BY62" s="8">
        <f>+MINVU_Mes_Corriente!BY62*MINVU_Mes_Constante!$BP$1</f>
        <v>29184160.203841232</v>
      </c>
      <c r="BZ62" s="8">
        <f>+MINVU_Mes_Corriente!BZ62*MINVU_Mes_Constante!$BP$1</f>
        <v>34743402.735211268</v>
      </c>
      <c r="CA62" s="8">
        <f>+MINVU_Mes_Corriente!CA62*MINVU_Mes_Constante!$BP$1</f>
        <v>41617490.73879642</v>
      </c>
      <c r="CB62" s="9">
        <f t="shared" si="43"/>
        <v>41617490.73879642</v>
      </c>
      <c r="CC62" s="8">
        <f>+MINVU_Mes_Corriente!CC62*MINVU_Mes_Constante!$CC$1</f>
        <v>0</v>
      </c>
      <c r="CD62" s="8">
        <f>+MINVU_Mes_Corriente!CD62*MINVU_Mes_Constante!$CC$1</f>
        <v>1931102.2379709065</v>
      </c>
      <c r="CE62" s="8">
        <f>+MINVU_Mes_Corriente!CE62*MINVU_Mes_Constante!$CC$1</f>
        <v>8063981.641924656</v>
      </c>
      <c r="CF62" s="8">
        <f>+MINVU_Mes_Corriente!CF62*MINVU_Mes_Constante!$CC$1</f>
        <v>12493069.327116748</v>
      </c>
      <c r="CG62" s="8">
        <f>+MINVU_Mes_Corriente!CG62*MINVU_Mes_Constante!$CC$1</f>
        <v>14733332.672137264</v>
      </c>
      <c r="CH62" s="8">
        <f>+MINVU_Mes_Corriente!CH62*MINVU_Mes_Constante!$CC$1</f>
        <v>17279869.063036181</v>
      </c>
      <c r="CI62" s="8">
        <f>+MINVU_Mes_Corriente!CI62*MINVU_Mes_Constante!$CC$1</f>
        <v>18403001.547929879</v>
      </c>
      <c r="CJ62" s="8">
        <f>+MINVU_Mes_Corriente!CJ62*MINVU_Mes_Constante!$CC$1</f>
        <v>18846128.754942186</v>
      </c>
      <c r="CK62" s="8">
        <f>+MINVU_Mes_Corriente!CK62*MINVU_Mes_Constante!$CC$1</f>
        <v>22442757.938828796</v>
      </c>
      <c r="CL62" s="8">
        <f>+MINVU_Mes_Corriente!CL62*MINVU_Mes_Constante!$CC$1</f>
        <v>23349292.628123835</v>
      </c>
      <c r="CM62" s="8">
        <f>+MINVU_Mes_Corriente!CM62*MINVU_Mes_Constante!$CC$1</f>
        <v>24547528.287952259</v>
      </c>
      <c r="CN62" s="8">
        <f>+MINVU_Mes_Corriente!CN62*MINVU_Mes_Constante!$CC$1</f>
        <v>29964099.240581874</v>
      </c>
      <c r="CO62" s="9">
        <f t="shared" si="44"/>
        <v>29964099.240581874</v>
      </c>
      <c r="CP62" s="8">
        <f>+MINVU_Mes_Corriente!CP62*MINVU_Mes_Constante!$CP$1</f>
        <v>291608.85591647326</v>
      </c>
      <c r="CQ62" s="8">
        <f>+MINVU_Mes_Corriente!CQ62*MINVU_Mes_Constante!$CP$1</f>
        <v>3396212.743155452</v>
      </c>
      <c r="CR62" s="8">
        <f>+MINVU_Mes_Corriente!CR62*MINVU_Mes_Constante!$CP$1</f>
        <v>5603381.3547563795</v>
      </c>
      <c r="CS62" s="8">
        <f>+MINVU_Mes_Corriente!CS62*MINVU_Mes_Constante!$CP$1</f>
        <v>7130400.1287703002</v>
      </c>
      <c r="CT62" s="8">
        <f>+MINVU_Mes_Corriente!CT62*MINVU_Mes_Constante!$CP$1</f>
        <v>10833509.255220415</v>
      </c>
      <c r="CU62" s="8">
        <f>+MINVU_Mes_Corriente!CU62*MINVU_Mes_Constante!$CP$1</f>
        <v>13174852.188863106</v>
      </c>
      <c r="CV62" s="8">
        <f>+MINVU_Mes_Corriente!CV62*MINVU_Mes_Constante!$CP$1</f>
        <v>15538884.951508118</v>
      </c>
      <c r="CW62" s="8">
        <f>+MINVU_Mes_Corriente!CW62*MINVU_Mes_Constante!$CP$1</f>
        <v>17481710.274013918</v>
      </c>
      <c r="CX62" s="8">
        <f>+MINVU_Mes_Corriente!CX62*MINVU_Mes_Constante!$CP$1</f>
        <v>18834090.500464033</v>
      </c>
      <c r="CY62" s="8">
        <f>+MINVU_Mes_Corriente!CY62*MINVU_Mes_Constante!$CP$1</f>
        <v>20211529.545939673</v>
      </c>
      <c r="CZ62" s="8">
        <f>+MINVU_Mes_Corriente!CZ62*MINVU_Mes_Constante!$CP$1</f>
        <v>21386202.565197211</v>
      </c>
      <c r="DA62" s="8">
        <f>+MINVU_Mes_Corriente!DA62*MINVU_Mes_Constante!$CP$1</f>
        <v>27712288.119257536</v>
      </c>
      <c r="DB62" s="9">
        <f t="shared" si="45"/>
        <v>27712288.119257536</v>
      </c>
      <c r="DC62" s="8">
        <f>+MINVU_Mes_Corriente!DC62*MINVU_Mes_Constante!$DC$1</f>
        <v>0</v>
      </c>
      <c r="DD62" s="8">
        <f>+MINVU_Mes_Corriente!DD62*MINVU_Mes_Constante!$DC$1</f>
        <v>1037021.3790762272</v>
      </c>
      <c r="DE62" s="8">
        <f>+MINVU_Mes_Corriente!DE62*MINVU_Mes_Constante!$DC$1</f>
        <v>2828566.174879129</v>
      </c>
      <c r="DF62" s="8">
        <f>+MINVU_Mes_Corriente!DF62*MINVU_Mes_Constante!$DC$1</f>
        <v>4767883.4066454088</v>
      </c>
      <c r="DG62" s="8">
        <f>+MINVU_Mes_Corriente!DG62*MINVU_Mes_Constante!$DC$1</f>
        <v>6566877.7989918767</v>
      </c>
      <c r="DH62" s="8">
        <f>+MINVU_Mes_Corriente!DH62*MINVU_Mes_Constante!$DC$1</f>
        <v>8655961.3689949643</v>
      </c>
      <c r="DI62" s="8">
        <f>+MINVU_Mes_Corriente!DI62*MINVU_Mes_Constante!$DC$1</f>
        <v>9979793.3389569018</v>
      </c>
      <c r="DJ62" s="8">
        <f>+MINVU_Mes_Corriente!DJ62*MINVU_Mes_Constante!$DC$1</f>
        <v>11855038.195864629</v>
      </c>
      <c r="DK62" s="8">
        <f>+MINVU_Mes_Corriente!DK62*MINVU_Mes_Constante!$DC$1</f>
        <v>12733336.411891786</v>
      </c>
      <c r="DL62" s="8">
        <f>+MINVU_Mes_Corriente!DL62*MINVU_Mes_Constante!$DC$1</f>
        <v>13736477.187737893</v>
      </c>
      <c r="DM62" s="8">
        <f>+MINVU_Mes_Corriente!DM62*MINVU_Mes_Constante!$DC$1</f>
        <v>16134652.70075096</v>
      </c>
      <c r="DN62" s="8">
        <f>+MINVU_Mes_Corriente!DN62*MINVU_Mes_Constante!$DC$1</f>
        <v>20185557.398415811</v>
      </c>
      <c r="DO62" s="9">
        <f t="shared" si="46"/>
        <v>20185557.398415811</v>
      </c>
      <c r="DP62" s="8">
        <f>+MINVU_Mes_Corriente!DP62*MINVU_Mes_Constante!$DP$1</f>
        <v>0</v>
      </c>
      <c r="DQ62" s="8">
        <f>+MINVU_Mes_Corriente!DQ62*MINVU_Mes_Constante!$DP$1</f>
        <v>151105.15261282661</v>
      </c>
      <c r="DR62" s="8">
        <f>+MINVU_Mes_Corriente!DR62*MINVU_Mes_Constante!$DP$1</f>
        <v>2091221.6935866985</v>
      </c>
      <c r="DS62" s="8">
        <f>+MINVU_Mes_Corriente!DS62*MINVU_Mes_Constante!$DP$1</f>
        <v>2775233.1965558198</v>
      </c>
      <c r="DT62" s="8">
        <f>+MINVU_Mes_Corriente!DT62*MINVU_Mes_Constante!$DP$1</f>
        <v>5197588.1686460814</v>
      </c>
      <c r="DU62" s="8">
        <f>+MINVU_Mes_Corriente!DU62*MINVU_Mes_Constante!$DP$1</f>
        <v>6423765.6555819483</v>
      </c>
      <c r="DV62" s="8">
        <f>+MINVU_Mes_Corriente!DV62*MINVU_Mes_Constante!$DP$1</f>
        <v>7526474.1520190034</v>
      </c>
      <c r="DW62" s="8">
        <f>+MINVU_Mes_Corriente!DW62*MINVU_Mes_Constante!$DP$1</f>
        <v>9157925.7862232793</v>
      </c>
      <c r="DX62" s="8">
        <f>+MINVU_Mes_Corriente!DX62*MINVU_Mes_Constante!$DP$1</f>
        <v>10102361.916270785</v>
      </c>
      <c r="DY62" s="8">
        <f>+MINVU_Mes_Corriente!DY62*MINVU_Mes_Constante!$DP$1</f>
        <v>11253781.08135392</v>
      </c>
      <c r="DZ62" s="8">
        <f>+MINVU_Mes_Corriente!DZ62*MINVU_Mes_Constante!$DP$1</f>
        <v>11832593.068289787</v>
      </c>
      <c r="EA62" s="8">
        <f>+MINVU_Mes_Corriente!EA62*MINVU_Mes_Constante!$DP$1</f>
        <v>15772351.439429929</v>
      </c>
      <c r="EB62" s="9">
        <f t="shared" si="47"/>
        <v>15772351.439429929</v>
      </c>
      <c r="EC62" s="8">
        <f>+MINVU_Mes_Corriente!EC62*MINVU_Mes_Constante!$EC$1</f>
        <v>0</v>
      </c>
      <c r="ED62" s="8">
        <f>+MINVU_Mes_Corriente!ED62*MINVU_Mes_Constante!$EC$1</f>
        <v>780184.88146184408</v>
      </c>
      <c r="EE62" s="8">
        <f>+MINVU_Mes_Corriente!EE62*MINVU_Mes_Constante!$EC$1</f>
        <v>3604340.7131225136</v>
      </c>
      <c r="EF62" s="8">
        <f>+MINVU_Mes_Corriente!EF62*MINVU_Mes_Constante!$EC$1</f>
        <v>5068377.1278166994</v>
      </c>
      <c r="EG62" s="8">
        <f>+MINVU_Mes_Corriente!EG62*MINVU_Mes_Constante!$EC$1</f>
        <v>7124596.1219465984</v>
      </c>
      <c r="EH62" s="8">
        <f>+MINVU_Mes_Corriente!EH62*MINVU_Mes_Constante!$EC$1</f>
        <v>8227602.8214353314</v>
      </c>
      <c r="EI62" s="8">
        <f>+MINVU_Mes_Corriente!EI62*MINVU_Mes_Constante!$EC$1</f>
        <v>9504691.0520734675</v>
      </c>
      <c r="EJ62" s="8">
        <f>+MINVU_Mes_Corriente!EJ62*MINVU_Mes_Constante!$EC$1</f>
        <v>10542207.957205072</v>
      </c>
      <c r="EK62" s="8">
        <f>+MINVU_Mes_Corriente!EK62*MINVU_Mes_Constante!$EC$1</f>
        <v>15918839.592690773</v>
      </c>
      <c r="EL62" s="8">
        <f>+MINVU_Mes_Corriente!EL62*MINVU_Mes_Constante!$EC$1</f>
        <v>17634577.448021203</v>
      </c>
      <c r="EM62" s="8">
        <f>+MINVU_Mes_Corriente!EM62*MINVU_Mes_Constante!$EC$1</f>
        <v>18844663.499147885</v>
      </c>
      <c r="EN62" s="8">
        <f>+MINVU_Mes_Corriente!EN62*MINVU_Mes_Constante!$EC$1</f>
        <v>19967386.032190867</v>
      </c>
      <c r="EO62" s="9">
        <f t="shared" si="48"/>
        <v>19967386.032190867</v>
      </c>
      <c r="EP62" s="8">
        <f>+MINVU_Mes_Corriente!EP62*MINVU_Mes_Constante!$EP$1</f>
        <v>0</v>
      </c>
      <c r="EQ62" s="8">
        <f>+MINVU_Mes_Corriente!EQ62*MINVU_Mes_Constante!$EP$1</f>
        <v>2936145</v>
      </c>
      <c r="ER62" s="8">
        <f>+MINVU_Mes_Corriente!ER62*MINVU_Mes_Constante!$EP$1</f>
        <v>3840604</v>
      </c>
      <c r="ES62" s="8">
        <f>+MINVU_Mes_Corriente!ES62*MINVU_Mes_Constante!$EP$1</f>
        <v>5205000</v>
      </c>
      <c r="ET62" s="8">
        <f>+MINVU_Mes_Corriente!ET62*MINVU_Mes_Constante!$EP$1</f>
        <v>7087387</v>
      </c>
      <c r="EU62" s="8">
        <f>+MINVU_Mes_Corriente!EU62*MINVU_Mes_Constante!$EP$1</f>
        <v>8761945</v>
      </c>
      <c r="EV62" s="8">
        <f>+MINVU_Mes_Corriente!EV62*MINVU_Mes_Constante!$EP$1</f>
        <v>9648079</v>
      </c>
      <c r="EW62" s="8">
        <f>+MINVU_Mes_Corriente!EW62*MINVU_Mes_Constante!$EP$1</f>
        <v>11529540</v>
      </c>
      <c r="EX62" s="8">
        <f>+MINVU_Mes_Corriente!EX62*MINVU_Mes_Constante!$EP$1</f>
        <v>12156420</v>
      </c>
      <c r="EY62" s="8">
        <f>+MINVU_Mes_Corriente!EY62*MINVU_Mes_Constante!$EP$1</f>
        <v>13138327</v>
      </c>
      <c r="EZ62" s="8">
        <f>+MINVU_Mes_Corriente!EZ62*MINVU_Mes_Constante!$EP$1</f>
        <v>14104360</v>
      </c>
      <c r="FA62" s="8">
        <f>+MINVU_Mes_Corriente!FA62*MINVU_Mes_Constante!$EP$1</f>
        <v>16237313</v>
      </c>
      <c r="FB62" s="9">
        <f t="shared" si="49"/>
        <v>16237313</v>
      </c>
      <c r="FC62" s="8">
        <f>+MINVU_Mes_Corriente!FC62*MINVU_Mes_Constante!$FC$1</f>
        <v>0</v>
      </c>
      <c r="FD62" s="8">
        <f>+MINVU_Mes_Corriente!FD62*MINVU_Mes_Constante!$FC$1</f>
        <v>977735</v>
      </c>
      <c r="FE62" s="8">
        <f>+MINVU_Mes_Corriente!FE62*MINVU_Mes_Constante!$FC$1</f>
        <v>1877551</v>
      </c>
      <c r="FF62" s="8">
        <f>+MINVU_Mes_Corriente!FF62*MINVU_Mes_Constante!$FC$1</f>
        <v>2945279</v>
      </c>
      <c r="FG62" s="8">
        <f>+MINVU_Mes_Corriente!FG62*MINVU_Mes_Constante!$FC$1</f>
        <v>3540409</v>
      </c>
      <c r="FH62" s="8">
        <f>+MINVU_Mes_Corriente!FH62*MINVU_Mes_Constante!$FC$1</f>
        <v>4135011</v>
      </c>
      <c r="FI62" s="8">
        <f>+MINVU_Mes_Corriente!FI62*MINVU_Mes_Constante!$FC$1</f>
        <v>4717171</v>
      </c>
      <c r="FJ62" s="8"/>
      <c r="FK62" s="8"/>
      <c r="FL62" s="8"/>
      <c r="FM62" s="8"/>
      <c r="FN62" s="8"/>
      <c r="FO62" s="9">
        <f t="shared" si="50"/>
        <v>4717171</v>
      </c>
    </row>
    <row r="63" spans="2:171" ht="14.25" customHeight="1" x14ac:dyDescent="0.3">
      <c r="B63" s="7" t="s">
        <v>54</v>
      </c>
      <c r="C63" s="8">
        <f>+MINVU_Mes_Corriente!C63*MINVU_Mes_Constante!$C$1</f>
        <v>0</v>
      </c>
      <c r="D63" s="8">
        <f>+MINVU_Mes_Corriente!D63*MINVU_Mes_Constante!$C$1</f>
        <v>0</v>
      </c>
      <c r="E63" s="8">
        <f>+MINVU_Mes_Corriente!E63*MINVU_Mes_Constante!$C$1</f>
        <v>0</v>
      </c>
      <c r="F63" s="8">
        <f>+MINVU_Mes_Corriente!F63*MINVU_Mes_Constante!$C$1</f>
        <v>0</v>
      </c>
      <c r="G63" s="8">
        <f>+MINVU_Mes_Corriente!G63*MINVU_Mes_Constante!$C$1</f>
        <v>0</v>
      </c>
      <c r="H63" s="8">
        <f>+MINVU_Mes_Corriente!H63*MINVU_Mes_Constante!$C$1</f>
        <v>0</v>
      </c>
      <c r="I63" s="8">
        <f>+MINVU_Mes_Corriente!I63*MINVU_Mes_Constante!$C$1</f>
        <v>0</v>
      </c>
      <c r="J63" s="8">
        <f>+MINVU_Mes_Corriente!J63*MINVU_Mes_Constante!$C$1</f>
        <v>0</v>
      </c>
      <c r="K63" s="8">
        <f>+MINVU_Mes_Corriente!K63*MINVU_Mes_Constante!$C$1</f>
        <v>0</v>
      </c>
      <c r="L63" s="8">
        <f>+MINVU_Mes_Corriente!L63*MINVU_Mes_Constante!$C$1</f>
        <v>0</v>
      </c>
      <c r="M63" s="8">
        <f>+MINVU_Mes_Corriente!M63*MINVU_Mes_Constante!$C$1</f>
        <v>0</v>
      </c>
      <c r="N63" s="8">
        <f>+MINVU_Mes_Corriente!N63*MINVU_Mes_Constante!$C$1</f>
        <v>0</v>
      </c>
      <c r="O63" s="9">
        <f t="shared" si="38"/>
        <v>0</v>
      </c>
      <c r="P63" s="8">
        <f>+MINVU_Mes_Corriente!P63*MINVU_Mes_Constante!$P$1</f>
        <v>0</v>
      </c>
      <c r="Q63" s="8">
        <f>+MINVU_Mes_Corriente!Q63*MINVU_Mes_Constante!$P$1</f>
        <v>0</v>
      </c>
      <c r="R63" s="8">
        <f>+MINVU_Mes_Corriente!R63*MINVU_Mes_Constante!$P$1</f>
        <v>0</v>
      </c>
      <c r="S63" s="8">
        <f>+MINVU_Mes_Corriente!S63*MINVU_Mes_Constante!$P$1</f>
        <v>0</v>
      </c>
      <c r="T63" s="8">
        <f>+MINVU_Mes_Corriente!T63*MINVU_Mes_Constante!$P$1</f>
        <v>0</v>
      </c>
      <c r="U63" s="8">
        <f>+MINVU_Mes_Corriente!U63*MINVU_Mes_Constante!$P$1</f>
        <v>0</v>
      </c>
      <c r="V63" s="8">
        <f>+MINVU_Mes_Corriente!V63*MINVU_Mes_Constante!$P$1</f>
        <v>0</v>
      </c>
      <c r="W63" s="8">
        <f>+MINVU_Mes_Corriente!W63*MINVU_Mes_Constante!$P$1</f>
        <v>0</v>
      </c>
      <c r="X63" s="8">
        <f>+MINVU_Mes_Corriente!X63*MINVU_Mes_Constante!$P$1</f>
        <v>0</v>
      </c>
      <c r="Y63" s="8">
        <f>+MINVU_Mes_Corriente!Y63*MINVU_Mes_Constante!$P$1</f>
        <v>0</v>
      </c>
      <c r="Z63" s="8">
        <f>+MINVU_Mes_Corriente!Z63*MINVU_Mes_Constante!$P$1</f>
        <v>0</v>
      </c>
      <c r="AA63" s="8">
        <f>+MINVU_Mes_Corriente!AA63*MINVU_Mes_Constante!$P$1</f>
        <v>0</v>
      </c>
      <c r="AB63" s="9">
        <f t="shared" si="39"/>
        <v>0</v>
      </c>
      <c r="AC63" s="8">
        <f>+MINVU_Mes_Corriente!AC63*MINVU_Mes_Constante!$AC$1</f>
        <v>0</v>
      </c>
      <c r="AD63" s="8">
        <f>+MINVU_Mes_Corriente!AD63*MINVU_Mes_Constante!$AC$1</f>
        <v>0</v>
      </c>
      <c r="AE63" s="8">
        <f>+MINVU_Mes_Corriente!AE63*MINVU_Mes_Constante!$AC$1</f>
        <v>0</v>
      </c>
      <c r="AF63" s="8">
        <f>+MINVU_Mes_Corriente!AF63*MINVU_Mes_Constante!$AC$1</f>
        <v>0</v>
      </c>
      <c r="AG63" s="8">
        <f>+MINVU_Mes_Corriente!AG63*MINVU_Mes_Constante!$AC$1</f>
        <v>0</v>
      </c>
      <c r="AH63" s="8">
        <f>+MINVU_Mes_Corriente!AH63*MINVU_Mes_Constante!$AC$1</f>
        <v>0</v>
      </c>
      <c r="AI63" s="8">
        <f>+MINVU_Mes_Corriente!AI63*MINVU_Mes_Constante!$AC$1</f>
        <v>0</v>
      </c>
      <c r="AJ63" s="8">
        <f>+MINVU_Mes_Corriente!AJ63*MINVU_Mes_Constante!$AC$1</f>
        <v>0</v>
      </c>
      <c r="AK63" s="8">
        <f>+MINVU_Mes_Corriente!AK63*MINVU_Mes_Constante!$AC$1</f>
        <v>0</v>
      </c>
      <c r="AL63" s="8">
        <f>+MINVU_Mes_Corriente!AL63*MINVU_Mes_Constante!$AC$1</f>
        <v>0</v>
      </c>
      <c r="AM63" s="8">
        <f>+MINVU_Mes_Corriente!AM63*MINVU_Mes_Constante!$AC$1</f>
        <v>0</v>
      </c>
      <c r="AN63" s="8">
        <f>+MINVU_Mes_Corriente!AN63*MINVU_Mes_Constante!$AC$1</f>
        <v>0</v>
      </c>
      <c r="AO63" s="9">
        <f t="shared" si="40"/>
        <v>0</v>
      </c>
      <c r="AP63" s="8">
        <f>+MINVU_Mes_Corriente!AP63*MINVU_Mes_Constante!$AP$1</f>
        <v>0</v>
      </c>
      <c r="AQ63" s="8">
        <f>+MINVU_Mes_Corriente!AQ63*MINVU_Mes_Constante!$AP$1</f>
        <v>0</v>
      </c>
      <c r="AR63" s="8">
        <f>+MINVU_Mes_Corriente!AR63*MINVU_Mes_Constante!$AP$1</f>
        <v>0</v>
      </c>
      <c r="AS63" s="8">
        <f>+MINVU_Mes_Corriente!AS63*MINVU_Mes_Constante!$AP$1</f>
        <v>0</v>
      </c>
      <c r="AT63" s="8">
        <f>+MINVU_Mes_Corriente!AT63*MINVU_Mes_Constante!$AP$1</f>
        <v>0</v>
      </c>
      <c r="AU63" s="8">
        <f>+MINVU_Mes_Corriente!AU63*MINVU_Mes_Constante!$AP$1</f>
        <v>0</v>
      </c>
      <c r="AV63" s="8">
        <f>+MINVU_Mes_Corriente!AV63*MINVU_Mes_Constante!$AP$1</f>
        <v>0</v>
      </c>
      <c r="AW63" s="8">
        <f>+MINVU_Mes_Corriente!AW63*MINVU_Mes_Constante!$AP$1</f>
        <v>0</v>
      </c>
      <c r="AX63" s="8">
        <f>+MINVU_Mes_Corriente!AX63*MINVU_Mes_Constante!$AP$1</f>
        <v>0</v>
      </c>
      <c r="AY63" s="8">
        <f>+MINVU_Mes_Corriente!AY63*MINVU_Mes_Constante!$AP$1</f>
        <v>0</v>
      </c>
      <c r="AZ63" s="8">
        <f>+MINVU_Mes_Corriente!AZ63*MINVU_Mes_Constante!$AP$1</f>
        <v>0</v>
      </c>
      <c r="BA63" s="8">
        <f>+MINVU_Mes_Corriente!BA63*MINVU_Mes_Constante!$AP$1</f>
        <v>0</v>
      </c>
      <c r="BB63" s="9">
        <f t="shared" si="41"/>
        <v>0</v>
      </c>
      <c r="BC63" s="8">
        <f>+MINVU_Mes_Corriente!BC63*MINVU_Mes_Constante!$BC$1</f>
        <v>0</v>
      </c>
      <c r="BD63" s="8">
        <f>+MINVU_Mes_Corriente!BD63*MINVU_Mes_Constante!$BC$1</f>
        <v>0</v>
      </c>
      <c r="BE63" s="8">
        <f>+MINVU_Mes_Corriente!BE63*MINVU_Mes_Constante!$BC$1</f>
        <v>0</v>
      </c>
      <c r="BF63" s="8">
        <f>+MINVU_Mes_Corriente!BF63*MINVU_Mes_Constante!$BC$1</f>
        <v>0</v>
      </c>
      <c r="BG63" s="8">
        <f>+MINVU_Mes_Corriente!BG63*MINVU_Mes_Constante!$BC$1</f>
        <v>0</v>
      </c>
      <c r="BH63" s="8">
        <f>+MINVU_Mes_Corriente!BH63*MINVU_Mes_Constante!$BC$1</f>
        <v>0</v>
      </c>
      <c r="BI63" s="8">
        <f>+MINVU_Mes_Corriente!BI63*MINVU_Mes_Constante!$BC$1</f>
        <v>0</v>
      </c>
      <c r="BJ63" s="8">
        <f>+MINVU_Mes_Corriente!BJ63*MINVU_Mes_Constante!$BC$1</f>
        <v>0</v>
      </c>
      <c r="BK63" s="8">
        <f>+MINVU_Mes_Corriente!BK63*MINVU_Mes_Constante!$BC$1</f>
        <v>0</v>
      </c>
      <c r="BL63" s="8">
        <f>+MINVU_Mes_Corriente!BL63*MINVU_Mes_Constante!$BC$1</f>
        <v>0</v>
      </c>
      <c r="BM63" s="8">
        <f>+MINVU_Mes_Corriente!BM63*MINVU_Mes_Constante!$BC$1</f>
        <v>0</v>
      </c>
      <c r="BN63" s="8">
        <f>+MINVU_Mes_Corriente!BN63*MINVU_Mes_Constante!$BC$1</f>
        <v>0</v>
      </c>
      <c r="BO63" s="9">
        <f t="shared" si="42"/>
        <v>0</v>
      </c>
      <c r="BP63" s="8">
        <f>+MINVU_Mes_Corriente!BP63*MINVU_Mes_Constante!$BP$1</f>
        <v>0</v>
      </c>
      <c r="BQ63" s="8">
        <f>+MINVU_Mes_Corriente!BQ63*MINVU_Mes_Constante!$BP$1</f>
        <v>0</v>
      </c>
      <c r="BR63" s="8">
        <f>+MINVU_Mes_Corriente!BR63*MINVU_Mes_Constante!$BP$1</f>
        <v>0</v>
      </c>
      <c r="BS63" s="8">
        <f>+MINVU_Mes_Corriente!BS63*MINVU_Mes_Constante!$BP$1</f>
        <v>0</v>
      </c>
      <c r="BT63" s="8">
        <f>+MINVU_Mes_Corriente!BT63*MINVU_Mes_Constante!$BP$1</f>
        <v>0</v>
      </c>
      <c r="BU63" s="8">
        <f>+MINVU_Mes_Corriente!BU63*MINVU_Mes_Constante!$BP$1</f>
        <v>1222.7047375160053</v>
      </c>
      <c r="BV63" s="8">
        <f>+MINVU_Mes_Corriente!BV63*MINVU_Mes_Constante!$BP$1</f>
        <v>1467.5254801536494</v>
      </c>
      <c r="BW63" s="8">
        <f>+MINVU_Mes_Corriente!BW63*MINVU_Mes_Constante!$BP$1</f>
        <v>2132.038924455826</v>
      </c>
      <c r="BX63" s="8">
        <f>+MINVU_Mes_Corriente!BX63*MINVU_Mes_Constante!$BP$1</f>
        <v>2132.038924455826</v>
      </c>
      <c r="BY63" s="8">
        <f>+MINVU_Mes_Corriente!BY63*MINVU_Mes_Constante!$BP$1</f>
        <v>2132.038924455826</v>
      </c>
      <c r="BZ63" s="8">
        <f>+MINVU_Mes_Corriente!BZ63*MINVU_Mes_Constante!$BP$1</f>
        <v>654365.27477592835</v>
      </c>
      <c r="CA63" s="8">
        <f>+MINVU_Mes_Corriente!CA63*MINVU_Mes_Constante!$BP$1</f>
        <v>1817726.8632522409</v>
      </c>
      <c r="CB63" s="9">
        <f t="shared" si="43"/>
        <v>1817726.8632522409</v>
      </c>
      <c r="CC63" s="8">
        <f>+MINVU_Mes_Corriente!CC63*MINVU_Mes_Constante!$CC$1</f>
        <v>0</v>
      </c>
      <c r="CD63" s="8">
        <f>+MINVU_Mes_Corriente!CD63*MINVU_Mes_Constante!$CC$1</f>
        <v>0</v>
      </c>
      <c r="CE63" s="8">
        <f>+MINVU_Mes_Corriente!CE63*MINVU_Mes_Constante!$CC$1</f>
        <v>1513319.6016411788</v>
      </c>
      <c r="CF63" s="8">
        <f>+MINVU_Mes_Corriente!CF63*MINVU_Mes_Constante!$CC$1</f>
        <v>2151904.4311823947</v>
      </c>
      <c r="CG63" s="8">
        <f>+MINVU_Mes_Corriente!CG63*MINVU_Mes_Constante!$CC$1</f>
        <v>2589808.4043267439</v>
      </c>
      <c r="CH63" s="8">
        <f>+MINVU_Mes_Corriente!CH63*MINVU_Mes_Constante!$CC$1</f>
        <v>2965983.1264453563</v>
      </c>
      <c r="CI63" s="8">
        <f>+MINVU_Mes_Corriente!CI63*MINVU_Mes_Constante!$CC$1</f>
        <v>3428280.7564341668</v>
      </c>
      <c r="CJ63" s="8">
        <f>+MINVU_Mes_Corriente!CJ63*MINVU_Mes_Constante!$CC$1</f>
        <v>4050738.0872808658</v>
      </c>
      <c r="CK63" s="8">
        <f>+MINVU_Mes_Corriente!CK63*MINVU_Mes_Constante!$CC$1</f>
        <v>4346033.5121223424</v>
      </c>
      <c r="CL63" s="8">
        <f>+MINVU_Mes_Corriente!CL63*MINVU_Mes_Constante!$CC$1</f>
        <v>4527099.7329354724</v>
      </c>
      <c r="CM63" s="8">
        <f>+MINVU_Mes_Corriente!CM63*MINVU_Mes_Constante!$CC$1</f>
        <v>6715009.8373741144</v>
      </c>
      <c r="CN63" s="8">
        <f>+MINVU_Mes_Corriente!CN63*MINVU_Mes_Constante!$CC$1</f>
        <v>10006831.741141366</v>
      </c>
      <c r="CO63" s="9">
        <f t="shared" si="44"/>
        <v>10006831.741141366</v>
      </c>
      <c r="CP63" s="8">
        <f>+MINVU_Mes_Corriente!CP63*MINVU_Mes_Constante!$CP$1</f>
        <v>0</v>
      </c>
      <c r="CQ63" s="8">
        <f>+MINVU_Mes_Corriente!CQ63*MINVU_Mes_Constante!$CP$1</f>
        <v>1569403.2883990717</v>
      </c>
      <c r="CR63" s="8">
        <f>+MINVU_Mes_Corriente!CR63*MINVU_Mes_Constante!$CP$1</f>
        <v>2643692.7320185611</v>
      </c>
      <c r="CS63" s="8">
        <f>+MINVU_Mes_Corriente!CS63*MINVU_Mes_Constante!$CP$1</f>
        <v>3814682.3457076559</v>
      </c>
      <c r="CT63" s="8">
        <f>+MINVU_Mes_Corriente!CT63*MINVU_Mes_Constante!$CP$1</f>
        <v>5507009.4716937346</v>
      </c>
      <c r="CU63" s="8">
        <f>+MINVU_Mes_Corriente!CU63*MINVU_Mes_Constante!$CP$1</f>
        <v>7835048.5426914133</v>
      </c>
      <c r="CV63" s="8">
        <f>+MINVU_Mes_Corriente!CV63*MINVU_Mes_Constante!$CP$1</f>
        <v>9483045.5150812045</v>
      </c>
      <c r="CW63" s="8">
        <f>+MINVU_Mes_Corriente!CW63*MINVU_Mes_Constante!$CP$1</f>
        <v>11310340.429002319</v>
      </c>
      <c r="CX63" s="8">
        <f>+MINVU_Mes_Corriente!CX63*MINVU_Mes_Constante!$CP$1</f>
        <v>12636116.732714614</v>
      </c>
      <c r="CY63" s="8">
        <f>+MINVU_Mes_Corriente!CY63*MINVU_Mes_Constante!$CP$1</f>
        <v>15264011.127842225</v>
      </c>
      <c r="CZ63" s="8">
        <f>+MINVU_Mes_Corriente!CZ63*MINVU_Mes_Constante!$CP$1</f>
        <v>18145824.748955913</v>
      </c>
      <c r="DA63" s="8">
        <f>+MINVU_Mes_Corriente!DA63*MINVU_Mes_Constante!$CP$1</f>
        <v>26723293.724129926</v>
      </c>
      <c r="DB63" s="9">
        <f t="shared" si="45"/>
        <v>26723293.724129926</v>
      </c>
      <c r="DC63" s="8">
        <f>+MINVU_Mes_Corriente!DC63*MINVU_Mes_Constante!$DC$1</f>
        <v>0</v>
      </c>
      <c r="DD63" s="8">
        <f>+MINVU_Mes_Corriente!DD63*MINVU_Mes_Constante!$DC$1</f>
        <v>7151.7475568357195</v>
      </c>
      <c r="DE63" s="8">
        <f>+MINVU_Mes_Corriente!DE63*MINVU_Mes_Constante!$DC$1</f>
        <v>2207045.2562493579</v>
      </c>
      <c r="DF63" s="8">
        <f>+MINVU_Mes_Corriente!DF63*MINVU_Mes_Constante!$DC$1</f>
        <v>3550205.9395123976</v>
      </c>
      <c r="DG63" s="8">
        <f>+MINVU_Mes_Corriente!DG63*MINVU_Mes_Constante!$DC$1</f>
        <v>5298541.2770291148</v>
      </c>
      <c r="DH63" s="8">
        <f>+MINVU_Mes_Corriente!DH63*MINVU_Mes_Constante!$DC$1</f>
        <v>6909262.514967599</v>
      </c>
      <c r="DI63" s="8">
        <f>+MINVU_Mes_Corriente!DI63*MINVU_Mes_Constante!$DC$1</f>
        <v>9376488.4147721473</v>
      </c>
      <c r="DJ63" s="8">
        <f>+MINVU_Mes_Corriente!DJ63*MINVU_Mes_Constante!$DC$1</f>
        <v>11176952.944758775</v>
      </c>
      <c r="DK63" s="8">
        <f>+MINVU_Mes_Corriente!DK63*MINVU_Mes_Constante!$DC$1</f>
        <v>13248094.766176326</v>
      </c>
      <c r="DL63" s="8">
        <f>+MINVU_Mes_Corriente!DL63*MINVU_Mes_Constante!$DC$1</f>
        <v>15165201.455200089</v>
      </c>
      <c r="DM63" s="8">
        <f>+MINVU_Mes_Corriente!DM63*MINVU_Mes_Constante!$DC$1</f>
        <v>17008119.019442454</v>
      </c>
      <c r="DN63" s="8">
        <f>+MINVU_Mes_Corriente!DN63*MINVU_Mes_Constante!$DC$1</f>
        <v>21986270.323217787</v>
      </c>
      <c r="DO63" s="9">
        <f t="shared" si="46"/>
        <v>21986270.323217787</v>
      </c>
      <c r="DP63" s="8">
        <f>+MINVU_Mes_Corriente!DP63*MINVU_Mes_Constante!$DP$1</f>
        <v>0</v>
      </c>
      <c r="DQ63" s="8">
        <f>+MINVU_Mes_Corriente!DQ63*MINVU_Mes_Constante!$DP$1</f>
        <v>1600518.423990499</v>
      </c>
      <c r="DR63" s="8">
        <f>+MINVU_Mes_Corriente!DR63*MINVU_Mes_Constante!$DP$1</f>
        <v>5678403.5380047513</v>
      </c>
      <c r="DS63" s="8">
        <f>+MINVU_Mes_Corriente!DS63*MINVU_Mes_Constante!$DP$1</f>
        <v>8715932.1039192416</v>
      </c>
      <c r="DT63" s="8">
        <f>+MINVU_Mes_Corriente!DT63*MINVU_Mes_Constante!$DP$1</f>
        <v>10484574.028503563</v>
      </c>
      <c r="DU63" s="8">
        <f>+MINVU_Mes_Corriente!DU63*MINVU_Mes_Constante!$DP$1</f>
        <v>12226957.435866985</v>
      </c>
      <c r="DV63" s="8">
        <f>+MINVU_Mes_Corriente!DV63*MINVU_Mes_Constante!$DP$1</f>
        <v>13644700.013657959</v>
      </c>
      <c r="DW63" s="8">
        <f>+MINVU_Mes_Corriente!DW63*MINVU_Mes_Constante!$DP$1</f>
        <v>15525971.437054634</v>
      </c>
      <c r="DX63" s="8">
        <f>+MINVU_Mes_Corriente!DX63*MINVU_Mes_Constante!$DP$1</f>
        <v>17454868.931116391</v>
      </c>
      <c r="DY63" s="8">
        <f>+MINVU_Mes_Corriente!DY63*MINVU_Mes_Constante!$DP$1</f>
        <v>19234591.489311166</v>
      </c>
      <c r="DZ63" s="8">
        <f>+MINVU_Mes_Corriente!DZ63*MINVU_Mes_Constante!$DP$1</f>
        <v>21567943.464370549</v>
      </c>
      <c r="EA63" s="8">
        <f>+MINVU_Mes_Corriente!EA63*MINVU_Mes_Constante!$DP$1</f>
        <v>23796031.042161524</v>
      </c>
      <c r="EB63" s="9">
        <f t="shared" si="47"/>
        <v>23796031.042161524</v>
      </c>
      <c r="EC63" s="8">
        <f>+MINVU_Mes_Corriente!EC63*MINVU_Mes_Constante!$EC$1</f>
        <v>0</v>
      </c>
      <c r="ED63" s="8">
        <f>+MINVU_Mes_Corriente!ED63*MINVU_Mes_Constante!$EC$1</f>
        <v>853778.66029161122</v>
      </c>
      <c r="EE63" s="8">
        <f>+MINVU_Mes_Corriente!EE63*MINVU_Mes_Constante!$EC$1</f>
        <v>3634899.7896231762</v>
      </c>
      <c r="EF63" s="8">
        <f>+MINVU_Mes_Corriente!EF63*MINVU_Mes_Constante!$EC$1</f>
        <v>5101192.3684908142</v>
      </c>
      <c r="EG63" s="8">
        <f>+MINVU_Mes_Corriente!EG63*MINVU_Mes_Constante!$EC$1</f>
        <v>7604226.0051126657</v>
      </c>
      <c r="EH63" s="8">
        <f>+MINVU_Mes_Corriente!EH63*MINVU_Mes_Constante!$EC$1</f>
        <v>9057793.6525279284</v>
      </c>
      <c r="EI63" s="8">
        <f>+MINVU_Mes_Corriente!EI63*MINVU_Mes_Constante!$EC$1</f>
        <v>10160484.840749854</v>
      </c>
      <c r="EJ63" s="8">
        <f>+MINVU_Mes_Corriente!EJ63*MINVU_Mes_Constante!$EC$1</f>
        <v>11865381.522060212</v>
      </c>
      <c r="EK63" s="8">
        <f>+MINVU_Mes_Corriente!EK63*MINVU_Mes_Constante!$EC$1</f>
        <v>13246791.225525465</v>
      </c>
      <c r="EL63" s="8">
        <f>+MINVU_Mes_Corriente!EL63*MINVU_Mes_Constante!$EC$1</f>
        <v>14779712.542700242</v>
      </c>
      <c r="EM63" s="8">
        <f>+MINVU_Mes_Corriente!EM63*MINVU_Mes_Constante!$EC$1</f>
        <v>16076022.133497439</v>
      </c>
      <c r="EN63" s="8">
        <f>+MINVU_Mes_Corriente!EN63*MINVU_Mes_Constante!$EC$1</f>
        <v>18568667.690967616</v>
      </c>
      <c r="EO63" s="9">
        <f t="shared" si="48"/>
        <v>18568667.690967616</v>
      </c>
      <c r="EP63" s="8">
        <f>+MINVU_Mes_Corriente!EP63*MINVU_Mes_Constante!$EP$1</f>
        <v>0</v>
      </c>
      <c r="EQ63" s="8">
        <f>+MINVU_Mes_Corriente!EQ63*MINVU_Mes_Constante!$EP$1</f>
        <v>148253</v>
      </c>
      <c r="ER63" s="8">
        <f>+MINVU_Mes_Corriente!ER63*MINVU_Mes_Constante!$EP$1</f>
        <v>3292884</v>
      </c>
      <c r="ES63" s="8">
        <f>+MINVU_Mes_Corriente!ES63*MINVU_Mes_Constante!$EP$1</f>
        <v>4257053</v>
      </c>
      <c r="ET63" s="8">
        <f>+MINVU_Mes_Corriente!ET63*MINVU_Mes_Constante!$EP$1</f>
        <v>7062054</v>
      </c>
      <c r="EU63" s="8">
        <f>+MINVU_Mes_Corriente!EU63*MINVU_Mes_Constante!$EP$1</f>
        <v>9495200</v>
      </c>
      <c r="EV63" s="8">
        <f>+MINVU_Mes_Corriente!EV63*MINVU_Mes_Constante!$EP$1</f>
        <v>11760026</v>
      </c>
      <c r="EW63" s="8">
        <f>+MINVU_Mes_Corriente!EW63*MINVU_Mes_Constante!$EP$1</f>
        <v>12709417</v>
      </c>
      <c r="EX63" s="8">
        <f>+MINVU_Mes_Corriente!EX63*MINVU_Mes_Constante!$EP$1</f>
        <v>14311689</v>
      </c>
      <c r="EY63" s="8">
        <f>+MINVU_Mes_Corriente!EY63*MINVU_Mes_Constante!$EP$1</f>
        <v>16551275</v>
      </c>
      <c r="EZ63" s="8">
        <f>+MINVU_Mes_Corriente!EZ63*MINVU_Mes_Constante!$EP$1</f>
        <v>17380835</v>
      </c>
      <c r="FA63" s="8">
        <f>+MINVU_Mes_Corriente!FA63*MINVU_Mes_Constante!$EP$1</f>
        <v>21033526</v>
      </c>
      <c r="FB63" s="9">
        <f t="shared" si="49"/>
        <v>21033526</v>
      </c>
      <c r="FC63" s="8">
        <f>+MINVU_Mes_Corriente!FC63*MINVU_Mes_Constante!$FC$1</f>
        <v>0</v>
      </c>
      <c r="FD63" s="8">
        <f>+MINVU_Mes_Corriente!FD63*MINVU_Mes_Constante!$FC$1</f>
        <v>3262841</v>
      </c>
      <c r="FE63" s="8">
        <f>+MINVU_Mes_Corriente!FE63*MINVU_Mes_Constante!$FC$1</f>
        <v>4333743</v>
      </c>
      <c r="FF63" s="8">
        <f>+MINVU_Mes_Corriente!FF63*MINVU_Mes_Constante!$FC$1</f>
        <v>5206806</v>
      </c>
      <c r="FG63" s="8">
        <f>+MINVU_Mes_Corriente!FG63*MINVU_Mes_Constante!$FC$1</f>
        <v>5938083</v>
      </c>
      <c r="FH63" s="8">
        <f>+MINVU_Mes_Corriente!FH63*MINVU_Mes_Constante!$FC$1</f>
        <v>6532085</v>
      </c>
      <c r="FI63" s="8">
        <f>+MINVU_Mes_Corriente!FI63*MINVU_Mes_Constante!$FC$1</f>
        <v>6546839</v>
      </c>
      <c r="FJ63" s="8"/>
      <c r="FK63" s="8"/>
      <c r="FL63" s="8"/>
      <c r="FM63" s="8"/>
      <c r="FN63" s="8"/>
      <c r="FO63" s="9">
        <f t="shared" si="50"/>
        <v>6546839</v>
      </c>
    </row>
    <row r="64" spans="2:171" ht="14.25" customHeight="1" x14ac:dyDescent="0.3">
      <c r="B64" s="7" t="s">
        <v>55</v>
      </c>
      <c r="C64" s="8">
        <f>+MINVU_Mes_Corriente!C64*MINVU_Mes_Constante!$C$1</f>
        <v>0</v>
      </c>
      <c r="D64" s="8">
        <f>+MINVU_Mes_Corriente!D64*MINVU_Mes_Constante!$C$1</f>
        <v>4674720.6157496674</v>
      </c>
      <c r="E64" s="8">
        <f>+MINVU_Mes_Corriente!E64*MINVU_Mes_Constante!$C$1</f>
        <v>17330857.495773397</v>
      </c>
      <c r="F64" s="8">
        <f>+MINVU_Mes_Corriente!F64*MINVU_Mes_Constante!$C$1</f>
        <v>24028924.887735434</v>
      </c>
      <c r="G64" s="8">
        <f>+MINVU_Mes_Corriente!G64*MINVU_Mes_Constante!$C$1</f>
        <v>29900838.904048648</v>
      </c>
      <c r="H64" s="8">
        <f>+MINVU_Mes_Corriente!H64*MINVU_Mes_Constante!$C$1</f>
        <v>33944458.658164024</v>
      </c>
      <c r="I64" s="8">
        <f>+MINVU_Mes_Corriente!I64*MINVU_Mes_Constante!$C$1</f>
        <v>37714902.486726984</v>
      </c>
      <c r="J64" s="8">
        <f>+MINVU_Mes_Corriente!J64*MINVU_Mes_Constante!$C$1</f>
        <v>41840074.306688428</v>
      </c>
      <c r="K64" s="8">
        <f>+MINVU_Mes_Corriente!K64*MINVU_Mes_Constante!$C$1</f>
        <v>46937522.39715261</v>
      </c>
      <c r="L64" s="8">
        <f>+MINVU_Mes_Corriente!L64*MINVU_Mes_Constante!$C$1</f>
        <v>52291450.357407689</v>
      </c>
      <c r="M64" s="8">
        <f>+MINVU_Mes_Corriente!M64*MINVU_Mes_Constante!$C$1</f>
        <v>63840956.652528562</v>
      </c>
      <c r="N64" s="8">
        <f>+MINVU_Mes_Corriente!N64*MINVU_Mes_Constante!$C$1</f>
        <v>81772006.89040488</v>
      </c>
      <c r="O64" s="9">
        <f t="shared" si="38"/>
        <v>81772006.89040488</v>
      </c>
      <c r="P64" s="8">
        <f>+MINVU_Mes_Corriente!P64*MINVU_Mes_Constante!$P$1</f>
        <v>3637606.7307856218</v>
      </c>
      <c r="Q64" s="8">
        <f>+MINVU_Mes_Corriente!Q64*MINVU_Mes_Constante!$P$1</f>
        <v>7712854.1665009204</v>
      </c>
      <c r="R64" s="8">
        <f>+MINVU_Mes_Corriente!R64*MINVU_Mes_Constante!$P$1</f>
        <v>12443709.720698958</v>
      </c>
      <c r="S64" s="8">
        <f>+MINVU_Mes_Corriente!S64*MINVU_Mes_Constante!$P$1</f>
        <v>19277024.767722681</v>
      </c>
      <c r="T64" s="8">
        <f>+MINVU_Mes_Corriente!T64*MINVU_Mes_Constante!$P$1</f>
        <v>24294450.721977543</v>
      </c>
      <c r="U64" s="8">
        <f>+MINVU_Mes_Corriente!U64*MINVU_Mes_Constante!$P$1</f>
        <v>30532089.996874545</v>
      </c>
      <c r="V64" s="8">
        <f>+MINVU_Mes_Corriente!V64*MINVU_Mes_Constante!$P$1</f>
        <v>34902556.74186673</v>
      </c>
      <c r="W64" s="8">
        <f>+MINVU_Mes_Corriente!W64*MINVU_Mes_Constante!$P$1</f>
        <v>39654767.589146167</v>
      </c>
      <c r="X64" s="8">
        <f>+MINVU_Mes_Corriente!X64*MINVU_Mes_Constante!$P$1</f>
        <v>44692179.78803806</v>
      </c>
      <c r="Y64" s="8">
        <f>+MINVU_Mes_Corriente!Y64*MINVU_Mes_Constante!$P$1</f>
        <v>51569959.417530879</v>
      </c>
      <c r="Z64" s="8">
        <f>+MINVU_Mes_Corriente!Z64*MINVU_Mes_Constante!$P$1</f>
        <v>58823951.076005094</v>
      </c>
      <c r="AA64" s="8">
        <f>+MINVU_Mes_Corriente!AA64*MINVU_Mes_Constante!$P$1</f>
        <v>81809905.031396478</v>
      </c>
      <c r="AB64" s="9">
        <f t="shared" si="39"/>
        <v>81809905.031396478</v>
      </c>
      <c r="AC64" s="8">
        <f>+MINVU_Mes_Corriente!AC64*MINVU_Mes_Constante!$AC$1</f>
        <v>3346965.2527320515</v>
      </c>
      <c r="AD64" s="8">
        <f>+MINVU_Mes_Corriente!AD64*MINVU_Mes_Constante!$AC$1</f>
        <v>9216353.809932217</v>
      </c>
      <c r="AE64" s="8">
        <f>+MINVU_Mes_Corriente!AE64*MINVU_Mes_Constante!$AC$1</f>
        <v>17470167.676857103</v>
      </c>
      <c r="AF64" s="8">
        <f>+MINVU_Mes_Corriente!AF64*MINVU_Mes_Constante!$AC$1</f>
        <v>21831627.672707152</v>
      </c>
      <c r="AG64" s="8">
        <f>+MINVU_Mes_Corriente!AG64*MINVU_Mes_Constante!$AC$1</f>
        <v>26679251.593304746</v>
      </c>
      <c r="AH64" s="8">
        <f>+MINVU_Mes_Corriente!AH64*MINVU_Mes_Constante!$AC$1</f>
        <v>32185384.279430073</v>
      </c>
      <c r="AI64" s="8">
        <f>+MINVU_Mes_Corriente!AI64*MINVU_Mes_Constante!$AC$1</f>
        <v>35399977.01424817</v>
      </c>
      <c r="AJ64" s="8">
        <f>+MINVU_Mes_Corriente!AJ64*MINVU_Mes_Constante!$AC$1</f>
        <v>39502155.729976483</v>
      </c>
      <c r="AK64" s="8">
        <f>+MINVU_Mes_Corriente!AK64*MINVU_Mes_Constante!$AC$1</f>
        <v>44312160.596763037</v>
      </c>
      <c r="AL64" s="8">
        <f>+MINVU_Mes_Corriente!AL64*MINVU_Mes_Constante!$AC$1</f>
        <v>50281480.71683497</v>
      </c>
      <c r="AM64" s="8">
        <f>+MINVU_Mes_Corriente!AM64*MINVU_Mes_Constante!$AC$1</f>
        <v>56468604.427445009</v>
      </c>
      <c r="AN64" s="8">
        <f>+MINVU_Mes_Corriente!AN64*MINVU_Mes_Constante!$AC$1</f>
        <v>72064856.549730256</v>
      </c>
      <c r="AO64" s="9">
        <f t="shared" si="40"/>
        <v>72064856.549730256</v>
      </c>
      <c r="AP64" s="8">
        <f>+MINVU_Mes_Corriente!AP64*MINVU_Mes_Constante!$AP$1</f>
        <v>0</v>
      </c>
      <c r="AQ64" s="8">
        <f>+MINVU_Mes_Corriente!AQ64*MINVU_Mes_Constante!$AP$1</f>
        <v>6281999.2452319758</v>
      </c>
      <c r="AR64" s="8">
        <f>+MINVU_Mes_Corriente!AR64*MINVU_Mes_Constante!$AP$1</f>
        <v>11406837.106722575</v>
      </c>
      <c r="AS64" s="8">
        <f>+MINVU_Mes_Corriente!AS64*MINVU_Mes_Constante!$AP$1</f>
        <v>16302069.356688758</v>
      </c>
      <c r="AT64" s="8">
        <f>+MINVU_Mes_Corriente!AT64*MINVU_Mes_Constante!$AP$1</f>
        <v>21907037.896117948</v>
      </c>
      <c r="AU64" s="8">
        <f>+MINVU_Mes_Corriente!AU64*MINVU_Mes_Constante!$AP$1</f>
        <v>28451202.025970511</v>
      </c>
      <c r="AV64" s="8">
        <f>+MINVU_Mes_Corriente!AV64*MINVU_Mes_Constante!$AP$1</f>
        <v>34677195.360746652</v>
      </c>
      <c r="AW64" s="8">
        <f>+MINVU_Mes_Corriente!AW64*MINVU_Mes_Constante!$AP$1</f>
        <v>42839786.356824018</v>
      </c>
      <c r="AX64" s="8">
        <f>+MINVU_Mes_Corriente!AX64*MINVU_Mes_Constante!$AP$1</f>
        <v>49276693.0201542</v>
      </c>
      <c r="AY64" s="8">
        <f>+MINVU_Mes_Corriente!AY64*MINVU_Mes_Constante!$AP$1</f>
        <v>55615228.73637224</v>
      </c>
      <c r="AZ64" s="8">
        <f>+MINVU_Mes_Corriente!AZ64*MINVU_Mes_Constante!$AP$1</f>
        <v>65904584.179899901</v>
      </c>
      <c r="BA64" s="8">
        <f>+MINVU_Mes_Corriente!BA64*MINVU_Mes_Constante!$AP$1</f>
        <v>88157015.503313944</v>
      </c>
      <c r="BB64" s="9">
        <f t="shared" si="41"/>
        <v>88157015.503313944</v>
      </c>
      <c r="BC64" s="8">
        <f>+MINVU_Mes_Corriente!BC64*MINVU_Mes_Constante!$BC$1</f>
        <v>0</v>
      </c>
      <c r="BD64" s="8">
        <f>+MINVU_Mes_Corriente!BD64*MINVU_Mes_Constante!$BC$1</f>
        <v>9457122.2769352514</v>
      </c>
      <c r="BE64" s="8">
        <f>+MINVU_Mes_Corriente!BE64*MINVU_Mes_Constante!$BC$1</f>
        <v>19443320.578662802</v>
      </c>
      <c r="BF64" s="8">
        <f>+MINVU_Mes_Corriente!BF64*MINVU_Mes_Constante!$BC$1</f>
        <v>24215991.3176843</v>
      </c>
      <c r="BG64" s="8">
        <f>+MINVU_Mes_Corriente!BG64*MINVU_Mes_Constante!$BC$1</f>
        <v>29883107.094817363</v>
      </c>
      <c r="BH64" s="8">
        <f>+MINVU_Mes_Corriente!BH64*MINVU_Mes_Constante!$BC$1</f>
        <v>33148236.219965722</v>
      </c>
      <c r="BI64" s="8">
        <f>+MINVU_Mes_Corriente!BI64*MINVU_Mes_Constante!$BC$1</f>
        <v>35803533.745747074</v>
      </c>
      <c r="BJ64" s="8">
        <f>+MINVU_Mes_Corriente!BJ64*MINVU_Mes_Constante!$BC$1</f>
        <v>39332140.414347894</v>
      </c>
      <c r="BK64" s="8">
        <f>+MINVU_Mes_Corriente!BK64*MINVU_Mes_Constante!$BC$1</f>
        <v>42861457.424238436</v>
      </c>
      <c r="BL64" s="8">
        <f>+MINVU_Mes_Corriente!BL64*MINVU_Mes_Constante!$BC$1</f>
        <v>45690403.85783992</v>
      </c>
      <c r="BM64" s="8">
        <f>+MINVU_Mes_Corriente!BM64*MINVU_Mes_Constante!$BC$1</f>
        <v>50617717.192404076</v>
      </c>
      <c r="BN64" s="8">
        <f>+MINVU_Mes_Corriente!BN64*MINVU_Mes_Constante!$BC$1</f>
        <v>63018763.213767655</v>
      </c>
      <c r="BO64" s="9">
        <f t="shared" si="42"/>
        <v>63018763.213767655</v>
      </c>
      <c r="BP64" s="8">
        <f>+MINVU_Mes_Corriente!BP64*MINVU_Mes_Constante!$BP$1</f>
        <v>0</v>
      </c>
      <c r="BQ64" s="8">
        <f>+MINVU_Mes_Corriente!BQ64*MINVU_Mes_Constante!$BP$1</f>
        <v>5502760.2875800263</v>
      </c>
      <c r="BR64" s="8">
        <f>+MINVU_Mes_Corriente!BR64*MINVU_Mes_Constante!$BP$1</f>
        <v>9305632.2307298351</v>
      </c>
      <c r="BS64" s="8">
        <f>+MINVU_Mes_Corriente!BS64*MINVU_Mes_Constante!$BP$1</f>
        <v>12441606.875032011</v>
      </c>
      <c r="BT64" s="8">
        <f>+MINVU_Mes_Corriente!BT64*MINVU_Mes_Constante!$BP$1</f>
        <v>15721702.594110116</v>
      </c>
      <c r="BU64" s="8">
        <f>+MINVU_Mes_Corriente!BU64*MINVU_Mes_Constante!$BP$1</f>
        <v>18751332.70371319</v>
      </c>
      <c r="BV64" s="8">
        <f>+MINVU_Mes_Corriente!BV64*MINVU_Mes_Constante!$BP$1</f>
        <v>22332313.115492959</v>
      </c>
      <c r="BW64" s="8">
        <f>+MINVU_Mes_Corriente!BW64*MINVU_Mes_Constante!$BP$1</f>
        <v>25684800.229705509</v>
      </c>
      <c r="BX64" s="8">
        <f>+MINVU_Mes_Corriente!BX64*MINVU_Mes_Constante!$BP$1</f>
        <v>28853233.907554422</v>
      </c>
      <c r="BY64" s="8">
        <f>+MINVU_Mes_Corriente!BY64*MINVU_Mes_Constante!$BP$1</f>
        <v>32065822.055569787</v>
      </c>
      <c r="BZ64" s="8">
        <f>+MINVU_Mes_Corriente!BZ64*MINVU_Mes_Constante!$BP$1</f>
        <v>37806497.741869405</v>
      </c>
      <c r="CA64" s="8">
        <f>+MINVU_Mes_Corriente!CA64*MINVU_Mes_Constante!$BP$1</f>
        <v>47904116.681177981</v>
      </c>
      <c r="CB64" s="9">
        <f t="shared" si="43"/>
        <v>47904116.681177981</v>
      </c>
      <c r="CC64" s="8">
        <f>+MINVU_Mes_Corriente!CC64*MINVU_Mes_Constante!$CC$1</f>
        <v>0</v>
      </c>
      <c r="CD64" s="8">
        <f>+MINVU_Mes_Corriente!CD64*MINVU_Mes_Constante!$CC$1</f>
        <v>900298.05296531157</v>
      </c>
      <c r="CE64" s="8">
        <f>+MINVU_Mes_Corriente!CE64*MINVU_Mes_Constante!$CC$1</f>
        <v>4707345.4509511385</v>
      </c>
      <c r="CF64" s="8">
        <f>+MINVU_Mes_Corriente!CF64*MINVU_Mes_Constante!$CC$1</f>
        <v>7633103.563595674</v>
      </c>
      <c r="CG64" s="8">
        <f>+MINVU_Mes_Corriente!CG64*MINVU_Mes_Constante!$CC$1</f>
        <v>10230716.253636703</v>
      </c>
      <c r="CH64" s="8">
        <f>+MINVU_Mes_Corriente!CH64*MINVU_Mes_Constante!$CC$1</f>
        <v>12407711.225662068</v>
      </c>
      <c r="CI64" s="8">
        <f>+MINVU_Mes_Corriente!CI64*MINVU_Mes_Constante!$CC$1</f>
        <v>14524131.62775084</v>
      </c>
      <c r="CJ64" s="8">
        <f>+MINVU_Mes_Corriente!CJ64*MINVU_Mes_Constante!$CC$1</f>
        <v>16907533.315926895</v>
      </c>
      <c r="CK64" s="8">
        <f>+MINVU_Mes_Corriente!CK64*MINVU_Mes_Constante!$CC$1</f>
        <v>18997913.621782918</v>
      </c>
      <c r="CL64" s="8">
        <f>+MINVU_Mes_Corriente!CL64*MINVU_Mes_Constante!$CC$1</f>
        <v>21199402.775829915</v>
      </c>
      <c r="CM64" s="8">
        <f>+MINVU_Mes_Corriente!CM64*MINVU_Mes_Constante!$CC$1</f>
        <v>26169201.804550543</v>
      </c>
      <c r="CN64" s="8">
        <f>+MINVU_Mes_Corriente!CN64*MINVU_Mes_Constante!$CC$1</f>
        <v>37229628.418500565</v>
      </c>
      <c r="CO64" s="9">
        <f t="shared" si="44"/>
        <v>37229628.418500565</v>
      </c>
      <c r="CP64" s="8">
        <f>+MINVU_Mes_Corriente!CP64*MINVU_Mes_Constante!$CP$1</f>
        <v>0</v>
      </c>
      <c r="CQ64" s="8">
        <f>+MINVU_Mes_Corriente!CQ64*MINVU_Mes_Constante!$CP$1</f>
        <v>6128337.6292343372</v>
      </c>
      <c r="CR64" s="8">
        <f>+MINVU_Mes_Corriente!CR64*MINVU_Mes_Constante!$CP$1</f>
        <v>12710518.736658931</v>
      </c>
      <c r="CS64" s="8">
        <f>+MINVU_Mes_Corriente!CS64*MINVU_Mes_Constante!$CP$1</f>
        <v>18134486.80580046</v>
      </c>
      <c r="CT64" s="8">
        <f>+MINVU_Mes_Corriente!CT64*MINVU_Mes_Constante!$CP$1</f>
        <v>21931648.258468673</v>
      </c>
      <c r="CU64" s="8">
        <f>+MINVU_Mes_Corriente!CU64*MINVU_Mes_Constante!$CP$1</f>
        <v>25753739.243387464</v>
      </c>
      <c r="CV64" s="8">
        <f>+MINVU_Mes_Corriente!CV64*MINVU_Mes_Constante!$CP$1</f>
        <v>28856345.523201849</v>
      </c>
      <c r="CW64" s="8">
        <f>+MINVU_Mes_Corriente!CW64*MINVU_Mes_Constante!$CP$1</f>
        <v>31732706.284454748</v>
      </c>
      <c r="CX64" s="8">
        <f>+MINVU_Mes_Corriente!CX64*MINVU_Mes_Constante!$CP$1</f>
        <v>34692610.385150805</v>
      </c>
      <c r="CY64" s="8">
        <f>+MINVU_Mes_Corriente!CY64*MINVU_Mes_Constante!$CP$1</f>
        <v>39158962.719953589</v>
      </c>
      <c r="CZ64" s="8">
        <f>+MINVU_Mes_Corriente!CZ64*MINVU_Mes_Constante!$CP$1</f>
        <v>45537335.901856139</v>
      </c>
      <c r="DA64" s="8">
        <f>+MINVU_Mes_Corriente!DA64*MINVU_Mes_Constante!$CP$1</f>
        <v>61296841.129698366</v>
      </c>
      <c r="DB64" s="9">
        <f t="shared" si="45"/>
        <v>61296841.129698366</v>
      </c>
      <c r="DC64" s="8">
        <f>+MINVU_Mes_Corriente!DC64*MINVU_Mes_Constante!$DC$1</f>
        <v>0</v>
      </c>
      <c r="DD64" s="8">
        <f>+MINVU_Mes_Corriente!DD64*MINVU_Mes_Constante!$DC$1</f>
        <v>2725843.117169017</v>
      </c>
      <c r="DE64" s="8">
        <f>+MINVU_Mes_Corriente!DE64*MINVU_Mes_Constante!$DC$1</f>
        <v>5444903.1451496789</v>
      </c>
      <c r="DF64" s="8">
        <f>+MINVU_Mes_Corriente!DF64*MINVU_Mes_Constante!$DC$1</f>
        <v>8484532.9797345996</v>
      </c>
      <c r="DG64" s="8">
        <f>+MINVU_Mes_Corriente!DG64*MINVU_Mes_Constante!$DC$1</f>
        <v>11318568.336385151</v>
      </c>
      <c r="DH64" s="8">
        <f>+MINVU_Mes_Corriente!DH64*MINVU_Mes_Constante!$DC$1</f>
        <v>14224005.40088469</v>
      </c>
      <c r="DI64" s="8">
        <f>+MINVU_Mes_Corriente!DI64*MINVU_Mes_Constante!$DC$1</f>
        <v>16504639.588108227</v>
      </c>
      <c r="DJ64" s="8">
        <f>+MINVU_Mes_Corriente!DJ64*MINVU_Mes_Constante!$DC$1</f>
        <v>18598788.838802602</v>
      </c>
      <c r="DK64" s="8">
        <f>+MINVU_Mes_Corriente!DK64*MINVU_Mes_Constante!$DC$1</f>
        <v>21340900.130439267</v>
      </c>
      <c r="DL64" s="8">
        <f>+MINVU_Mes_Corriente!DL64*MINVU_Mes_Constante!$DC$1</f>
        <v>24220776.132085189</v>
      </c>
      <c r="DM64" s="8">
        <f>+MINVU_Mes_Corriente!DM64*MINVU_Mes_Constante!$DC$1</f>
        <v>28191121.108527943</v>
      </c>
      <c r="DN64" s="8">
        <f>+MINVU_Mes_Corriente!DN64*MINVU_Mes_Constante!$DC$1</f>
        <v>38014707.827384032</v>
      </c>
      <c r="DO64" s="9">
        <f t="shared" si="46"/>
        <v>38014707.827384032</v>
      </c>
      <c r="DP64" s="8">
        <f>+MINVU_Mes_Corriente!DP64*MINVU_Mes_Constante!$DP$1</f>
        <v>0</v>
      </c>
      <c r="DQ64" s="8">
        <f>+MINVU_Mes_Corriente!DQ64*MINVU_Mes_Constante!$DP$1</f>
        <v>4106924.8735154397</v>
      </c>
      <c r="DR64" s="8">
        <f>+MINVU_Mes_Corriente!DR64*MINVU_Mes_Constante!$DP$1</f>
        <v>9267859.4697149657</v>
      </c>
      <c r="DS64" s="8">
        <f>+MINVU_Mes_Corriente!DS64*MINVU_Mes_Constante!$DP$1</f>
        <v>12934641.938836105</v>
      </c>
      <c r="DT64" s="8">
        <f>+MINVU_Mes_Corriente!DT64*MINVU_Mes_Constante!$DP$1</f>
        <v>16108362.705463184</v>
      </c>
      <c r="DU64" s="8">
        <f>+MINVU_Mes_Corriente!DU64*MINVU_Mes_Constante!$DP$1</f>
        <v>19714200.067695964</v>
      </c>
      <c r="DV64" s="8">
        <f>+MINVU_Mes_Corriente!DV64*MINVU_Mes_Constante!$DP$1</f>
        <v>22822479.457838483</v>
      </c>
      <c r="DW64" s="8">
        <f>+MINVU_Mes_Corriente!DW64*MINVU_Mes_Constante!$DP$1</f>
        <v>25762842.967339668</v>
      </c>
      <c r="DX64" s="8">
        <f>+MINVU_Mes_Corriente!DX64*MINVU_Mes_Constante!$DP$1</f>
        <v>28700403.607482187</v>
      </c>
      <c r="DY64" s="8">
        <f>+MINVU_Mes_Corriente!DY64*MINVU_Mes_Constante!$DP$1</f>
        <v>32762569.07957245</v>
      </c>
      <c r="DZ64" s="8">
        <f>+MINVU_Mes_Corriente!DZ64*MINVU_Mes_Constante!$DP$1</f>
        <v>38378420.618764848</v>
      </c>
      <c r="EA64" s="8">
        <f>+MINVU_Mes_Corriente!EA64*MINVU_Mes_Constante!$DP$1</f>
        <v>48728091.420427561</v>
      </c>
      <c r="EB64" s="9">
        <f t="shared" si="47"/>
        <v>48728091.420427561</v>
      </c>
      <c r="EC64" s="8">
        <f>+MINVU_Mes_Corriente!EC64*MINVU_Mes_Constante!$EC$1</f>
        <v>0</v>
      </c>
      <c r="ED64" s="8">
        <f>+MINVU_Mes_Corriente!ED64*MINVU_Mes_Constante!$EC$1</f>
        <v>4211864.3813671637</v>
      </c>
      <c r="EE64" s="8">
        <f>+MINVU_Mes_Corriente!EE64*MINVU_Mes_Constante!$EC$1</f>
        <v>16083760.952471118</v>
      </c>
      <c r="EF64" s="8">
        <f>+MINVU_Mes_Corriente!EF64*MINVU_Mes_Constante!$EC$1</f>
        <v>22437923.042794917</v>
      </c>
      <c r="EG64" s="8">
        <f>+MINVU_Mes_Corriente!EG64*MINVU_Mes_Constante!$EC$1</f>
        <v>27738396.465252783</v>
      </c>
      <c r="EH64" s="8">
        <f>+MINVU_Mes_Corriente!EH64*MINVU_Mes_Constante!$EC$1</f>
        <v>30699834.869721632</v>
      </c>
      <c r="EI64" s="8">
        <f>+MINVU_Mes_Corriente!EI64*MINVU_Mes_Constante!$EC$1</f>
        <v>33606902.924446113</v>
      </c>
      <c r="EJ64" s="8">
        <f>+MINVU_Mes_Corriente!EJ64*MINVU_Mes_Constante!$EC$1</f>
        <v>38726587.356561244</v>
      </c>
      <c r="EK64" s="8">
        <f>+MINVU_Mes_Corriente!EK64*MINVU_Mes_Constante!$EC$1</f>
        <v>42717327.994129889</v>
      </c>
      <c r="EL64" s="8">
        <f>+MINVU_Mes_Corriente!EL64*MINVU_Mes_Constante!$EC$1</f>
        <v>46816050.035220586</v>
      </c>
      <c r="EM64" s="8">
        <f>+MINVU_Mes_Corriente!EM64*MINVU_Mes_Constante!$EC$1</f>
        <v>50172297.515243307</v>
      </c>
      <c r="EN64" s="8">
        <f>+MINVU_Mes_Corriente!EN64*MINVU_Mes_Constante!$EC$1</f>
        <v>53793434.806854747</v>
      </c>
      <c r="EO64" s="9">
        <f t="shared" si="48"/>
        <v>53793434.806854747</v>
      </c>
      <c r="EP64" s="8">
        <f>+MINVU_Mes_Corriente!EP64*MINVU_Mes_Constante!$EP$1</f>
        <v>0</v>
      </c>
      <c r="EQ64" s="8">
        <f>+MINVU_Mes_Corriente!EQ64*MINVU_Mes_Constante!$EP$1</f>
        <v>8442952</v>
      </c>
      <c r="ER64" s="8">
        <f>+MINVU_Mes_Corriente!ER64*MINVU_Mes_Constante!$EP$1</f>
        <v>20658211</v>
      </c>
      <c r="ES64" s="8">
        <f>+MINVU_Mes_Corriente!ES64*MINVU_Mes_Constante!$EP$1</f>
        <v>32489874</v>
      </c>
      <c r="ET64" s="8">
        <f>+MINVU_Mes_Corriente!ET64*MINVU_Mes_Constante!$EP$1</f>
        <v>37533223</v>
      </c>
      <c r="EU64" s="8">
        <f>+MINVU_Mes_Corriente!EU64*MINVU_Mes_Constante!$EP$1</f>
        <v>42967861</v>
      </c>
      <c r="EV64" s="8">
        <f>+MINVU_Mes_Corriente!EV64*MINVU_Mes_Constante!$EP$1</f>
        <v>47201867</v>
      </c>
      <c r="EW64" s="8">
        <f>+MINVU_Mes_Corriente!EW64*MINVU_Mes_Constante!$EP$1</f>
        <v>50408552</v>
      </c>
      <c r="EX64" s="8">
        <f>+MINVU_Mes_Corriente!EX64*MINVU_Mes_Constante!$EP$1</f>
        <v>53510003</v>
      </c>
      <c r="EY64" s="8">
        <f>+MINVU_Mes_Corriente!EY64*MINVU_Mes_Constante!$EP$1</f>
        <v>58643949</v>
      </c>
      <c r="EZ64" s="8">
        <f>+MINVU_Mes_Corriente!EZ64*MINVU_Mes_Constante!$EP$1</f>
        <v>60469590</v>
      </c>
      <c r="FA64" s="8">
        <f>+MINVU_Mes_Corriente!FA64*MINVU_Mes_Constante!$EP$1</f>
        <v>69230852</v>
      </c>
      <c r="FB64" s="9">
        <f t="shared" si="49"/>
        <v>69230852</v>
      </c>
      <c r="FC64" s="8">
        <f>+MINVU_Mes_Corriente!FC64*MINVU_Mes_Constante!$FC$1</f>
        <v>0</v>
      </c>
      <c r="FD64" s="8">
        <f>+MINVU_Mes_Corriente!FD64*MINVU_Mes_Constante!$FC$1</f>
        <v>490004</v>
      </c>
      <c r="FE64" s="8">
        <f>+MINVU_Mes_Corriente!FE64*MINVU_Mes_Constante!$FC$1</f>
        <v>9942759</v>
      </c>
      <c r="FF64" s="8">
        <f>+MINVU_Mes_Corriente!FF64*MINVU_Mes_Constante!$FC$1</f>
        <v>12252174</v>
      </c>
      <c r="FG64" s="8">
        <f>+MINVU_Mes_Corriente!FG64*MINVU_Mes_Constante!$FC$1</f>
        <v>13842342</v>
      </c>
      <c r="FH64" s="8">
        <f>+MINVU_Mes_Corriente!FH64*MINVU_Mes_Constante!$FC$1</f>
        <v>15161466</v>
      </c>
      <c r="FI64" s="8">
        <f>+MINVU_Mes_Corriente!FI64*MINVU_Mes_Constante!$FC$1</f>
        <v>17059750</v>
      </c>
      <c r="FJ64" s="8"/>
      <c r="FK64" s="8"/>
      <c r="FL64" s="8"/>
      <c r="FM64" s="8"/>
      <c r="FN64" s="8"/>
      <c r="FO64" s="9">
        <f t="shared" si="50"/>
        <v>17059750</v>
      </c>
    </row>
    <row r="65" spans="2:171" ht="14.25" customHeight="1" x14ac:dyDescent="0.3">
      <c r="B65" s="7" t="s">
        <v>56</v>
      </c>
      <c r="C65" s="8">
        <f>+MINVU_Mes_Corriente!C65*MINVU_Mes_Constante!$C$1</f>
        <v>0</v>
      </c>
      <c r="D65" s="8">
        <f>+MINVU_Mes_Corriente!D65*MINVU_Mes_Constante!$C$1</f>
        <v>0</v>
      </c>
      <c r="E65" s="8">
        <f>+MINVU_Mes_Corriente!E65*MINVU_Mes_Constante!$C$1</f>
        <v>4412872.5362598253</v>
      </c>
      <c r="F65" s="8">
        <f>+MINVU_Mes_Corriente!F65*MINVU_Mes_Constante!$C$1</f>
        <v>6167091.0137920817</v>
      </c>
      <c r="G65" s="8">
        <f>+MINVU_Mes_Corriente!G65*MINVU_Mes_Constante!$C$1</f>
        <v>7653600.6166394791</v>
      </c>
      <c r="H65" s="8">
        <f>+MINVU_Mes_Corriente!H65*MINVU_Mes_Constante!$C$1</f>
        <v>8939012.1907163002</v>
      </c>
      <c r="I65" s="8">
        <f>+MINVU_Mes_Corriente!I65*MINVU_Mes_Constante!$C$1</f>
        <v>10204606.920658462</v>
      </c>
      <c r="J65" s="8">
        <f>+MINVU_Mes_Corriente!J65*MINVU_Mes_Constante!$C$1</f>
        <v>13247824.420584312</v>
      </c>
      <c r="K65" s="8">
        <f>+MINVU_Mes_Corriente!K65*MINVU_Mes_Constante!$C$1</f>
        <v>18219956.492362455</v>
      </c>
      <c r="L65" s="8">
        <f>+MINVU_Mes_Corriente!L65*MINVU_Mes_Constante!$C$1</f>
        <v>24553068.262494441</v>
      </c>
      <c r="M65" s="8">
        <f>+MINVU_Mes_Corriente!M65*MINVU_Mes_Constante!$C$1</f>
        <v>31728799.374759015</v>
      </c>
      <c r="N65" s="8">
        <f>+MINVU_Mes_Corriente!N65*MINVU_Mes_Constante!$C$1</f>
        <v>36875967.813732766</v>
      </c>
      <c r="O65" s="9">
        <f t="shared" si="38"/>
        <v>36875967.813732766</v>
      </c>
      <c r="P65" s="8">
        <f>+MINVU_Mes_Corriente!P65*MINVU_Mes_Constante!$P$1</f>
        <v>3938043.0149168903</v>
      </c>
      <c r="Q65" s="8">
        <f>+MINVU_Mes_Corriente!Q65*MINVU_Mes_Constante!$P$1</f>
        <v>8376761.9471515808</v>
      </c>
      <c r="R65" s="8">
        <f>+MINVU_Mes_Corriente!R65*MINVU_Mes_Constante!$P$1</f>
        <v>12201611.664156836</v>
      </c>
      <c r="S65" s="8">
        <f>+MINVU_Mes_Corriente!S65*MINVU_Mes_Constante!$P$1</f>
        <v>16494901.019462986</v>
      </c>
      <c r="T65" s="8">
        <f>+MINVU_Mes_Corriente!T65*MINVU_Mes_Constante!$P$1</f>
        <v>19891435.70393521</v>
      </c>
      <c r="U65" s="8">
        <f>+MINVU_Mes_Corriente!U65*MINVU_Mes_Constante!$P$1</f>
        <v>22874359.432873979</v>
      </c>
      <c r="V65" s="8">
        <f>+MINVU_Mes_Corriente!V65*MINVU_Mes_Constante!$P$1</f>
        <v>25297994.275891453</v>
      </c>
      <c r="W65" s="8">
        <f>+MINVU_Mes_Corriente!W65*MINVU_Mes_Constante!$P$1</f>
        <v>28665321.041341089</v>
      </c>
      <c r="X65" s="8">
        <f>+MINVU_Mes_Corriente!X65*MINVU_Mes_Constante!$P$1</f>
        <v>32688035.511578336</v>
      </c>
      <c r="Y65" s="8">
        <f>+MINVU_Mes_Corriente!Y65*MINVU_Mes_Constante!$P$1</f>
        <v>36956582.653501906</v>
      </c>
      <c r="Z65" s="8">
        <f>+MINVU_Mes_Corriente!Z65*MINVU_Mes_Constante!$P$1</f>
        <v>40621143.495666981</v>
      </c>
      <c r="AA65" s="8">
        <f>+MINVU_Mes_Corriente!AA65*MINVU_Mes_Constante!$P$1</f>
        <v>49060260.787611857</v>
      </c>
      <c r="AB65" s="9">
        <f t="shared" si="39"/>
        <v>49060260.787611857</v>
      </c>
      <c r="AC65" s="8">
        <f>+MINVU_Mes_Corriente!AC65*MINVU_Mes_Constante!$AC$1</f>
        <v>3913203.8046756121</v>
      </c>
      <c r="AD65" s="8">
        <f>+MINVU_Mes_Corriente!AD65*MINVU_Mes_Constante!$AC$1</f>
        <v>8819435.7626227699</v>
      </c>
      <c r="AE65" s="8">
        <f>+MINVU_Mes_Corriente!AE65*MINVU_Mes_Constante!$AC$1</f>
        <v>15605056.099322174</v>
      </c>
      <c r="AF65" s="8">
        <f>+MINVU_Mes_Corriente!AF65*MINVU_Mes_Constante!$AC$1</f>
        <v>21833328.011619866</v>
      </c>
      <c r="AG65" s="8">
        <f>+MINVU_Mes_Corriente!AG65*MINVU_Mes_Constante!$AC$1</f>
        <v>26933410.696915202</v>
      </c>
      <c r="AH65" s="8">
        <f>+MINVU_Mes_Corriente!AH65*MINVU_Mes_Constante!$AC$1</f>
        <v>33044927.515285656</v>
      </c>
      <c r="AI65" s="8">
        <f>+MINVU_Mes_Corriente!AI65*MINVU_Mes_Constante!$AC$1</f>
        <v>36420514.384008855</v>
      </c>
      <c r="AJ65" s="8">
        <f>+MINVU_Mes_Corriente!AJ65*MINVU_Mes_Constante!$AC$1</f>
        <v>41248131.739106379</v>
      </c>
      <c r="AK65" s="8">
        <f>+MINVU_Mes_Corriente!AK65*MINVU_Mes_Constante!$AC$1</f>
        <v>45323235.013694838</v>
      </c>
      <c r="AL65" s="8">
        <f>+MINVU_Mes_Corriente!AL65*MINVU_Mes_Constante!$AC$1</f>
        <v>49620653.444736481</v>
      </c>
      <c r="AM65" s="8">
        <f>+MINVU_Mes_Corriente!AM65*MINVU_Mes_Constante!$AC$1</f>
        <v>56410913.817402132</v>
      </c>
      <c r="AN65" s="8">
        <f>+MINVU_Mes_Corriente!AN65*MINVU_Mes_Constante!$AC$1</f>
        <v>63615471.968183704</v>
      </c>
      <c r="AO65" s="9">
        <f t="shared" si="40"/>
        <v>63615471.968183704</v>
      </c>
      <c r="AP65" s="8">
        <f>+MINVU_Mes_Corriente!AP65*MINVU_Mes_Constante!$AP$1</f>
        <v>97821.174083592588</v>
      </c>
      <c r="AQ65" s="8">
        <f>+MINVU_Mes_Corriente!AQ65*MINVU_Mes_Constante!$AP$1</f>
        <v>5954412.848099553</v>
      </c>
      <c r="AR65" s="8">
        <f>+MINVU_Mes_Corriente!AR65*MINVU_Mes_Constante!$AP$1</f>
        <v>10305996.422832409</v>
      </c>
      <c r="AS65" s="8">
        <f>+MINVU_Mes_Corriente!AS65*MINVU_Mes_Constante!$AP$1</f>
        <v>14799671.201406736</v>
      </c>
      <c r="AT65" s="8">
        <f>+MINVU_Mes_Corriente!AT65*MINVU_Mes_Constante!$AP$1</f>
        <v>18613380.195590422</v>
      </c>
      <c r="AU65" s="8">
        <f>+MINVU_Mes_Corriente!AU65*MINVU_Mes_Constante!$AP$1</f>
        <v>24982577.581225481</v>
      </c>
      <c r="AV65" s="8">
        <f>+MINVU_Mes_Corriente!AV65*MINVU_Mes_Constante!$AP$1</f>
        <v>27694201.512782361</v>
      </c>
      <c r="AW65" s="8">
        <f>+MINVU_Mes_Corriente!AW65*MINVU_Mes_Constante!$AP$1</f>
        <v>30026130.318138778</v>
      </c>
      <c r="AX65" s="8">
        <f>+MINVU_Mes_Corriente!AX65*MINVU_Mes_Constante!$AP$1</f>
        <v>32831605.826051667</v>
      </c>
      <c r="AY65" s="8">
        <f>+MINVU_Mes_Corriente!AY65*MINVU_Mes_Constante!$AP$1</f>
        <v>35606308.823211141</v>
      </c>
      <c r="AZ65" s="8">
        <f>+MINVU_Mes_Corriente!AZ65*MINVU_Mes_Constante!$AP$1</f>
        <v>40182284.033004187</v>
      </c>
      <c r="BA65" s="8">
        <f>+MINVU_Mes_Corriente!BA65*MINVU_Mes_Constante!$AP$1</f>
        <v>50810162.218855672</v>
      </c>
      <c r="BB65" s="9">
        <f t="shared" si="41"/>
        <v>50810162.218855672</v>
      </c>
      <c r="BC65" s="8">
        <f>+MINVU_Mes_Corriente!BC65*MINVU_Mes_Constante!$BC$1</f>
        <v>0</v>
      </c>
      <c r="BD65" s="8">
        <f>+MINVU_Mes_Corriente!BD65*MINVU_Mes_Constante!$BC$1</f>
        <v>70313.70170117369</v>
      </c>
      <c r="BE65" s="8">
        <f>+MINVU_Mes_Corriente!BE65*MINVU_Mes_Constante!$BC$1</f>
        <v>5336585.1858103666</v>
      </c>
      <c r="BF65" s="8">
        <f>+MINVU_Mes_Corriente!BF65*MINVU_Mes_Constante!$BC$1</f>
        <v>8670523.7605169471</v>
      </c>
      <c r="BG65" s="8">
        <f>+MINVU_Mes_Corriente!BG65*MINVU_Mes_Constante!$BC$1</f>
        <v>11445260.923644999</v>
      </c>
      <c r="BH65" s="8">
        <f>+MINVU_Mes_Corriente!BH65*MINVU_Mes_Constante!$BC$1</f>
        <v>13012674.366345776</v>
      </c>
      <c r="BI65" s="8">
        <f>+MINVU_Mes_Corriente!BI65*MINVU_Mes_Constante!$BC$1</f>
        <v>16479181.644995388</v>
      </c>
      <c r="BJ65" s="8">
        <f>+MINVU_Mes_Corriente!BJ65*MINVU_Mes_Constante!$BC$1</f>
        <v>20519388.213635769</v>
      </c>
      <c r="BK65" s="8">
        <f>+MINVU_Mes_Corriente!BK65*MINVU_Mes_Constante!$BC$1</f>
        <v>25278818.940261118</v>
      </c>
      <c r="BL65" s="8">
        <f>+MINVU_Mes_Corriente!BL65*MINVU_Mes_Constante!$BC$1</f>
        <v>30718622.622972447</v>
      </c>
      <c r="BM65" s="8">
        <f>+MINVU_Mes_Corriente!BM65*MINVU_Mes_Constante!$BC$1</f>
        <v>36049231.14413821</v>
      </c>
      <c r="BN65" s="8">
        <f>+MINVU_Mes_Corriente!BN65*MINVU_Mes_Constante!$BC$1</f>
        <v>43963242.871950425</v>
      </c>
      <c r="BO65" s="9">
        <f t="shared" si="42"/>
        <v>43963242.871950425</v>
      </c>
      <c r="BP65" s="8">
        <f>+MINVU_Mes_Corriente!BP65*MINVU_Mes_Constante!$BP$1</f>
        <v>0</v>
      </c>
      <c r="BQ65" s="8">
        <f>+MINVU_Mes_Corriente!BQ65*MINVU_Mes_Constante!$BP$1</f>
        <v>0</v>
      </c>
      <c r="BR65" s="8">
        <f>+MINVU_Mes_Corriente!BR65*MINVU_Mes_Constante!$BP$1</f>
        <v>9898164.1797695272</v>
      </c>
      <c r="BS65" s="8">
        <f>+MINVU_Mes_Corriente!BS65*MINVU_Mes_Constante!$BP$1</f>
        <v>16672607.343149809</v>
      </c>
      <c r="BT65" s="8">
        <f>+MINVU_Mes_Corriente!BT65*MINVU_Mes_Constante!$BP$1</f>
        <v>20314939.833034575</v>
      </c>
      <c r="BU65" s="8">
        <f>+MINVU_Mes_Corriente!BU65*MINVU_Mes_Constante!$BP$1</f>
        <v>27817509.263508327</v>
      </c>
      <c r="BV65" s="8">
        <f>+MINVU_Mes_Corriente!BV65*MINVU_Mes_Constante!$BP$1</f>
        <v>30301070.204097316</v>
      </c>
      <c r="BW65" s="8">
        <f>+MINVU_Mes_Corriente!BW65*MINVU_Mes_Constante!$BP$1</f>
        <v>33218197.488092192</v>
      </c>
      <c r="BX65" s="8">
        <f>+MINVU_Mes_Corriente!BX65*MINVU_Mes_Constante!$BP$1</f>
        <v>37532830.12087068</v>
      </c>
      <c r="BY65" s="8">
        <f>+MINVU_Mes_Corriente!BY65*MINVU_Mes_Constante!$BP$1</f>
        <v>43046780.814852759</v>
      </c>
      <c r="BZ65" s="8">
        <f>+MINVU_Mes_Corriente!BZ65*MINVU_Mes_Constante!$BP$1</f>
        <v>54292702.76850193</v>
      </c>
      <c r="CA65" s="8">
        <f>+MINVU_Mes_Corriente!CA65*MINVU_Mes_Constante!$BP$1</f>
        <v>60896714.321638934</v>
      </c>
      <c r="CB65" s="9">
        <f t="shared" si="43"/>
        <v>60896714.321638934</v>
      </c>
      <c r="CC65" s="8">
        <f>+MINVU_Mes_Corriente!CC65*MINVU_Mes_Constante!$CC$1</f>
        <v>0</v>
      </c>
      <c r="CD65" s="8">
        <f>+MINVU_Mes_Corriente!CD65*MINVU_Mes_Constante!$CC$1</f>
        <v>0</v>
      </c>
      <c r="CE65" s="8">
        <f>+MINVU_Mes_Corriente!CE65*MINVU_Mes_Constante!$CC$1</f>
        <v>9063465.4419992547</v>
      </c>
      <c r="CF65" s="8">
        <f>+MINVU_Mes_Corriente!CF65*MINVU_Mes_Constante!$CC$1</f>
        <v>12465790.325997762</v>
      </c>
      <c r="CG65" s="8">
        <f>+MINVU_Mes_Corriente!CG65*MINVU_Mes_Constante!$CC$1</f>
        <v>15898356.986945171</v>
      </c>
      <c r="CH65" s="8">
        <f>+MINVU_Mes_Corriente!CH65*MINVU_Mes_Constante!$CC$1</f>
        <v>20027031.972398359</v>
      </c>
      <c r="CI65" s="8">
        <f>+MINVU_Mes_Corriente!CI65*MINVU_Mes_Constante!$CC$1</f>
        <v>22745640.297650132</v>
      </c>
      <c r="CJ65" s="8">
        <f>+MINVU_Mes_Corriente!CJ65*MINVU_Mes_Constante!$CC$1</f>
        <v>26659676.370011192</v>
      </c>
      <c r="CK65" s="8">
        <f>+MINVU_Mes_Corriente!CK65*MINVU_Mes_Constante!$CC$1</f>
        <v>29912744.459530029</v>
      </c>
      <c r="CL65" s="8">
        <f>+MINVU_Mes_Corriente!CL65*MINVU_Mes_Constante!$CC$1</f>
        <v>35544181.186124586</v>
      </c>
      <c r="CM65" s="8">
        <f>+MINVU_Mes_Corriente!CM65*MINVU_Mes_Constante!$CC$1</f>
        <v>41343221.91048117</v>
      </c>
      <c r="CN65" s="8">
        <f>+MINVU_Mes_Corriente!CN65*MINVU_Mes_Constante!$CC$1</f>
        <v>53123628.861618802</v>
      </c>
      <c r="CO65" s="9">
        <f t="shared" si="44"/>
        <v>53123628.861618802</v>
      </c>
      <c r="CP65" s="8">
        <f>+MINVU_Mes_Corriente!CP65*MINVU_Mes_Constante!$CP$1</f>
        <v>0</v>
      </c>
      <c r="CQ65" s="8">
        <f>+MINVU_Mes_Corriente!CQ65*MINVU_Mes_Constante!$CP$1</f>
        <v>6568078.7088167043</v>
      </c>
      <c r="CR65" s="8">
        <f>+MINVU_Mes_Corriente!CR65*MINVU_Mes_Constante!$CP$1</f>
        <v>12000473.23364269</v>
      </c>
      <c r="CS65" s="8">
        <f>+MINVU_Mes_Corriente!CS65*MINVU_Mes_Constante!$CP$1</f>
        <v>17713515.123897906</v>
      </c>
      <c r="CT65" s="8">
        <f>+MINVU_Mes_Corriente!CT65*MINVU_Mes_Constante!$CP$1</f>
        <v>19868678.764037117</v>
      </c>
      <c r="CU65" s="8">
        <f>+MINVU_Mes_Corriente!CU65*MINVU_Mes_Constante!$CP$1</f>
        <v>23591945.219721574</v>
      </c>
      <c r="CV65" s="8">
        <f>+MINVU_Mes_Corriente!CV65*MINVU_Mes_Constante!$CP$1</f>
        <v>27026217.707888626</v>
      </c>
      <c r="CW65" s="8">
        <f>+MINVU_Mes_Corriente!CW65*MINVU_Mes_Constante!$CP$1</f>
        <v>28721616.028538276</v>
      </c>
      <c r="CX65" s="8">
        <f>+MINVU_Mes_Corriente!CX65*MINVU_Mes_Constante!$CP$1</f>
        <v>32742117.849883985</v>
      </c>
      <c r="CY65" s="8">
        <f>+MINVU_Mes_Corriente!CY65*MINVU_Mes_Constante!$CP$1</f>
        <v>35202858.387703009</v>
      </c>
      <c r="CZ65" s="8">
        <f>+MINVU_Mes_Corriente!CZ65*MINVU_Mes_Constante!$CP$1</f>
        <v>36818249.742459387</v>
      </c>
      <c r="DA65" s="8">
        <f>+MINVU_Mes_Corriente!DA65*MINVU_Mes_Constante!$CP$1</f>
        <v>54144056.643619478</v>
      </c>
      <c r="DB65" s="9">
        <f t="shared" si="45"/>
        <v>54144056.643619478</v>
      </c>
      <c r="DC65" s="8">
        <f>+MINVU_Mes_Corriente!DC65*MINVU_Mes_Constante!$DC$1</f>
        <v>0</v>
      </c>
      <c r="DD65" s="8">
        <f>+MINVU_Mes_Corriente!DD65*MINVU_Mes_Constante!$DC$1</f>
        <v>738847.5683571652</v>
      </c>
      <c r="DE65" s="8">
        <f>+MINVU_Mes_Corriente!DE65*MINVU_Mes_Constante!$DC$1</f>
        <v>3578484.7338751173</v>
      </c>
      <c r="DF65" s="8">
        <f>+MINVU_Mes_Corriente!DF65*MINVU_Mes_Constante!$DC$1</f>
        <v>5240178.6110482486</v>
      </c>
      <c r="DG65" s="8">
        <f>+MINVU_Mes_Corriente!DG65*MINVU_Mes_Constante!$DC$1</f>
        <v>6918748.7242053319</v>
      </c>
      <c r="DH65" s="8">
        <f>+MINVU_Mes_Corriente!DH65*MINVU_Mes_Constante!$DC$1</f>
        <v>8172846.9406439709</v>
      </c>
      <c r="DI65" s="8">
        <f>+MINVU_Mes_Corriente!DI65*MINVU_Mes_Constante!$DC$1</f>
        <v>10150969.961526597</v>
      </c>
      <c r="DJ65" s="8">
        <f>+MINVU_Mes_Corriente!DJ65*MINVU_Mes_Constante!$DC$1</f>
        <v>14395348.369303577</v>
      </c>
      <c r="DK65" s="8">
        <f>+MINVU_Mes_Corriente!DK65*MINVU_Mes_Constante!$DC$1</f>
        <v>15445613.350684093</v>
      </c>
      <c r="DL65" s="8">
        <f>+MINVU_Mes_Corriente!DL65*MINVU_Mes_Constante!$DC$1</f>
        <v>20752076.286801778</v>
      </c>
      <c r="DM65" s="8">
        <f>+MINVU_Mes_Corriente!DM65*MINVU_Mes_Constante!$DC$1</f>
        <v>21914928.185166147</v>
      </c>
      <c r="DN65" s="8">
        <f>+MINVU_Mes_Corriente!DN65*MINVU_Mes_Constante!$DC$1</f>
        <v>26817446.07756405</v>
      </c>
      <c r="DO65" s="9">
        <f t="shared" si="46"/>
        <v>26817446.07756405</v>
      </c>
      <c r="DP65" s="8">
        <f>+MINVU_Mes_Corriente!DP65*MINVU_Mes_Constante!$DP$1</f>
        <v>0</v>
      </c>
      <c r="DQ65" s="8">
        <f>+MINVU_Mes_Corriente!DQ65*MINVU_Mes_Constante!$DP$1</f>
        <v>0</v>
      </c>
      <c r="DR65" s="8">
        <f>+MINVU_Mes_Corriente!DR65*MINVU_Mes_Constante!$DP$1</f>
        <v>1902747.1122327794</v>
      </c>
      <c r="DS65" s="8">
        <f>+MINVU_Mes_Corriente!DS65*MINVU_Mes_Constante!$DP$1</f>
        <v>5213000.7060570074</v>
      </c>
      <c r="DT65" s="8">
        <f>+MINVU_Mes_Corriente!DT65*MINVU_Mes_Constante!$DP$1</f>
        <v>6963790.5587885994</v>
      </c>
      <c r="DU65" s="8">
        <f>+MINVU_Mes_Corriente!DU65*MINVU_Mes_Constante!$DP$1</f>
        <v>7813006.9881235166</v>
      </c>
      <c r="DV65" s="8">
        <f>+MINVU_Mes_Corriente!DV65*MINVU_Mes_Constante!$DP$1</f>
        <v>8946938.4976247046</v>
      </c>
      <c r="DW65" s="8">
        <f>+MINVU_Mes_Corriente!DW65*MINVU_Mes_Constante!$DP$1</f>
        <v>9924920.3889548704</v>
      </c>
      <c r="DX65" s="8">
        <f>+MINVU_Mes_Corriente!DX65*MINVU_Mes_Constante!$DP$1</f>
        <v>10952672.675771972</v>
      </c>
      <c r="DY65" s="8">
        <f>+MINVU_Mes_Corriente!DY65*MINVU_Mes_Constante!$DP$1</f>
        <v>11965111.909738718</v>
      </c>
      <c r="DZ65" s="8">
        <f>+MINVU_Mes_Corriente!DZ65*MINVU_Mes_Constante!$DP$1</f>
        <v>13989126.375890737</v>
      </c>
      <c r="EA65" s="8">
        <f>+MINVU_Mes_Corriente!EA65*MINVU_Mes_Constante!$DP$1</f>
        <v>20826882.972684089</v>
      </c>
      <c r="EB65" s="9">
        <f t="shared" si="47"/>
        <v>20826882.972684089</v>
      </c>
      <c r="EC65" s="8">
        <f>+MINVU_Mes_Corriente!EC65*MINVU_Mes_Constante!$EC$1</f>
        <v>0</v>
      </c>
      <c r="ED65" s="8">
        <f>+MINVU_Mes_Corriente!ED65*MINVU_Mes_Constante!$EC$1</f>
        <v>2364028.6826358638</v>
      </c>
      <c r="EE65" s="8">
        <f>+MINVU_Mes_Corriente!EE65*MINVU_Mes_Constante!$EC$1</f>
        <v>6572867.2592312042</v>
      </c>
      <c r="EF65" s="8">
        <f>+MINVU_Mes_Corriente!EF65*MINVU_Mes_Constante!$EC$1</f>
        <v>9112255.0350312404</v>
      </c>
      <c r="EG65" s="8">
        <f>+MINVU_Mes_Corriente!EG65*MINVU_Mes_Constante!$EC$1</f>
        <v>12944402.124029536</v>
      </c>
      <c r="EH65" s="8">
        <f>+MINVU_Mes_Corriente!EH65*MINVU_Mes_Constante!$EC$1</f>
        <v>16715978.291043358</v>
      </c>
      <c r="EI65" s="8">
        <f>+MINVU_Mes_Corriente!EI65*MINVU_Mes_Constante!$EC$1</f>
        <v>19641770.129142202</v>
      </c>
      <c r="EJ65" s="8">
        <f>+MINVU_Mes_Corriente!EJ65*MINVU_Mes_Constante!$EC$1</f>
        <v>22204582.288960416</v>
      </c>
      <c r="EK65" s="8">
        <f>+MINVU_Mes_Corriente!EK65*MINVU_Mes_Constante!$EC$1</f>
        <v>26398807.004355226</v>
      </c>
      <c r="EL65" s="8">
        <f>+MINVU_Mes_Corriente!EL65*MINVU_Mes_Constante!$EC$1</f>
        <v>30540907.189547423</v>
      </c>
      <c r="EM65" s="8">
        <f>+MINVU_Mes_Corriente!EM65*MINVU_Mes_Constante!$EC$1</f>
        <v>32919131.810263198</v>
      </c>
      <c r="EN65" s="8">
        <f>+MINVU_Mes_Corriente!EN65*MINVU_Mes_Constante!$EC$1</f>
        <v>37681587.144858919</v>
      </c>
      <c r="EO65" s="9">
        <f t="shared" si="48"/>
        <v>37681587.144858919</v>
      </c>
      <c r="EP65" s="8">
        <f>+MINVU_Mes_Corriente!EP65*MINVU_Mes_Constante!$EP$1</f>
        <v>0</v>
      </c>
      <c r="EQ65" s="8">
        <f>+MINVU_Mes_Corriente!EQ65*MINVU_Mes_Constante!$EP$1</f>
        <v>621192</v>
      </c>
      <c r="ER65" s="8">
        <f>+MINVU_Mes_Corriente!ER65*MINVU_Mes_Constante!$EP$1</f>
        <v>11552530</v>
      </c>
      <c r="ES65" s="8">
        <f>+MINVU_Mes_Corriente!ES65*MINVU_Mes_Constante!$EP$1</f>
        <v>16193347</v>
      </c>
      <c r="ET65" s="8">
        <f>+MINVU_Mes_Corriente!ET65*MINVU_Mes_Constante!$EP$1</f>
        <v>19223073</v>
      </c>
      <c r="EU65" s="8">
        <f>+MINVU_Mes_Corriente!EU65*MINVU_Mes_Constante!$EP$1</f>
        <v>21735398</v>
      </c>
      <c r="EV65" s="8">
        <f>+MINVU_Mes_Corriente!EV65*MINVU_Mes_Constante!$EP$1</f>
        <v>24324094</v>
      </c>
      <c r="EW65" s="8">
        <f>+MINVU_Mes_Corriente!EW65*MINVU_Mes_Constante!$EP$1</f>
        <v>26563836</v>
      </c>
      <c r="EX65" s="8">
        <f>+MINVU_Mes_Corriente!EX65*MINVU_Mes_Constante!$EP$1</f>
        <v>29341068</v>
      </c>
      <c r="EY65" s="8">
        <f>+MINVU_Mes_Corriente!EY65*MINVU_Mes_Constante!$EP$1</f>
        <v>31306890</v>
      </c>
      <c r="EZ65" s="8">
        <f>+MINVU_Mes_Corriente!EZ65*MINVU_Mes_Constante!$EP$1</f>
        <v>32947404</v>
      </c>
      <c r="FA65" s="8">
        <f>+MINVU_Mes_Corriente!FA65*MINVU_Mes_Constante!$EP$1</f>
        <v>38076572</v>
      </c>
      <c r="FB65" s="9">
        <f t="shared" si="49"/>
        <v>38076572</v>
      </c>
      <c r="FC65" s="8">
        <f>+MINVU_Mes_Corriente!FC65*MINVU_Mes_Constante!$FC$1</f>
        <v>0</v>
      </c>
      <c r="FD65" s="8">
        <f>+MINVU_Mes_Corriente!FD65*MINVU_Mes_Constante!$FC$1</f>
        <v>462550</v>
      </c>
      <c r="FE65" s="8">
        <f>+MINVU_Mes_Corriente!FE65*MINVU_Mes_Constante!$FC$1</f>
        <v>2437039</v>
      </c>
      <c r="FF65" s="8">
        <f>+MINVU_Mes_Corriente!FF65*MINVU_Mes_Constante!$FC$1</f>
        <v>4582281</v>
      </c>
      <c r="FG65" s="8">
        <f>+MINVU_Mes_Corriente!FG65*MINVU_Mes_Constante!$FC$1</f>
        <v>5203766</v>
      </c>
      <c r="FH65" s="8">
        <f>+MINVU_Mes_Corriente!FH65*MINVU_Mes_Constante!$FC$1</f>
        <v>7510694</v>
      </c>
      <c r="FI65" s="8">
        <f>+MINVU_Mes_Corriente!FI65*MINVU_Mes_Constante!$FC$1</f>
        <v>8326344</v>
      </c>
      <c r="FJ65" s="8"/>
      <c r="FK65" s="8"/>
      <c r="FL65" s="8"/>
      <c r="FM65" s="8"/>
      <c r="FN65" s="8"/>
      <c r="FO65" s="9">
        <f t="shared" si="50"/>
        <v>8326344</v>
      </c>
    </row>
    <row r="66" spans="2:171" ht="14.25" customHeight="1" x14ac:dyDescent="0.3">
      <c r="B66" s="7" t="s">
        <v>57</v>
      </c>
      <c r="C66" s="8">
        <f>+MINVU_Mes_Corriente!C66*MINVU_Mes_Constante!$C$1</f>
        <v>0</v>
      </c>
      <c r="D66" s="8">
        <f>+MINVU_Mes_Corriente!D66*MINVU_Mes_Constante!$C$1</f>
        <v>3324521.0861634291</v>
      </c>
      <c r="E66" s="8">
        <f>+MINVU_Mes_Corriente!E66*MINVU_Mes_Constante!$C$1</f>
        <v>5743726.7426961306</v>
      </c>
      <c r="F66" s="8">
        <f>+MINVU_Mes_Corriente!F66*MINVU_Mes_Constante!$C$1</f>
        <v>7720751.0381136006</v>
      </c>
      <c r="G66" s="8">
        <f>+MINVU_Mes_Corriente!G66*MINVU_Mes_Constante!$C$1</f>
        <v>9217757.2489989642</v>
      </c>
      <c r="H66" s="8">
        <f>+MINVU_Mes_Corriente!H66*MINVU_Mes_Constante!$C$1</f>
        <v>10663985.024766427</v>
      </c>
      <c r="I66" s="8">
        <f>+MINVU_Mes_Corriente!I66*MINVU_Mes_Constante!$C$1</f>
        <v>11920403.729497258</v>
      </c>
      <c r="J66" s="8">
        <f>+MINVU_Mes_Corriente!J66*MINVU_Mes_Constante!$C$1</f>
        <v>12995491.018834349</v>
      </c>
      <c r="K66" s="8">
        <f>+MINVU_Mes_Corriente!K66*MINVU_Mes_Constante!$C$1</f>
        <v>13752825.015571706</v>
      </c>
      <c r="L66" s="8">
        <f>+MINVU_Mes_Corriente!L66*MINVU_Mes_Constante!$C$1</f>
        <v>14937544.984724902</v>
      </c>
      <c r="M66" s="8">
        <f>+MINVU_Mes_Corriente!M66*MINVU_Mes_Constante!$C$1</f>
        <v>16720359.346581643</v>
      </c>
      <c r="N66" s="8">
        <f>+MINVU_Mes_Corriente!N66*MINVU_Mes_Constante!$C$1</f>
        <v>22381297.698650457</v>
      </c>
      <c r="O66" s="9">
        <f t="shared" si="38"/>
        <v>22381297.698650457</v>
      </c>
      <c r="P66" s="8">
        <f>+MINVU_Mes_Corriente!P66*MINVU_Mes_Constante!$P$1</f>
        <v>0</v>
      </c>
      <c r="Q66" s="8">
        <f>+MINVU_Mes_Corriente!Q66*MINVU_Mes_Constante!$P$1</f>
        <v>1877772.5659894864</v>
      </c>
      <c r="R66" s="8">
        <f>+MINVU_Mes_Corriente!R66*MINVU_Mes_Constante!$P$1</f>
        <v>3352242.3972155121</v>
      </c>
      <c r="S66" s="8">
        <f>+MINVU_Mes_Corriente!S66*MINVU_Mes_Constante!$P$1</f>
        <v>4234322.4830231555</v>
      </c>
      <c r="T66" s="8">
        <f>+MINVU_Mes_Corriente!T66*MINVU_Mes_Constante!$P$1</f>
        <v>6543691.4516266491</v>
      </c>
      <c r="U66" s="8">
        <f>+MINVU_Mes_Corriente!U66*MINVU_Mes_Constante!$P$1</f>
        <v>7534567.4269072283</v>
      </c>
      <c r="V66" s="8">
        <f>+MINVU_Mes_Corriente!V66*MINVU_Mes_Constante!$P$1</f>
        <v>8707250.5520670526</v>
      </c>
      <c r="W66" s="8">
        <f>+MINVU_Mes_Corriente!W66*MINVU_Mes_Constante!$P$1</f>
        <v>9537758.4898423031</v>
      </c>
      <c r="X66" s="8">
        <f>+MINVU_Mes_Corriente!X66*MINVU_Mes_Constante!$P$1</f>
        <v>10232070.942747546</v>
      </c>
      <c r="Y66" s="8">
        <f>+MINVU_Mes_Corriente!Y66*MINVU_Mes_Constante!$P$1</f>
        <v>11587705.195908505</v>
      </c>
      <c r="Z66" s="8">
        <f>+MINVU_Mes_Corriente!Z66*MINVU_Mes_Constante!$P$1</f>
        <v>13349600.694416815</v>
      </c>
      <c r="AA66" s="8">
        <f>+MINVU_Mes_Corriente!AA66*MINVU_Mes_Constante!$P$1</f>
        <v>17310506.197471224</v>
      </c>
      <c r="AB66" s="9">
        <f t="shared" si="39"/>
        <v>17310506.197471224</v>
      </c>
      <c r="AC66" s="8">
        <f>+MINVU_Mes_Corriente!AC66*MINVU_Mes_Constante!$AC$1</f>
        <v>136897.68654032369</v>
      </c>
      <c r="AD66" s="8">
        <f>+MINVU_Mes_Corriente!AD66*MINVU_Mes_Constante!$AC$1</f>
        <v>1134073.1553465209</v>
      </c>
      <c r="AE66" s="8">
        <f>+MINVU_Mes_Corriente!AE66*MINVU_Mes_Constante!$AC$1</f>
        <v>4016998.5375570618</v>
      </c>
      <c r="AF66" s="8">
        <f>+MINVU_Mes_Corriente!AF66*MINVU_Mes_Constante!$AC$1</f>
        <v>5811574.0113432007</v>
      </c>
      <c r="AG66" s="8">
        <f>+MINVU_Mes_Corriente!AG66*MINVU_Mes_Constante!$AC$1</f>
        <v>7822361.558445151</v>
      </c>
      <c r="AH66" s="8">
        <f>+MINVU_Mes_Corriente!AH66*MINVU_Mes_Constante!$AC$1</f>
        <v>8600571.1606031265</v>
      </c>
      <c r="AI66" s="8">
        <f>+MINVU_Mes_Corriente!AI66*MINVU_Mes_Constante!$AC$1</f>
        <v>9345491.905381104</v>
      </c>
      <c r="AJ66" s="8">
        <f>+MINVU_Mes_Corriente!AJ66*MINVU_Mes_Constante!$AC$1</f>
        <v>10656490.992391756</v>
      </c>
      <c r="AK66" s="8">
        <f>+MINVU_Mes_Corriente!AK66*MINVU_Mes_Constante!$AC$1</f>
        <v>11355733.83261862</v>
      </c>
      <c r="AL66" s="8">
        <f>+MINVU_Mes_Corriente!AL66*MINVU_Mes_Constante!$AC$1</f>
        <v>11756490.867339881</v>
      </c>
      <c r="AM66" s="8">
        <f>+MINVU_Mes_Corriente!AM66*MINVU_Mes_Constante!$AC$1</f>
        <v>13263096.942869</v>
      </c>
      <c r="AN66" s="8">
        <f>+MINVU_Mes_Corriente!AN66*MINVU_Mes_Constante!$AC$1</f>
        <v>16265540.28081339</v>
      </c>
      <c r="AO66" s="9">
        <f t="shared" si="40"/>
        <v>16265540.28081339</v>
      </c>
      <c r="AP66" s="8">
        <f>+MINVU_Mes_Corriente!AP66*MINVU_Mes_Constante!$AP$1</f>
        <v>0</v>
      </c>
      <c r="AQ66" s="8">
        <f>+MINVU_Mes_Corriente!AQ66*MINVU_Mes_Constante!$AP$1</f>
        <v>1384897.4713918571</v>
      </c>
      <c r="AR66" s="8">
        <f>+MINVU_Mes_Corriente!AR66*MINVU_Mes_Constante!$AP$1</f>
        <v>3278463.57013391</v>
      </c>
      <c r="AS66" s="8">
        <f>+MINVU_Mes_Corriente!AS66*MINVU_Mes_Constante!$AP$1</f>
        <v>4104533.0147436764</v>
      </c>
      <c r="AT66" s="8">
        <f>+MINVU_Mes_Corriente!AT66*MINVU_Mes_Constante!$AP$1</f>
        <v>5001965.0674962802</v>
      </c>
      <c r="AU66" s="8">
        <f>+MINVU_Mes_Corriente!AU66*MINVU_Mes_Constante!$AP$1</f>
        <v>5826580.2737724874</v>
      </c>
      <c r="AV66" s="8">
        <f>+MINVU_Mes_Corriente!AV66*MINVU_Mes_Constante!$AP$1</f>
        <v>6318368.5045313127</v>
      </c>
      <c r="AW66" s="8">
        <f>+MINVU_Mes_Corriente!AW66*MINVU_Mes_Constante!$AP$1</f>
        <v>6448200.6565670222</v>
      </c>
      <c r="AX66" s="8">
        <f>+MINVU_Mes_Corriente!AX66*MINVU_Mes_Constante!$AP$1</f>
        <v>6832880.6871364797</v>
      </c>
      <c r="AY66" s="8">
        <f>+MINVU_Mes_Corriente!AY66*MINVU_Mes_Constante!$AP$1</f>
        <v>9577374.2475314476</v>
      </c>
      <c r="AZ66" s="8">
        <f>+MINVU_Mes_Corriente!AZ66*MINVU_Mes_Constante!$AP$1</f>
        <v>10669088.994724739</v>
      </c>
      <c r="BA66" s="8">
        <f>+MINVU_Mes_Corriente!BA66*MINVU_Mes_Constante!$AP$1</f>
        <v>15900779.382388745</v>
      </c>
      <c r="BB66" s="9">
        <f t="shared" si="41"/>
        <v>15900779.382388745</v>
      </c>
      <c r="BC66" s="8">
        <f>+MINVU_Mes_Corriente!BC66*MINVU_Mes_Constante!$BC$1</f>
        <v>0</v>
      </c>
      <c r="BD66" s="8">
        <f>+MINVU_Mes_Corriente!BD66*MINVU_Mes_Constante!$BC$1</f>
        <v>103709.82830014509</v>
      </c>
      <c r="BE66" s="8">
        <f>+MINVU_Mes_Corriente!BE66*MINVU_Mes_Constante!$BC$1</f>
        <v>4834038.1748648304</v>
      </c>
      <c r="BF66" s="8">
        <f>+MINVU_Mes_Corriente!BF66*MINVU_Mes_Constante!$BC$1</f>
        <v>6135481.3957536612</v>
      </c>
      <c r="BG66" s="8">
        <f>+MINVU_Mes_Corriente!BG66*MINVU_Mes_Constante!$BC$1</f>
        <v>7537672.0480021117</v>
      </c>
      <c r="BH66" s="8">
        <f>+MINVU_Mes_Corriente!BH66*MINVU_Mes_Constante!$BC$1</f>
        <v>8652951.0985098276</v>
      </c>
      <c r="BI66" s="8">
        <f>+MINVU_Mes_Corriente!BI66*MINVU_Mes_Constante!$BC$1</f>
        <v>9874974.4169853646</v>
      </c>
      <c r="BJ66" s="8">
        <f>+MINVU_Mes_Corriente!BJ66*MINVU_Mes_Constante!$BC$1</f>
        <v>11897944.281418966</v>
      </c>
      <c r="BK66" s="8">
        <f>+MINVU_Mes_Corriente!BK66*MINVU_Mes_Constante!$BC$1</f>
        <v>13755803.742054598</v>
      </c>
      <c r="BL66" s="8">
        <f>+MINVU_Mes_Corriente!BL66*MINVU_Mes_Constante!$BC$1</f>
        <v>15195266.419622844</v>
      </c>
      <c r="BM66" s="8">
        <f>+MINVU_Mes_Corriente!BM66*MINVU_Mes_Constante!$BC$1</f>
        <v>17450038.081234343</v>
      </c>
      <c r="BN66" s="8">
        <f>+MINVU_Mes_Corriente!BN66*MINVU_Mes_Constante!$BC$1</f>
        <v>22365805.848344989</v>
      </c>
      <c r="BO66" s="9">
        <f t="shared" si="42"/>
        <v>22365805.848344989</v>
      </c>
      <c r="BP66" s="8">
        <f>+MINVU_Mes_Corriente!BP66*MINVU_Mes_Constante!$BP$1</f>
        <v>0</v>
      </c>
      <c r="BQ66" s="8">
        <f>+MINVU_Mes_Corriente!BQ66*MINVU_Mes_Constante!$BP$1</f>
        <v>1695934.839180538</v>
      </c>
      <c r="BR66" s="8">
        <f>+MINVU_Mes_Corriente!BR66*MINVU_Mes_Constante!$BP$1</f>
        <v>5177635.5434058905</v>
      </c>
      <c r="BS66" s="8">
        <f>+MINVU_Mes_Corriente!BS66*MINVU_Mes_Constante!$BP$1</f>
        <v>7253141.8609475037</v>
      </c>
      <c r="BT66" s="8">
        <f>+MINVU_Mes_Corriente!BT66*MINVU_Mes_Constante!$BP$1</f>
        <v>8724445.9743918069</v>
      </c>
      <c r="BU66" s="8">
        <f>+MINVU_Mes_Corriente!BU66*MINVU_Mes_Constante!$BP$1</f>
        <v>9874640.403841231</v>
      </c>
      <c r="BV66" s="8">
        <f>+MINVU_Mes_Corriente!BV66*MINVU_Mes_Constante!$BP$1</f>
        <v>11243216.334699105</v>
      </c>
      <c r="BW66" s="8">
        <f>+MINVU_Mes_Corriente!BW66*MINVU_Mes_Constante!$BP$1</f>
        <v>12416001.423303459</v>
      </c>
      <c r="BX66" s="8">
        <f>+MINVU_Mes_Corriente!BX66*MINVU_Mes_Constante!$BP$1</f>
        <v>13411579.662483996</v>
      </c>
      <c r="BY66" s="8">
        <f>+MINVU_Mes_Corriente!BY66*MINVU_Mes_Constante!$BP$1</f>
        <v>15237266.697311141</v>
      </c>
      <c r="BZ66" s="8">
        <f>+MINVU_Mes_Corriente!BZ66*MINVU_Mes_Constante!$BP$1</f>
        <v>16449859.638668375</v>
      </c>
      <c r="CA66" s="8">
        <f>+MINVU_Mes_Corriente!CA66*MINVU_Mes_Constante!$BP$1</f>
        <v>21085969.886043537</v>
      </c>
      <c r="CB66" s="9">
        <f t="shared" si="43"/>
        <v>21085969.886043537</v>
      </c>
      <c r="CC66" s="8">
        <f>+MINVU_Mes_Corriente!CC66*MINVU_Mes_Constante!$CC$1</f>
        <v>0</v>
      </c>
      <c r="CD66" s="8">
        <f>+MINVU_Mes_Corriente!CD66*MINVU_Mes_Constante!$CC$1</f>
        <v>0</v>
      </c>
      <c r="CE66" s="8">
        <f>+MINVU_Mes_Corriente!CE66*MINVU_Mes_Constante!$CC$1</f>
        <v>1959046.8787765761</v>
      </c>
      <c r="CF66" s="8">
        <f>+MINVU_Mes_Corriente!CF66*MINVU_Mes_Constante!$CC$1</f>
        <v>2722386.1700857892</v>
      </c>
      <c r="CG66" s="8">
        <f>+MINVU_Mes_Corriente!CG66*MINVU_Mes_Constante!$CC$1</f>
        <v>4821711.8582618432</v>
      </c>
      <c r="CH66" s="8">
        <f>+MINVU_Mes_Corriente!CH66*MINVU_Mes_Constante!$CC$1</f>
        <v>5851791.9903021269</v>
      </c>
      <c r="CI66" s="8">
        <f>+MINVU_Mes_Corriente!CI66*MINVU_Mes_Constante!$CC$1</f>
        <v>6531411.4688549051</v>
      </c>
      <c r="CJ66" s="8">
        <f>+MINVU_Mes_Corriente!CJ66*MINVU_Mes_Constante!$CC$1</f>
        <v>7287243.9746363303</v>
      </c>
      <c r="CK66" s="8">
        <f>+MINVU_Mes_Corriente!CK66*MINVU_Mes_Constante!$CC$1</f>
        <v>7871531.6240208885</v>
      </c>
      <c r="CL66" s="8">
        <f>+MINVU_Mes_Corriente!CL66*MINVU_Mes_Constante!$CC$1</f>
        <v>8927492.9138381202</v>
      </c>
      <c r="CM66" s="8">
        <f>+MINVU_Mes_Corriente!CM66*MINVU_Mes_Constante!$CC$1</f>
        <v>10214580.604252147</v>
      </c>
      <c r="CN66" s="8">
        <f>+MINVU_Mes_Corriente!CN66*MINVU_Mes_Constante!$CC$1</f>
        <v>11427927.643416638</v>
      </c>
      <c r="CO66" s="9">
        <f t="shared" si="44"/>
        <v>11427927.643416638</v>
      </c>
      <c r="CP66" s="8">
        <f>+MINVU_Mes_Corriente!CP66*MINVU_Mes_Constante!$CP$1</f>
        <v>0</v>
      </c>
      <c r="CQ66" s="8">
        <f>+MINVU_Mes_Corriente!CQ66*MINVU_Mes_Constante!$CP$1</f>
        <v>34774.339907192567</v>
      </c>
      <c r="CR66" s="8">
        <f>+MINVU_Mes_Corriente!CR66*MINVU_Mes_Constante!$CP$1</f>
        <v>592915.48747099761</v>
      </c>
      <c r="CS66" s="8">
        <f>+MINVU_Mes_Corriente!CS66*MINVU_Mes_Constante!$CP$1</f>
        <v>3477720.4496519715</v>
      </c>
      <c r="CT66" s="8">
        <f>+MINVU_Mes_Corriente!CT66*MINVU_Mes_Constante!$CP$1</f>
        <v>4254408.2150812056</v>
      </c>
      <c r="CU66" s="8">
        <f>+MINVU_Mes_Corriente!CU66*MINVU_Mes_Constante!$CP$1</f>
        <v>4702243.660788862</v>
      </c>
      <c r="CV66" s="8">
        <f>+MINVU_Mes_Corriente!CV66*MINVU_Mes_Constante!$CP$1</f>
        <v>5433644.296983758</v>
      </c>
      <c r="CW66" s="8">
        <f>+MINVU_Mes_Corriente!CW66*MINVU_Mes_Constante!$CP$1</f>
        <v>9607178.5642691404</v>
      </c>
      <c r="CX66" s="8">
        <f>+MINVU_Mes_Corriente!CX66*MINVU_Mes_Constante!$CP$1</f>
        <v>10692885.804640369</v>
      </c>
      <c r="CY66" s="8">
        <f>+MINVU_Mes_Corriente!CY66*MINVU_Mes_Constante!$CP$1</f>
        <v>11577517.887006959</v>
      </c>
      <c r="CZ66" s="8">
        <f>+MINVU_Mes_Corriente!CZ66*MINVU_Mes_Constante!$CP$1</f>
        <v>12966545.844083523</v>
      </c>
      <c r="DA66" s="8">
        <f>+MINVU_Mes_Corriente!DA66*MINVU_Mes_Constante!$CP$1</f>
        <v>17623174.088631086</v>
      </c>
      <c r="DB66" s="9">
        <f t="shared" si="45"/>
        <v>17623174.088631086</v>
      </c>
      <c r="DC66" s="8">
        <f>+MINVU_Mes_Corriente!DC66*MINVU_Mes_Constante!$DC$1</f>
        <v>0</v>
      </c>
      <c r="DD66" s="8">
        <f>+MINVU_Mes_Corriente!DD66*MINVU_Mes_Constante!$DC$1</f>
        <v>1135221.628021809</v>
      </c>
      <c r="DE66" s="8">
        <f>+MINVU_Mes_Corriente!DE66*MINVU_Mes_Constante!$DC$1</f>
        <v>2808255.1219010404</v>
      </c>
      <c r="DF66" s="8">
        <f>+MINVU_Mes_Corriente!DF66*MINVU_Mes_Constante!$DC$1</f>
        <v>4328947.2887563026</v>
      </c>
      <c r="DG66" s="8">
        <f>+MINVU_Mes_Corriente!DG66*MINVU_Mes_Constante!$DC$1</f>
        <v>6831693.6471556453</v>
      </c>
      <c r="DH66" s="8">
        <f>+MINVU_Mes_Corriente!DH66*MINVU_Mes_Constante!$DC$1</f>
        <v>8582124.0432054363</v>
      </c>
      <c r="DI66" s="8">
        <f>+MINVU_Mes_Corriente!DI66*MINVU_Mes_Constante!$DC$1</f>
        <v>9536832.3258924019</v>
      </c>
      <c r="DJ66" s="8">
        <f>+MINVU_Mes_Corriente!DJ66*MINVU_Mes_Constante!$DC$1</f>
        <v>10417894.355724724</v>
      </c>
      <c r="DK66" s="8">
        <f>+MINVU_Mes_Corriente!DK66*MINVU_Mes_Constante!$DC$1</f>
        <v>15004717.049274772</v>
      </c>
      <c r="DL66" s="8">
        <f>+MINVU_Mes_Corriente!DL66*MINVU_Mes_Constante!$DC$1</f>
        <v>15903736.563110799</v>
      </c>
      <c r="DM66" s="8">
        <f>+MINVU_Mes_Corriente!DM66*MINVU_Mes_Constante!$DC$1</f>
        <v>16670992.18105134</v>
      </c>
      <c r="DN66" s="8">
        <f>+MINVU_Mes_Corriente!DN66*MINVU_Mes_Constante!$DC$1</f>
        <v>19599393.964406963</v>
      </c>
      <c r="DO66" s="9">
        <f t="shared" si="46"/>
        <v>19599393.964406963</v>
      </c>
      <c r="DP66" s="8">
        <f>+MINVU_Mes_Corriente!DP66*MINVU_Mes_Constante!$DP$1</f>
        <v>0</v>
      </c>
      <c r="DQ66" s="8">
        <f>+MINVU_Mes_Corriente!DQ66*MINVU_Mes_Constante!$DP$1</f>
        <v>0</v>
      </c>
      <c r="DR66" s="8">
        <f>+MINVU_Mes_Corriente!DR66*MINVU_Mes_Constante!$DP$1</f>
        <v>2525667.5255344422</v>
      </c>
      <c r="DS66" s="8">
        <f>+MINVU_Mes_Corriente!DS66*MINVU_Mes_Constante!$DP$1</f>
        <v>3191705.8450118769</v>
      </c>
      <c r="DT66" s="8">
        <f>+MINVU_Mes_Corriente!DT66*MINVU_Mes_Constante!$DP$1</f>
        <v>3586746.058788599</v>
      </c>
      <c r="DU66" s="8">
        <f>+MINVU_Mes_Corriente!DU66*MINVU_Mes_Constante!$DP$1</f>
        <v>4066662.8230403806</v>
      </c>
      <c r="DV66" s="8">
        <f>+MINVU_Mes_Corriente!DV66*MINVU_Mes_Constante!$DP$1</f>
        <v>4377492.6003562948</v>
      </c>
      <c r="DW66" s="8">
        <f>+MINVU_Mes_Corriente!DW66*MINVU_Mes_Constante!$DP$1</f>
        <v>4930662.4418052258</v>
      </c>
      <c r="DX66" s="8">
        <f>+MINVU_Mes_Corriente!DX66*MINVU_Mes_Constante!$DP$1</f>
        <v>5319957.4222090263</v>
      </c>
      <c r="DY66" s="8">
        <f>+MINVU_Mes_Corriente!DY66*MINVU_Mes_Constante!$DP$1</f>
        <v>5847157.4679334918</v>
      </c>
      <c r="DZ66" s="8">
        <f>+MINVU_Mes_Corriente!DZ66*MINVU_Mes_Constante!$DP$1</f>
        <v>6704724.1122327801</v>
      </c>
      <c r="EA66" s="8">
        <f>+MINVU_Mes_Corriente!EA66*MINVU_Mes_Constante!$DP$1</f>
        <v>9557268.707244657</v>
      </c>
      <c r="EB66" s="9">
        <f t="shared" si="47"/>
        <v>9557268.707244657</v>
      </c>
      <c r="EC66" s="8">
        <f>+MINVU_Mes_Corriente!EC66*MINVU_Mes_Constante!$EC$1</f>
        <v>0</v>
      </c>
      <c r="ED66" s="8">
        <f>+MINVU_Mes_Corriente!ED66*MINVU_Mes_Constante!$EC$1</f>
        <v>7965.3664078772936</v>
      </c>
      <c r="EE66" s="8">
        <f>+MINVU_Mes_Corriente!EE66*MINVU_Mes_Constante!$EC$1</f>
        <v>3143521.5082370755</v>
      </c>
      <c r="EF66" s="8">
        <f>+MINVU_Mes_Corriente!EF66*MINVU_Mes_Constante!$EC$1</f>
        <v>4372082.0371141816</v>
      </c>
      <c r="EG66" s="8">
        <f>+MINVU_Mes_Corriente!EG66*MINVU_Mes_Constante!$EC$1</f>
        <v>5224996.9206589647</v>
      </c>
      <c r="EH66" s="8">
        <f>+MINVU_Mes_Corriente!EH66*MINVU_Mes_Constante!$EC$1</f>
        <v>6264445.1685286853</v>
      </c>
      <c r="EI66" s="8">
        <f>+MINVU_Mes_Corriente!EI66*MINVU_Mes_Constante!$EC$1</f>
        <v>6882810.0107934084</v>
      </c>
      <c r="EJ66" s="8">
        <f>+MINVU_Mes_Corriente!EJ66*MINVU_Mes_Constante!$EC$1</f>
        <v>7718306.6034841863</v>
      </c>
      <c r="EK66" s="8">
        <f>+MINVU_Mes_Corriente!EK66*MINVU_Mes_Constante!$EC$1</f>
        <v>8586593.6097330023</v>
      </c>
      <c r="EL66" s="8">
        <f>+MINVU_Mes_Corriente!EL66*MINVU_Mes_Constante!$EC$1</f>
        <v>9895920.8850596454</v>
      </c>
      <c r="EM66" s="8">
        <f>+MINVU_Mes_Corriente!EM66*MINVU_Mes_Constante!$EC$1</f>
        <v>11376165.268699106</v>
      </c>
      <c r="EN66" s="8">
        <f>+MINVU_Mes_Corriente!EN66*MINVU_Mes_Constante!$EC$1</f>
        <v>13091686.921227036</v>
      </c>
      <c r="EO66" s="9">
        <f t="shared" si="48"/>
        <v>13091686.921227036</v>
      </c>
      <c r="EP66" s="8">
        <f>+MINVU_Mes_Corriente!EP66*MINVU_Mes_Constante!$EP$1</f>
        <v>0</v>
      </c>
      <c r="EQ66" s="8">
        <f>+MINVU_Mes_Corriente!EQ66*MINVU_Mes_Constante!$EP$1</f>
        <v>0</v>
      </c>
      <c r="ER66" s="8">
        <f>+MINVU_Mes_Corriente!ER66*MINVU_Mes_Constante!$EP$1</f>
        <v>193260</v>
      </c>
      <c r="ES66" s="8">
        <f>+MINVU_Mes_Corriente!ES66*MINVU_Mes_Constante!$EP$1</f>
        <v>3443387</v>
      </c>
      <c r="ET66" s="8">
        <f>+MINVU_Mes_Corriente!ET66*MINVU_Mes_Constante!$EP$1</f>
        <v>4404167</v>
      </c>
      <c r="EU66" s="8">
        <f>+MINVU_Mes_Corriente!EU66*MINVU_Mes_Constante!$EP$1</f>
        <v>4709219</v>
      </c>
      <c r="EV66" s="8">
        <f>+MINVU_Mes_Corriente!EV66*MINVU_Mes_Constante!$EP$1</f>
        <v>5193606</v>
      </c>
      <c r="EW66" s="8">
        <f>+MINVU_Mes_Corriente!EW66*MINVU_Mes_Constante!$EP$1</f>
        <v>5513800</v>
      </c>
      <c r="EX66" s="8">
        <f>+MINVU_Mes_Corriente!EX66*MINVU_Mes_Constante!$EP$1</f>
        <v>6207367</v>
      </c>
      <c r="EY66" s="8">
        <f>+MINVU_Mes_Corriente!EY66*MINVU_Mes_Constante!$EP$1</f>
        <v>6484370</v>
      </c>
      <c r="EZ66" s="8">
        <f>+MINVU_Mes_Corriente!EZ66*MINVU_Mes_Constante!$EP$1</f>
        <v>6871735</v>
      </c>
      <c r="FA66" s="8">
        <f>+MINVU_Mes_Corriente!FA66*MINVU_Mes_Constante!$EP$1</f>
        <v>8624945</v>
      </c>
      <c r="FB66" s="9">
        <f t="shared" si="49"/>
        <v>8624945</v>
      </c>
      <c r="FC66" s="8">
        <f>+MINVU_Mes_Corriente!FC66*MINVU_Mes_Constante!$FC$1</f>
        <v>0</v>
      </c>
      <c r="FD66" s="8">
        <f>+MINVU_Mes_Corriente!FD66*MINVU_Mes_Constante!$FC$1</f>
        <v>0</v>
      </c>
      <c r="FE66" s="8">
        <f>+MINVU_Mes_Corriente!FE66*MINVU_Mes_Constante!$FC$1</f>
        <v>1168665</v>
      </c>
      <c r="FF66" s="8">
        <f>+MINVU_Mes_Corriente!FF66*MINVU_Mes_Constante!$FC$1</f>
        <v>3012381</v>
      </c>
      <c r="FG66" s="8">
        <f>+MINVU_Mes_Corriente!FG66*MINVU_Mes_Constante!$FC$1</f>
        <v>4000734</v>
      </c>
      <c r="FH66" s="8">
        <f>+MINVU_Mes_Corriente!FH66*MINVU_Mes_Constante!$FC$1</f>
        <v>4646571</v>
      </c>
      <c r="FI66" s="8">
        <f>+MINVU_Mes_Corriente!FI66*MINVU_Mes_Constante!$FC$1</f>
        <v>5357802</v>
      </c>
      <c r="FJ66" s="8"/>
      <c r="FK66" s="8"/>
      <c r="FL66" s="8"/>
      <c r="FM66" s="8"/>
      <c r="FN66" s="8"/>
      <c r="FO66" s="9">
        <f t="shared" si="50"/>
        <v>5357802</v>
      </c>
    </row>
    <row r="67" spans="2:171" ht="14.25" customHeight="1" x14ac:dyDescent="0.3">
      <c r="B67" s="7" t="s">
        <v>58</v>
      </c>
      <c r="C67" s="8">
        <f>+MINVU_Mes_Corriente!C67*MINVU_Mes_Constante!$C$1</f>
        <v>0</v>
      </c>
      <c r="D67" s="8">
        <f>+MINVU_Mes_Corriente!D67*MINVU_Mes_Constante!$C$1</f>
        <v>1883044.1678777996</v>
      </c>
      <c r="E67" s="8">
        <f>+MINVU_Mes_Corriente!E67*MINVU_Mes_Constante!$C$1</f>
        <v>5714612.3473231504</v>
      </c>
      <c r="F67" s="8">
        <f>+MINVU_Mes_Corriente!F67*MINVU_Mes_Constante!$C$1</f>
        <v>7754246.8518463606</v>
      </c>
      <c r="G67" s="8">
        <f>+MINVU_Mes_Corriente!G67*MINVU_Mes_Constante!$C$1</f>
        <v>9243933.9552128147</v>
      </c>
      <c r="H67" s="8">
        <f>+MINVU_Mes_Corriente!H67*MINVU_Mes_Constante!$C$1</f>
        <v>10621548.136141185</v>
      </c>
      <c r="I67" s="8">
        <f>+MINVU_Mes_Corriente!I67*MINVU_Mes_Constante!$C$1</f>
        <v>13077927.794156905</v>
      </c>
      <c r="J67" s="8">
        <f>+MINVU_Mes_Corriente!J67*MINVU_Mes_Constante!$C$1</f>
        <v>14196652.649265908</v>
      </c>
      <c r="K67" s="8">
        <f>+MINVU_Mes_Corriente!K67*MINVU_Mes_Constante!$C$1</f>
        <v>16034231.499925852</v>
      </c>
      <c r="L67" s="8">
        <f>+MINVU_Mes_Corriente!L67*MINVU_Mes_Constante!$C$1</f>
        <v>17789723.570220973</v>
      </c>
      <c r="M67" s="8">
        <f>+MINVU_Mes_Corriente!M67*MINVU_Mes_Constante!$C$1</f>
        <v>20059865.402046569</v>
      </c>
      <c r="N67" s="8">
        <f>+MINVU_Mes_Corriente!N67*MINVU_Mes_Constante!$C$1</f>
        <v>28307136.864007123</v>
      </c>
      <c r="O67" s="9">
        <f t="shared" si="38"/>
        <v>28307136.864007123</v>
      </c>
      <c r="P67" s="8">
        <f>+MINVU_Mes_Corriente!P67*MINVU_Mes_Constante!$P$1</f>
        <v>3582.4986503764726</v>
      </c>
      <c r="Q67" s="8">
        <f>+MINVU_Mes_Corriente!Q67*MINVU_Mes_Constante!$P$1</f>
        <v>4211115.4044608595</v>
      </c>
      <c r="R67" s="8">
        <f>+MINVU_Mes_Corriente!R67*MINVU_Mes_Constante!$P$1</f>
        <v>7876561.0058246879</v>
      </c>
      <c r="S67" s="8">
        <f>+MINVU_Mes_Corriente!S67*MINVU_Mes_Constante!$P$1</f>
        <v>10061745.483733481</v>
      </c>
      <c r="T67" s="8">
        <f>+MINVU_Mes_Corriente!T67*MINVU_Mes_Constante!$P$1</f>
        <v>12138646.301179141</v>
      </c>
      <c r="U67" s="8">
        <f>+MINVU_Mes_Corriente!U67*MINVU_Mes_Constante!$P$1</f>
        <v>16597545.504190929</v>
      </c>
      <c r="V67" s="8">
        <f>+MINVU_Mes_Corriente!V67*MINVU_Mes_Constante!$P$1</f>
        <v>18453566.963773258</v>
      </c>
      <c r="W67" s="8">
        <f>+MINVU_Mes_Corriente!W67*MINVU_Mes_Constante!$P$1</f>
        <v>19705122.490978826</v>
      </c>
      <c r="X67" s="8">
        <f>+MINVU_Mes_Corriente!X67*MINVU_Mes_Constante!$P$1</f>
        <v>21621827.566131543</v>
      </c>
      <c r="Y67" s="8">
        <f>+MINVU_Mes_Corriente!Y67*MINVU_Mes_Constante!$P$1</f>
        <v>24586978.500639286</v>
      </c>
      <c r="Z67" s="8">
        <f>+MINVU_Mes_Corriente!Z67*MINVU_Mes_Constante!$P$1</f>
        <v>28571631.251029965</v>
      </c>
      <c r="AA67" s="8">
        <f>+MINVU_Mes_Corriente!AA67*MINVU_Mes_Constante!$P$1</f>
        <v>33242323.179713015</v>
      </c>
      <c r="AB67" s="9">
        <f t="shared" si="39"/>
        <v>33242323.179713015</v>
      </c>
      <c r="AC67" s="8">
        <f>+MINVU_Mes_Corriente!AC67*MINVU_Mes_Constante!$AC$1</f>
        <v>270.5428136671739</v>
      </c>
      <c r="AD67" s="8">
        <f>+MINVU_Mes_Corriente!AD67*MINVU_Mes_Constante!$AC$1</f>
        <v>5264510.7480979385</v>
      </c>
      <c r="AE67" s="8">
        <f>+MINVU_Mes_Corriente!AE67*MINVU_Mes_Constante!$AC$1</f>
        <v>8519313.0975238625</v>
      </c>
      <c r="AF67" s="8">
        <f>+MINVU_Mes_Corriente!AF67*MINVU_Mes_Constante!$AC$1</f>
        <v>10827944.0998755</v>
      </c>
      <c r="AG67" s="8">
        <f>+MINVU_Mes_Corriente!AG67*MINVU_Mes_Constante!$AC$1</f>
        <v>12477664.301009821</v>
      </c>
      <c r="AH67" s="8">
        <f>+MINVU_Mes_Corriente!AH67*MINVU_Mes_Constante!$AC$1</f>
        <v>13670156.567160049</v>
      </c>
      <c r="AI67" s="8">
        <f>+MINVU_Mes_Corriente!AI67*MINVU_Mes_Constante!$AC$1</f>
        <v>15086900.109005395</v>
      </c>
      <c r="AJ67" s="8">
        <f>+MINVU_Mes_Corriente!AJ67*MINVU_Mes_Constante!$AC$1</f>
        <v>16361826.3170563</v>
      </c>
      <c r="AK67" s="8">
        <f>+MINVU_Mes_Corriente!AK67*MINVU_Mes_Constante!$AC$1</f>
        <v>23785614.831650298</v>
      </c>
      <c r="AL67" s="8">
        <f>+MINVU_Mes_Corriente!AL67*MINVU_Mes_Constante!$AC$1</f>
        <v>25980363.934984092</v>
      </c>
      <c r="AM67" s="8">
        <f>+MINVU_Mes_Corriente!AM67*MINVU_Mes_Constante!$AC$1</f>
        <v>27844796.888366301</v>
      </c>
      <c r="AN67" s="8">
        <f>+MINVU_Mes_Corriente!AN67*MINVU_Mes_Constante!$AC$1</f>
        <v>32351589.763176095</v>
      </c>
      <c r="AO67" s="9">
        <f t="shared" si="40"/>
        <v>32351589.763176095</v>
      </c>
      <c r="AP67" s="8">
        <f>+MINVU_Mes_Corriente!AP67*MINVU_Mes_Constante!$AP$1</f>
        <v>0</v>
      </c>
      <c r="AQ67" s="8">
        <f>+MINVU_Mes_Corriente!AQ67*MINVU_Mes_Constante!$AP$1</f>
        <v>1563136.2518598672</v>
      </c>
      <c r="AR67" s="8">
        <f>+MINVU_Mes_Corriente!AR67*MINVU_Mes_Constante!$AP$1</f>
        <v>3621919.4908697414</v>
      </c>
      <c r="AS67" s="8">
        <f>+MINVU_Mes_Corriente!AS67*MINVU_Mes_Constante!$AP$1</f>
        <v>4962824.7747869603</v>
      </c>
      <c r="AT67" s="8">
        <f>+MINVU_Mes_Corriente!AT67*MINVU_Mes_Constante!$AP$1</f>
        <v>6242242.6746922759</v>
      </c>
      <c r="AU67" s="8">
        <f>+MINVU_Mes_Corriente!AU67*MINVU_Mes_Constante!$AP$1</f>
        <v>7886155.6588664949</v>
      </c>
      <c r="AV67" s="8">
        <f>+MINVU_Mes_Corriente!AV67*MINVU_Mes_Constante!$AP$1</f>
        <v>8894239.8788042739</v>
      </c>
      <c r="AW67" s="8">
        <f>+MINVU_Mes_Corriente!AW67*MINVU_Mes_Constante!$AP$1</f>
        <v>13490216.777221695</v>
      </c>
      <c r="AX67" s="8">
        <f>+MINVU_Mes_Corriente!AX67*MINVU_Mes_Constante!$AP$1</f>
        <v>14941132.826457459</v>
      </c>
      <c r="AY67" s="8">
        <f>+MINVU_Mes_Corriente!AY67*MINVU_Mes_Constante!$AP$1</f>
        <v>16499359.546057081</v>
      </c>
      <c r="AZ67" s="8">
        <f>+MINVU_Mes_Corriente!AZ67*MINVU_Mes_Constante!$AP$1</f>
        <v>19702609.1410794</v>
      </c>
      <c r="BA67" s="8">
        <f>+MINVU_Mes_Corriente!BA67*MINVU_Mes_Constante!$AP$1</f>
        <v>26008471.787095901</v>
      </c>
      <c r="BB67" s="9">
        <f t="shared" si="41"/>
        <v>26008471.787095901</v>
      </c>
      <c r="BC67" s="8">
        <f>+MINVU_Mes_Corriente!BC67*MINVU_Mes_Constante!$BC$1</f>
        <v>0</v>
      </c>
      <c r="BD67" s="8">
        <f>+MINVU_Mes_Corriente!BD67*MINVU_Mes_Constante!$BC$1</f>
        <v>2909212.1176315448</v>
      </c>
      <c r="BE67" s="8">
        <f>+MINVU_Mes_Corriente!BE67*MINVU_Mes_Constante!$BC$1</f>
        <v>6086748.8133983929</v>
      </c>
      <c r="BF67" s="8">
        <f>+MINVU_Mes_Corriente!BF67*MINVU_Mes_Constante!$BC$1</f>
        <v>7015195.1370170135</v>
      </c>
      <c r="BG67" s="8">
        <f>+MINVU_Mes_Corriente!BG67*MINVU_Mes_Constante!$BC$1</f>
        <v>7952512.8020572355</v>
      </c>
      <c r="BH67" s="8">
        <f>+MINVU_Mes_Corriente!BH67*MINVU_Mes_Constante!$BC$1</f>
        <v>12890448.116312807</v>
      </c>
      <c r="BI67" s="8">
        <f>+MINVU_Mes_Corriente!BI67*MINVU_Mes_Constante!$BC$1</f>
        <v>15154099.764473168</v>
      </c>
      <c r="BJ67" s="8">
        <f>+MINVU_Mes_Corriente!BJ67*MINVU_Mes_Constante!$BC$1</f>
        <v>15916202.312804962</v>
      </c>
      <c r="BK67" s="8">
        <f>+MINVU_Mes_Corriente!BK67*MINVU_Mes_Constante!$BC$1</f>
        <v>16609296.573651593</v>
      </c>
      <c r="BL67" s="8">
        <f>+MINVU_Mes_Corriente!BL67*MINVU_Mes_Constante!$BC$1</f>
        <v>17392503.318475541</v>
      </c>
      <c r="BM67" s="8">
        <f>+MINVU_Mes_Corriente!BM67*MINVU_Mes_Constante!$BC$1</f>
        <v>19242484.186469741</v>
      </c>
      <c r="BN67" s="8">
        <f>+MINVU_Mes_Corriente!BN67*MINVU_Mes_Constante!$BC$1</f>
        <v>23934229.33008045</v>
      </c>
      <c r="BO67" s="9">
        <f t="shared" si="42"/>
        <v>23934229.33008045</v>
      </c>
      <c r="BP67" s="8">
        <f>+MINVU_Mes_Corriente!BP67*MINVU_Mes_Constante!$BP$1</f>
        <v>0</v>
      </c>
      <c r="BQ67" s="8">
        <f>+MINVU_Mes_Corriente!BQ67*MINVU_Mes_Constante!$BP$1</f>
        <v>3274270.3843790018</v>
      </c>
      <c r="BR67" s="8">
        <f>+MINVU_Mes_Corriente!BR67*MINVU_Mes_Constante!$BP$1</f>
        <v>5284409.5636363644</v>
      </c>
      <c r="BS67" s="8">
        <f>+MINVU_Mes_Corriente!BS67*MINVU_Mes_Constante!$BP$1</f>
        <v>8453600.087323945</v>
      </c>
      <c r="BT67" s="8">
        <f>+MINVU_Mes_Corriente!BT67*MINVU_Mes_Constante!$BP$1</f>
        <v>9562225.3536491692</v>
      </c>
      <c r="BU67" s="8">
        <f>+MINVU_Mes_Corriente!BU67*MINVU_Mes_Constante!$BP$1</f>
        <v>12669999.446350833</v>
      </c>
      <c r="BV67" s="8">
        <f>+MINVU_Mes_Corriente!BV67*MINVU_Mes_Constante!$BP$1</f>
        <v>13204048.616389247</v>
      </c>
      <c r="BW67" s="8">
        <f>+MINVU_Mes_Corriente!BW67*MINVU_Mes_Constante!$BP$1</f>
        <v>14057927.40768246</v>
      </c>
      <c r="BX67" s="8">
        <f>+MINVU_Mes_Corriente!BX67*MINVU_Mes_Constante!$BP$1</f>
        <v>14793500.422279131</v>
      </c>
      <c r="BY67" s="8">
        <f>+MINVU_Mes_Corriente!BY67*MINVU_Mes_Constante!$BP$1</f>
        <v>20815189.750832267</v>
      </c>
      <c r="BZ67" s="8">
        <f>+MINVU_Mes_Corriente!BZ67*MINVU_Mes_Constante!$BP$1</f>
        <v>23222617.036363639</v>
      </c>
      <c r="CA67" s="8">
        <f>+MINVU_Mes_Corriente!CA67*MINVU_Mes_Constante!$BP$1</f>
        <v>25768741.567989759</v>
      </c>
      <c r="CB67" s="9">
        <f t="shared" si="43"/>
        <v>25768741.567989759</v>
      </c>
      <c r="CC67" s="8">
        <f>+MINVU_Mes_Corriente!CC67*MINVU_Mes_Constante!$CC$1</f>
        <v>0</v>
      </c>
      <c r="CD67" s="8">
        <f>+MINVU_Mes_Corriente!CD67*MINVU_Mes_Constante!$CC$1</f>
        <v>1976308.6818351364</v>
      </c>
      <c r="CE67" s="8">
        <f>+MINVU_Mes_Corriente!CE67*MINVU_Mes_Constante!$CC$1</f>
        <v>3579265.4972025366</v>
      </c>
      <c r="CF67" s="8">
        <f>+MINVU_Mes_Corriente!CF67*MINVU_Mes_Constante!$CC$1</f>
        <v>6144322.972771355</v>
      </c>
      <c r="CG67" s="8">
        <f>+MINVU_Mes_Corriente!CG67*MINVU_Mes_Constante!$CC$1</f>
        <v>8446409.3017530777</v>
      </c>
      <c r="CH67" s="8">
        <f>+MINVU_Mes_Corriente!CH67*MINVU_Mes_Constante!$CC$1</f>
        <v>10760553.218202164</v>
      </c>
      <c r="CI67" s="8">
        <f>+MINVU_Mes_Corriente!CI67*MINVU_Mes_Constante!$CC$1</f>
        <v>11416530.261842597</v>
      </c>
      <c r="CJ67" s="8">
        <f>+MINVU_Mes_Corriente!CJ67*MINVU_Mes_Constante!$CC$1</f>
        <v>12579667.691906007</v>
      </c>
      <c r="CK67" s="8">
        <f>+MINVU_Mes_Corriente!CK67*MINVU_Mes_Constante!$CC$1</f>
        <v>14292916.928011937</v>
      </c>
      <c r="CL67" s="8">
        <f>+MINVU_Mes_Corriente!CL67*MINVU_Mes_Constante!$CC$1</f>
        <v>15897781.004848938</v>
      </c>
      <c r="CM67" s="8">
        <f>+MINVU_Mes_Corriente!CM67*MINVU_Mes_Constante!$CC$1</f>
        <v>22483621.4233495</v>
      </c>
      <c r="CN67" s="8">
        <f>+MINVU_Mes_Corriente!CN67*MINVU_Mes_Constante!$CC$1</f>
        <v>24571515.768743008</v>
      </c>
      <c r="CO67" s="9">
        <f t="shared" si="44"/>
        <v>24571515.768743008</v>
      </c>
      <c r="CP67" s="8">
        <f>+MINVU_Mes_Corriente!CP67*MINVU_Mes_Constante!$CP$1</f>
        <v>1263064.6127610207</v>
      </c>
      <c r="CQ67" s="8">
        <f>+MINVU_Mes_Corriente!CQ67*MINVU_Mes_Constante!$CP$1</f>
        <v>2589875.2106728535</v>
      </c>
      <c r="CR67" s="8">
        <f>+MINVU_Mes_Corriente!CR67*MINVU_Mes_Constante!$CP$1</f>
        <v>5096099.3429234326</v>
      </c>
      <c r="CS67" s="8">
        <f>+MINVU_Mes_Corriente!CS67*MINVU_Mes_Constante!$CP$1</f>
        <v>7954490.5099767968</v>
      </c>
      <c r="CT67" s="8">
        <f>+MINVU_Mes_Corriente!CT67*MINVU_Mes_Constante!$CP$1</f>
        <v>9289507.0155452415</v>
      </c>
      <c r="CU67" s="8">
        <f>+MINVU_Mes_Corriente!CU67*MINVU_Mes_Constante!$CP$1</f>
        <v>10386273.345243618</v>
      </c>
      <c r="CV67" s="8">
        <f>+MINVU_Mes_Corriente!CV67*MINVU_Mes_Constante!$CP$1</f>
        <v>12002099.458468676</v>
      </c>
      <c r="CW67" s="8">
        <f>+MINVU_Mes_Corriente!CW67*MINVU_Mes_Constante!$CP$1</f>
        <v>13832899.058004638</v>
      </c>
      <c r="CX67" s="8">
        <f>+MINVU_Mes_Corriente!CX67*MINVU_Mes_Constante!$CP$1</f>
        <v>15739033.55429234</v>
      </c>
      <c r="CY67" s="8">
        <f>+MINVU_Mes_Corriente!CY67*MINVU_Mes_Constante!$CP$1</f>
        <v>19501395.316705331</v>
      </c>
      <c r="CZ67" s="8">
        <f>+MINVU_Mes_Corriente!CZ67*MINVU_Mes_Constante!$CP$1</f>
        <v>22227067.271693733</v>
      </c>
      <c r="DA67" s="8">
        <f>+MINVU_Mes_Corriente!DA67*MINVU_Mes_Constante!$CP$1</f>
        <v>27678316.117865425</v>
      </c>
      <c r="DB67" s="9">
        <f t="shared" si="45"/>
        <v>27678316.117865425</v>
      </c>
      <c r="DC67" s="8">
        <f>+MINVU_Mes_Corriente!DC67*MINVU_Mes_Constante!$DC$1</f>
        <v>0</v>
      </c>
      <c r="DD67" s="8">
        <f>+MINVU_Mes_Corriente!DD67*MINVU_Mes_Constante!$DC$1</f>
        <v>2133322.5742207603</v>
      </c>
      <c r="DE67" s="8">
        <f>+MINVU_Mes_Corriente!DE67*MINVU_Mes_Constante!$DC$1</f>
        <v>4213557.2194218719</v>
      </c>
      <c r="DF67" s="8">
        <f>+MINVU_Mes_Corriente!DF67*MINVU_Mes_Constante!$DC$1</f>
        <v>6722478.6054932652</v>
      </c>
      <c r="DG67" s="8">
        <f>+MINVU_Mes_Corriente!DG67*MINVU_Mes_Constante!$DC$1</f>
        <v>8826201.7341837306</v>
      </c>
      <c r="DH67" s="8">
        <f>+MINVU_Mes_Corriente!DH67*MINVU_Mes_Constante!$DC$1</f>
        <v>11444609.035901662</v>
      </c>
      <c r="DI67" s="8">
        <f>+MINVU_Mes_Corriente!DI67*MINVU_Mes_Constante!$DC$1</f>
        <v>13956619.05976752</v>
      </c>
      <c r="DJ67" s="8">
        <f>+MINVU_Mes_Corriente!DJ67*MINVU_Mes_Constante!$DC$1</f>
        <v>16780475.848780997</v>
      </c>
      <c r="DK67" s="8">
        <f>+MINVU_Mes_Corriente!DK67*MINVU_Mes_Constante!$DC$1</f>
        <v>18923597.092685945</v>
      </c>
      <c r="DL67" s="8">
        <f>+MINVU_Mes_Corriente!DL67*MINVU_Mes_Constante!$DC$1</f>
        <v>21021879.138566002</v>
      </c>
      <c r="DM67" s="8">
        <f>+MINVU_Mes_Corriente!DM67*MINVU_Mes_Constante!$DC$1</f>
        <v>23543150.579981495</v>
      </c>
      <c r="DN67" s="8">
        <f>+MINVU_Mes_Corriente!DN67*MINVU_Mes_Constante!$DC$1</f>
        <v>27172540.51558483</v>
      </c>
      <c r="DO67" s="9">
        <f t="shared" si="46"/>
        <v>27172540.51558483</v>
      </c>
      <c r="DP67" s="8">
        <f>+MINVU_Mes_Corriente!DP67*MINVU_Mes_Constante!$DP$1</f>
        <v>0</v>
      </c>
      <c r="DQ67" s="8">
        <f>+MINVU_Mes_Corriente!DQ67*MINVU_Mes_Constante!$DP$1</f>
        <v>475178.27137767227</v>
      </c>
      <c r="DR67" s="8">
        <f>+MINVU_Mes_Corriente!DR67*MINVU_Mes_Constante!$DP$1</f>
        <v>3951191.5261282665</v>
      </c>
      <c r="DS67" s="8">
        <f>+MINVU_Mes_Corriente!DS67*MINVU_Mes_Constante!$DP$1</f>
        <v>5866688.882422803</v>
      </c>
      <c r="DT67" s="8">
        <f>+MINVU_Mes_Corriente!DT67*MINVU_Mes_Constante!$DP$1</f>
        <v>7381965.2583135404</v>
      </c>
      <c r="DU67" s="8">
        <f>+MINVU_Mes_Corriente!DU67*MINVU_Mes_Constante!$DP$1</f>
        <v>8579956.1739904992</v>
      </c>
      <c r="DV67" s="8">
        <f>+MINVU_Mes_Corriente!DV67*MINVU_Mes_Constante!$DP$1</f>
        <v>9777704.8663895503</v>
      </c>
      <c r="DW67" s="8">
        <f>+MINVU_Mes_Corriente!DW67*MINVU_Mes_Constante!$DP$1</f>
        <v>11103520.46615202</v>
      </c>
      <c r="DX67" s="8">
        <f>+MINVU_Mes_Corriente!DX67*MINVU_Mes_Constante!$DP$1</f>
        <v>12674640.121140143</v>
      </c>
      <c r="DY67" s="8">
        <f>+MINVU_Mes_Corriente!DY67*MINVU_Mes_Constante!$DP$1</f>
        <v>13477741.131235156</v>
      </c>
      <c r="DZ67" s="8">
        <f>+MINVU_Mes_Corriente!DZ67*MINVU_Mes_Constante!$DP$1</f>
        <v>16316522.253562948</v>
      </c>
      <c r="EA67" s="8">
        <f>+MINVU_Mes_Corriente!EA67*MINVU_Mes_Constante!$DP$1</f>
        <v>19506171.363420431</v>
      </c>
      <c r="EB67" s="9">
        <f t="shared" si="47"/>
        <v>19506171.363420431</v>
      </c>
      <c r="EC67" s="8">
        <f>+MINVU_Mes_Corriente!EC67*MINVU_Mes_Constante!$EC$1</f>
        <v>0</v>
      </c>
      <c r="ED67" s="8">
        <f>+MINVU_Mes_Corriente!ED67*MINVU_Mes_Constante!$EC$1</f>
        <v>88472.462601779931</v>
      </c>
      <c r="EE67" s="8">
        <f>+MINVU_Mes_Corriente!EE67*MINVU_Mes_Constante!$EC$1</f>
        <v>3939458.160386289</v>
      </c>
      <c r="EF67" s="8">
        <f>+MINVU_Mes_Corriente!EF67*MINVU_Mes_Constante!$EC$1</f>
        <v>6260716.9632645315</v>
      </c>
      <c r="EG67" s="8">
        <f>+MINVU_Mes_Corriente!EG67*MINVU_Mes_Constante!$EC$1</f>
        <v>7333326.9969702689</v>
      </c>
      <c r="EH67" s="8">
        <f>+MINVU_Mes_Corriente!EH67*MINVU_Mes_Constante!$EC$1</f>
        <v>8073569.1865177024</v>
      </c>
      <c r="EI67" s="8">
        <f>+MINVU_Mes_Corriente!EI67*MINVU_Mes_Constante!$EC$1</f>
        <v>8751498.4181026295</v>
      </c>
      <c r="EJ67" s="8">
        <f>+MINVU_Mes_Corriente!EJ67*MINVU_Mes_Constante!$EC$1</f>
        <v>9735506.6813103557</v>
      </c>
      <c r="EK67" s="8">
        <f>+MINVU_Mes_Corriente!EK67*MINVU_Mes_Constante!$EC$1</f>
        <v>10676116.111153187</v>
      </c>
      <c r="EL67" s="8">
        <f>+MINVU_Mes_Corriente!EL67*MINVU_Mes_Constante!$EC$1</f>
        <v>11683715.306949439</v>
      </c>
      <c r="EM67" s="8">
        <f>+MINVU_Mes_Corriente!EM67*MINVU_Mes_Constante!$EC$1</f>
        <v>13002111.720886191</v>
      </c>
      <c r="EN67" s="8">
        <f>+MINVU_Mes_Corriente!EN67*MINVU_Mes_Constante!$EC$1</f>
        <v>17150201.447831843</v>
      </c>
      <c r="EO67" s="9">
        <f t="shared" si="48"/>
        <v>17150201.447831843</v>
      </c>
      <c r="EP67" s="8">
        <f>+MINVU_Mes_Corriente!EP67*MINVU_Mes_Constante!$EP$1</f>
        <v>0</v>
      </c>
      <c r="EQ67" s="8">
        <f>+MINVU_Mes_Corriente!EQ67*MINVU_Mes_Constante!$EP$1</f>
        <v>0</v>
      </c>
      <c r="ER67" s="8">
        <f>+MINVU_Mes_Corriente!ER67*MINVU_Mes_Constante!$EP$1</f>
        <v>2933902</v>
      </c>
      <c r="ES67" s="8">
        <f>+MINVU_Mes_Corriente!ES67*MINVU_Mes_Constante!$EP$1</f>
        <v>3530295</v>
      </c>
      <c r="ET67" s="8">
        <f>+MINVU_Mes_Corriente!ET67*MINVU_Mes_Constante!$EP$1</f>
        <v>4379069</v>
      </c>
      <c r="EU67" s="8">
        <f>+MINVU_Mes_Corriente!EU67*MINVU_Mes_Constante!$EP$1</f>
        <v>5099188</v>
      </c>
      <c r="EV67" s="8">
        <f>+MINVU_Mes_Corriente!EV67*MINVU_Mes_Constante!$EP$1</f>
        <v>5972178</v>
      </c>
      <c r="EW67" s="8">
        <f>+MINVU_Mes_Corriente!EW67*MINVU_Mes_Constante!$EP$1</f>
        <v>7046961</v>
      </c>
      <c r="EX67" s="8">
        <f>+MINVU_Mes_Corriente!EX67*MINVU_Mes_Constante!$EP$1</f>
        <v>8090235</v>
      </c>
      <c r="EY67" s="8">
        <f>+MINVU_Mes_Corriente!EY67*MINVU_Mes_Constante!$EP$1</f>
        <v>9289014</v>
      </c>
      <c r="EZ67" s="8">
        <f>+MINVU_Mes_Corriente!EZ67*MINVU_Mes_Constante!$EP$1</f>
        <v>10551843</v>
      </c>
      <c r="FA67" s="8">
        <f>+MINVU_Mes_Corriente!FA67*MINVU_Mes_Constante!$EP$1</f>
        <v>13871396</v>
      </c>
      <c r="FB67" s="9">
        <f t="shared" si="49"/>
        <v>13871396</v>
      </c>
      <c r="FC67" s="8">
        <f>+MINVU_Mes_Corriente!FC67*MINVU_Mes_Constante!$FC$1</f>
        <v>0</v>
      </c>
      <c r="FD67" s="8">
        <f>+MINVU_Mes_Corriente!FD67*MINVU_Mes_Constante!$FC$1</f>
        <v>96726</v>
      </c>
      <c r="FE67" s="8">
        <f>+MINVU_Mes_Corriente!FE67*MINVU_Mes_Constante!$FC$1</f>
        <v>1392605</v>
      </c>
      <c r="FF67" s="8">
        <f>+MINVU_Mes_Corriente!FF67*MINVU_Mes_Constante!$FC$1</f>
        <v>2906542</v>
      </c>
      <c r="FG67" s="8">
        <f>+MINVU_Mes_Corriente!FG67*MINVU_Mes_Constante!$FC$1</f>
        <v>3332831</v>
      </c>
      <c r="FH67" s="8">
        <f>+MINVU_Mes_Corriente!FH67*MINVU_Mes_Constante!$FC$1</f>
        <v>3844505</v>
      </c>
      <c r="FI67" s="8">
        <f>+MINVU_Mes_Corriente!FI67*MINVU_Mes_Constante!$FC$1</f>
        <v>4487280</v>
      </c>
      <c r="FJ67" s="8"/>
      <c r="FK67" s="8"/>
      <c r="FL67" s="8"/>
      <c r="FM67" s="8"/>
      <c r="FN67" s="8"/>
      <c r="FO67" s="9">
        <f t="shared" si="50"/>
        <v>4487280</v>
      </c>
    </row>
    <row r="68" spans="2:171" ht="14.25" customHeight="1" x14ac:dyDescent="0.3">
      <c r="B68" s="7" t="s">
        <v>59</v>
      </c>
      <c r="C68" s="8">
        <f>+MINVU_Mes_Corriente!C68*MINVU_Mes_Constante!$C$1</f>
        <v>0</v>
      </c>
      <c r="D68" s="8">
        <f>+MINVU_Mes_Corriente!D68*MINVU_Mes_Constante!$C$1</f>
        <v>564953.43496959819</v>
      </c>
      <c r="E68" s="8">
        <f>+MINVU_Mes_Corriente!E68*MINVU_Mes_Constante!$C$1</f>
        <v>1196982.7554500967</v>
      </c>
      <c r="F68" s="8">
        <f>+MINVU_Mes_Corriente!F68*MINVU_Mes_Constante!$C$1</f>
        <v>1953508.1990212074</v>
      </c>
      <c r="G68" s="8">
        <f>+MINVU_Mes_Corriente!G68*MINVU_Mes_Constante!$C$1</f>
        <v>2561397.5895002228</v>
      </c>
      <c r="H68" s="8">
        <f>+MINVU_Mes_Corriente!H68*MINVU_Mes_Constante!$C$1</f>
        <v>2777461.143407979</v>
      </c>
      <c r="I68" s="8">
        <f>+MINVU_Mes_Corriente!I68*MINVU_Mes_Constante!$C$1</f>
        <v>3099087.0654011574</v>
      </c>
      <c r="J68" s="8">
        <f>+MINVU_Mes_Corriente!J68*MINVU_Mes_Constante!$C$1</f>
        <v>3461832.5338869942</v>
      </c>
      <c r="K68" s="8">
        <f>+MINVU_Mes_Corriente!K68*MINVU_Mes_Constante!$C$1</f>
        <v>3608994.0711849332</v>
      </c>
      <c r="L68" s="8">
        <f>+MINVU_Mes_Corriente!L68*MINVU_Mes_Constante!$C$1</f>
        <v>3968322.2277917848</v>
      </c>
      <c r="M68" s="8">
        <f>+MINVU_Mes_Corriente!M68*MINVU_Mes_Constante!$C$1</f>
        <v>4577230.8165504979</v>
      </c>
      <c r="N68" s="8">
        <f>+MINVU_Mes_Corriente!N68*MINVU_Mes_Constante!$C$1</f>
        <v>5669689.8463591877</v>
      </c>
      <c r="O68" s="9">
        <f t="shared" si="38"/>
        <v>5669689.8463591877</v>
      </c>
      <c r="P68" s="8">
        <f>+MINVU_Mes_Corriente!P68*MINVU_Mes_Constante!$P$1</f>
        <v>77787.407870436116</v>
      </c>
      <c r="Q68" s="8">
        <f>+MINVU_Mes_Corriente!Q68*MINVU_Mes_Constante!$P$1</f>
        <v>686397.73859923263</v>
      </c>
      <c r="R68" s="8">
        <f>+MINVU_Mes_Corriente!R68*MINVU_Mes_Constante!$P$1</f>
        <v>905453.25074584421</v>
      </c>
      <c r="S68" s="8">
        <f>+MINVU_Mes_Corriente!S68*MINVU_Mes_Constante!$P$1</f>
        <v>1167964.4094331576</v>
      </c>
      <c r="T68" s="8">
        <f>+MINVU_Mes_Corriente!T68*MINVU_Mes_Constante!$P$1</f>
        <v>1310888.720841028</v>
      </c>
      <c r="U68" s="8">
        <f>+MINVU_Mes_Corriente!U68*MINVU_Mes_Constante!$P$1</f>
        <v>1423287.2876829091</v>
      </c>
      <c r="V68" s="8">
        <f>+MINVU_Mes_Corriente!V68*MINVU_Mes_Constante!$P$1</f>
        <v>1504219.4712317085</v>
      </c>
      <c r="W68" s="8">
        <f>+MINVU_Mes_Corriente!W68*MINVU_Mes_Constante!$P$1</f>
        <v>1681796.8512572802</v>
      </c>
      <c r="X68" s="8">
        <f>+MINVU_Mes_Corriente!X68*MINVU_Mes_Constante!$P$1</f>
        <v>1992220.0488705775</v>
      </c>
      <c r="Y68" s="8">
        <f>+MINVU_Mes_Corriente!Y68*MINVU_Mes_Constante!$P$1</f>
        <v>2591459.6931382287</v>
      </c>
      <c r="Z68" s="8">
        <f>+MINVU_Mes_Corriente!Z68*MINVU_Mes_Constante!$P$1</f>
        <v>3040971.6934223599</v>
      </c>
      <c r="AA68" s="8">
        <f>+MINVU_Mes_Corriente!AA68*MINVU_Mes_Constante!$P$1</f>
        <v>3886438.2704929663</v>
      </c>
      <c r="AB68" s="9">
        <f t="shared" si="39"/>
        <v>3886438.2704929663</v>
      </c>
      <c r="AC68" s="8">
        <f>+MINVU_Mes_Corriente!AC68*MINVU_Mes_Constante!$AC$1</f>
        <v>14804.284133351777</v>
      </c>
      <c r="AD68" s="8">
        <f>+MINVU_Mes_Corriente!AD68*MINVU_Mes_Constante!$AC$1</f>
        <v>600784.90441278182</v>
      </c>
      <c r="AE68" s="8">
        <f>+MINVU_Mes_Corriente!AE68*MINVU_Mes_Constante!$AC$1</f>
        <v>2204286.115368654</v>
      </c>
      <c r="AF68" s="8">
        <f>+MINVU_Mes_Corriente!AF68*MINVU_Mes_Constante!$AC$1</f>
        <v>2601615.266841887</v>
      </c>
      <c r="AG68" s="8">
        <f>+MINVU_Mes_Corriente!AG68*MINVU_Mes_Constante!$AC$1</f>
        <v>3816801.3896804536</v>
      </c>
      <c r="AH68" s="8">
        <f>+MINVU_Mes_Corriente!AH68*MINVU_Mes_Constante!$AC$1</f>
        <v>4739252.6310693044</v>
      </c>
      <c r="AI68" s="8">
        <f>+MINVU_Mes_Corriente!AI68*MINVU_Mes_Constante!$AC$1</f>
        <v>5284399.4234333932</v>
      </c>
      <c r="AJ68" s="8">
        <f>+MINVU_Mes_Corriente!AJ68*MINVU_Mes_Constante!$AC$1</f>
        <v>5734442.1040254533</v>
      </c>
      <c r="AK68" s="8">
        <f>+MINVU_Mes_Corriente!AK68*MINVU_Mes_Constante!$AC$1</f>
        <v>5924065.4109835383</v>
      </c>
      <c r="AL68" s="8">
        <f>+MINVU_Mes_Corriente!AL68*MINVU_Mes_Constante!$AC$1</f>
        <v>6282460.5798865678</v>
      </c>
      <c r="AM68" s="8">
        <f>+MINVU_Mes_Corriente!AM68*MINVU_Mes_Constante!$AC$1</f>
        <v>7101339.2660118965</v>
      </c>
      <c r="AN68" s="8">
        <f>+MINVU_Mes_Corriente!AN68*MINVU_Mes_Constante!$AC$1</f>
        <v>7991612.5381103884</v>
      </c>
      <c r="AO68" s="9">
        <f t="shared" si="40"/>
        <v>7991612.5381103884</v>
      </c>
      <c r="AP68" s="8">
        <f>+MINVU_Mes_Corriente!AP68*MINVU_Mes_Constante!$AP$1</f>
        <v>1445.3710266468279</v>
      </c>
      <c r="AQ68" s="8">
        <f>+MINVU_Mes_Corriente!AQ68*MINVU_Mes_Constante!$AP$1</f>
        <v>310763.63803597994</v>
      </c>
      <c r="AR68" s="8">
        <f>+MINVU_Mes_Corriente!AR68*MINVU_Mes_Constante!$AP$1</f>
        <v>1735410.2905451101</v>
      </c>
      <c r="AS68" s="8">
        <f>+MINVU_Mes_Corriente!AS68*MINVU_Mes_Constante!$AP$1</f>
        <v>2327084.3000135263</v>
      </c>
      <c r="AT68" s="8">
        <f>+MINVU_Mes_Corriente!AT68*MINVU_Mes_Constante!$AP$1</f>
        <v>3503929.6272149328</v>
      </c>
      <c r="AU68" s="8">
        <f>+MINVU_Mes_Corriente!AU68*MINVU_Mes_Constante!$AP$1</f>
        <v>4132292.1190315159</v>
      </c>
      <c r="AV68" s="8">
        <f>+MINVU_Mes_Corriente!AV68*MINVU_Mes_Constante!$AP$1</f>
        <v>4416365.1632625451</v>
      </c>
      <c r="AW68" s="8">
        <f>+MINVU_Mes_Corriente!AW68*MINVU_Mes_Constante!$AP$1</f>
        <v>4971216.2028946299</v>
      </c>
      <c r="AX68" s="8">
        <f>+MINVU_Mes_Corriente!AX68*MINVU_Mes_Constante!$AP$1</f>
        <v>5557747.1743541183</v>
      </c>
      <c r="AY68" s="8">
        <f>+MINVU_Mes_Corriente!AY68*MINVU_Mes_Constante!$AP$1</f>
        <v>5975218.5058839442</v>
      </c>
      <c r="AZ68" s="8">
        <f>+MINVU_Mes_Corriente!AZ68*MINVU_Mes_Constante!$AP$1</f>
        <v>6388575.4070066279</v>
      </c>
      <c r="BA68" s="8">
        <f>+MINVU_Mes_Corriente!BA68*MINVU_Mes_Constante!$AP$1</f>
        <v>7302958.7948058974</v>
      </c>
      <c r="BB68" s="9">
        <f t="shared" si="41"/>
        <v>7302958.7948058974</v>
      </c>
      <c r="BC68" s="8">
        <f>+MINVU_Mes_Corriente!BC68*MINVU_Mes_Constante!$BC$1</f>
        <v>0</v>
      </c>
      <c r="BD68" s="8">
        <f>+MINVU_Mes_Corriente!BD68*MINVU_Mes_Constante!$BC$1</f>
        <v>0</v>
      </c>
      <c r="BE68" s="8">
        <f>+MINVU_Mes_Corriente!BE68*MINVU_Mes_Constante!$BC$1</f>
        <v>1264544.376895688</v>
      </c>
      <c r="BF68" s="8">
        <f>+MINVU_Mes_Corriente!BF68*MINVU_Mes_Constante!$BC$1</f>
        <v>1913789.1114334702</v>
      </c>
      <c r="BG68" s="8">
        <f>+MINVU_Mes_Corriente!BG68*MINVU_Mes_Constante!$BC$1</f>
        <v>2788112.6158512468</v>
      </c>
      <c r="BH68" s="8">
        <f>+MINVU_Mes_Corriente!BH68*MINVU_Mes_Constante!$BC$1</f>
        <v>3206918.6016088626</v>
      </c>
      <c r="BI68" s="8">
        <f>+MINVU_Mes_Corriente!BI68*MINVU_Mes_Constante!$BC$1</f>
        <v>3695626.2046683379</v>
      </c>
      <c r="BJ68" s="8">
        <f>+MINVU_Mes_Corriente!BJ68*MINVU_Mes_Constante!$BC$1</f>
        <v>4454642.4425689057</v>
      </c>
      <c r="BK68" s="8">
        <f>+MINVU_Mes_Corriente!BK68*MINVU_Mes_Constante!$BC$1</f>
        <v>5768697.4632731127</v>
      </c>
      <c r="BL68" s="8">
        <f>+MINVU_Mes_Corriente!BL68*MINVU_Mes_Constante!$BC$1</f>
        <v>6557901.0447052633</v>
      </c>
      <c r="BM68" s="8">
        <f>+MINVU_Mes_Corriente!BM68*MINVU_Mes_Constante!$BC$1</f>
        <v>7031478.2342080986</v>
      </c>
      <c r="BN68" s="8">
        <f>+MINVU_Mes_Corriente!BN68*MINVU_Mes_Constante!$BC$1</f>
        <v>8569633.6845575646</v>
      </c>
      <c r="BO68" s="9">
        <f t="shared" si="42"/>
        <v>8569633.6845575646</v>
      </c>
      <c r="BP68" s="8">
        <f>+MINVU_Mes_Corriente!BP68*MINVU_Mes_Constante!$BP$1</f>
        <v>0</v>
      </c>
      <c r="BQ68" s="8">
        <f>+MINVU_Mes_Corriente!BQ68*MINVU_Mes_Constante!$BP$1</f>
        <v>296101.59487836109</v>
      </c>
      <c r="BR68" s="8">
        <f>+MINVU_Mes_Corriente!BR68*MINVU_Mes_Constante!$BP$1</f>
        <v>1028401.0064020487</v>
      </c>
      <c r="BS68" s="8">
        <f>+MINVU_Mes_Corriente!BS68*MINVU_Mes_Constante!$BP$1</f>
        <v>1281063.0076824585</v>
      </c>
      <c r="BT68" s="8">
        <f>+MINVU_Mes_Corriente!BT68*MINVU_Mes_Constante!$BP$1</f>
        <v>2084862.6668373882</v>
      </c>
      <c r="BU68" s="8">
        <f>+MINVU_Mes_Corriente!BU68*MINVU_Mes_Constante!$BP$1</f>
        <v>2369203.0732394368</v>
      </c>
      <c r="BV68" s="8">
        <f>+MINVU_Mes_Corriente!BV68*MINVU_Mes_Constante!$BP$1</f>
        <v>2608427.9131882205</v>
      </c>
      <c r="BW68" s="8">
        <f>+MINVU_Mes_Corriente!BW68*MINVU_Mes_Constante!$BP$1</f>
        <v>2608427.9131882205</v>
      </c>
      <c r="BX68" s="8">
        <f>+MINVU_Mes_Corriente!BX68*MINVU_Mes_Constante!$BP$1</f>
        <v>3551243.7848911658</v>
      </c>
      <c r="BY68" s="8">
        <f>+MINVU_Mes_Corriente!BY68*MINVU_Mes_Constante!$BP$1</f>
        <v>4567973.1372599239</v>
      </c>
      <c r="BZ68" s="8">
        <f>+MINVU_Mes_Corriente!BZ68*MINVU_Mes_Constante!$BP$1</f>
        <v>6171641.3339308584</v>
      </c>
      <c r="CA68" s="8">
        <f>+MINVU_Mes_Corriente!CA68*MINVU_Mes_Constante!$BP$1</f>
        <v>8006137.7185659418</v>
      </c>
      <c r="CB68" s="9">
        <f t="shared" si="43"/>
        <v>8006137.7185659418</v>
      </c>
      <c r="CC68" s="8">
        <f>+MINVU_Mes_Corriente!CC68*MINVU_Mes_Constante!$CC$1</f>
        <v>0</v>
      </c>
      <c r="CD68" s="8">
        <f>+MINVU_Mes_Corriente!CD68*MINVU_Mes_Constante!$CC$1</f>
        <v>0</v>
      </c>
      <c r="CE68" s="8">
        <f>+MINVU_Mes_Corriente!CE68*MINVU_Mes_Constante!$CC$1</f>
        <v>2650954.8810145468</v>
      </c>
      <c r="CF68" s="8">
        <f>+MINVU_Mes_Corriente!CF68*MINVU_Mes_Constante!$CC$1</f>
        <v>3582908.8556508766</v>
      </c>
      <c r="CG68" s="8">
        <f>+MINVU_Mes_Corriente!CG68*MINVU_Mes_Constante!$CC$1</f>
        <v>3891203.2726594559</v>
      </c>
      <c r="CH68" s="8">
        <f>+MINVU_Mes_Corriente!CH68*MINVU_Mes_Constante!$CC$1</f>
        <v>4240953.4576650504</v>
      </c>
      <c r="CI68" s="8">
        <f>+MINVU_Mes_Corriente!CI68*MINVU_Mes_Constante!$CC$1</f>
        <v>4952485.6046251403</v>
      </c>
      <c r="CJ68" s="8">
        <f>+MINVU_Mes_Corriente!CJ68*MINVU_Mes_Constante!$CC$1</f>
        <v>5520698.7348004477</v>
      </c>
      <c r="CK68" s="8">
        <f>+MINVU_Mes_Corriente!CK68*MINVU_Mes_Constante!$CC$1</f>
        <v>5964039.2182021635</v>
      </c>
      <c r="CL68" s="8">
        <f>+MINVU_Mes_Corriente!CL68*MINVU_Mes_Constante!$CC$1</f>
        <v>7006307.3487504665</v>
      </c>
      <c r="CM68" s="8">
        <f>+MINVU_Mes_Corriente!CM68*MINVU_Mes_Constante!$CC$1</f>
        <v>8374804.1312942943</v>
      </c>
      <c r="CN68" s="8">
        <f>+MINVU_Mes_Corriente!CN68*MINVU_Mes_Constante!$CC$1</f>
        <v>9319000.4423722494</v>
      </c>
      <c r="CO68" s="9">
        <f t="shared" si="44"/>
        <v>9319000.4423722494</v>
      </c>
      <c r="CP68" s="8">
        <f>+MINVU_Mes_Corriente!CP68*MINVU_Mes_Constante!$CP$1</f>
        <v>0</v>
      </c>
      <c r="CQ68" s="8">
        <f>+MINVU_Mes_Corriente!CQ68*MINVU_Mes_Constante!$CP$1</f>
        <v>2338534.115081206</v>
      </c>
      <c r="CR68" s="8">
        <f>+MINVU_Mes_Corriente!CR68*MINVU_Mes_Constante!$CP$1</f>
        <v>3777570.7037122962</v>
      </c>
      <c r="CS68" s="8">
        <f>+MINVU_Mes_Corriente!CS68*MINVU_Mes_Constante!$CP$1</f>
        <v>4957799.251740138</v>
      </c>
      <c r="CT68" s="8">
        <f>+MINVU_Mes_Corriente!CT68*MINVU_Mes_Constante!$CP$1</f>
        <v>5916980.3700696044</v>
      </c>
      <c r="CU68" s="8">
        <f>+MINVU_Mes_Corriente!CU68*MINVU_Mes_Constante!$CP$1</f>
        <v>7009695.7141531305</v>
      </c>
      <c r="CV68" s="8">
        <f>+MINVU_Mes_Corriente!CV68*MINVU_Mes_Constante!$CP$1</f>
        <v>8229510.0981438495</v>
      </c>
      <c r="CW68" s="8">
        <f>+MINVU_Mes_Corriente!CW68*MINVU_Mes_Constante!$CP$1</f>
        <v>8891828.5009280723</v>
      </c>
      <c r="CX68" s="8">
        <f>+MINVU_Mes_Corriente!CX68*MINVU_Mes_Constante!$CP$1</f>
        <v>9787515.8700696044</v>
      </c>
      <c r="CY68" s="8">
        <f>+MINVU_Mes_Corriente!CY68*MINVU_Mes_Constante!$CP$1</f>
        <v>10369467.33201856</v>
      </c>
      <c r="CZ68" s="8">
        <f>+MINVU_Mes_Corriente!CZ68*MINVU_Mes_Constante!$CP$1</f>
        <v>10510514.13341067</v>
      </c>
      <c r="DA68" s="8">
        <f>+MINVU_Mes_Corriente!DA68*MINVU_Mes_Constante!$CP$1</f>
        <v>12230795.088167051</v>
      </c>
      <c r="DB68" s="9">
        <f t="shared" si="45"/>
        <v>12230795.088167051</v>
      </c>
      <c r="DC68" s="8">
        <f>+MINVU_Mes_Corriente!DC68*MINVU_Mes_Constante!$DC$1</f>
        <v>0</v>
      </c>
      <c r="DD68" s="8">
        <f>+MINVU_Mes_Corriente!DD68*MINVU_Mes_Constante!$DC$1</f>
        <v>807651.80825018045</v>
      </c>
      <c r="DE68" s="8">
        <f>+MINVU_Mes_Corriente!DE68*MINVU_Mes_Constante!$DC$1</f>
        <v>1381471.9306655701</v>
      </c>
      <c r="DF68" s="8">
        <f>+MINVU_Mes_Corriente!DF68*MINVU_Mes_Constante!$DC$1</f>
        <v>1856727.6416006593</v>
      </c>
      <c r="DG68" s="8">
        <f>+MINVU_Mes_Corriente!DG68*MINVU_Mes_Constante!$DC$1</f>
        <v>2099001.3792819679</v>
      </c>
      <c r="DH68" s="8">
        <f>+MINVU_Mes_Corriente!DH68*MINVU_Mes_Constante!$DC$1</f>
        <v>2390339.2747659716</v>
      </c>
      <c r="DI68" s="8">
        <f>+MINVU_Mes_Corriente!DI68*MINVU_Mes_Constante!$DC$1</f>
        <v>2799563.5512807337</v>
      </c>
      <c r="DJ68" s="8">
        <f>+MINVU_Mes_Corriente!DJ68*MINVU_Mes_Constante!$DC$1</f>
        <v>3053987.2797037358</v>
      </c>
      <c r="DK68" s="8">
        <f>+MINVU_Mes_Corriente!DK68*MINVU_Mes_Constante!$DC$1</f>
        <v>3769247.4562287848</v>
      </c>
      <c r="DL68" s="8">
        <f>+MINVU_Mes_Corriente!DL68*MINVU_Mes_Constante!$DC$1</f>
        <v>4454196.7215307085</v>
      </c>
      <c r="DM68" s="8">
        <f>+MINVU_Mes_Corriente!DM68*MINVU_Mes_Constante!$DC$1</f>
        <v>5149461.6773994472</v>
      </c>
      <c r="DN68" s="8">
        <f>+MINVU_Mes_Corriente!DN68*MINVU_Mes_Constante!$DC$1</f>
        <v>5794736.3337105261</v>
      </c>
      <c r="DO68" s="9">
        <f t="shared" si="46"/>
        <v>5794736.3337105261</v>
      </c>
      <c r="DP68" s="8">
        <f>+MINVU_Mes_Corriente!DP68*MINVU_Mes_Constante!$DP$1</f>
        <v>0</v>
      </c>
      <c r="DQ68" s="8">
        <f>+MINVU_Mes_Corriente!DQ68*MINVU_Mes_Constante!$DP$1</f>
        <v>746064.99762470322</v>
      </c>
      <c r="DR68" s="8">
        <f>+MINVU_Mes_Corriente!DR68*MINVU_Mes_Constante!$DP$1</f>
        <v>2705734.580166271</v>
      </c>
      <c r="DS68" s="8">
        <f>+MINVU_Mes_Corriente!DS68*MINVU_Mes_Constante!$DP$1</f>
        <v>3081613.202494062</v>
      </c>
      <c r="DT68" s="8">
        <f>+MINVU_Mes_Corriente!DT68*MINVU_Mes_Constante!$DP$1</f>
        <v>3449159.9928741097</v>
      </c>
      <c r="DU68" s="8">
        <f>+MINVU_Mes_Corriente!DU68*MINVU_Mes_Constante!$DP$1</f>
        <v>3621375.3366983375</v>
      </c>
      <c r="DV68" s="8">
        <f>+MINVU_Mes_Corriente!DV68*MINVU_Mes_Constante!$DP$1</f>
        <v>3676983.9619952496</v>
      </c>
      <c r="DW68" s="8">
        <f>+MINVU_Mes_Corriente!DW68*MINVU_Mes_Constante!$DP$1</f>
        <v>4527227.6775534442</v>
      </c>
      <c r="DX68" s="8">
        <f>+MINVU_Mes_Corriente!DX68*MINVU_Mes_Constante!$DP$1</f>
        <v>4829657.4976247037</v>
      </c>
      <c r="DY68" s="8">
        <f>+MINVU_Mes_Corriente!DY68*MINVU_Mes_Constante!$DP$1</f>
        <v>5135448.1656769598</v>
      </c>
      <c r="DZ68" s="8">
        <f>+MINVU_Mes_Corriente!DZ68*MINVU_Mes_Constante!$DP$1</f>
        <v>5493631.5124703096</v>
      </c>
      <c r="EA68" s="8">
        <f>+MINVU_Mes_Corriente!EA68*MINVU_Mes_Constante!$DP$1</f>
        <v>6156438.7464370551</v>
      </c>
      <c r="EB68" s="9">
        <f t="shared" si="47"/>
        <v>6156438.7464370551</v>
      </c>
      <c r="EC68" s="8">
        <f>+MINVU_Mes_Corriente!EC68*MINVU_Mes_Constante!$EC$1</f>
        <v>0</v>
      </c>
      <c r="ED68" s="8">
        <f>+MINVU_Mes_Corriente!ED68*MINVU_Mes_Constante!$EC$1</f>
        <v>13797.669759515238</v>
      </c>
      <c r="EE68" s="8">
        <f>+MINVU_Mes_Corriente!EE68*MINVU_Mes_Constante!$EC$1</f>
        <v>2186368.9433819344</v>
      </c>
      <c r="EF68" s="8">
        <f>+MINVU_Mes_Corriente!EF68*MINVU_Mes_Constante!$EC$1</f>
        <v>2748806.5688316599</v>
      </c>
      <c r="EG68" s="8">
        <f>+MINVU_Mes_Corriente!EG68*MINVU_Mes_Constante!$EC$1</f>
        <v>3379642.8990721442</v>
      </c>
      <c r="EH68" s="8">
        <f>+MINVU_Mes_Corriente!EH68*MINVU_Mes_Constante!$EC$1</f>
        <v>3867479.1785646644</v>
      </c>
      <c r="EI68" s="8">
        <f>+MINVU_Mes_Corriente!EI68*MINVU_Mes_Constante!$EC$1</f>
        <v>4340197.8132929355</v>
      </c>
      <c r="EJ68" s="8">
        <f>+MINVU_Mes_Corriente!EJ68*MINVU_Mes_Constante!$EC$1</f>
        <v>5115189.6896421118</v>
      </c>
      <c r="EK68" s="8">
        <f>+MINVU_Mes_Corriente!EK68*MINVU_Mes_Constante!$EC$1</f>
        <v>5983551.1772391573</v>
      </c>
      <c r="EL68" s="8">
        <f>+MINVU_Mes_Corriente!EL68*MINVU_Mes_Constante!$EC$1</f>
        <v>6628682.7540238574</v>
      </c>
      <c r="EM68" s="8">
        <f>+MINVU_Mes_Corriente!EM68*MINVU_Mes_Constante!$EC$1</f>
        <v>7058611.8541942788</v>
      </c>
      <c r="EN68" s="8">
        <f>+MINVU_Mes_Corriente!EN68*MINVU_Mes_Constante!$EC$1</f>
        <v>7900070.0581329269</v>
      </c>
      <c r="EO68" s="9">
        <f t="shared" si="48"/>
        <v>7900070.0581329269</v>
      </c>
      <c r="EP68" s="8">
        <f>+MINVU_Mes_Corriente!EP68*MINVU_Mes_Constante!$EP$1</f>
        <v>0</v>
      </c>
      <c r="EQ68" s="8">
        <f>+MINVU_Mes_Corriente!EQ68*MINVU_Mes_Constante!$EP$1</f>
        <v>0</v>
      </c>
      <c r="ER68" s="8">
        <f>+MINVU_Mes_Corriente!ER68*MINVU_Mes_Constante!$EP$1</f>
        <v>773456</v>
      </c>
      <c r="ES68" s="8">
        <f>+MINVU_Mes_Corriente!ES68*MINVU_Mes_Constante!$EP$1</f>
        <v>1228452</v>
      </c>
      <c r="ET68" s="8">
        <f>+MINVU_Mes_Corriente!ET68*MINVU_Mes_Constante!$EP$1</f>
        <v>1463264</v>
      </c>
      <c r="EU68" s="8">
        <f>+MINVU_Mes_Corriente!EU68*MINVU_Mes_Constante!$EP$1</f>
        <v>1843650</v>
      </c>
      <c r="EV68" s="8">
        <f>+MINVU_Mes_Corriente!EV68*MINVU_Mes_Constante!$EP$1</f>
        <v>2269505</v>
      </c>
      <c r="EW68" s="8">
        <f>+MINVU_Mes_Corriente!EW68*MINVU_Mes_Constante!$EP$1</f>
        <v>2548202</v>
      </c>
      <c r="EX68" s="8">
        <f>+MINVU_Mes_Corriente!EX68*MINVU_Mes_Constante!$EP$1</f>
        <v>2878045</v>
      </c>
      <c r="EY68" s="8">
        <f>+MINVU_Mes_Corriente!EY68*MINVU_Mes_Constante!$EP$1</f>
        <v>3291372</v>
      </c>
      <c r="EZ68" s="8">
        <f>+MINVU_Mes_Corriente!EZ68*MINVU_Mes_Constante!$EP$1</f>
        <v>3836142</v>
      </c>
      <c r="FA68" s="8">
        <f>+MINVU_Mes_Corriente!FA68*MINVU_Mes_Constante!$EP$1</f>
        <v>5294326</v>
      </c>
      <c r="FB68" s="9">
        <f t="shared" si="49"/>
        <v>5294326</v>
      </c>
      <c r="FC68" s="8">
        <f>+MINVU_Mes_Corriente!FC68*MINVU_Mes_Constante!$FC$1</f>
        <v>0</v>
      </c>
      <c r="FD68" s="8">
        <f>+MINVU_Mes_Corriente!FD68*MINVU_Mes_Constante!$FC$1</f>
        <v>0</v>
      </c>
      <c r="FE68" s="8">
        <f>+MINVU_Mes_Corriente!FE68*MINVU_Mes_Constante!$FC$1</f>
        <v>1059921</v>
      </c>
      <c r="FF68" s="8">
        <f>+MINVU_Mes_Corriente!FF68*MINVU_Mes_Constante!$FC$1</f>
        <v>1655837</v>
      </c>
      <c r="FG68" s="8">
        <f>+MINVU_Mes_Corriente!FG68*MINVU_Mes_Constante!$FC$1</f>
        <v>2238440</v>
      </c>
      <c r="FH68" s="8">
        <f>+MINVU_Mes_Corriente!FH68*MINVU_Mes_Constante!$FC$1</f>
        <v>2714836</v>
      </c>
      <c r="FI68" s="8">
        <f>+MINVU_Mes_Corriente!FI68*MINVU_Mes_Constante!$FC$1</f>
        <v>2830250</v>
      </c>
      <c r="FJ68" s="8"/>
      <c r="FK68" s="8"/>
      <c r="FL68" s="8"/>
      <c r="FM68" s="8"/>
      <c r="FN68" s="8"/>
      <c r="FO68" s="9">
        <f t="shared" si="50"/>
        <v>2830250</v>
      </c>
    </row>
    <row r="69" spans="2:171" ht="14.25" customHeight="1" x14ac:dyDescent="0.3">
      <c r="B69" s="7" t="s">
        <v>60</v>
      </c>
      <c r="C69" s="8">
        <f>+MINVU_Mes_Corriente!C69*MINVU_Mes_Constante!$C$1</f>
        <v>0</v>
      </c>
      <c r="D69" s="8">
        <f>+MINVU_Mes_Corriente!D69*MINVU_Mes_Constante!$C$1</f>
        <v>0</v>
      </c>
      <c r="E69" s="8">
        <f>+MINVU_Mes_Corriente!E69*MINVU_Mes_Constante!$C$1</f>
        <v>0</v>
      </c>
      <c r="F69" s="8">
        <f>+MINVU_Mes_Corriente!F69*MINVU_Mes_Constante!$C$1</f>
        <v>0</v>
      </c>
      <c r="G69" s="8">
        <f>+MINVU_Mes_Corriente!G69*MINVU_Mes_Constante!$C$1</f>
        <v>3624325.7947501116</v>
      </c>
      <c r="H69" s="8">
        <f>+MINVU_Mes_Corriente!H69*MINVU_Mes_Constante!$C$1</f>
        <v>4757765.0212071789</v>
      </c>
      <c r="I69" s="8">
        <f>+MINVU_Mes_Corriente!I69*MINVU_Mes_Constante!$C$1</f>
        <v>5470947.8021652093</v>
      </c>
      <c r="J69" s="8">
        <f>+MINVU_Mes_Corriente!J69*MINVU_Mes_Constante!$C$1</f>
        <v>6208009.6372534493</v>
      </c>
      <c r="K69" s="8">
        <f>+MINVU_Mes_Corriente!K69*MINVU_Mes_Constante!$C$1</f>
        <v>7086388.4179148758</v>
      </c>
      <c r="L69" s="8">
        <f>+MINVU_Mes_Corriente!L69*MINVU_Mes_Constante!$C$1</f>
        <v>9082127.7214889526</v>
      </c>
      <c r="M69" s="8">
        <f>+MINVU_Mes_Corriente!M69*MINVU_Mes_Constante!$C$1</f>
        <v>11477021.691235358</v>
      </c>
      <c r="N69" s="8">
        <f>+MINVU_Mes_Corriente!N69*MINVU_Mes_Constante!$C$1</f>
        <v>16343879.816698801</v>
      </c>
      <c r="O69" s="9">
        <f t="shared" si="38"/>
        <v>16343879.816698801</v>
      </c>
      <c r="P69" s="8">
        <f>+MINVU_Mes_Corriente!P69*MINVU_Mes_Constante!$P$1</f>
        <v>0</v>
      </c>
      <c r="Q69" s="8">
        <f>+MINVU_Mes_Corriente!Q69*MINVU_Mes_Constante!$P$1</f>
        <v>2103542.9347918732</v>
      </c>
      <c r="R69" s="8">
        <f>+MINVU_Mes_Corriente!R69*MINVU_Mes_Constante!$P$1</f>
        <v>3578355.8042335548</v>
      </c>
      <c r="S69" s="8">
        <f>+MINVU_Mes_Corriente!S69*MINVU_Mes_Constante!$P$1</f>
        <v>4325261.7587725511</v>
      </c>
      <c r="T69" s="8">
        <f>+MINVU_Mes_Corriente!T69*MINVU_Mes_Constante!$P$1</f>
        <v>4544775.1726097437</v>
      </c>
      <c r="U69" s="8">
        <f>+MINVU_Mes_Corriente!U69*MINVU_Mes_Constante!$P$1</f>
        <v>4846667.4288961478</v>
      </c>
      <c r="V69" s="8">
        <f>+MINVU_Mes_Corriente!V69*MINVU_Mes_Constante!$P$1</f>
        <v>5339091.802528766</v>
      </c>
      <c r="W69" s="8">
        <f>+MINVU_Mes_Corriente!W69*MINVU_Mes_Constante!$P$1</f>
        <v>6316477.5283420915</v>
      </c>
      <c r="X69" s="8">
        <f>+MINVU_Mes_Corriente!X69*MINVU_Mes_Constante!$P$1</f>
        <v>7267916.5264952378</v>
      </c>
      <c r="Y69" s="8">
        <f>+MINVU_Mes_Corriente!Y69*MINVU_Mes_Constante!$P$1</f>
        <v>8384364.6674243473</v>
      </c>
      <c r="Z69" s="8">
        <f>+MINVU_Mes_Corriente!Z69*MINVU_Mes_Constante!$P$1</f>
        <v>9759682.4844438098</v>
      </c>
      <c r="AA69" s="8">
        <f>+MINVU_Mes_Corriente!AA69*MINVU_Mes_Constante!$P$1</f>
        <v>11322176.542690719</v>
      </c>
      <c r="AB69" s="9">
        <f t="shared" si="39"/>
        <v>11322176.542690719</v>
      </c>
      <c r="AC69" s="8">
        <f>+MINVU_Mes_Corriente!AC69*MINVU_Mes_Constante!$AC$1</f>
        <v>0</v>
      </c>
      <c r="AD69" s="8">
        <f>+MINVU_Mes_Corriente!AD69*MINVU_Mes_Constante!$AC$1</f>
        <v>730.01217319131274</v>
      </c>
      <c r="AE69" s="8">
        <f>+MINVU_Mes_Corriente!AE69*MINVU_Mes_Constante!$AC$1</f>
        <v>2136033.7557061836</v>
      </c>
      <c r="AF69" s="8">
        <f>+MINVU_Mes_Corriente!AF69*MINVU_Mes_Constante!$AC$1</f>
        <v>2992700.7738276385</v>
      </c>
      <c r="AG69" s="8">
        <f>+MINVU_Mes_Corriente!AG69*MINVU_Mes_Constante!$AC$1</f>
        <v>3434066.4360215799</v>
      </c>
      <c r="AH69" s="8">
        <f>+MINVU_Mes_Corriente!AH69*MINVU_Mes_Constante!$AC$1</f>
        <v>3766194.7694010236</v>
      </c>
      <c r="AI69" s="8">
        <f>+MINVU_Mes_Corriente!AI69*MINVU_Mes_Constante!$AC$1</f>
        <v>4151570.1604647944</v>
      </c>
      <c r="AJ69" s="8">
        <f>+MINVU_Mes_Corriente!AJ69*MINVU_Mes_Constante!$AC$1</f>
        <v>4561935.2436021576</v>
      </c>
      <c r="AK69" s="8">
        <f>+MINVU_Mes_Corriente!AK69*MINVU_Mes_Constante!$AC$1</f>
        <v>5250371.4854060039</v>
      </c>
      <c r="AL69" s="8">
        <f>+MINVU_Mes_Corriente!AL69*MINVU_Mes_Constante!$AC$1</f>
        <v>6017582.5397703694</v>
      </c>
      <c r="AM69" s="8">
        <f>+MINVU_Mes_Corriente!AM69*MINVU_Mes_Constante!$AC$1</f>
        <v>7803500.6435191585</v>
      </c>
      <c r="AN69" s="8">
        <f>+MINVU_Mes_Corriente!AN69*MINVU_Mes_Constante!$AC$1</f>
        <v>10560789.872734819</v>
      </c>
      <c r="AO69" s="9">
        <f t="shared" si="40"/>
        <v>10560789.872734819</v>
      </c>
      <c r="AP69" s="8">
        <f>+MINVU_Mes_Corriente!AP69*MINVU_Mes_Constante!$AP$1</f>
        <v>0</v>
      </c>
      <c r="AQ69" s="8">
        <f>+MINVU_Mes_Corriente!AQ69*MINVU_Mes_Constante!$AP$1</f>
        <v>233759.9448126606</v>
      </c>
      <c r="AR69" s="8">
        <f>+MINVU_Mes_Corriente!AR69*MINVU_Mes_Constante!$AP$1</f>
        <v>1344759.6066549437</v>
      </c>
      <c r="AS69" s="8">
        <f>+MINVU_Mes_Corriente!AS69*MINVU_Mes_Constante!$AP$1</f>
        <v>2055437.3085351007</v>
      </c>
      <c r="AT69" s="8">
        <f>+MINVU_Mes_Corriente!AT69*MINVU_Mes_Constante!$AP$1</f>
        <v>2520589.6272149328</v>
      </c>
      <c r="AU69" s="8">
        <f>+MINVU_Mes_Corriente!AU69*MINVU_Mes_Constante!$AP$1</f>
        <v>3182532.6103070471</v>
      </c>
      <c r="AV69" s="8">
        <f>+MINVU_Mes_Corriente!AV69*MINVU_Mes_Constante!$AP$1</f>
        <v>4014917.0553226024</v>
      </c>
      <c r="AW69" s="8">
        <f>+MINVU_Mes_Corriente!AW69*MINVU_Mes_Constante!$AP$1</f>
        <v>5309498.0500473417</v>
      </c>
      <c r="AX69" s="8">
        <f>+MINVU_Mes_Corriente!AX69*MINVU_Mes_Constante!$AP$1</f>
        <v>7252005.771405383</v>
      </c>
      <c r="AY69" s="8">
        <f>+MINVU_Mes_Corriente!AY69*MINVU_Mes_Constante!$AP$1</f>
        <v>9921647.438387664</v>
      </c>
      <c r="AZ69" s="8">
        <f>+MINVU_Mes_Corriente!AZ69*MINVU_Mes_Constante!$AP$1</f>
        <v>13038059.496821316</v>
      </c>
      <c r="BA69" s="8">
        <f>+MINVU_Mes_Corriente!BA69*MINVU_Mes_Constante!$AP$1</f>
        <v>17924050.535100769</v>
      </c>
      <c r="BB69" s="9">
        <f t="shared" si="41"/>
        <v>17924050.535100769</v>
      </c>
      <c r="BC69" s="8">
        <f>+MINVU_Mes_Corriente!BC69*MINVU_Mes_Constante!$BC$1</f>
        <v>0</v>
      </c>
      <c r="BD69" s="8">
        <f>+MINVU_Mes_Corriente!BD69*MINVU_Mes_Constante!$BC$1</f>
        <v>0</v>
      </c>
      <c r="BE69" s="8">
        <f>+MINVU_Mes_Corriente!BE69*MINVU_Mes_Constante!$BC$1</f>
        <v>2216231.6842938159</v>
      </c>
      <c r="BF69" s="8">
        <f>+MINVU_Mes_Corriente!BF69*MINVU_Mes_Constante!$BC$1</f>
        <v>3102025.8317288682</v>
      </c>
      <c r="BG69" s="8">
        <f>+MINVU_Mes_Corriente!BG69*MINVU_Mes_Constante!$BC$1</f>
        <v>3851604.4723724131</v>
      </c>
      <c r="BH69" s="8">
        <f>+MINVU_Mes_Corriente!BH69*MINVU_Mes_Constante!$BC$1</f>
        <v>4387940.963207175</v>
      </c>
      <c r="BI69" s="8">
        <f>+MINVU_Mes_Corriente!BI69*MINVU_Mes_Constante!$BC$1</f>
        <v>4752105.4221284464</v>
      </c>
      <c r="BJ69" s="8">
        <f>+MINVU_Mes_Corriente!BJ69*MINVU_Mes_Constante!$BC$1</f>
        <v>5313008.4829223277</v>
      </c>
      <c r="BK69" s="8">
        <f>+MINVU_Mes_Corriente!BK69*MINVU_Mes_Constante!$BC$1</f>
        <v>5629755.8596861418</v>
      </c>
      <c r="BL69" s="8">
        <f>+MINVU_Mes_Corriente!BL69*MINVU_Mes_Constante!$BC$1</f>
        <v>6823163.8069365704</v>
      </c>
      <c r="BM69" s="8">
        <f>+MINVU_Mes_Corriente!BM69*MINVU_Mes_Constante!$BC$1</f>
        <v>8425141.9092707392</v>
      </c>
      <c r="BN69" s="8">
        <f>+MINVU_Mes_Corriente!BN69*MINVU_Mes_Constante!$BC$1</f>
        <v>12042804.915468816</v>
      </c>
      <c r="BO69" s="9">
        <f t="shared" si="42"/>
        <v>12042804.915468816</v>
      </c>
      <c r="BP69" s="8">
        <f>+MINVU_Mes_Corriente!BP69*MINVU_Mes_Constante!$BP$1</f>
        <v>0</v>
      </c>
      <c r="BQ69" s="8">
        <f>+MINVU_Mes_Corriente!BQ69*MINVU_Mes_Constante!$BP$1</f>
        <v>0</v>
      </c>
      <c r="BR69" s="8">
        <f>+MINVU_Mes_Corriente!BR69*MINVU_Mes_Constante!$BP$1</f>
        <v>3506279.3078104998</v>
      </c>
      <c r="BS69" s="8">
        <f>+MINVU_Mes_Corriente!BS69*MINVU_Mes_Constante!$BP$1</f>
        <v>4765819.0747759286</v>
      </c>
      <c r="BT69" s="8">
        <f>+MINVU_Mes_Corriente!BT69*MINVU_Mes_Constante!$BP$1</f>
        <v>6046080.469398208</v>
      </c>
      <c r="BU69" s="8">
        <f>+MINVU_Mes_Corriente!BU69*MINVU_Mes_Constante!$BP$1</f>
        <v>6673991.1142125484</v>
      </c>
      <c r="BV69" s="8">
        <f>+MINVU_Mes_Corriente!BV69*MINVU_Mes_Constante!$BP$1</f>
        <v>7236148.5034571066</v>
      </c>
      <c r="BW69" s="8">
        <f>+MINVU_Mes_Corriente!BW69*MINVU_Mes_Constante!$BP$1</f>
        <v>7236148.5034571066</v>
      </c>
      <c r="BX69" s="8">
        <f>+MINVU_Mes_Corriente!BX69*MINVU_Mes_Constante!$BP$1</f>
        <v>8684533.1984635089</v>
      </c>
      <c r="BY69" s="8">
        <f>+MINVU_Mes_Corriente!BY69*MINVU_Mes_Constante!$BP$1</f>
        <v>11044883.553649168</v>
      </c>
      <c r="BZ69" s="8">
        <f>+MINVU_Mes_Corriente!BZ69*MINVU_Mes_Constante!$BP$1</f>
        <v>13553455.381306019</v>
      </c>
      <c r="CA69" s="8">
        <f>+MINVU_Mes_Corriente!CA69*MINVU_Mes_Constante!$BP$1</f>
        <v>15803958.166709349</v>
      </c>
      <c r="CB69" s="9">
        <f t="shared" si="43"/>
        <v>15803958.166709349</v>
      </c>
      <c r="CC69" s="8">
        <f>+MINVU_Mes_Corriente!CC69*MINVU_Mes_Constante!$CC$1</f>
        <v>0</v>
      </c>
      <c r="CD69" s="8">
        <f>+MINVU_Mes_Corriente!CD69*MINVU_Mes_Constante!$CC$1</f>
        <v>0</v>
      </c>
      <c r="CE69" s="8">
        <f>+MINVU_Mes_Corriente!CE69*MINVU_Mes_Constante!$CC$1</f>
        <v>2538236.2715404704</v>
      </c>
      <c r="CF69" s="8">
        <f>+MINVU_Mes_Corriente!CF69*MINVU_Mes_Constante!$CC$1</f>
        <v>4187349.0861618803</v>
      </c>
      <c r="CG69" s="8">
        <f>+MINVU_Mes_Corriente!CG69*MINVU_Mes_Constante!$CC$1</f>
        <v>4647638.9295039168</v>
      </c>
      <c r="CH69" s="8">
        <f>+MINVU_Mes_Corriente!CH69*MINVU_Mes_Constante!$CC$1</f>
        <v>5327136.1477060802</v>
      </c>
      <c r="CI69" s="8">
        <f>+MINVU_Mes_Corriente!CI69*MINVU_Mes_Constante!$CC$1</f>
        <v>6292290.5997762037</v>
      </c>
      <c r="CJ69" s="8">
        <f>+MINVU_Mes_Corriente!CJ69*MINVU_Mes_Constante!$CC$1</f>
        <v>7050310.2073853044</v>
      </c>
      <c r="CK69" s="8">
        <f>+MINVU_Mes_Corriente!CK69*MINVU_Mes_Constante!$CC$1</f>
        <v>7926471.350242448</v>
      </c>
      <c r="CL69" s="8">
        <f>+MINVU_Mes_Corriente!CL69*MINVU_Mes_Constante!$CC$1</f>
        <v>9106574.4416262601</v>
      </c>
      <c r="CM69" s="8">
        <f>+MINVU_Mes_Corriente!CM69*MINVU_Mes_Constante!$CC$1</f>
        <v>10403217.45766505</v>
      </c>
      <c r="CN69" s="8">
        <f>+MINVU_Mes_Corriente!CN69*MINVU_Mes_Constante!$CC$1</f>
        <v>12390540.438642299</v>
      </c>
      <c r="CO69" s="9">
        <f t="shared" si="44"/>
        <v>12390540.438642299</v>
      </c>
      <c r="CP69" s="8">
        <f>+MINVU_Mes_Corriente!CP69*MINVU_Mes_Constante!$CP$1</f>
        <v>0</v>
      </c>
      <c r="CQ69" s="8">
        <f>+MINVU_Mes_Corriente!CQ69*MINVU_Mes_Constante!$CP$1</f>
        <v>989885.45986078866</v>
      </c>
      <c r="CR69" s="8">
        <f>+MINVU_Mes_Corriente!CR69*MINVU_Mes_Constante!$CP$1</f>
        <v>2952201.3974477951</v>
      </c>
      <c r="CS69" s="8">
        <f>+MINVU_Mes_Corriente!CS69*MINVU_Mes_Constante!$CP$1</f>
        <v>3525475.4352668207</v>
      </c>
      <c r="CT69" s="8">
        <f>+MINVU_Mes_Corriente!CT69*MINVU_Mes_Constante!$CP$1</f>
        <v>5020779.656380509</v>
      </c>
      <c r="CU69" s="8">
        <f>+MINVU_Mes_Corriente!CU69*MINVU_Mes_Constante!$CP$1</f>
        <v>6336722.5600928059</v>
      </c>
      <c r="CV69" s="8">
        <f>+MINVU_Mes_Corriente!CV69*MINVU_Mes_Constante!$CP$1</f>
        <v>7261977.3076566113</v>
      </c>
      <c r="CW69" s="8">
        <f>+MINVU_Mes_Corriente!CW69*MINVU_Mes_Constante!$CP$1</f>
        <v>8175778.767981437</v>
      </c>
      <c r="CX69" s="8">
        <f>+MINVU_Mes_Corriente!CX69*MINVU_Mes_Constante!$CP$1</f>
        <v>9185389.3336426895</v>
      </c>
      <c r="CY69" s="8">
        <f>+MINVU_Mes_Corriente!CY69*MINVU_Mes_Constante!$CP$1</f>
        <v>10246453.500696054</v>
      </c>
      <c r="CZ69" s="8">
        <f>+MINVU_Mes_Corriente!CZ69*MINVU_Mes_Constante!$CP$1</f>
        <v>11606863.449883988</v>
      </c>
      <c r="DA69" s="8">
        <f>+MINVU_Mes_Corriente!DA69*MINVU_Mes_Constante!$CP$1</f>
        <v>13611349.69141531</v>
      </c>
      <c r="DB69" s="9">
        <f t="shared" si="45"/>
        <v>13611349.69141531</v>
      </c>
      <c r="DC69" s="8">
        <f>+MINVU_Mes_Corriente!DC69*MINVU_Mes_Constante!$DC$1</f>
        <v>0</v>
      </c>
      <c r="DD69" s="8">
        <f>+MINVU_Mes_Corriente!DD69*MINVU_Mes_Constante!$DC$1</f>
        <v>597797.52782635565</v>
      </c>
      <c r="DE69" s="8">
        <f>+MINVU_Mes_Corriente!DE69*MINVU_Mes_Constante!$DC$1</f>
        <v>1101366.8758358199</v>
      </c>
      <c r="DF69" s="8">
        <f>+MINVU_Mes_Corriente!DF69*MINVU_Mes_Constante!$DC$1</f>
        <v>1875881.0173850437</v>
      </c>
      <c r="DG69" s="8">
        <f>+MINVU_Mes_Corriente!DG69*MINVU_Mes_Constante!$DC$1</f>
        <v>2323403.0538010504</v>
      </c>
      <c r="DH69" s="8">
        <f>+MINVU_Mes_Corriente!DH69*MINVU_Mes_Constante!$DC$1</f>
        <v>2804557.2986318292</v>
      </c>
      <c r="DI69" s="8">
        <f>+MINVU_Mes_Corriente!DI69*MINVU_Mes_Constante!$DC$1</f>
        <v>3184791.3150910414</v>
      </c>
      <c r="DJ69" s="8">
        <f>+MINVU_Mes_Corriente!DJ69*MINVU_Mes_Constante!$DC$1</f>
        <v>3720804.8474436803</v>
      </c>
      <c r="DK69" s="8">
        <f>+MINVU_Mes_Corriente!DK69*MINVU_Mes_Constante!$DC$1</f>
        <v>4698674.541713818</v>
      </c>
      <c r="DL69" s="8">
        <f>+MINVU_Mes_Corriente!DL69*MINVU_Mes_Constante!$DC$1</f>
        <v>6081671.6839831322</v>
      </c>
      <c r="DM69" s="8">
        <f>+MINVU_Mes_Corriente!DM69*MINVU_Mes_Constante!$DC$1</f>
        <v>7358486.2244625073</v>
      </c>
      <c r="DN69" s="8">
        <f>+MINVU_Mes_Corriente!DN69*MINVU_Mes_Constante!$DC$1</f>
        <v>10364281.538113369</v>
      </c>
      <c r="DO69" s="9">
        <f t="shared" si="46"/>
        <v>10364281.538113369</v>
      </c>
      <c r="DP69" s="8">
        <f>+MINVU_Mes_Corriente!DP69*MINVU_Mes_Constante!$DP$1</f>
        <v>0</v>
      </c>
      <c r="DQ69" s="8">
        <f>+MINVU_Mes_Corriente!DQ69*MINVU_Mes_Constante!$DP$1</f>
        <v>262080.17992874113</v>
      </c>
      <c r="DR69" s="8">
        <f>+MINVU_Mes_Corriente!DR69*MINVU_Mes_Constante!$DP$1</f>
        <v>2669703.8675771975</v>
      </c>
      <c r="DS69" s="8">
        <f>+MINVU_Mes_Corriente!DS69*MINVU_Mes_Constante!$DP$1</f>
        <v>3841719.5807600953</v>
      </c>
      <c r="DT69" s="8">
        <f>+MINVU_Mes_Corriente!DT69*MINVU_Mes_Constante!$DP$1</f>
        <v>5392222.141923991</v>
      </c>
      <c r="DU69" s="8">
        <f>+MINVU_Mes_Corriente!DU69*MINVU_Mes_Constante!$DP$1</f>
        <v>6748370.80047506</v>
      </c>
      <c r="DV69" s="8">
        <f>+MINVU_Mes_Corriente!DV69*MINVU_Mes_Constante!$DP$1</f>
        <v>8092261.2309976257</v>
      </c>
      <c r="DW69" s="8">
        <f>+MINVU_Mes_Corriente!DW69*MINVU_Mes_Constante!$DP$1</f>
        <v>8663785.973871734</v>
      </c>
      <c r="DX69" s="8">
        <f>+MINVU_Mes_Corriente!DX69*MINVU_Mes_Constante!$DP$1</f>
        <v>9736882.6745843235</v>
      </c>
      <c r="DY69" s="8">
        <f>+MINVU_Mes_Corriente!DY69*MINVU_Mes_Constante!$DP$1</f>
        <v>11316308.20902613</v>
      </c>
      <c r="DZ69" s="8">
        <f>+MINVU_Mes_Corriente!DZ69*MINVU_Mes_Constante!$DP$1</f>
        <v>12134482.211401427</v>
      </c>
      <c r="EA69" s="8">
        <f>+MINVU_Mes_Corriente!EA69*MINVU_Mes_Constante!$DP$1</f>
        <v>13943760.334916865</v>
      </c>
      <c r="EB69" s="9">
        <f t="shared" si="47"/>
        <v>13943760.334916865</v>
      </c>
      <c r="EC69" s="8">
        <f>+MINVU_Mes_Corriente!EC69*MINVU_Mes_Constante!$EC$1</f>
        <v>0</v>
      </c>
      <c r="ED69" s="8">
        <f>+MINVU_Mes_Corriente!ED69*MINVU_Mes_Constante!$EC$1</f>
        <v>0</v>
      </c>
      <c r="EE69" s="8">
        <f>+MINVU_Mes_Corriente!EE69*MINVU_Mes_Constante!$EC$1</f>
        <v>3369203.0967619759</v>
      </c>
      <c r="EF69" s="8">
        <f>+MINVU_Mes_Corriente!EF69*MINVU_Mes_Constante!$EC$1</f>
        <v>5436065.6824465049</v>
      </c>
      <c r="EG69" s="8">
        <f>+MINVU_Mes_Corriente!EG69*MINVU_Mes_Constante!$EC$1</f>
        <v>7597041.6583980285</v>
      </c>
      <c r="EH69" s="8">
        <f>+MINVU_Mes_Corriente!EH69*MINVU_Mes_Constante!$EC$1</f>
        <v>9293877.8026888818</v>
      </c>
      <c r="EI69" s="8">
        <f>+MINVU_Mes_Corriente!EI69*MINVU_Mes_Constante!$EC$1</f>
        <v>12004256.133686798</v>
      </c>
      <c r="EJ69" s="8">
        <f>+MINVU_Mes_Corriente!EJ69*MINVU_Mes_Constante!$EC$1</f>
        <v>13015737.669759512</v>
      </c>
      <c r="EK69" s="8">
        <f>+MINVU_Mes_Corriente!EK69*MINVU_Mes_Constante!$EC$1</f>
        <v>14439987.596477935</v>
      </c>
      <c r="EL69" s="8">
        <f>+MINVU_Mes_Corriente!EL69*MINVU_Mes_Constante!$EC$1</f>
        <v>15532385.876159813</v>
      </c>
      <c r="EM69" s="8">
        <f>+MINVU_Mes_Corriente!EM69*MINVU_Mes_Constante!$EC$1</f>
        <v>16702496.132550647</v>
      </c>
      <c r="EN69" s="8">
        <f>+MINVU_Mes_Corriente!EN69*MINVU_Mes_Constante!$EC$1</f>
        <v>18556348.269077819</v>
      </c>
      <c r="EO69" s="9">
        <f t="shared" si="48"/>
        <v>18556348.269077819</v>
      </c>
      <c r="EP69" s="8">
        <f>+MINVU_Mes_Corriente!EP69*MINVU_Mes_Constante!$EP$1</f>
        <v>0</v>
      </c>
      <c r="EQ69" s="8">
        <f>+MINVU_Mes_Corriente!EQ69*MINVU_Mes_Constante!$EP$1</f>
        <v>656162</v>
      </c>
      <c r="ER69" s="8">
        <f>+MINVU_Mes_Corriente!ER69*MINVU_Mes_Constante!$EP$1</f>
        <v>1462430</v>
      </c>
      <c r="ES69" s="8">
        <f>+MINVU_Mes_Corriente!ES69*MINVU_Mes_Constante!$EP$1</f>
        <v>2617816</v>
      </c>
      <c r="ET69" s="8">
        <f>+MINVU_Mes_Corriente!ET69*MINVU_Mes_Constante!$EP$1</f>
        <v>3672318</v>
      </c>
      <c r="EU69" s="8">
        <f>+MINVU_Mes_Corriente!EU69*MINVU_Mes_Constante!$EP$1</f>
        <v>4549506</v>
      </c>
      <c r="EV69" s="8">
        <f>+MINVU_Mes_Corriente!EV69*MINVU_Mes_Constante!$EP$1</f>
        <v>5755024</v>
      </c>
      <c r="EW69" s="8">
        <f>+MINVU_Mes_Corriente!EW69*MINVU_Mes_Constante!$EP$1</f>
        <v>6518863</v>
      </c>
      <c r="EX69" s="8">
        <f>+MINVU_Mes_Corriente!EX69*MINVU_Mes_Constante!$EP$1</f>
        <v>8081693</v>
      </c>
      <c r="EY69" s="8">
        <f>+MINVU_Mes_Corriente!EY69*MINVU_Mes_Constante!$EP$1</f>
        <v>9963180</v>
      </c>
      <c r="EZ69" s="8">
        <f>+MINVU_Mes_Corriente!EZ69*MINVU_Mes_Constante!$EP$1</f>
        <v>11073504</v>
      </c>
      <c r="FA69" s="8">
        <f>+MINVU_Mes_Corriente!FA69*MINVU_Mes_Constante!$EP$1</f>
        <v>14403339</v>
      </c>
      <c r="FB69" s="9">
        <f t="shared" si="49"/>
        <v>14403339</v>
      </c>
      <c r="FC69" s="8">
        <f>+MINVU_Mes_Corriente!FC69*MINVU_Mes_Constante!$FC$1</f>
        <v>0</v>
      </c>
      <c r="FD69" s="8">
        <f>+MINVU_Mes_Corriente!FD69*MINVU_Mes_Constante!$FC$1</f>
        <v>2033211</v>
      </c>
      <c r="FE69" s="8">
        <f>+MINVU_Mes_Corriente!FE69*MINVU_Mes_Constante!$FC$1</f>
        <v>4073385</v>
      </c>
      <c r="FF69" s="8">
        <f>+MINVU_Mes_Corriente!FF69*MINVU_Mes_Constante!$FC$1</f>
        <v>5482094</v>
      </c>
      <c r="FG69" s="8">
        <f>+MINVU_Mes_Corriente!FG69*MINVU_Mes_Constante!$FC$1</f>
        <v>6965527</v>
      </c>
      <c r="FH69" s="8">
        <f>+MINVU_Mes_Corriente!FH69*MINVU_Mes_Constante!$FC$1</f>
        <v>10120647</v>
      </c>
      <c r="FI69" s="8">
        <f>+MINVU_Mes_Corriente!FI69*MINVU_Mes_Constante!$FC$1</f>
        <v>11843248</v>
      </c>
      <c r="FJ69" s="8"/>
      <c r="FK69" s="8"/>
      <c r="FL69" s="8"/>
      <c r="FM69" s="8"/>
      <c r="FN69" s="8"/>
      <c r="FO69" s="9">
        <f t="shared" si="50"/>
        <v>11843248</v>
      </c>
    </row>
    <row r="70" spans="2:171" ht="14.25" customHeight="1" thickBot="1" x14ac:dyDescent="0.35">
      <c r="B70" s="14" t="s">
        <v>65</v>
      </c>
      <c r="C70" s="16">
        <f t="shared" ref="C70:AH70" si="51">SUM(C52:C69)</f>
        <v>0</v>
      </c>
      <c r="D70" s="16">
        <f t="shared" si="51"/>
        <v>10867756.626130804</v>
      </c>
      <c r="E70" s="16">
        <f t="shared" si="51"/>
        <v>69305275.61500816</v>
      </c>
      <c r="F70" s="16">
        <f t="shared" si="51"/>
        <v>108641239.7013199</v>
      </c>
      <c r="G70" s="16">
        <f t="shared" si="51"/>
        <v>148493551.67284596</v>
      </c>
      <c r="H70" s="16">
        <f t="shared" si="51"/>
        <v>181680959.89500225</v>
      </c>
      <c r="I70" s="16">
        <f t="shared" si="51"/>
        <v>212935708.92332795</v>
      </c>
      <c r="J70" s="16">
        <f t="shared" si="51"/>
        <v>243836083.19590694</v>
      </c>
      <c r="K70" s="16">
        <f t="shared" si="51"/>
        <v>282001459.97983098</v>
      </c>
      <c r="L70" s="16">
        <f t="shared" si="51"/>
        <v>330438206.84294826</v>
      </c>
      <c r="M70" s="16">
        <f t="shared" si="51"/>
        <v>403887518.35800099</v>
      </c>
      <c r="N70" s="16">
        <f t="shared" si="51"/>
        <v>520745194.31736624</v>
      </c>
      <c r="O70" s="16">
        <f t="shared" si="51"/>
        <v>520745194.31736624</v>
      </c>
      <c r="P70" s="16">
        <f t="shared" si="51"/>
        <v>14709686.683335694</v>
      </c>
      <c r="Q70" s="16">
        <f t="shared" si="51"/>
        <v>51611026.214234956</v>
      </c>
      <c r="R70" s="16">
        <f t="shared" si="51"/>
        <v>93844568.843585715</v>
      </c>
      <c r="S70" s="16">
        <f t="shared" si="51"/>
        <v>138584403.00383571</v>
      </c>
      <c r="T70" s="16">
        <f t="shared" si="51"/>
        <v>184822798.83307281</v>
      </c>
      <c r="U70" s="16">
        <f t="shared" si="51"/>
        <v>223605696.76800674</v>
      </c>
      <c r="V70" s="16">
        <f t="shared" si="51"/>
        <v>258743633.60534155</v>
      </c>
      <c r="W70" s="16">
        <f t="shared" si="51"/>
        <v>295187984.14462262</v>
      </c>
      <c r="X70" s="16">
        <f t="shared" si="51"/>
        <v>335005701.09504175</v>
      </c>
      <c r="Y70" s="16">
        <f t="shared" si="51"/>
        <v>394868050.58076411</v>
      </c>
      <c r="Z70" s="16">
        <f t="shared" si="51"/>
        <v>458842908.28214216</v>
      </c>
      <c r="AA70" s="16">
        <f t="shared" si="51"/>
        <v>594472358.36539257</v>
      </c>
      <c r="AB70" s="16">
        <f t="shared" si="51"/>
        <v>594472358.36539257</v>
      </c>
      <c r="AC70" s="16">
        <f t="shared" si="51"/>
        <v>11876589.205422606</v>
      </c>
      <c r="AD70" s="16">
        <f t="shared" si="51"/>
        <v>47316571.793609083</v>
      </c>
      <c r="AE70" s="16">
        <f t="shared" si="51"/>
        <v>112870517.78420252</v>
      </c>
      <c r="AF70" s="16">
        <f t="shared" si="51"/>
        <v>157705129.80522898</v>
      </c>
      <c r="AG70" s="16">
        <f t="shared" si="51"/>
        <v>196747513.89320791</v>
      </c>
      <c r="AH70" s="16">
        <f t="shared" si="51"/>
        <v>245385147.75736618</v>
      </c>
      <c r="AI70" s="16">
        <f t="shared" ref="AI70:BN70" si="52">SUM(AI52:AI69)</f>
        <v>275883292.53506714</v>
      </c>
      <c r="AJ70" s="16">
        <f t="shared" si="52"/>
        <v>315413007.35814083</v>
      </c>
      <c r="AK70" s="16">
        <f t="shared" si="52"/>
        <v>365801199.83372527</v>
      </c>
      <c r="AL70" s="16">
        <f t="shared" si="52"/>
        <v>407116231.21842575</v>
      </c>
      <c r="AM70" s="16">
        <f t="shared" si="52"/>
        <v>467551572.16516805</v>
      </c>
      <c r="AN70" s="16">
        <f t="shared" si="52"/>
        <v>594863715.21953237</v>
      </c>
      <c r="AO70" s="16">
        <f t="shared" si="52"/>
        <v>594863715.21953237</v>
      </c>
      <c r="AP70" s="16">
        <f t="shared" si="52"/>
        <v>521313.40700662788</v>
      </c>
      <c r="AQ70" s="16">
        <f t="shared" si="52"/>
        <v>31736175.677262265</v>
      </c>
      <c r="AR70" s="16">
        <f t="shared" si="52"/>
        <v>87175490.34546192</v>
      </c>
      <c r="AS70" s="16">
        <f t="shared" si="52"/>
        <v>127466750.62464492</v>
      </c>
      <c r="AT70" s="16">
        <f t="shared" si="52"/>
        <v>168648504.28892198</v>
      </c>
      <c r="AU70" s="16">
        <f t="shared" si="52"/>
        <v>215216913.39645609</v>
      </c>
      <c r="AV70" s="16">
        <f t="shared" si="52"/>
        <v>251676063.54172868</v>
      </c>
      <c r="AW70" s="16">
        <f t="shared" si="52"/>
        <v>300234967.27985924</v>
      </c>
      <c r="AX70" s="16">
        <f t="shared" si="52"/>
        <v>342050492.49316919</v>
      </c>
      <c r="AY70" s="16">
        <f t="shared" si="52"/>
        <v>391541836.41174084</v>
      </c>
      <c r="AZ70" s="16">
        <f t="shared" si="52"/>
        <v>453543994.19180304</v>
      </c>
      <c r="BA70" s="16">
        <f t="shared" si="52"/>
        <v>600621243.32909501</v>
      </c>
      <c r="BB70" s="16">
        <f t="shared" si="52"/>
        <v>600621243.32909501</v>
      </c>
      <c r="BC70" s="16">
        <f t="shared" si="52"/>
        <v>4310081.5062640123</v>
      </c>
      <c r="BD70" s="16">
        <f t="shared" si="52"/>
        <v>24996088.698404331</v>
      </c>
      <c r="BE70" s="16">
        <f t="shared" si="52"/>
        <v>99361356.665435866</v>
      </c>
      <c r="BF70" s="16">
        <f t="shared" si="52"/>
        <v>144712068.97876835</v>
      </c>
      <c r="BG70" s="16">
        <f t="shared" si="52"/>
        <v>183717471.13095087</v>
      </c>
      <c r="BH70" s="16">
        <f t="shared" si="52"/>
        <v>223520965.49624163</v>
      </c>
      <c r="BI70" s="16">
        <f t="shared" si="52"/>
        <v>254896305.12541217</v>
      </c>
      <c r="BJ70" s="16">
        <f t="shared" si="52"/>
        <v>291495694.87801671</v>
      </c>
      <c r="BK70" s="16">
        <f t="shared" si="52"/>
        <v>328320739.74231845</v>
      </c>
      <c r="BL70" s="16">
        <f t="shared" si="52"/>
        <v>365443254.79045242</v>
      </c>
      <c r="BM70" s="16">
        <f t="shared" si="52"/>
        <v>418884479.19055796</v>
      </c>
      <c r="BN70" s="16">
        <f t="shared" si="52"/>
        <v>522316084.24185687</v>
      </c>
      <c r="BO70" s="16">
        <f t="shared" ref="BO70:CT70" si="53">SUM(BO52:BO69)</f>
        <v>522316084.24185687</v>
      </c>
      <c r="BP70" s="16">
        <f t="shared" si="53"/>
        <v>0</v>
      </c>
      <c r="BQ70" s="16">
        <f t="shared" si="53"/>
        <v>14359739.621254802</v>
      </c>
      <c r="BR70" s="16">
        <f t="shared" si="53"/>
        <v>79468821.454033285</v>
      </c>
      <c r="BS70" s="16">
        <f t="shared" si="53"/>
        <v>131218799.20179258</v>
      </c>
      <c r="BT70" s="16">
        <f t="shared" si="53"/>
        <v>167826490.90755445</v>
      </c>
      <c r="BU70" s="16">
        <f t="shared" si="53"/>
        <v>212161873.80998722</v>
      </c>
      <c r="BV70" s="16">
        <f t="shared" si="53"/>
        <v>245681065.11088347</v>
      </c>
      <c r="BW70" s="16">
        <f t="shared" si="53"/>
        <v>275774923.23533934</v>
      </c>
      <c r="BX70" s="16">
        <f t="shared" si="53"/>
        <v>305929442.34391809</v>
      </c>
      <c r="BY70" s="16">
        <f t="shared" si="53"/>
        <v>352327157.40998727</v>
      </c>
      <c r="BZ70" s="16">
        <f t="shared" si="53"/>
        <v>410220086.29859155</v>
      </c>
      <c r="CA70" s="16">
        <f t="shared" si="53"/>
        <v>514893021.34033293</v>
      </c>
      <c r="CB70" s="16">
        <f t="shared" si="53"/>
        <v>514893021.34033293</v>
      </c>
      <c r="CC70" s="16">
        <f t="shared" si="53"/>
        <v>0</v>
      </c>
      <c r="CD70" s="16">
        <f t="shared" si="53"/>
        <v>5477717.4293174194</v>
      </c>
      <c r="CE70" s="16">
        <f t="shared" si="53"/>
        <v>74782946.549048871</v>
      </c>
      <c r="CF70" s="16">
        <f t="shared" si="53"/>
        <v>109958408.17754571</v>
      </c>
      <c r="CG70" s="16">
        <f t="shared" si="53"/>
        <v>146238375.24729577</v>
      </c>
      <c r="CH70" s="16">
        <f t="shared" si="53"/>
        <v>179877876.0156658</v>
      </c>
      <c r="CI70" s="16">
        <f t="shared" si="53"/>
        <v>207221567.80305859</v>
      </c>
      <c r="CJ70" s="16">
        <f t="shared" si="53"/>
        <v>238916125.1033197</v>
      </c>
      <c r="CK70" s="16">
        <f t="shared" si="53"/>
        <v>279602204.42148453</v>
      </c>
      <c r="CL70" s="16">
        <f t="shared" si="53"/>
        <v>317561053.34278262</v>
      </c>
      <c r="CM70" s="16">
        <f t="shared" si="53"/>
        <v>379492266.24170095</v>
      </c>
      <c r="CN70" s="16">
        <f t="shared" si="53"/>
        <v>486916446.92875803</v>
      </c>
      <c r="CO70" s="16">
        <f t="shared" si="53"/>
        <v>486916446.92875803</v>
      </c>
      <c r="CP70" s="16">
        <f t="shared" si="53"/>
        <v>1555940.9860788861</v>
      </c>
      <c r="CQ70" s="16">
        <f t="shared" si="53"/>
        <v>29413501.809744768</v>
      </c>
      <c r="CR70" s="16">
        <f t="shared" si="53"/>
        <v>89468734.861252874</v>
      </c>
      <c r="CS70" s="16">
        <f t="shared" si="53"/>
        <v>147788181.41763338</v>
      </c>
      <c r="CT70" s="16">
        <f t="shared" si="53"/>
        <v>186687555.30626446</v>
      </c>
      <c r="CU70" s="16">
        <f t="shared" ref="CU70:DZ70" si="54">SUM(CU52:CU69)</f>
        <v>225622897.53619483</v>
      </c>
      <c r="CV70" s="16">
        <f t="shared" si="54"/>
        <v>263765103.42737812</v>
      </c>
      <c r="CW70" s="16">
        <f t="shared" si="54"/>
        <v>305256976.28770286</v>
      </c>
      <c r="CX70" s="16">
        <f t="shared" si="54"/>
        <v>348666002.17308575</v>
      </c>
      <c r="CY70" s="16">
        <f t="shared" si="54"/>
        <v>398734309.71438503</v>
      </c>
      <c r="CZ70" s="16">
        <f t="shared" si="54"/>
        <v>445188555.02923423</v>
      </c>
      <c r="DA70" s="16">
        <f t="shared" si="54"/>
        <v>581851168.36705327</v>
      </c>
      <c r="DB70" s="16">
        <f t="shared" si="54"/>
        <v>581851168.36705327</v>
      </c>
      <c r="DC70" s="16">
        <f t="shared" si="54"/>
        <v>0</v>
      </c>
      <c r="DD70" s="16">
        <f t="shared" si="54"/>
        <v>17913096.636971511</v>
      </c>
      <c r="DE70" s="16">
        <f t="shared" si="54"/>
        <v>60626251.966464385</v>
      </c>
      <c r="DF70" s="16">
        <f t="shared" si="54"/>
        <v>96667322.491101786</v>
      </c>
      <c r="DG70" s="16">
        <f t="shared" si="54"/>
        <v>128121962.58368483</v>
      </c>
      <c r="DH70" s="16">
        <f t="shared" si="54"/>
        <v>161983507.97448829</v>
      </c>
      <c r="DI70" s="16">
        <f t="shared" si="54"/>
        <v>191146541.79755178</v>
      </c>
      <c r="DJ70" s="16">
        <f t="shared" si="54"/>
        <v>220827168.59808671</v>
      </c>
      <c r="DK70" s="16">
        <f t="shared" si="54"/>
        <v>256499995.49490803</v>
      </c>
      <c r="DL70" s="16">
        <f t="shared" si="54"/>
        <v>292463514.01111019</v>
      </c>
      <c r="DM70" s="16">
        <f t="shared" si="54"/>
        <v>331484551.28443593</v>
      </c>
      <c r="DN70" s="16">
        <f t="shared" si="54"/>
        <v>433196882.62318718</v>
      </c>
      <c r="DO70" s="16">
        <f t="shared" si="54"/>
        <v>433196882.62318718</v>
      </c>
      <c r="DP70" s="16">
        <f t="shared" si="54"/>
        <v>0</v>
      </c>
      <c r="DQ70" s="16">
        <f t="shared" si="54"/>
        <v>9868670.5207838472</v>
      </c>
      <c r="DR70" s="16">
        <f t="shared" si="54"/>
        <v>57835222.769002393</v>
      </c>
      <c r="DS70" s="16">
        <f t="shared" si="54"/>
        <v>91637906.173396692</v>
      </c>
      <c r="DT70" s="16">
        <f t="shared" si="54"/>
        <v>129202842.62173399</v>
      </c>
      <c r="DU70" s="16">
        <f t="shared" si="54"/>
        <v>159801075.34382421</v>
      </c>
      <c r="DV70" s="16">
        <f t="shared" si="54"/>
        <v>185302145.2357482</v>
      </c>
      <c r="DW70" s="16">
        <f t="shared" si="54"/>
        <v>214099841.49940619</v>
      </c>
      <c r="DX70" s="16">
        <f t="shared" si="54"/>
        <v>236348053.9008314</v>
      </c>
      <c r="DY70" s="16">
        <f t="shared" si="54"/>
        <v>262840750.20783848</v>
      </c>
      <c r="DZ70" s="16">
        <f t="shared" si="54"/>
        <v>296998288.55166268</v>
      </c>
      <c r="EA70" s="16">
        <f t="shared" ref="EA70:FF70" si="55">SUM(EA52:EA69)</f>
        <v>392587527.90855116</v>
      </c>
      <c r="EB70" s="16">
        <f t="shared" si="55"/>
        <v>392587527.90855116</v>
      </c>
      <c r="EC70" s="16">
        <f t="shared" si="55"/>
        <v>0</v>
      </c>
      <c r="ED70" s="16">
        <f t="shared" si="55"/>
        <v>10439007.842454076</v>
      </c>
      <c r="EE70" s="16">
        <f t="shared" si="55"/>
        <v>67363505.083128169</v>
      </c>
      <c r="EF70" s="16">
        <f t="shared" si="55"/>
        <v>120509180.77674678</v>
      </c>
      <c r="EG70" s="16">
        <f t="shared" si="55"/>
        <v>160148147.06324556</v>
      </c>
      <c r="EH70" s="16">
        <f t="shared" si="55"/>
        <v>192118436.15129703</v>
      </c>
      <c r="EI70" s="16">
        <f t="shared" si="55"/>
        <v>218063986.91100165</v>
      </c>
      <c r="EJ70" s="16">
        <f t="shared" si="55"/>
        <v>245735950.1514864</v>
      </c>
      <c r="EK70" s="16">
        <f t="shared" si="55"/>
        <v>275693783.20980871</v>
      </c>
      <c r="EL70" s="16">
        <f t="shared" si="55"/>
        <v>302950012.25373971</v>
      </c>
      <c r="EM70" s="16">
        <f t="shared" si="55"/>
        <v>332882907.50842637</v>
      </c>
      <c r="EN70" s="16">
        <f t="shared" si="55"/>
        <v>402108435.95266038</v>
      </c>
      <c r="EO70" s="16">
        <f t="shared" si="55"/>
        <v>402108435.95266038</v>
      </c>
      <c r="EP70" s="16">
        <f t="shared" si="55"/>
        <v>0</v>
      </c>
      <c r="EQ70" s="16">
        <f t="shared" si="55"/>
        <v>15961675</v>
      </c>
      <c r="ER70" s="16">
        <f t="shared" si="55"/>
        <v>75098688</v>
      </c>
      <c r="ES70" s="16">
        <f t="shared" si="55"/>
        <v>127209565</v>
      </c>
      <c r="ET70" s="16">
        <f t="shared" si="55"/>
        <v>165256720</v>
      </c>
      <c r="EU70" s="16">
        <f t="shared" si="55"/>
        <v>198246550</v>
      </c>
      <c r="EV70" s="16">
        <f t="shared" si="55"/>
        <v>234857305</v>
      </c>
      <c r="EW70" s="16">
        <f t="shared" si="55"/>
        <v>260653577</v>
      </c>
      <c r="EX70" s="16">
        <f t="shared" si="55"/>
        <v>286668116</v>
      </c>
      <c r="EY70" s="16">
        <f t="shared" si="55"/>
        <v>326400154</v>
      </c>
      <c r="EZ70" s="16">
        <f t="shared" si="55"/>
        <v>350774992</v>
      </c>
      <c r="FA70" s="16">
        <f t="shared" si="55"/>
        <v>423841945</v>
      </c>
      <c r="FB70" s="16">
        <f t="shared" si="55"/>
        <v>423841945</v>
      </c>
      <c r="FC70" s="16">
        <f t="shared" si="55"/>
        <v>204442</v>
      </c>
      <c r="FD70" s="16">
        <f t="shared" si="55"/>
        <v>20389701</v>
      </c>
      <c r="FE70" s="16">
        <f t="shared" si="55"/>
        <v>61056221</v>
      </c>
      <c r="FF70" s="16">
        <f t="shared" si="55"/>
        <v>87064052</v>
      </c>
      <c r="FG70" s="16">
        <f t="shared" ref="FG70:GL70" si="56">SUM(FG52:FG69)</f>
        <v>109327219</v>
      </c>
      <c r="FH70" s="16">
        <f t="shared" si="56"/>
        <v>134059355</v>
      </c>
      <c r="FI70" s="16">
        <f t="shared" si="56"/>
        <v>155690398</v>
      </c>
      <c r="FJ70" s="16">
        <f t="shared" si="56"/>
        <v>0</v>
      </c>
      <c r="FK70" s="16">
        <f t="shared" si="56"/>
        <v>0</v>
      </c>
      <c r="FL70" s="16">
        <f t="shared" si="56"/>
        <v>0</v>
      </c>
      <c r="FM70" s="16">
        <f t="shared" si="56"/>
        <v>0</v>
      </c>
      <c r="FN70" s="16">
        <f t="shared" si="56"/>
        <v>0</v>
      </c>
      <c r="FO70" s="16">
        <f t="shared" si="56"/>
        <v>155690398</v>
      </c>
    </row>
    <row r="71" spans="2:171" ht="14.25" customHeight="1" thickTop="1" x14ac:dyDescent="0.3"/>
    <row r="72" spans="2:171" ht="14.25" customHeight="1" x14ac:dyDescent="0.3"/>
    <row r="73" spans="2:171" ht="14.25" customHeight="1" x14ac:dyDescent="0.35">
      <c r="B73" s="3" t="s">
        <v>66</v>
      </c>
    </row>
    <row r="74" spans="2:171" ht="14.25" customHeight="1" x14ac:dyDescent="0.3">
      <c r="B74" s="4" t="s">
        <v>67</v>
      </c>
    </row>
    <row r="75" spans="2:171" ht="14.25" customHeight="1" x14ac:dyDescent="0.3">
      <c r="C75" s="33" t="s">
        <v>4</v>
      </c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3" t="s">
        <v>5</v>
      </c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3" t="s">
        <v>6</v>
      </c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3" t="s">
        <v>7</v>
      </c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3" t="s">
        <v>8</v>
      </c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3" t="s">
        <v>9</v>
      </c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3" t="s">
        <v>10</v>
      </c>
      <c r="CD75" s="34"/>
      <c r="CE75" s="34"/>
      <c r="CF75" s="34"/>
      <c r="CG75" s="34"/>
      <c r="CH75" s="34"/>
      <c r="CI75" s="34"/>
      <c r="CJ75" s="34"/>
      <c r="CK75" s="34"/>
      <c r="CL75" s="34"/>
      <c r="CM75" s="34"/>
      <c r="CN75" s="34"/>
      <c r="CO75" s="34"/>
      <c r="CP75" s="33" t="s">
        <v>11</v>
      </c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3" t="s">
        <v>12</v>
      </c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3" t="s">
        <v>13</v>
      </c>
      <c r="DQ75" s="34"/>
      <c r="DR75" s="34"/>
      <c r="DS75" s="34"/>
      <c r="DT75" s="34"/>
      <c r="DU75" s="34"/>
      <c r="DV75" s="34"/>
      <c r="DW75" s="34"/>
      <c r="DX75" s="34"/>
      <c r="DY75" s="34"/>
      <c r="DZ75" s="34"/>
      <c r="EA75" s="34"/>
      <c r="EB75" s="34"/>
      <c r="EC75" s="33" t="s">
        <v>14</v>
      </c>
      <c r="ED75" s="34"/>
      <c r="EE75" s="34"/>
      <c r="EF75" s="34"/>
      <c r="EG75" s="34"/>
      <c r="EH75" s="34"/>
      <c r="EI75" s="34"/>
      <c r="EJ75" s="34"/>
      <c r="EK75" s="34"/>
      <c r="EL75" s="34"/>
      <c r="EM75" s="34"/>
      <c r="EN75" s="34"/>
      <c r="EO75" s="34"/>
      <c r="EP75" s="33" t="s">
        <v>15</v>
      </c>
      <c r="EQ75" s="34"/>
      <c r="ER75" s="34"/>
      <c r="ES75" s="34"/>
      <c r="ET75" s="34"/>
      <c r="EU75" s="34"/>
      <c r="EV75" s="34"/>
      <c r="EW75" s="34"/>
      <c r="EX75" s="34"/>
      <c r="EY75" s="34"/>
      <c r="EZ75" s="34"/>
      <c r="FA75" s="34"/>
      <c r="FB75" s="34"/>
      <c r="FC75" s="33" t="s">
        <v>16</v>
      </c>
      <c r="FD75" s="34"/>
      <c r="FE75" s="34"/>
      <c r="FF75" s="34"/>
      <c r="FG75" s="34"/>
      <c r="FH75" s="34"/>
      <c r="FI75" s="34"/>
      <c r="FJ75" s="34"/>
      <c r="FK75" s="34"/>
      <c r="FL75" s="34"/>
      <c r="FM75" s="34"/>
      <c r="FN75" s="34"/>
      <c r="FO75" s="34"/>
    </row>
    <row r="76" spans="2:171" ht="14.25" customHeight="1" x14ac:dyDescent="0.3">
      <c r="B76" s="5" t="s">
        <v>17</v>
      </c>
      <c r="C76" s="6" t="s">
        <v>18</v>
      </c>
      <c r="D76" s="6" t="s">
        <v>19</v>
      </c>
      <c r="E76" s="6" t="s">
        <v>20</v>
      </c>
      <c r="F76" s="6" t="s">
        <v>21</v>
      </c>
      <c r="G76" s="6" t="s">
        <v>22</v>
      </c>
      <c r="H76" s="6" t="s">
        <v>23</v>
      </c>
      <c r="I76" s="6" t="s">
        <v>24</v>
      </c>
      <c r="J76" s="6" t="s">
        <v>25</v>
      </c>
      <c r="K76" s="6" t="s">
        <v>26</v>
      </c>
      <c r="L76" s="6" t="s">
        <v>27</v>
      </c>
      <c r="M76" s="6" t="s">
        <v>28</v>
      </c>
      <c r="N76" s="6" t="s">
        <v>29</v>
      </c>
      <c r="O76" s="6" t="s">
        <v>30</v>
      </c>
      <c r="P76" s="6" t="s">
        <v>18</v>
      </c>
      <c r="Q76" s="6" t="s">
        <v>19</v>
      </c>
      <c r="R76" s="6" t="s">
        <v>20</v>
      </c>
      <c r="S76" s="6" t="s">
        <v>21</v>
      </c>
      <c r="T76" s="6" t="s">
        <v>22</v>
      </c>
      <c r="U76" s="6" t="s">
        <v>23</v>
      </c>
      <c r="V76" s="6" t="s">
        <v>24</v>
      </c>
      <c r="W76" s="6" t="s">
        <v>25</v>
      </c>
      <c r="X76" s="6" t="s">
        <v>26</v>
      </c>
      <c r="Y76" s="6" t="s">
        <v>27</v>
      </c>
      <c r="Z76" s="6" t="s">
        <v>28</v>
      </c>
      <c r="AA76" s="6" t="s">
        <v>29</v>
      </c>
      <c r="AB76" s="6" t="s">
        <v>31</v>
      </c>
      <c r="AC76" s="6" t="s">
        <v>18</v>
      </c>
      <c r="AD76" s="6" t="s">
        <v>19</v>
      </c>
      <c r="AE76" s="6" t="s">
        <v>20</v>
      </c>
      <c r="AF76" s="6" t="s">
        <v>21</v>
      </c>
      <c r="AG76" s="6" t="s">
        <v>22</v>
      </c>
      <c r="AH76" s="6" t="s">
        <v>23</v>
      </c>
      <c r="AI76" s="6" t="s">
        <v>24</v>
      </c>
      <c r="AJ76" s="6" t="s">
        <v>25</v>
      </c>
      <c r="AK76" s="6" t="s">
        <v>26</v>
      </c>
      <c r="AL76" s="6" t="s">
        <v>27</v>
      </c>
      <c r="AM76" s="6" t="s">
        <v>28</v>
      </c>
      <c r="AN76" s="6" t="s">
        <v>29</v>
      </c>
      <c r="AO76" s="6" t="s">
        <v>32</v>
      </c>
      <c r="AP76" s="6" t="s">
        <v>18</v>
      </c>
      <c r="AQ76" s="6" t="s">
        <v>19</v>
      </c>
      <c r="AR76" s="6" t="s">
        <v>20</v>
      </c>
      <c r="AS76" s="6" t="s">
        <v>21</v>
      </c>
      <c r="AT76" s="6" t="s">
        <v>22</v>
      </c>
      <c r="AU76" s="6" t="s">
        <v>23</v>
      </c>
      <c r="AV76" s="6" t="s">
        <v>24</v>
      </c>
      <c r="AW76" s="6" t="s">
        <v>25</v>
      </c>
      <c r="AX76" s="6" t="s">
        <v>26</v>
      </c>
      <c r="AY76" s="6" t="s">
        <v>27</v>
      </c>
      <c r="AZ76" s="6" t="s">
        <v>28</v>
      </c>
      <c r="BA76" s="6" t="s">
        <v>29</v>
      </c>
      <c r="BB76" s="6" t="s">
        <v>33</v>
      </c>
      <c r="BC76" s="6" t="s">
        <v>18</v>
      </c>
      <c r="BD76" s="6" t="s">
        <v>19</v>
      </c>
      <c r="BE76" s="6" t="s">
        <v>20</v>
      </c>
      <c r="BF76" s="6" t="s">
        <v>21</v>
      </c>
      <c r="BG76" s="6" t="s">
        <v>22</v>
      </c>
      <c r="BH76" s="6" t="s">
        <v>23</v>
      </c>
      <c r="BI76" s="6" t="s">
        <v>24</v>
      </c>
      <c r="BJ76" s="6" t="s">
        <v>25</v>
      </c>
      <c r="BK76" s="6" t="s">
        <v>26</v>
      </c>
      <c r="BL76" s="6" t="s">
        <v>27</v>
      </c>
      <c r="BM76" s="6" t="s">
        <v>28</v>
      </c>
      <c r="BN76" s="6" t="s">
        <v>29</v>
      </c>
      <c r="BO76" s="6" t="s">
        <v>34</v>
      </c>
      <c r="BP76" s="6" t="s">
        <v>18</v>
      </c>
      <c r="BQ76" s="6" t="s">
        <v>19</v>
      </c>
      <c r="BR76" s="6" t="s">
        <v>20</v>
      </c>
      <c r="BS76" s="6" t="s">
        <v>21</v>
      </c>
      <c r="BT76" s="6" t="s">
        <v>22</v>
      </c>
      <c r="BU76" s="6" t="s">
        <v>23</v>
      </c>
      <c r="BV76" s="6" t="s">
        <v>24</v>
      </c>
      <c r="BW76" s="6" t="s">
        <v>25</v>
      </c>
      <c r="BX76" s="6" t="s">
        <v>26</v>
      </c>
      <c r="BY76" s="6" t="s">
        <v>27</v>
      </c>
      <c r="BZ76" s="6" t="s">
        <v>28</v>
      </c>
      <c r="CA76" s="6" t="s">
        <v>29</v>
      </c>
      <c r="CB76" s="6" t="s">
        <v>35</v>
      </c>
      <c r="CC76" s="6" t="s">
        <v>18</v>
      </c>
      <c r="CD76" s="6" t="s">
        <v>19</v>
      </c>
      <c r="CE76" s="6" t="s">
        <v>20</v>
      </c>
      <c r="CF76" s="6" t="s">
        <v>21</v>
      </c>
      <c r="CG76" s="6" t="s">
        <v>22</v>
      </c>
      <c r="CH76" s="6" t="s">
        <v>23</v>
      </c>
      <c r="CI76" s="6" t="s">
        <v>24</v>
      </c>
      <c r="CJ76" s="6" t="s">
        <v>25</v>
      </c>
      <c r="CK76" s="6" t="s">
        <v>26</v>
      </c>
      <c r="CL76" s="6" t="s">
        <v>27</v>
      </c>
      <c r="CM76" s="6" t="s">
        <v>28</v>
      </c>
      <c r="CN76" s="6" t="s">
        <v>29</v>
      </c>
      <c r="CO76" s="6" t="s">
        <v>36</v>
      </c>
      <c r="CP76" s="6" t="s">
        <v>18</v>
      </c>
      <c r="CQ76" s="6" t="s">
        <v>19</v>
      </c>
      <c r="CR76" s="6" t="s">
        <v>20</v>
      </c>
      <c r="CS76" s="6" t="s">
        <v>21</v>
      </c>
      <c r="CT76" s="6" t="s">
        <v>22</v>
      </c>
      <c r="CU76" s="6" t="s">
        <v>23</v>
      </c>
      <c r="CV76" s="6" t="s">
        <v>24</v>
      </c>
      <c r="CW76" s="6" t="s">
        <v>25</v>
      </c>
      <c r="CX76" s="6" t="s">
        <v>26</v>
      </c>
      <c r="CY76" s="6" t="s">
        <v>27</v>
      </c>
      <c r="CZ76" s="6" t="s">
        <v>28</v>
      </c>
      <c r="DA76" s="6" t="s">
        <v>29</v>
      </c>
      <c r="DB76" s="6" t="s">
        <v>37</v>
      </c>
      <c r="DC76" s="6" t="s">
        <v>18</v>
      </c>
      <c r="DD76" s="6" t="s">
        <v>19</v>
      </c>
      <c r="DE76" s="6" t="s">
        <v>20</v>
      </c>
      <c r="DF76" s="6" t="s">
        <v>21</v>
      </c>
      <c r="DG76" s="6" t="s">
        <v>22</v>
      </c>
      <c r="DH76" s="6" t="s">
        <v>23</v>
      </c>
      <c r="DI76" s="6" t="s">
        <v>24</v>
      </c>
      <c r="DJ76" s="6" t="s">
        <v>25</v>
      </c>
      <c r="DK76" s="6" t="s">
        <v>26</v>
      </c>
      <c r="DL76" s="6" t="s">
        <v>27</v>
      </c>
      <c r="DM76" s="6" t="s">
        <v>28</v>
      </c>
      <c r="DN76" s="6" t="s">
        <v>29</v>
      </c>
      <c r="DO76" s="6" t="s">
        <v>38</v>
      </c>
      <c r="DP76" s="6" t="s">
        <v>18</v>
      </c>
      <c r="DQ76" s="6" t="s">
        <v>19</v>
      </c>
      <c r="DR76" s="6" t="s">
        <v>20</v>
      </c>
      <c r="DS76" s="6" t="s">
        <v>21</v>
      </c>
      <c r="DT76" s="6" t="s">
        <v>22</v>
      </c>
      <c r="DU76" s="6" t="s">
        <v>23</v>
      </c>
      <c r="DV76" s="6" t="s">
        <v>24</v>
      </c>
      <c r="DW76" s="6" t="s">
        <v>25</v>
      </c>
      <c r="DX76" s="6" t="s">
        <v>26</v>
      </c>
      <c r="DY76" s="6" t="s">
        <v>27</v>
      </c>
      <c r="DZ76" s="6" t="s">
        <v>28</v>
      </c>
      <c r="EA76" s="6" t="s">
        <v>29</v>
      </c>
      <c r="EB76" s="6" t="s">
        <v>39</v>
      </c>
      <c r="EC76" s="6" t="s">
        <v>18</v>
      </c>
      <c r="ED76" s="6" t="s">
        <v>19</v>
      </c>
      <c r="EE76" s="6" t="s">
        <v>20</v>
      </c>
      <c r="EF76" s="6" t="s">
        <v>21</v>
      </c>
      <c r="EG76" s="6" t="s">
        <v>22</v>
      </c>
      <c r="EH76" s="6" t="s">
        <v>23</v>
      </c>
      <c r="EI76" s="6" t="s">
        <v>24</v>
      </c>
      <c r="EJ76" s="6" t="s">
        <v>25</v>
      </c>
      <c r="EK76" s="6" t="s">
        <v>26</v>
      </c>
      <c r="EL76" s="6" t="s">
        <v>27</v>
      </c>
      <c r="EM76" s="6" t="s">
        <v>28</v>
      </c>
      <c r="EN76" s="6" t="s">
        <v>29</v>
      </c>
      <c r="EO76" s="6" t="s">
        <v>40</v>
      </c>
      <c r="EP76" s="6" t="s">
        <v>18</v>
      </c>
      <c r="EQ76" s="6" t="s">
        <v>19</v>
      </c>
      <c r="ER76" s="6" t="s">
        <v>20</v>
      </c>
      <c r="ES76" s="6" t="s">
        <v>21</v>
      </c>
      <c r="ET76" s="6" t="s">
        <v>22</v>
      </c>
      <c r="EU76" s="6" t="s">
        <v>23</v>
      </c>
      <c r="EV76" s="6" t="s">
        <v>24</v>
      </c>
      <c r="EW76" s="6" t="s">
        <v>25</v>
      </c>
      <c r="EX76" s="6" t="s">
        <v>26</v>
      </c>
      <c r="EY76" s="6" t="s">
        <v>27</v>
      </c>
      <c r="EZ76" s="6" t="s">
        <v>28</v>
      </c>
      <c r="FA76" s="6" t="s">
        <v>29</v>
      </c>
      <c r="FB76" s="6" t="s">
        <v>41</v>
      </c>
      <c r="FC76" s="6" t="s">
        <v>18</v>
      </c>
      <c r="FD76" s="6" t="s">
        <v>19</v>
      </c>
      <c r="FE76" s="6" t="s">
        <v>20</v>
      </c>
      <c r="FF76" s="6" t="s">
        <v>21</v>
      </c>
      <c r="FG76" s="6" t="s">
        <v>22</v>
      </c>
      <c r="FH76" s="6" t="s">
        <v>23</v>
      </c>
      <c r="FI76" s="6" t="s">
        <v>24</v>
      </c>
      <c r="FJ76" s="6" t="s">
        <v>25</v>
      </c>
      <c r="FK76" s="6" t="s">
        <v>26</v>
      </c>
      <c r="FL76" s="6" t="s">
        <v>27</v>
      </c>
      <c r="FM76" s="6" t="s">
        <v>28</v>
      </c>
      <c r="FN76" s="6" t="s">
        <v>29</v>
      </c>
      <c r="FO76" s="6" t="s">
        <v>42</v>
      </c>
    </row>
    <row r="77" spans="2:171" ht="14.25" customHeight="1" x14ac:dyDescent="0.3">
      <c r="B77" s="7" t="s">
        <v>43</v>
      </c>
      <c r="C77" s="8">
        <f>+MINVU_Mes_Corriente!C77*MINVU_Mes_Constante!$C$1</f>
        <v>6690108.2473676419</v>
      </c>
      <c r="D77" s="8">
        <f>+MINVU_Mes_Corriente!D77*MINVU_Mes_Constante!$C$1</f>
        <v>6690108.2473676419</v>
      </c>
      <c r="E77" s="8">
        <f>+MINVU_Mes_Corriente!E77*MINVU_Mes_Constante!$C$1</f>
        <v>25759615.926442239</v>
      </c>
      <c r="F77" s="8">
        <f>+MINVU_Mes_Corriente!F77*MINVU_Mes_Constante!$C$1</f>
        <v>25759615.926442239</v>
      </c>
      <c r="G77" s="8">
        <f>+MINVU_Mes_Corriente!G77*MINVU_Mes_Constante!$C$1</f>
        <v>25759615.926442239</v>
      </c>
      <c r="H77" s="8">
        <f>+MINVU_Mes_Corriente!H77*MINVU_Mes_Constante!$C$1</f>
        <v>25759615.926442239</v>
      </c>
      <c r="I77" s="8">
        <f>+MINVU_Mes_Corriente!I77*MINVU_Mes_Constante!$C$1</f>
        <v>25759615.926442239</v>
      </c>
      <c r="J77" s="8">
        <f>+MINVU_Mes_Corriente!J77*MINVU_Mes_Constante!$C$1</f>
        <v>25759615.926442239</v>
      </c>
      <c r="K77" s="8">
        <f>+MINVU_Mes_Corriente!K77*MINVU_Mes_Constante!$C$1</f>
        <v>25759615.926442239</v>
      </c>
      <c r="L77" s="8">
        <f>+MINVU_Mes_Corriente!L77*MINVU_Mes_Constante!$C$1</f>
        <v>25759615.926442239</v>
      </c>
      <c r="M77" s="8">
        <f>+MINVU_Mes_Corriente!M77*MINVU_Mes_Constante!$C$1</f>
        <v>25759615.926442239</v>
      </c>
      <c r="N77" s="8">
        <f>+MINVU_Mes_Corriente!N77*MINVU_Mes_Constante!$C$1</f>
        <v>25759615.926442239</v>
      </c>
      <c r="O77" s="9">
        <f t="shared" ref="O77:O94" si="57">N77</f>
        <v>25759615.926442239</v>
      </c>
      <c r="P77" s="8">
        <f>+MINVU_Mes_Corriente!P77*MINVU_Mes_Constante!$P$1</f>
        <v>7285374.2224747809</v>
      </c>
      <c r="Q77" s="8">
        <f>+MINVU_Mes_Corriente!Q77*MINVU_Mes_Constante!$P$1</f>
        <v>7285374.2224747809</v>
      </c>
      <c r="R77" s="8">
        <f>+MINVU_Mes_Corriente!R77*MINVU_Mes_Constante!$P$1</f>
        <v>7285374.2224747809</v>
      </c>
      <c r="S77" s="8">
        <f>+MINVU_Mes_Corriente!S77*MINVU_Mes_Constante!$P$1</f>
        <v>7285374.2224747809</v>
      </c>
      <c r="T77" s="8">
        <f>+MINVU_Mes_Corriente!T77*MINVU_Mes_Constante!$P$1</f>
        <v>7285374.2224747809</v>
      </c>
      <c r="U77" s="8">
        <f>+MINVU_Mes_Corriente!U77*MINVU_Mes_Constante!$P$1</f>
        <v>7285374.2224747809</v>
      </c>
      <c r="V77" s="8">
        <f>+MINVU_Mes_Corriente!V77*MINVU_Mes_Constante!$P$1</f>
        <v>7285374.2224747809</v>
      </c>
      <c r="W77" s="8">
        <f>+MINVU_Mes_Corriente!W77*MINVU_Mes_Constante!$P$1</f>
        <v>7285374.2224747809</v>
      </c>
      <c r="X77" s="8">
        <f>+MINVU_Mes_Corriente!X77*MINVU_Mes_Constante!$P$1</f>
        <v>7285374.2224747809</v>
      </c>
      <c r="Y77" s="8">
        <f>+MINVU_Mes_Corriente!Y77*MINVU_Mes_Constante!$P$1</f>
        <v>7285374.2224747809</v>
      </c>
      <c r="Z77" s="8">
        <f>+MINVU_Mes_Corriente!Z77*MINVU_Mes_Constante!$P$1</f>
        <v>7285374.2224747809</v>
      </c>
      <c r="AA77" s="8">
        <f>+MINVU_Mes_Corriente!AA77*MINVU_Mes_Constante!$P$1</f>
        <v>7285374.2224747809</v>
      </c>
      <c r="AB77" s="9">
        <f t="shared" ref="AB77:AB94" si="58">AA77</f>
        <v>7285374.2224747809</v>
      </c>
      <c r="AC77" s="8">
        <f>+MINVU_Mes_Corriente!AC77*MINVU_Mes_Constante!$AC$1</f>
        <v>5911173.0634942595</v>
      </c>
      <c r="AD77" s="8">
        <f>+MINVU_Mes_Corriente!AD77*MINVU_Mes_Constante!$AC$1</f>
        <v>5911173.0634942595</v>
      </c>
      <c r="AE77" s="8">
        <f>+MINVU_Mes_Corriente!AE77*MINVU_Mes_Constante!$AC$1</f>
        <v>5911173.0634942595</v>
      </c>
      <c r="AF77" s="8">
        <f>+MINVU_Mes_Corriente!AF77*MINVU_Mes_Constante!$AC$1</f>
        <v>5911173.0634942595</v>
      </c>
      <c r="AG77" s="8">
        <f>+MINVU_Mes_Corriente!AG77*MINVU_Mes_Constante!$AC$1</f>
        <v>5911173.0634942595</v>
      </c>
      <c r="AH77" s="8">
        <f>+MINVU_Mes_Corriente!AH77*MINVU_Mes_Constante!$AC$1</f>
        <v>5911173.0634942595</v>
      </c>
      <c r="AI77" s="8">
        <f>+MINVU_Mes_Corriente!AI77*MINVU_Mes_Constante!$AC$1</f>
        <v>5911173.0634942595</v>
      </c>
      <c r="AJ77" s="8">
        <f>+MINVU_Mes_Corriente!AJ77*MINVU_Mes_Constante!$AC$1</f>
        <v>5911173.0634942595</v>
      </c>
      <c r="AK77" s="8">
        <f>+MINVU_Mes_Corriente!AK77*MINVU_Mes_Constante!$AC$1</f>
        <v>5911173.0634942595</v>
      </c>
      <c r="AL77" s="8">
        <f>+MINVU_Mes_Corriente!AL77*MINVU_Mes_Constante!$AC$1</f>
        <v>5911173.0634942595</v>
      </c>
      <c r="AM77" s="8">
        <f>+MINVU_Mes_Corriente!AM77*MINVU_Mes_Constante!$AC$1</f>
        <v>5911173.0634942595</v>
      </c>
      <c r="AN77" s="8">
        <f>+MINVU_Mes_Corriente!AN77*MINVU_Mes_Constante!$AC$1</f>
        <v>5911173.0634942595</v>
      </c>
      <c r="AO77" s="9">
        <f t="shared" ref="AO77:AO94" si="59">AN77</f>
        <v>5911173.0634942595</v>
      </c>
      <c r="AP77" s="8">
        <f>+MINVU_Mes_Corriente!AP77*MINVU_Mes_Constante!$AP$1</f>
        <v>6487627.6588664949</v>
      </c>
      <c r="AQ77" s="8">
        <f>+MINVU_Mes_Corriente!AQ77*MINVU_Mes_Constante!$AP$1</f>
        <v>6487627.6588664949</v>
      </c>
      <c r="AR77" s="8">
        <f>+MINVU_Mes_Corriente!AR77*MINVU_Mes_Constante!$AP$1</f>
        <v>6487627.6588664949</v>
      </c>
      <c r="AS77" s="8">
        <f>+MINVU_Mes_Corriente!AS77*MINVU_Mes_Constante!$AP$1</f>
        <v>6487627.6588664949</v>
      </c>
      <c r="AT77" s="8">
        <f>+MINVU_Mes_Corriente!AT77*MINVU_Mes_Constante!$AP$1</f>
        <v>6487627.6588664949</v>
      </c>
      <c r="AU77" s="8">
        <f>+MINVU_Mes_Corriente!AU77*MINVU_Mes_Constante!$AP$1</f>
        <v>6487627.6588664949</v>
      </c>
      <c r="AV77" s="8">
        <f>+MINVU_Mes_Corriente!AV77*MINVU_Mes_Constante!$AP$1</f>
        <v>6487627.6588664949</v>
      </c>
      <c r="AW77" s="8">
        <f>+MINVU_Mes_Corriente!AW77*MINVU_Mes_Constante!$AP$1</f>
        <v>6487627.6588664949</v>
      </c>
      <c r="AX77" s="8">
        <f>+MINVU_Mes_Corriente!AX77*MINVU_Mes_Constante!$AP$1</f>
        <v>6487627.6588664949</v>
      </c>
      <c r="AY77" s="8">
        <f>+MINVU_Mes_Corriente!AY77*MINVU_Mes_Constante!$AP$1</f>
        <v>6487627.6588664949</v>
      </c>
      <c r="AZ77" s="8">
        <f>+MINVU_Mes_Corriente!AZ77*MINVU_Mes_Constante!$AP$1</f>
        <v>6487627.6588664949</v>
      </c>
      <c r="BA77" s="8">
        <f>+MINVU_Mes_Corriente!BA77*MINVU_Mes_Constante!$AP$1</f>
        <v>6487627.6588664949</v>
      </c>
      <c r="BB77" s="9">
        <f t="shared" ref="BB77:BB94" si="60">BA77</f>
        <v>6487627.6588664949</v>
      </c>
      <c r="BC77" s="8">
        <f>+MINVU_Mes_Corriente!BC77*MINVU_Mes_Constante!$BC$1</f>
        <v>6503768.1395226177</v>
      </c>
      <c r="BD77" s="8">
        <f>+MINVU_Mes_Corriente!BD77*MINVU_Mes_Constante!$BC$1</f>
        <v>6503768.1395226177</v>
      </c>
      <c r="BE77" s="8">
        <f>+MINVU_Mes_Corriente!BE77*MINVU_Mes_Constante!$BC$1</f>
        <v>6503768.1395226177</v>
      </c>
      <c r="BF77" s="8">
        <f>+MINVU_Mes_Corriente!BF77*MINVU_Mes_Constante!$BC$1</f>
        <v>6503768.1395226177</v>
      </c>
      <c r="BG77" s="8">
        <f>+MINVU_Mes_Corriente!BG77*MINVU_Mes_Constante!$BC$1</f>
        <v>6503768.1395226177</v>
      </c>
      <c r="BH77" s="8">
        <f>+MINVU_Mes_Corriente!BH77*MINVU_Mes_Constante!$BC$1</f>
        <v>6503768.1395226177</v>
      </c>
      <c r="BI77" s="8">
        <f>+MINVU_Mes_Corriente!BI77*MINVU_Mes_Constante!$BC$1</f>
        <v>6503768.1395226177</v>
      </c>
      <c r="BJ77" s="8">
        <f>+MINVU_Mes_Corriente!BJ77*MINVU_Mes_Constante!$BC$1</f>
        <v>6503768.1395226177</v>
      </c>
      <c r="BK77" s="8">
        <f>+MINVU_Mes_Corriente!BK77*MINVU_Mes_Constante!$BC$1</f>
        <v>6503768.1395226177</v>
      </c>
      <c r="BL77" s="8">
        <f>+MINVU_Mes_Corriente!BL77*MINVU_Mes_Constante!$BC$1</f>
        <v>6503768.1395226177</v>
      </c>
      <c r="BM77" s="8">
        <f>+MINVU_Mes_Corriente!BM77*MINVU_Mes_Constante!$BC$1</f>
        <v>6503768.1395226177</v>
      </c>
      <c r="BN77" s="8">
        <f>+MINVU_Mes_Corriente!BN77*MINVU_Mes_Constante!$BC$1</f>
        <v>6503768.1395226177</v>
      </c>
      <c r="BO77" s="9">
        <f t="shared" ref="BO77:BO94" si="61">BN77</f>
        <v>6503768.1395226177</v>
      </c>
      <c r="BP77" s="8">
        <f>+MINVU_Mes_Corriente!BP77*MINVU_Mes_Constante!$BP$1</f>
        <v>5869634.6627400778</v>
      </c>
      <c r="BQ77" s="8">
        <f>+MINVU_Mes_Corriente!BQ77*MINVU_Mes_Constante!$BP$1</f>
        <v>5869634.6627400778</v>
      </c>
      <c r="BR77" s="8">
        <f>+MINVU_Mes_Corriente!BR77*MINVU_Mes_Constante!$BP$1</f>
        <v>5869634.6627400778</v>
      </c>
      <c r="BS77" s="8">
        <f>+MINVU_Mes_Corriente!BS77*MINVU_Mes_Constante!$BP$1</f>
        <v>5869634.6627400778</v>
      </c>
      <c r="BT77" s="8">
        <f>+MINVU_Mes_Corriente!BT77*MINVU_Mes_Constante!$BP$1</f>
        <v>5869634.6627400778</v>
      </c>
      <c r="BU77" s="8">
        <f>+MINVU_Mes_Corriente!BU77*MINVU_Mes_Constante!$BP$1</f>
        <v>5869634.6627400778</v>
      </c>
      <c r="BV77" s="8">
        <f>+MINVU_Mes_Corriente!BV77*MINVU_Mes_Constante!$BP$1</f>
        <v>5869634.6627400778</v>
      </c>
      <c r="BW77" s="8">
        <f>+MINVU_Mes_Corriente!BW77*MINVU_Mes_Constante!$BP$1</f>
        <v>5869634.6627400778</v>
      </c>
      <c r="BX77" s="8">
        <f>+MINVU_Mes_Corriente!BX77*MINVU_Mes_Constante!$BP$1</f>
        <v>5869634.6627400778</v>
      </c>
      <c r="BY77" s="8">
        <f>+MINVU_Mes_Corriente!BY77*MINVU_Mes_Constante!$BP$1</f>
        <v>5869634.6627400778</v>
      </c>
      <c r="BZ77" s="8">
        <f>+MINVU_Mes_Corriente!BZ77*MINVU_Mes_Constante!$BP$1</f>
        <v>5869634.6627400778</v>
      </c>
      <c r="CA77" s="8">
        <f>+MINVU_Mes_Corriente!CA77*MINVU_Mes_Constante!$BP$1</f>
        <v>5869634.6627400778</v>
      </c>
      <c r="CB77" s="9">
        <f t="shared" ref="CB77:CB94" si="62">CA77</f>
        <v>5869634.6627400778</v>
      </c>
      <c r="CC77" s="8">
        <f>+MINVU_Mes_Corriente!CC77*MINVU_Mes_Constante!$CC$1</f>
        <v>6498393.0234986953</v>
      </c>
      <c r="CD77" s="8">
        <f>+MINVU_Mes_Corriente!CD77*MINVU_Mes_Constante!$CC$1</f>
        <v>6498393.0234986953</v>
      </c>
      <c r="CE77" s="8">
        <f>+MINVU_Mes_Corriente!CE77*MINVU_Mes_Constante!$CC$1</f>
        <v>6498393.0234986953</v>
      </c>
      <c r="CF77" s="8">
        <f>+MINVU_Mes_Corriente!CF77*MINVU_Mes_Constante!$CC$1</f>
        <v>6498393.0234986953</v>
      </c>
      <c r="CG77" s="8">
        <f>+MINVU_Mes_Corriente!CG77*MINVU_Mes_Constante!$CC$1</f>
        <v>6498393.0234986953</v>
      </c>
      <c r="CH77" s="8">
        <f>+MINVU_Mes_Corriente!CH77*MINVU_Mes_Constante!$CC$1</f>
        <v>6498393.0234986953</v>
      </c>
      <c r="CI77" s="8">
        <f>+MINVU_Mes_Corriente!CI77*MINVU_Mes_Constante!$CC$1</f>
        <v>6498393.0234986953</v>
      </c>
      <c r="CJ77" s="8">
        <f>+MINVU_Mes_Corriente!CJ77*MINVU_Mes_Constante!$CC$1</f>
        <v>6498393.0234986953</v>
      </c>
      <c r="CK77" s="8">
        <f>+MINVU_Mes_Corriente!CK77*MINVU_Mes_Constante!$CC$1</f>
        <v>6498393.0234986953</v>
      </c>
      <c r="CL77" s="8">
        <f>+MINVU_Mes_Corriente!CL77*MINVU_Mes_Constante!$CC$1</f>
        <v>6498393.0234986953</v>
      </c>
      <c r="CM77" s="8">
        <f>+MINVU_Mes_Corriente!CM77*MINVU_Mes_Constante!$CC$1</f>
        <v>6498393.0234986953</v>
      </c>
      <c r="CN77" s="8">
        <f>+MINVU_Mes_Corriente!CN77*MINVU_Mes_Constante!$CC$1</f>
        <v>6498393.0234986953</v>
      </c>
      <c r="CO77" s="9">
        <f t="shared" ref="CO77:CO94" si="63">CN77</f>
        <v>6498393.0234986953</v>
      </c>
      <c r="CP77" s="8">
        <f>+MINVU_Mes_Corriente!CP77*MINVU_Mes_Constante!$CP$1</f>
        <v>4916838.1593967509</v>
      </c>
      <c r="CQ77" s="8">
        <f>+MINVU_Mes_Corriente!CQ77*MINVU_Mes_Constante!$CP$1</f>
        <v>4916838.1593967509</v>
      </c>
      <c r="CR77" s="8">
        <f>+MINVU_Mes_Corriente!CR77*MINVU_Mes_Constante!$CP$1</f>
        <v>4916838.1593967509</v>
      </c>
      <c r="CS77" s="8">
        <f>+MINVU_Mes_Corriente!CS77*MINVU_Mes_Constante!$CP$1</f>
        <v>4916838.1593967509</v>
      </c>
      <c r="CT77" s="8">
        <f>+MINVU_Mes_Corriente!CT77*MINVU_Mes_Constante!$CP$1</f>
        <v>4916838.1593967509</v>
      </c>
      <c r="CU77" s="8">
        <f>+MINVU_Mes_Corriente!CU77*MINVU_Mes_Constante!$CP$1</f>
        <v>4916838.1593967509</v>
      </c>
      <c r="CV77" s="8">
        <f>+MINVU_Mes_Corriente!CV77*MINVU_Mes_Constante!$CP$1</f>
        <v>4916838.1593967509</v>
      </c>
      <c r="CW77" s="8">
        <f>+MINVU_Mes_Corriente!CW77*MINVU_Mes_Constante!$CP$1</f>
        <v>4916838.1593967509</v>
      </c>
      <c r="CX77" s="8">
        <f>+MINVU_Mes_Corriente!CX77*MINVU_Mes_Constante!$CP$1</f>
        <v>4916838.1593967509</v>
      </c>
      <c r="CY77" s="8">
        <f>+MINVU_Mes_Corriente!CY77*MINVU_Mes_Constante!$CP$1</f>
        <v>4916838.1593967509</v>
      </c>
      <c r="CZ77" s="8">
        <f>+MINVU_Mes_Corriente!CZ77*MINVU_Mes_Constante!$CP$1</f>
        <v>4916838.1593967509</v>
      </c>
      <c r="DA77" s="8">
        <f>+MINVU_Mes_Corriente!DA77*MINVU_Mes_Constante!$CP$1</f>
        <v>4916838.1593967509</v>
      </c>
      <c r="DB77" s="9">
        <f t="shared" ref="DB77:DB94" si="64">DA77</f>
        <v>4916838.1593967509</v>
      </c>
      <c r="DC77" s="8">
        <f>+MINVU_Mes_Corriente!DC77*MINVU_Mes_Constante!$DC$1</f>
        <v>4133339.1815656847</v>
      </c>
      <c r="DD77" s="8">
        <f>+MINVU_Mes_Corriente!DD77*MINVU_Mes_Constante!$DC$1</f>
        <v>4133339.1815656847</v>
      </c>
      <c r="DE77" s="8">
        <f>+MINVU_Mes_Corriente!DE77*MINVU_Mes_Constante!$DC$1</f>
        <v>4133339.1815656847</v>
      </c>
      <c r="DF77" s="8">
        <f>+MINVU_Mes_Corriente!DF77*MINVU_Mes_Constante!$DC$1</f>
        <v>4133339.1815656847</v>
      </c>
      <c r="DG77" s="8">
        <f>+MINVU_Mes_Corriente!DG77*MINVU_Mes_Constante!$DC$1</f>
        <v>4133339.1815656847</v>
      </c>
      <c r="DH77" s="8">
        <f>+MINVU_Mes_Corriente!DH77*MINVU_Mes_Constante!$DC$1</f>
        <v>4133339.1815656847</v>
      </c>
      <c r="DI77" s="8">
        <f>+MINVU_Mes_Corriente!DI77*MINVU_Mes_Constante!$DC$1</f>
        <v>4133339.1815656847</v>
      </c>
      <c r="DJ77" s="8">
        <f>+MINVU_Mes_Corriente!DJ77*MINVU_Mes_Constante!$DC$1</f>
        <v>4133339.1815656847</v>
      </c>
      <c r="DK77" s="8">
        <f>+MINVU_Mes_Corriente!DK77*MINVU_Mes_Constante!$DC$1</f>
        <v>4133339.1815656847</v>
      </c>
      <c r="DL77" s="8">
        <f>+MINVU_Mes_Corriente!DL77*MINVU_Mes_Constante!$DC$1</f>
        <v>4133339.1815656847</v>
      </c>
      <c r="DM77" s="8">
        <f>+MINVU_Mes_Corriente!DM77*MINVU_Mes_Constante!$DC$1</f>
        <v>4133339.1815656847</v>
      </c>
      <c r="DN77" s="8">
        <f>+MINVU_Mes_Corriente!DN77*MINVU_Mes_Constante!$DC$1</f>
        <v>4133339.1815656847</v>
      </c>
      <c r="DO77" s="9">
        <f t="shared" ref="DO77:DO94" si="65">DN77</f>
        <v>4133339.1815656847</v>
      </c>
      <c r="DP77" s="8">
        <f>+MINVU_Mes_Corriente!DP77*MINVU_Mes_Constante!$DP$1</f>
        <v>4463316.4168646084</v>
      </c>
      <c r="DQ77" s="8">
        <f>+MINVU_Mes_Corriente!DQ77*MINVU_Mes_Constante!$DP$1</f>
        <v>4463316.4168646084</v>
      </c>
      <c r="DR77" s="8">
        <f>+MINVU_Mes_Corriente!DR77*MINVU_Mes_Constante!$DP$1</f>
        <v>4463316.4168646084</v>
      </c>
      <c r="DS77" s="8">
        <f>+MINVU_Mes_Corriente!DS77*MINVU_Mes_Constante!$DP$1</f>
        <v>4463316.4168646084</v>
      </c>
      <c r="DT77" s="8">
        <f>+MINVU_Mes_Corriente!DT77*MINVU_Mes_Constante!$DP$1</f>
        <v>4463316.4168646084</v>
      </c>
      <c r="DU77" s="8">
        <f>+MINVU_Mes_Corriente!DU77*MINVU_Mes_Constante!$DP$1</f>
        <v>4463316.4168646084</v>
      </c>
      <c r="DV77" s="8">
        <f>+MINVU_Mes_Corriente!DV77*MINVU_Mes_Constante!$DP$1</f>
        <v>4463316.4168646084</v>
      </c>
      <c r="DW77" s="8">
        <f>+MINVU_Mes_Corriente!DW77*MINVU_Mes_Constante!$DP$1</f>
        <v>4463316.4168646084</v>
      </c>
      <c r="DX77" s="8">
        <f>+MINVU_Mes_Corriente!DX77*MINVU_Mes_Constante!$DP$1</f>
        <v>4463316.4168646084</v>
      </c>
      <c r="DY77" s="8">
        <f>+MINVU_Mes_Corriente!DY77*MINVU_Mes_Constante!$DP$1</f>
        <v>4463316.4168646084</v>
      </c>
      <c r="DZ77" s="8">
        <f>+MINVU_Mes_Corriente!DZ77*MINVU_Mes_Constante!$DP$1</f>
        <v>4463316.4168646084</v>
      </c>
      <c r="EA77" s="8">
        <f>+MINVU_Mes_Corriente!EA77*MINVU_Mes_Constante!$DP$1</f>
        <v>4463316.4168646084</v>
      </c>
      <c r="EB77" s="9">
        <f t="shared" ref="EB77:EB94" si="66">EA77</f>
        <v>4463316.4168646084</v>
      </c>
      <c r="EC77" s="8">
        <f>+MINVU_Mes_Corriente!EC77*MINVU_Mes_Constante!$EC$1</f>
        <v>31731903.257337615</v>
      </c>
      <c r="ED77" s="8">
        <f>+MINVU_Mes_Corriente!ED77*MINVU_Mes_Constante!$EC$1</f>
        <v>31731903.257337615</v>
      </c>
      <c r="EE77" s="8">
        <f>+MINVU_Mes_Corriente!EE77*MINVU_Mes_Constante!$EC$1</f>
        <v>31731903.257337615</v>
      </c>
      <c r="EF77" s="8">
        <f>+MINVU_Mes_Corriente!EF77*MINVU_Mes_Constante!$EC$1</f>
        <v>31731903.257337615</v>
      </c>
      <c r="EG77" s="8">
        <f>+MINVU_Mes_Corriente!EG77*MINVU_Mes_Constante!$EC$1</f>
        <v>31731903.257337615</v>
      </c>
      <c r="EH77" s="8">
        <f>+MINVU_Mes_Corriente!EH77*MINVU_Mes_Constante!$EC$1</f>
        <v>31731903.257337615</v>
      </c>
      <c r="EI77" s="8">
        <f>+MINVU_Mes_Corriente!EI77*MINVU_Mes_Constante!$EC$1</f>
        <v>31731903.257337615</v>
      </c>
      <c r="EJ77" s="8">
        <f>+MINVU_Mes_Corriente!EJ77*MINVU_Mes_Constante!$EC$1</f>
        <v>31731903.257337615</v>
      </c>
      <c r="EK77" s="8">
        <f>+MINVU_Mes_Corriente!EK77*MINVU_Mes_Constante!$EC$1</f>
        <v>31731903.257337615</v>
      </c>
      <c r="EL77" s="8">
        <f>+MINVU_Mes_Corriente!EL77*MINVU_Mes_Constante!$EC$1</f>
        <v>31731903.257337615</v>
      </c>
      <c r="EM77" s="8">
        <f>+MINVU_Mes_Corriente!EM77*MINVU_Mes_Constante!$EC$1</f>
        <v>31731903.257337615</v>
      </c>
      <c r="EN77" s="8">
        <f>+MINVU_Mes_Corriente!EN77*MINVU_Mes_Constante!$EC$1</f>
        <v>31731903.257337615</v>
      </c>
      <c r="EO77" s="9">
        <f t="shared" ref="EO77:EO94" si="67">EN77</f>
        <v>31731903.257337615</v>
      </c>
      <c r="EP77" s="8">
        <f>+MINVU_Mes_Corriente!EP77*MINVU_Mes_Constante!$EP$1</f>
        <v>4669285</v>
      </c>
      <c r="EQ77" s="8">
        <f>+MINVU_Mes_Corriente!EQ77*MINVU_Mes_Constante!$EP$1</f>
        <v>4669285</v>
      </c>
      <c r="ER77" s="8">
        <f>+MINVU_Mes_Corriente!ER77*MINVU_Mes_Constante!$EP$1</f>
        <v>4669285</v>
      </c>
      <c r="ES77" s="8">
        <f>+MINVU_Mes_Corriente!ES77*MINVU_Mes_Constante!$EP$1</f>
        <v>4669285</v>
      </c>
      <c r="ET77" s="8">
        <f>+MINVU_Mes_Corriente!ET77*MINVU_Mes_Constante!$EP$1</f>
        <v>4669285</v>
      </c>
      <c r="EU77" s="8">
        <f>+MINVU_Mes_Corriente!EU77*MINVU_Mes_Constante!$EP$1</f>
        <v>4669285</v>
      </c>
      <c r="EV77" s="8">
        <f>+MINVU_Mes_Corriente!EV77*MINVU_Mes_Constante!$EP$1</f>
        <v>4669285</v>
      </c>
      <c r="EW77" s="8">
        <f>+MINVU_Mes_Corriente!EW77*MINVU_Mes_Constante!$EP$1</f>
        <v>4669285</v>
      </c>
      <c r="EX77" s="8">
        <f>+MINVU_Mes_Corriente!EX77*MINVU_Mes_Constante!$EP$1</f>
        <v>4669285</v>
      </c>
      <c r="EY77" s="8">
        <f>+MINVU_Mes_Corriente!EY77*MINVU_Mes_Constante!$EP$1</f>
        <v>4669285</v>
      </c>
      <c r="EZ77" s="8">
        <f>+MINVU_Mes_Corriente!EZ77*MINVU_Mes_Constante!$EP$1</f>
        <v>4669285</v>
      </c>
      <c r="FA77" s="8">
        <f>+MINVU_Mes_Corriente!FA77*MINVU_Mes_Constante!$EP$1</f>
        <v>4669285</v>
      </c>
      <c r="FB77" s="9">
        <f t="shared" ref="FB77:FB94" si="68">FA77</f>
        <v>4669285</v>
      </c>
      <c r="FC77" s="8">
        <f>+MINVU_Mes_Corriente!FC77*MINVU_Mes_Constante!$FC$1</f>
        <v>4182704</v>
      </c>
      <c r="FD77" s="8">
        <f>+MINVU_Mes_Corriente!FD77*MINVU_Mes_Constante!$FC$1</f>
        <v>4182704</v>
      </c>
      <c r="FE77" s="8">
        <f>+MINVU_Mes_Corriente!FE77*MINVU_Mes_Constante!$FC$1</f>
        <v>4182704</v>
      </c>
      <c r="FF77" s="8">
        <f>+MINVU_Mes_Corriente!FF77*MINVU_Mes_Constante!$FC$1</f>
        <v>4182704</v>
      </c>
      <c r="FG77" s="8">
        <f>+MINVU_Mes_Corriente!FG77*MINVU_Mes_Constante!$FC$1</f>
        <v>4182704</v>
      </c>
      <c r="FH77" s="8">
        <f>+MINVU_Mes_Corriente!FH77*MINVU_Mes_Constante!$FC$1</f>
        <v>4182704</v>
      </c>
      <c r="FI77" s="8">
        <f>+MINVU_Mes_Corriente!FI77*MINVU_Mes_Constante!$FC$1</f>
        <v>4182704</v>
      </c>
      <c r="FJ77" s="8"/>
      <c r="FK77" s="8"/>
      <c r="FL77" s="8"/>
      <c r="FM77" s="8"/>
      <c r="FN77" s="8"/>
      <c r="FO77" s="9">
        <f t="shared" ref="FO77:FO94" si="69">FI77</f>
        <v>4182704</v>
      </c>
    </row>
    <row r="78" spans="2:171" ht="14.25" customHeight="1" x14ac:dyDescent="0.3">
      <c r="B78" s="7" t="s">
        <v>44</v>
      </c>
      <c r="C78" s="8">
        <f>+MINVU_Mes_Corriente!C78*MINVU_Mes_Constante!$C$1</f>
        <v>88432.059320777116</v>
      </c>
      <c r="D78" s="8">
        <f>+MINVU_Mes_Corriente!D78*MINVU_Mes_Constante!$C$1</f>
        <v>88432.059320777116</v>
      </c>
      <c r="E78" s="8">
        <f>+MINVU_Mes_Corriente!E78*MINVU_Mes_Constante!$C$1</f>
        <v>88432.059320777116</v>
      </c>
      <c r="F78" s="8">
        <f>+MINVU_Mes_Corriente!F78*MINVU_Mes_Constante!$C$1</f>
        <v>88432.059320777116</v>
      </c>
      <c r="G78" s="8">
        <f>+MINVU_Mes_Corriente!G78*MINVU_Mes_Constante!$C$1</f>
        <v>88432.059320777116</v>
      </c>
      <c r="H78" s="8">
        <f>+MINVU_Mes_Corriente!H78*MINVU_Mes_Constante!$C$1</f>
        <v>88432.059320777116</v>
      </c>
      <c r="I78" s="8">
        <f>+MINVU_Mes_Corriente!I78*MINVU_Mes_Constante!$C$1</f>
        <v>88432.059320777116</v>
      </c>
      <c r="J78" s="8">
        <f>+MINVU_Mes_Corriente!J78*MINVU_Mes_Constante!$C$1</f>
        <v>88432.059320777116</v>
      </c>
      <c r="K78" s="8">
        <f>+MINVU_Mes_Corriente!K78*MINVU_Mes_Constante!$C$1</f>
        <v>88432.059320777116</v>
      </c>
      <c r="L78" s="8">
        <f>+MINVU_Mes_Corriente!L78*MINVU_Mes_Constante!$C$1</f>
        <v>88432.059320777116</v>
      </c>
      <c r="M78" s="8">
        <f>+MINVU_Mes_Corriente!M78*MINVU_Mes_Constante!$C$1</f>
        <v>88432.059320777116</v>
      </c>
      <c r="N78" s="8">
        <f>+MINVU_Mes_Corriente!N78*MINVU_Mes_Constante!$C$1</f>
        <v>88432.059320777116</v>
      </c>
      <c r="O78" s="9">
        <f t="shared" si="57"/>
        <v>88432.059320777116</v>
      </c>
      <c r="P78" s="8">
        <f>+MINVU_Mes_Corriente!P78*MINVU_Mes_Constante!$P$1</f>
        <v>87254.331297059209</v>
      </c>
      <c r="Q78" s="8">
        <f>+MINVU_Mes_Corriente!Q78*MINVU_Mes_Constante!$P$1</f>
        <v>87254.331297059209</v>
      </c>
      <c r="R78" s="8">
        <f>+MINVU_Mes_Corriente!R78*MINVU_Mes_Constante!$P$1</f>
        <v>87254.331297059209</v>
      </c>
      <c r="S78" s="8">
        <f>+MINVU_Mes_Corriente!S78*MINVU_Mes_Constante!$P$1</f>
        <v>87254.331297059209</v>
      </c>
      <c r="T78" s="8">
        <f>+MINVU_Mes_Corriente!T78*MINVU_Mes_Constante!$P$1</f>
        <v>87254.331297059209</v>
      </c>
      <c r="U78" s="8">
        <f>+MINVU_Mes_Corriente!U78*MINVU_Mes_Constante!$P$1</f>
        <v>87254.331297059209</v>
      </c>
      <c r="V78" s="8">
        <f>+MINVU_Mes_Corriente!V78*MINVU_Mes_Constante!$P$1</f>
        <v>87254.331297059209</v>
      </c>
      <c r="W78" s="8">
        <f>+MINVU_Mes_Corriente!W78*MINVU_Mes_Constante!$P$1</f>
        <v>87254.331297059209</v>
      </c>
      <c r="X78" s="8">
        <f>+MINVU_Mes_Corriente!X78*MINVU_Mes_Constante!$P$1</f>
        <v>87254.331297059209</v>
      </c>
      <c r="Y78" s="8">
        <f>+MINVU_Mes_Corriente!Y78*MINVU_Mes_Constante!$P$1</f>
        <v>87254.331297059209</v>
      </c>
      <c r="Z78" s="8">
        <f>+MINVU_Mes_Corriente!Z78*MINVU_Mes_Constante!$P$1</f>
        <v>87254.331297059209</v>
      </c>
      <c r="AA78" s="8">
        <f>+MINVU_Mes_Corriente!AA78*MINVU_Mes_Constante!$P$1</f>
        <v>87254.331297059209</v>
      </c>
      <c r="AB78" s="9">
        <f t="shared" si="58"/>
        <v>87254.331297059209</v>
      </c>
      <c r="AC78" s="8">
        <f>+MINVU_Mes_Corriente!AC78*MINVU_Mes_Constante!$AC$1</f>
        <v>88189.400193664405</v>
      </c>
      <c r="AD78" s="8">
        <f>+MINVU_Mes_Corriente!AD78*MINVU_Mes_Constante!$AC$1</f>
        <v>88189.400193664405</v>
      </c>
      <c r="AE78" s="8">
        <f>+MINVU_Mes_Corriente!AE78*MINVU_Mes_Constante!$AC$1</f>
        <v>88189.400193664405</v>
      </c>
      <c r="AF78" s="8">
        <f>+MINVU_Mes_Corriente!AF78*MINVU_Mes_Constante!$AC$1</f>
        <v>88189.400193664405</v>
      </c>
      <c r="AG78" s="8">
        <f>+MINVU_Mes_Corriente!AG78*MINVU_Mes_Constante!$AC$1</f>
        <v>88189.400193664405</v>
      </c>
      <c r="AH78" s="8">
        <f>+MINVU_Mes_Corriente!AH78*MINVU_Mes_Constante!$AC$1</f>
        <v>88189.400193664405</v>
      </c>
      <c r="AI78" s="8">
        <f>+MINVU_Mes_Corriente!AI78*MINVU_Mes_Constante!$AC$1</f>
        <v>88189.400193664405</v>
      </c>
      <c r="AJ78" s="8">
        <f>+MINVU_Mes_Corriente!AJ78*MINVU_Mes_Constante!$AC$1</f>
        <v>88189.400193664405</v>
      </c>
      <c r="AK78" s="8">
        <f>+MINVU_Mes_Corriente!AK78*MINVU_Mes_Constante!$AC$1</f>
        <v>88189.400193664405</v>
      </c>
      <c r="AL78" s="8">
        <f>+MINVU_Mes_Corriente!AL78*MINVU_Mes_Constante!$AC$1</f>
        <v>88189.400193664405</v>
      </c>
      <c r="AM78" s="8">
        <f>+MINVU_Mes_Corriente!AM78*MINVU_Mes_Constante!$AC$1</f>
        <v>88189.400193664405</v>
      </c>
      <c r="AN78" s="8">
        <f>+MINVU_Mes_Corriente!AN78*MINVU_Mes_Constante!$AC$1</f>
        <v>88189.400193664405</v>
      </c>
      <c r="AO78" s="9">
        <f t="shared" si="59"/>
        <v>88189.400193664405</v>
      </c>
      <c r="AP78" s="8">
        <f>+MINVU_Mes_Corriente!AP78*MINVU_Mes_Constante!$AP$1</f>
        <v>95899.924252671437</v>
      </c>
      <c r="AQ78" s="8">
        <f>+MINVU_Mes_Corriente!AQ78*MINVU_Mes_Constante!$AP$1</f>
        <v>95899.924252671437</v>
      </c>
      <c r="AR78" s="8">
        <f>+MINVU_Mes_Corriente!AR78*MINVU_Mes_Constante!$AP$1</f>
        <v>95899.924252671437</v>
      </c>
      <c r="AS78" s="8">
        <f>+MINVU_Mes_Corriente!AS78*MINVU_Mes_Constante!$AP$1</f>
        <v>95899.924252671437</v>
      </c>
      <c r="AT78" s="8">
        <f>+MINVU_Mes_Corriente!AT78*MINVU_Mes_Constante!$AP$1</f>
        <v>95899.924252671437</v>
      </c>
      <c r="AU78" s="8">
        <f>+MINVU_Mes_Corriente!AU78*MINVU_Mes_Constante!$AP$1</f>
        <v>95899.924252671437</v>
      </c>
      <c r="AV78" s="8">
        <f>+MINVU_Mes_Corriente!AV78*MINVU_Mes_Constante!$AP$1</f>
        <v>95899.924252671437</v>
      </c>
      <c r="AW78" s="8">
        <f>+MINVU_Mes_Corriente!AW78*MINVU_Mes_Constante!$AP$1</f>
        <v>95899.924252671437</v>
      </c>
      <c r="AX78" s="8">
        <f>+MINVU_Mes_Corriente!AX78*MINVU_Mes_Constante!$AP$1</f>
        <v>95899.924252671437</v>
      </c>
      <c r="AY78" s="8">
        <f>+MINVU_Mes_Corriente!AY78*MINVU_Mes_Constante!$AP$1</f>
        <v>95899.924252671437</v>
      </c>
      <c r="AZ78" s="8">
        <f>+MINVU_Mes_Corriente!AZ78*MINVU_Mes_Constante!$AP$1</f>
        <v>95899.924252671437</v>
      </c>
      <c r="BA78" s="8">
        <f>+MINVU_Mes_Corriente!BA78*MINVU_Mes_Constante!$AP$1</f>
        <v>95899.924252671437</v>
      </c>
      <c r="BB78" s="9">
        <f t="shared" si="60"/>
        <v>95899.924252671437</v>
      </c>
      <c r="BC78" s="8">
        <f>+MINVU_Mes_Corriente!BC78*MINVU_Mes_Constante!$BC$1</f>
        <v>150788.30963998422</v>
      </c>
      <c r="BD78" s="8">
        <f>+MINVU_Mes_Corriente!BD78*MINVU_Mes_Constante!$BC$1</f>
        <v>150788.30963998422</v>
      </c>
      <c r="BE78" s="8">
        <f>+MINVU_Mes_Corriente!BE78*MINVU_Mes_Constante!$BC$1</f>
        <v>150788.30963998422</v>
      </c>
      <c r="BF78" s="8">
        <f>+MINVU_Mes_Corriente!BF78*MINVU_Mes_Constante!$BC$1</f>
        <v>150788.30963998422</v>
      </c>
      <c r="BG78" s="8">
        <f>+MINVU_Mes_Corriente!BG78*MINVU_Mes_Constante!$BC$1</f>
        <v>150788.30963998422</v>
      </c>
      <c r="BH78" s="8">
        <f>+MINVU_Mes_Corriente!BH78*MINVU_Mes_Constante!$BC$1</f>
        <v>150788.30963998422</v>
      </c>
      <c r="BI78" s="8">
        <f>+MINVU_Mes_Corriente!BI78*MINVU_Mes_Constante!$BC$1</f>
        <v>150788.30963998422</v>
      </c>
      <c r="BJ78" s="8">
        <f>+MINVU_Mes_Corriente!BJ78*MINVU_Mes_Constante!$BC$1</f>
        <v>150788.30963998422</v>
      </c>
      <c r="BK78" s="8">
        <f>+MINVU_Mes_Corriente!BK78*MINVU_Mes_Constante!$BC$1</f>
        <v>150788.30963998422</v>
      </c>
      <c r="BL78" s="8">
        <f>+MINVU_Mes_Corriente!BL78*MINVU_Mes_Constante!$BC$1</f>
        <v>150788.30963998422</v>
      </c>
      <c r="BM78" s="8">
        <f>+MINVU_Mes_Corriente!BM78*MINVU_Mes_Constante!$BC$1</f>
        <v>150788.30963998422</v>
      </c>
      <c r="BN78" s="8">
        <f>+MINVU_Mes_Corriente!BN78*MINVU_Mes_Constante!$BC$1</f>
        <v>150788.30963998422</v>
      </c>
      <c r="BO78" s="9">
        <f t="shared" si="61"/>
        <v>150788.30963998422</v>
      </c>
      <c r="BP78" s="8">
        <f>+MINVU_Mes_Corriente!BP78*MINVU_Mes_Constante!$BP$1</f>
        <v>197620.70243277852</v>
      </c>
      <c r="BQ78" s="8">
        <f>+MINVU_Mes_Corriente!BQ78*MINVU_Mes_Constante!$BP$1</f>
        <v>197620.70243277852</v>
      </c>
      <c r="BR78" s="8">
        <f>+MINVU_Mes_Corriente!BR78*MINVU_Mes_Constante!$BP$1</f>
        <v>197620.70243277852</v>
      </c>
      <c r="BS78" s="8">
        <f>+MINVU_Mes_Corriente!BS78*MINVU_Mes_Constante!$BP$1</f>
        <v>197620.70243277852</v>
      </c>
      <c r="BT78" s="8">
        <f>+MINVU_Mes_Corriente!BT78*MINVU_Mes_Constante!$BP$1</f>
        <v>197620.70243277852</v>
      </c>
      <c r="BU78" s="8">
        <f>+MINVU_Mes_Corriente!BU78*MINVU_Mes_Constante!$BP$1</f>
        <v>197620.70243277852</v>
      </c>
      <c r="BV78" s="8">
        <f>+MINVU_Mes_Corriente!BV78*MINVU_Mes_Constante!$BP$1</f>
        <v>197620.70243277852</v>
      </c>
      <c r="BW78" s="8">
        <f>+MINVU_Mes_Corriente!BW78*MINVU_Mes_Constante!$BP$1</f>
        <v>197620.70243277852</v>
      </c>
      <c r="BX78" s="8">
        <f>+MINVU_Mes_Corriente!BX78*MINVU_Mes_Constante!$BP$1</f>
        <v>197620.70243277852</v>
      </c>
      <c r="BY78" s="8">
        <f>+MINVU_Mes_Corriente!BY78*MINVU_Mes_Constante!$BP$1</f>
        <v>197620.70243277852</v>
      </c>
      <c r="BZ78" s="8">
        <f>+MINVU_Mes_Corriente!BZ78*MINVU_Mes_Constante!$BP$1</f>
        <v>197620.70243277852</v>
      </c>
      <c r="CA78" s="8">
        <f>+MINVU_Mes_Corriente!CA78*MINVU_Mes_Constante!$BP$1</f>
        <v>197620.70243277852</v>
      </c>
      <c r="CB78" s="9">
        <f t="shared" si="62"/>
        <v>197620.70243277852</v>
      </c>
      <c r="CC78" s="8">
        <f>+MINVU_Mes_Corriente!CC78*MINVU_Mes_Constante!$CC$1</f>
        <v>196885.35173442747</v>
      </c>
      <c r="CD78" s="8">
        <f>+MINVU_Mes_Corriente!CD78*MINVU_Mes_Constante!$CC$1</f>
        <v>196885.35173442747</v>
      </c>
      <c r="CE78" s="8">
        <f>+MINVU_Mes_Corriente!CE78*MINVU_Mes_Constante!$CC$1</f>
        <v>196885.35173442747</v>
      </c>
      <c r="CF78" s="8">
        <f>+MINVU_Mes_Corriente!CF78*MINVU_Mes_Constante!$CC$1</f>
        <v>196885.35173442747</v>
      </c>
      <c r="CG78" s="8">
        <f>+MINVU_Mes_Corriente!CG78*MINVU_Mes_Constante!$CC$1</f>
        <v>196885.35173442747</v>
      </c>
      <c r="CH78" s="8">
        <f>+MINVU_Mes_Corriente!CH78*MINVU_Mes_Constante!$CC$1</f>
        <v>196885.35173442747</v>
      </c>
      <c r="CI78" s="8">
        <f>+MINVU_Mes_Corriente!CI78*MINVU_Mes_Constante!$CC$1</f>
        <v>196885.35173442747</v>
      </c>
      <c r="CJ78" s="8">
        <f>+MINVU_Mes_Corriente!CJ78*MINVU_Mes_Constante!$CC$1</f>
        <v>196885.35173442747</v>
      </c>
      <c r="CK78" s="8">
        <f>+MINVU_Mes_Corriente!CK78*MINVU_Mes_Constante!$CC$1</f>
        <v>196885.35173442747</v>
      </c>
      <c r="CL78" s="8">
        <f>+MINVU_Mes_Corriente!CL78*MINVU_Mes_Constante!$CC$1</f>
        <v>196885.35173442747</v>
      </c>
      <c r="CM78" s="8">
        <f>+MINVU_Mes_Corriente!CM78*MINVU_Mes_Constante!$CC$1</f>
        <v>196885.35173442747</v>
      </c>
      <c r="CN78" s="8">
        <f>+MINVU_Mes_Corriente!CN78*MINVU_Mes_Constante!$CC$1</f>
        <v>196885.35173442747</v>
      </c>
      <c r="CO78" s="9">
        <f t="shared" si="63"/>
        <v>196885.35173442747</v>
      </c>
      <c r="CP78" s="8">
        <f>+MINVU_Mes_Corriente!CP78*MINVU_Mes_Constante!$CP$1</f>
        <v>90134.429930394414</v>
      </c>
      <c r="CQ78" s="8">
        <f>+MINVU_Mes_Corriente!CQ78*MINVU_Mes_Constante!$CP$1</f>
        <v>90134.429930394414</v>
      </c>
      <c r="CR78" s="8">
        <f>+MINVU_Mes_Corriente!CR78*MINVU_Mes_Constante!$CP$1</f>
        <v>90134.429930394414</v>
      </c>
      <c r="CS78" s="8">
        <f>+MINVU_Mes_Corriente!CS78*MINVU_Mes_Constante!$CP$1</f>
        <v>90134.429930394414</v>
      </c>
      <c r="CT78" s="8">
        <f>+MINVU_Mes_Corriente!CT78*MINVU_Mes_Constante!$CP$1</f>
        <v>90134.429930394414</v>
      </c>
      <c r="CU78" s="8">
        <f>+MINVU_Mes_Corriente!CU78*MINVU_Mes_Constante!$CP$1</f>
        <v>90134.429930394414</v>
      </c>
      <c r="CV78" s="8">
        <f>+MINVU_Mes_Corriente!CV78*MINVU_Mes_Constante!$CP$1</f>
        <v>90134.429930394414</v>
      </c>
      <c r="CW78" s="8">
        <f>+MINVU_Mes_Corriente!CW78*MINVU_Mes_Constante!$CP$1</f>
        <v>90134.429930394414</v>
      </c>
      <c r="CX78" s="8">
        <f>+MINVU_Mes_Corriente!CX78*MINVU_Mes_Constante!$CP$1</f>
        <v>90134.429930394414</v>
      </c>
      <c r="CY78" s="8">
        <f>+MINVU_Mes_Corriente!CY78*MINVU_Mes_Constante!$CP$1</f>
        <v>90134.429930394414</v>
      </c>
      <c r="CZ78" s="8">
        <f>+MINVU_Mes_Corriente!CZ78*MINVU_Mes_Constante!$CP$1</f>
        <v>90134.429930394414</v>
      </c>
      <c r="DA78" s="8">
        <f>+MINVU_Mes_Corriente!DA78*MINVU_Mes_Constante!$CP$1</f>
        <v>90134.429930394414</v>
      </c>
      <c r="DB78" s="9">
        <f t="shared" si="64"/>
        <v>90134.429930394414</v>
      </c>
      <c r="DC78" s="8">
        <f>+MINVU_Mes_Corriente!DC78*MINVU_Mes_Constante!$DC$1</f>
        <v>37459.286904639455</v>
      </c>
      <c r="DD78" s="8">
        <f>+MINVU_Mes_Corriente!DD78*MINVU_Mes_Constante!$DC$1</f>
        <v>37459.286904639455</v>
      </c>
      <c r="DE78" s="8">
        <f>+MINVU_Mes_Corriente!DE78*MINVU_Mes_Constante!$DC$1</f>
        <v>37459.286904639455</v>
      </c>
      <c r="DF78" s="8">
        <f>+MINVU_Mes_Corriente!DF78*MINVU_Mes_Constante!$DC$1</f>
        <v>37459.286904639455</v>
      </c>
      <c r="DG78" s="8">
        <f>+MINVU_Mes_Corriente!DG78*MINVU_Mes_Constante!$DC$1</f>
        <v>37459.286904639455</v>
      </c>
      <c r="DH78" s="8">
        <f>+MINVU_Mes_Corriente!DH78*MINVU_Mes_Constante!$DC$1</f>
        <v>37459.286904639455</v>
      </c>
      <c r="DI78" s="8">
        <f>+MINVU_Mes_Corriente!DI78*MINVU_Mes_Constante!$DC$1</f>
        <v>37459.286904639455</v>
      </c>
      <c r="DJ78" s="8">
        <f>+MINVU_Mes_Corriente!DJ78*MINVU_Mes_Constante!$DC$1</f>
        <v>37459.286904639455</v>
      </c>
      <c r="DK78" s="8">
        <f>+MINVU_Mes_Corriente!DK78*MINVU_Mes_Constante!$DC$1</f>
        <v>37459.286904639455</v>
      </c>
      <c r="DL78" s="8">
        <f>+MINVU_Mes_Corriente!DL78*MINVU_Mes_Constante!$DC$1</f>
        <v>37459.286904639455</v>
      </c>
      <c r="DM78" s="8">
        <f>+MINVU_Mes_Corriente!DM78*MINVU_Mes_Constante!$DC$1</f>
        <v>37459.286904639455</v>
      </c>
      <c r="DN78" s="8">
        <f>+MINVU_Mes_Corriente!DN78*MINVU_Mes_Constante!$DC$1</f>
        <v>37459.286904639455</v>
      </c>
      <c r="DO78" s="9">
        <f t="shared" si="65"/>
        <v>37459.286904639455</v>
      </c>
      <c r="DP78" s="8">
        <f>+MINVU_Mes_Corriente!DP78*MINVU_Mes_Constante!$DP$1</f>
        <v>0</v>
      </c>
      <c r="DQ78" s="8">
        <f>+MINVU_Mes_Corriente!DQ78*MINVU_Mes_Constante!$DP$1</f>
        <v>0</v>
      </c>
      <c r="DR78" s="8">
        <f>+MINVU_Mes_Corriente!DR78*MINVU_Mes_Constante!$DP$1</f>
        <v>0</v>
      </c>
      <c r="DS78" s="8">
        <f>+MINVU_Mes_Corriente!DS78*MINVU_Mes_Constante!$DP$1</f>
        <v>0</v>
      </c>
      <c r="DT78" s="8">
        <f>+MINVU_Mes_Corriente!DT78*MINVU_Mes_Constante!$DP$1</f>
        <v>0</v>
      </c>
      <c r="DU78" s="8">
        <f>+MINVU_Mes_Corriente!DU78*MINVU_Mes_Constante!$DP$1</f>
        <v>0</v>
      </c>
      <c r="DV78" s="8">
        <f>+MINVU_Mes_Corriente!DV78*MINVU_Mes_Constante!$DP$1</f>
        <v>0</v>
      </c>
      <c r="DW78" s="8">
        <f>+MINVU_Mes_Corriente!DW78*MINVU_Mes_Constante!$DP$1</f>
        <v>0</v>
      </c>
      <c r="DX78" s="8">
        <f>+MINVU_Mes_Corriente!DX78*MINVU_Mes_Constante!$DP$1</f>
        <v>0</v>
      </c>
      <c r="DY78" s="8">
        <f>+MINVU_Mes_Corriente!DY78*MINVU_Mes_Constante!$DP$1</f>
        <v>0</v>
      </c>
      <c r="DZ78" s="8">
        <f>+MINVU_Mes_Corriente!DZ78*MINVU_Mes_Constante!$DP$1</f>
        <v>0</v>
      </c>
      <c r="EA78" s="8">
        <f>+MINVU_Mes_Corriente!EA78*MINVU_Mes_Constante!$DP$1</f>
        <v>0</v>
      </c>
      <c r="EB78" s="9">
        <f t="shared" si="66"/>
        <v>0</v>
      </c>
      <c r="EC78" s="8">
        <f>+MINVU_Mes_Corriente!EC78*MINVU_Mes_Constante!$EC$1</f>
        <v>0</v>
      </c>
      <c r="ED78" s="8">
        <f>+MINVU_Mes_Corriente!ED78*MINVU_Mes_Constante!$EC$1</f>
        <v>0</v>
      </c>
      <c r="EE78" s="8">
        <f>+MINVU_Mes_Corriente!EE78*MINVU_Mes_Constante!$EC$1</f>
        <v>0</v>
      </c>
      <c r="EF78" s="8">
        <f>+MINVU_Mes_Corriente!EF78*MINVU_Mes_Constante!$EC$1</f>
        <v>0</v>
      </c>
      <c r="EG78" s="8">
        <f>+MINVU_Mes_Corriente!EG78*MINVU_Mes_Constante!$EC$1</f>
        <v>0</v>
      </c>
      <c r="EH78" s="8">
        <f>+MINVU_Mes_Corriente!EH78*MINVU_Mes_Constante!$EC$1</f>
        <v>0</v>
      </c>
      <c r="EI78" s="8">
        <f>+MINVU_Mes_Corriente!EI78*MINVU_Mes_Constante!$EC$1</f>
        <v>0</v>
      </c>
      <c r="EJ78" s="8">
        <f>+MINVU_Mes_Corriente!EJ78*MINVU_Mes_Constante!$EC$1</f>
        <v>0</v>
      </c>
      <c r="EK78" s="8">
        <f>+MINVU_Mes_Corriente!EK78*MINVU_Mes_Constante!$EC$1</f>
        <v>0</v>
      </c>
      <c r="EL78" s="8">
        <f>+MINVU_Mes_Corriente!EL78*MINVU_Mes_Constante!$EC$1</f>
        <v>0</v>
      </c>
      <c r="EM78" s="8">
        <f>+MINVU_Mes_Corriente!EM78*MINVU_Mes_Constante!$EC$1</f>
        <v>0</v>
      </c>
      <c r="EN78" s="8">
        <f>+MINVU_Mes_Corriente!EN78*MINVU_Mes_Constante!$EC$1</f>
        <v>0</v>
      </c>
      <c r="EO78" s="9">
        <f t="shared" si="67"/>
        <v>0</v>
      </c>
      <c r="EP78" s="8">
        <f>+MINVU_Mes_Corriente!EP78*MINVU_Mes_Constante!$EP$1</f>
        <v>7294</v>
      </c>
      <c r="EQ78" s="8">
        <f>+MINVU_Mes_Corriente!EQ78*MINVU_Mes_Constante!$EP$1</f>
        <v>7294</v>
      </c>
      <c r="ER78" s="8">
        <f>+MINVU_Mes_Corriente!ER78*MINVU_Mes_Constante!$EP$1</f>
        <v>7294</v>
      </c>
      <c r="ES78" s="8">
        <f>+MINVU_Mes_Corriente!ES78*MINVU_Mes_Constante!$EP$1</f>
        <v>7294</v>
      </c>
      <c r="ET78" s="8">
        <f>+MINVU_Mes_Corriente!ET78*MINVU_Mes_Constante!$EP$1</f>
        <v>7294</v>
      </c>
      <c r="EU78" s="8">
        <f>+MINVU_Mes_Corriente!EU78*MINVU_Mes_Constante!$EP$1</f>
        <v>7294</v>
      </c>
      <c r="EV78" s="8">
        <f>+MINVU_Mes_Corriente!EV78*MINVU_Mes_Constante!$EP$1</f>
        <v>7294</v>
      </c>
      <c r="EW78" s="8">
        <f>+MINVU_Mes_Corriente!EW78*MINVU_Mes_Constante!$EP$1</f>
        <v>7294</v>
      </c>
      <c r="EX78" s="8">
        <f>+MINVU_Mes_Corriente!EX78*MINVU_Mes_Constante!$EP$1</f>
        <v>7294</v>
      </c>
      <c r="EY78" s="8">
        <f>+MINVU_Mes_Corriente!EY78*MINVU_Mes_Constante!$EP$1</f>
        <v>7294</v>
      </c>
      <c r="EZ78" s="8">
        <f>+MINVU_Mes_Corriente!EZ78*MINVU_Mes_Constante!$EP$1</f>
        <v>7294</v>
      </c>
      <c r="FA78" s="8">
        <f>+MINVU_Mes_Corriente!FA78*MINVU_Mes_Constante!$EP$1</f>
        <v>7294</v>
      </c>
      <c r="FB78" s="9">
        <f t="shared" si="68"/>
        <v>7294</v>
      </c>
      <c r="FC78" s="8">
        <f>+MINVU_Mes_Corriente!FC78*MINVU_Mes_Constante!$FC$1</f>
        <v>0</v>
      </c>
      <c r="FD78" s="8">
        <f>+MINVU_Mes_Corriente!FD78*MINVU_Mes_Constante!$FC$1</f>
        <v>0</v>
      </c>
      <c r="FE78" s="8">
        <f>+MINVU_Mes_Corriente!FE78*MINVU_Mes_Constante!$FC$1</f>
        <v>0</v>
      </c>
      <c r="FF78" s="8">
        <f>+MINVU_Mes_Corriente!FF78*MINVU_Mes_Constante!$FC$1</f>
        <v>0</v>
      </c>
      <c r="FG78" s="8">
        <f>+MINVU_Mes_Corriente!FG78*MINVU_Mes_Constante!$FC$1</f>
        <v>0</v>
      </c>
      <c r="FH78" s="8">
        <f>+MINVU_Mes_Corriente!FH78*MINVU_Mes_Constante!$FC$1</f>
        <v>0</v>
      </c>
      <c r="FI78" s="8">
        <f>+MINVU_Mes_Corriente!FI78*MINVU_Mes_Constante!$FC$1</f>
        <v>0</v>
      </c>
      <c r="FJ78" s="8"/>
      <c r="FK78" s="8"/>
      <c r="FL78" s="8"/>
      <c r="FM78" s="8"/>
      <c r="FN78" s="8"/>
      <c r="FO78" s="9">
        <f t="shared" si="69"/>
        <v>0</v>
      </c>
    </row>
    <row r="79" spans="2:171" ht="14.25" customHeight="1" x14ac:dyDescent="0.3">
      <c r="B79" s="7" t="s">
        <v>45</v>
      </c>
      <c r="C79" s="8">
        <f>+MINVU_Mes_Corriente!C79*MINVU_Mes_Constante!$C$1</f>
        <v>37363.582085125323</v>
      </c>
      <c r="D79" s="8">
        <f>+MINVU_Mes_Corriente!D79*MINVU_Mes_Constante!$C$1</f>
        <v>37363.582085125323</v>
      </c>
      <c r="E79" s="8">
        <f>+MINVU_Mes_Corriente!E79*MINVU_Mes_Constante!$C$1</f>
        <v>37363.582085125323</v>
      </c>
      <c r="F79" s="8">
        <f>+MINVU_Mes_Corriente!F79*MINVU_Mes_Constante!$C$1</f>
        <v>37363.582085125323</v>
      </c>
      <c r="G79" s="8">
        <f>+MINVU_Mes_Corriente!G79*MINVU_Mes_Constante!$C$1</f>
        <v>37363.582085125323</v>
      </c>
      <c r="H79" s="8">
        <f>+MINVU_Mes_Corriente!H79*MINVU_Mes_Constante!$C$1</f>
        <v>37363.582085125323</v>
      </c>
      <c r="I79" s="8">
        <f>+MINVU_Mes_Corriente!I79*MINVU_Mes_Constante!$C$1</f>
        <v>37363.582085125323</v>
      </c>
      <c r="J79" s="8">
        <f>+MINVU_Mes_Corriente!J79*MINVU_Mes_Constante!$C$1</f>
        <v>37363.582085125323</v>
      </c>
      <c r="K79" s="8">
        <f>+MINVU_Mes_Corriente!K79*MINVU_Mes_Constante!$C$1</f>
        <v>37363.582085125323</v>
      </c>
      <c r="L79" s="8">
        <f>+MINVU_Mes_Corriente!L79*MINVU_Mes_Constante!$C$1</f>
        <v>37363.582085125323</v>
      </c>
      <c r="M79" s="8">
        <f>+MINVU_Mes_Corriente!M79*MINVU_Mes_Constante!$C$1</f>
        <v>37363.582085125323</v>
      </c>
      <c r="N79" s="8">
        <f>+MINVU_Mes_Corriente!N79*MINVU_Mes_Constante!$C$1</f>
        <v>37363.582085125323</v>
      </c>
      <c r="O79" s="9">
        <f t="shared" si="57"/>
        <v>37363.582085125323</v>
      </c>
      <c r="P79" s="8">
        <f>+MINVU_Mes_Corriente!P79*MINVU_Mes_Constante!$P$1</f>
        <v>38249.537150163364</v>
      </c>
      <c r="Q79" s="8">
        <f>+MINVU_Mes_Corriente!Q79*MINVU_Mes_Constante!$P$1</f>
        <v>38249.537150163364</v>
      </c>
      <c r="R79" s="8">
        <f>+MINVU_Mes_Corriente!R79*MINVU_Mes_Constante!$P$1</f>
        <v>38249.537150163364</v>
      </c>
      <c r="S79" s="8">
        <f>+MINVU_Mes_Corriente!S79*MINVU_Mes_Constante!$P$1</f>
        <v>38249.537150163364</v>
      </c>
      <c r="T79" s="8">
        <f>+MINVU_Mes_Corriente!T79*MINVU_Mes_Constante!$P$1</f>
        <v>38249.537150163364</v>
      </c>
      <c r="U79" s="8">
        <f>+MINVU_Mes_Corriente!U79*MINVU_Mes_Constante!$P$1</f>
        <v>38249.537150163364</v>
      </c>
      <c r="V79" s="8">
        <f>+MINVU_Mes_Corriente!V79*MINVU_Mes_Constante!$P$1</f>
        <v>38249.537150163364</v>
      </c>
      <c r="W79" s="8">
        <f>+MINVU_Mes_Corriente!W79*MINVU_Mes_Constante!$P$1</f>
        <v>38249.537150163364</v>
      </c>
      <c r="X79" s="8">
        <f>+MINVU_Mes_Corriente!X79*MINVU_Mes_Constante!$P$1</f>
        <v>38249.537150163364</v>
      </c>
      <c r="Y79" s="8">
        <f>+MINVU_Mes_Corriente!Y79*MINVU_Mes_Constante!$P$1</f>
        <v>38249.537150163364</v>
      </c>
      <c r="Z79" s="8">
        <f>+MINVU_Mes_Corriente!Z79*MINVU_Mes_Constante!$P$1</f>
        <v>38249.537150163364</v>
      </c>
      <c r="AA79" s="8">
        <f>+MINVU_Mes_Corriente!AA79*MINVU_Mes_Constante!$P$1</f>
        <v>38249.537150163364</v>
      </c>
      <c r="AB79" s="9">
        <f t="shared" si="58"/>
        <v>38249.537150163364</v>
      </c>
      <c r="AC79" s="8">
        <f>+MINVU_Mes_Corriente!AC79*MINVU_Mes_Constante!$AC$1</f>
        <v>35413.903167796372</v>
      </c>
      <c r="AD79" s="8">
        <f>+MINVU_Mes_Corriente!AD79*MINVU_Mes_Constante!$AC$1</f>
        <v>35413.903167796372</v>
      </c>
      <c r="AE79" s="8">
        <f>+MINVU_Mes_Corriente!AE79*MINVU_Mes_Constante!$AC$1</f>
        <v>35413.903167796372</v>
      </c>
      <c r="AF79" s="8">
        <f>+MINVU_Mes_Corriente!AF79*MINVU_Mes_Constante!$AC$1</f>
        <v>35413.903167796372</v>
      </c>
      <c r="AG79" s="8">
        <f>+MINVU_Mes_Corriente!AG79*MINVU_Mes_Constante!$AC$1</f>
        <v>35413.903167796372</v>
      </c>
      <c r="AH79" s="8">
        <f>+MINVU_Mes_Corriente!AH79*MINVU_Mes_Constante!$AC$1</f>
        <v>35413.903167796372</v>
      </c>
      <c r="AI79" s="8">
        <f>+MINVU_Mes_Corriente!AI79*MINVU_Mes_Constante!$AC$1</f>
        <v>35413.903167796372</v>
      </c>
      <c r="AJ79" s="8">
        <f>+MINVU_Mes_Corriente!AJ79*MINVU_Mes_Constante!$AC$1</f>
        <v>35413.903167796372</v>
      </c>
      <c r="AK79" s="8">
        <f>+MINVU_Mes_Corriente!AK79*MINVU_Mes_Constante!$AC$1</f>
        <v>35413.903167796372</v>
      </c>
      <c r="AL79" s="8">
        <f>+MINVU_Mes_Corriente!AL79*MINVU_Mes_Constante!$AC$1</f>
        <v>35413.903167796372</v>
      </c>
      <c r="AM79" s="8">
        <f>+MINVU_Mes_Corriente!AM79*MINVU_Mes_Constante!$AC$1</f>
        <v>35413.903167796372</v>
      </c>
      <c r="AN79" s="8">
        <f>+MINVU_Mes_Corriente!AN79*MINVU_Mes_Constante!$AC$1</f>
        <v>35413.903167796372</v>
      </c>
      <c r="AO79" s="9">
        <f t="shared" si="59"/>
        <v>35413.903167796372</v>
      </c>
      <c r="AP79" s="8">
        <f>+MINVU_Mes_Corriente!AP79*MINVU_Mes_Constante!$AP$1</f>
        <v>19788.873258487758</v>
      </c>
      <c r="AQ79" s="8">
        <f>+MINVU_Mes_Corriente!AQ79*MINVU_Mes_Constante!$AP$1</f>
        <v>19788.873258487758</v>
      </c>
      <c r="AR79" s="8">
        <f>+MINVU_Mes_Corriente!AR79*MINVU_Mes_Constante!$AP$1</f>
        <v>19788.873258487758</v>
      </c>
      <c r="AS79" s="8">
        <f>+MINVU_Mes_Corriente!AS79*MINVU_Mes_Constante!$AP$1</f>
        <v>19788.873258487758</v>
      </c>
      <c r="AT79" s="8">
        <f>+MINVU_Mes_Corriente!AT79*MINVU_Mes_Constante!$AP$1</f>
        <v>19788.873258487758</v>
      </c>
      <c r="AU79" s="8">
        <f>+MINVU_Mes_Corriente!AU79*MINVU_Mes_Constante!$AP$1</f>
        <v>19788.873258487758</v>
      </c>
      <c r="AV79" s="8">
        <f>+MINVU_Mes_Corriente!AV79*MINVU_Mes_Constante!$AP$1</f>
        <v>19788.873258487758</v>
      </c>
      <c r="AW79" s="8">
        <f>+MINVU_Mes_Corriente!AW79*MINVU_Mes_Constante!$AP$1</f>
        <v>19788.873258487758</v>
      </c>
      <c r="AX79" s="8">
        <f>+MINVU_Mes_Corriente!AX79*MINVU_Mes_Constante!$AP$1</f>
        <v>19788.873258487758</v>
      </c>
      <c r="AY79" s="8">
        <f>+MINVU_Mes_Corriente!AY79*MINVU_Mes_Constante!$AP$1</f>
        <v>19788.873258487758</v>
      </c>
      <c r="AZ79" s="8">
        <f>+MINVU_Mes_Corriente!AZ79*MINVU_Mes_Constante!$AP$1</f>
        <v>19788.873258487758</v>
      </c>
      <c r="BA79" s="8">
        <f>+MINVU_Mes_Corriente!BA79*MINVU_Mes_Constante!$AP$1</f>
        <v>19788.873258487758</v>
      </c>
      <c r="BB79" s="9">
        <f t="shared" si="60"/>
        <v>19788.873258487758</v>
      </c>
      <c r="BC79" s="8">
        <f>+MINVU_Mes_Corriente!BC79*MINVU_Mes_Constante!$BC$1</f>
        <v>26609.701701173686</v>
      </c>
      <c r="BD79" s="8">
        <f>+MINVU_Mes_Corriente!BD79*MINVU_Mes_Constante!$BC$1</f>
        <v>26609.701701173686</v>
      </c>
      <c r="BE79" s="8">
        <f>+MINVU_Mes_Corriente!BE79*MINVU_Mes_Constante!$BC$1</f>
        <v>26609.701701173686</v>
      </c>
      <c r="BF79" s="8">
        <f>+MINVU_Mes_Corriente!BF79*MINVU_Mes_Constante!$BC$1</f>
        <v>26609.701701173686</v>
      </c>
      <c r="BG79" s="8">
        <f>+MINVU_Mes_Corriente!BG79*MINVU_Mes_Constante!$BC$1</f>
        <v>26609.701701173686</v>
      </c>
      <c r="BH79" s="8">
        <f>+MINVU_Mes_Corriente!BH79*MINVU_Mes_Constante!$BC$1</f>
        <v>26609.701701173686</v>
      </c>
      <c r="BI79" s="8">
        <f>+MINVU_Mes_Corriente!BI79*MINVU_Mes_Constante!$BC$1</f>
        <v>26609.701701173686</v>
      </c>
      <c r="BJ79" s="8">
        <f>+MINVU_Mes_Corriente!BJ79*MINVU_Mes_Constante!$BC$1</f>
        <v>26609.701701173686</v>
      </c>
      <c r="BK79" s="8">
        <f>+MINVU_Mes_Corriente!BK79*MINVU_Mes_Constante!$BC$1</f>
        <v>26609.701701173686</v>
      </c>
      <c r="BL79" s="8">
        <f>+MINVU_Mes_Corriente!BL79*MINVU_Mes_Constante!$BC$1</f>
        <v>26609.701701173686</v>
      </c>
      <c r="BM79" s="8">
        <f>+MINVU_Mes_Corriente!BM79*MINVU_Mes_Constante!$BC$1</f>
        <v>26609.701701173686</v>
      </c>
      <c r="BN79" s="8">
        <f>+MINVU_Mes_Corriente!BN79*MINVU_Mes_Constante!$BC$1</f>
        <v>26609.701701173686</v>
      </c>
      <c r="BO79" s="9">
        <f t="shared" si="61"/>
        <v>26609.701701173686</v>
      </c>
      <c r="BP79" s="8">
        <f>+MINVU_Mes_Corriente!BP79*MINVU_Mes_Constante!$BP$1</f>
        <v>15531.42791293214</v>
      </c>
      <c r="BQ79" s="8">
        <f>+MINVU_Mes_Corriente!BQ79*MINVU_Mes_Constante!$BP$1</f>
        <v>15531.42791293214</v>
      </c>
      <c r="BR79" s="8">
        <f>+MINVU_Mes_Corriente!BR79*MINVU_Mes_Constante!$BP$1</f>
        <v>15531.42791293214</v>
      </c>
      <c r="BS79" s="8">
        <f>+MINVU_Mes_Corriente!BS79*MINVU_Mes_Constante!$BP$1</f>
        <v>15531.42791293214</v>
      </c>
      <c r="BT79" s="8">
        <f>+MINVU_Mes_Corriente!BT79*MINVU_Mes_Constante!$BP$1</f>
        <v>15531.42791293214</v>
      </c>
      <c r="BU79" s="8">
        <f>+MINVU_Mes_Corriente!BU79*MINVU_Mes_Constante!$BP$1</f>
        <v>15531.42791293214</v>
      </c>
      <c r="BV79" s="8">
        <f>+MINVU_Mes_Corriente!BV79*MINVU_Mes_Constante!$BP$1</f>
        <v>15531.42791293214</v>
      </c>
      <c r="BW79" s="8">
        <f>+MINVU_Mes_Corriente!BW79*MINVU_Mes_Constante!$BP$1</f>
        <v>15531.42791293214</v>
      </c>
      <c r="BX79" s="8">
        <f>+MINVU_Mes_Corriente!BX79*MINVU_Mes_Constante!$BP$1</f>
        <v>15531.42791293214</v>
      </c>
      <c r="BY79" s="8">
        <f>+MINVU_Mes_Corriente!BY79*MINVU_Mes_Constante!$BP$1</f>
        <v>15531.42791293214</v>
      </c>
      <c r="BZ79" s="8">
        <f>+MINVU_Mes_Corriente!BZ79*MINVU_Mes_Constante!$BP$1</f>
        <v>15531.42791293214</v>
      </c>
      <c r="CA79" s="8">
        <f>+MINVU_Mes_Corriente!CA79*MINVU_Mes_Constante!$BP$1</f>
        <v>15531.42791293214</v>
      </c>
      <c r="CB79" s="9">
        <f t="shared" si="62"/>
        <v>15531.42791293214</v>
      </c>
      <c r="CC79" s="8">
        <f>+MINVU_Mes_Corriente!CC79*MINVU_Mes_Constante!$CC$1</f>
        <v>15474.085042894443</v>
      </c>
      <c r="CD79" s="8">
        <f>+MINVU_Mes_Corriente!CD79*MINVU_Mes_Constante!$CC$1</f>
        <v>15474.085042894443</v>
      </c>
      <c r="CE79" s="8">
        <f>+MINVU_Mes_Corriente!CE79*MINVU_Mes_Constante!$CC$1</f>
        <v>15474.085042894443</v>
      </c>
      <c r="CF79" s="8">
        <f>+MINVU_Mes_Corriente!CF79*MINVU_Mes_Constante!$CC$1</f>
        <v>15474.085042894443</v>
      </c>
      <c r="CG79" s="8">
        <f>+MINVU_Mes_Corriente!CG79*MINVU_Mes_Constante!$CC$1</f>
        <v>15474.085042894443</v>
      </c>
      <c r="CH79" s="8">
        <f>+MINVU_Mes_Corriente!CH79*MINVU_Mes_Constante!$CC$1</f>
        <v>15474.085042894443</v>
      </c>
      <c r="CI79" s="8">
        <f>+MINVU_Mes_Corriente!CI79*MINVU_Mes_Constante!$CC$1</f>
        <v>15474.085042894443</v>
      </c>
      <c r="CJ79" s="8">
        <f>+MINVU_Mes_Corriente!CJ79*MINVU_Mes_Constante!$CC$1</f>
        <v>15474.085042894443</v>
      </c>
      <c r="CK79" s="8">
        <f>+MINVU_Mes_Corriente!CK79*MINVU_Mes_Constante!$CC$1</f>
        <v>15474.085042894443</v>
      </c>
      <c r="CL79" s="8">
        <f>+MINVU_Mes_Corriente!CL79*MINVU_Mes_Constante!$CC$1</f>
        <v>15474.085042894443</v>
      </c>
      <c r="CM79" s="8">
        <f>+MINVU_Mes_Corriente!CM79*MINVU_Mes_Constante!$CC$1</f>
        <v>15474.085042894443</v>
      </c>
      <c r="CN79" s="8">
        <f>+MINVU_Mes_Corriente!CN79*MINVU_Mes_Constante!$CC$1</f>
        <v>15474.085042894443</v>
      </c>
      <c r="CO79" s="9">
        <f t="shared" si="63"/>
        <v>15474.085042894443</v>
      </c>
      <c r="CP79" s="8">
        <f>+MINVU_Mes_Corriente!CP79*MINVU_Mes_Constante!$CP$1</f>
        <v>11365.82853828306</v>
      </c>
      <c r="CQ79" s="8">
        <f>+MINVU_Mes_Corriente!CQ79*MINVU_Mes_Constante!$CP$1</f>
        <v>11365.82853828306</v>
      </c>
      <c r="CR79" s="8">
        <f>+MINVU_Mes_Corriente!CR79*MINVU_Mes_Constante!$CP$1</f>
        <v>11365.82853828306</v>
      </c>
      <c r="CS79" s="8">
        <f>+MINVU_Mes_Corriente!CS79*MINVU_Mes_Constante!$CP$1</f>
        <v>11365.82853828306</v>
      </c>
      <c r="CT79" s="8">
        <f>+MINVU_Mes_Corriente!CT79*MINVU_Mes_Constante!$CP$1</f>
        <v>11365.82853828306</v>
      </c>
      <c r="CU79" s="8">
        <f>+MINVU_Mes_Corriente!CU79*MINVU_Mes_Constante!$CP$1</f>
        <v>11365.82853828306</v>
      </c>
      <c r="CV79" s="8">
        <f>+MINVU_Mes_Corriente!CV79*MINVU_Mes_Constante!$CP$1</f>
        <v>11365.82853828306</v>
      </c>
      <c r="CW79" s="8">
        <f>+MINVU_Mes_Corriente!CW79*MINVU_Mes_Constante!$CP$1</f>
        <v>11365.82853828306</v>
      </c>
      <c r="CX79" s="8">
        <f>+MINVU_Mes_Corriente!CX79*MINVU_Mes_Constante!$CP$1</f>
        <v>11365.82853828306</v>
      </c>
      <c r="CY79" s="8">
        <f>+MINVU_Mes_Corriente!CY79*MINVU_Mes_Constante!$CP$1</f>
        <v>11365.82853828306</v>
      </c>
      <c r="CZ79" s="8">
        <f>+MINVU_Mes_Corriente!CZ79*MINVU_Mes_Constante!$CP$1</f>
        <v>11365.82853828306</v>
      </c>
      <c r="DA79" s="8">
        <f>+MINVU_Mes_Corriente!DA79*MINVU_Mes_Constante!$CP$1</f>
        <v>11365.82853828306</v>
      </c>
      <c r="DB79" s="9">
        <f t="shared" si="64"/>
        <v>11365.82853828306</v>
      </c>
      <c r="DC79" s="8">
        <f>+MINVU_Mes_Corriente!DC79*MINVU_Mes_Constante!$DC$1</f>
        <v>0</v>
      </c>
      <c r="DD79" s="8">
        <f>+MINVU_Mes_Corriente!DD79*MINVU_Mes_Constante!$DC$1</f>
        <v>0</v>
      </c>
      <c r="DE79" s="8">
        <f>+MINVU_Mes_Corriente!DE79*MINVU_Mes_Constante!$DC$1</f>
        <v>0</v>
      </c>
      <c r="DF79" s="8">
        <f>+MINVU_Mes_Corriente!DF79*MINVU_Mes_Constante!$DC$1</f>
        <v>0</v>
      </c>
      <c r="DG79" s="8">
        <f>+MINVU_Mes_Corriente!DG79*MINVU_Mes_Constante!$DC$1</f>
        <v>0</v>
      </c>
      <c r="DH79" s="8">
        <f>+MINVU_Mes_Corriente!DH79*MINVU_Mes_Constante!$DC$1</f>
        <v>0</v>
      </c>
      <c r="DI79" s="8">
        <f>+MINVU_Mes_Corriente!DI79*MINVU_Mes_Constante!$DC$1</f>
        <v>0</v>
      </c>
      <c r="DJ79" s="8">
        <f>+MINVU_Mes_Corriente!DJ79*MINVU_Mes_Constante!$DC$1</f>
        <v>0</v>
      </c>
      <c r="DK79" s="8">
        <f>+MINVU_Mes_Corriente!DK79*MINVU_Mes_Constante!$DC$1</f>
        <v>0</v>
      </c>
      <c r="DL79" s="8">
        <f>+MINVU_Mes_Corriente!DL79*MINVU_Mes_Constante!$DC$1</f>
        <v>0</v>
      </c>
      <c r="DM79" s="8">
        <f>+MINVU_Mes_Corriente!DM79*MINVU_Mes_Constante!$DC$1</f>
        <v>0</v>
      </c>
      <c r="DN79" s="8">
        <f>+MINVU_Mes_Corriente!DN79*MINVU_Mes_Constante!$DC$1</f>
        <v>0</v>
      </c>
      <c r="DO79" s="9">
        <f t="shared" si="65"/>
        <v>0</v>
      </c>
      <c r="DP79" s="8">
        <f>+MINVU_Mes_Corriente!DP79*MINVU_Mes_Constante!$DP$1</f>
        <v>0</v>
      </c>
      <c r="DQ79" s="8">
        <f>+MINVU_Mes_Corriente!DQ79*MINVU_Mes_Constante!$DP$1</f>
        <v>0</v>
      </c>
      <c r="DR79" s="8">
        <f>+MINVU_Mes_Corriente!DR79*MINVU_Mes_Constante!$DP$1</f>
        <v>0</v>
      </c>
      <c r="DS79" s="8">
        <f>+MINVU_Mes_Corriente!DS79*MINVU_Mes_Constante!$DP$1</f>
        <v>0</v>
      </c>
      <c r="DT79" s="8">
        <f>+MINVU_Mes_Corriente!DT79*MINVU_Mes_Constante!$DP$1</f>
        <v>0</v>
      </c>
      <c r="DU79" s="8">
        <f>+MINVU_Mes_Corriente!DU79*MINVU_Mes_Constante!$DP$1</f>
        <v>0</v>
      </c>
      <c r="DV79" s="8">
        <f>+MINVU_Mes_Corriente!DV79*MINVU_Mes_Constante!$DP$1</f>
        <v>0</v>
      </c>
      <c r="DW79" s="8">
        <f>+MINVU_Mes_Corriente!DW79*MINVU_Mes_Constante!$DP$1</f>
        <v>0</v>
      </c>
      <c r="DX79" s="8">
        <f>+MINVU_Mes_Corriente!DX79*MINVU_Mes_Constante!$DP$1</f>
        <v>0</v>
      </c>
      <c r="DY79" s="8">
        <f>+MINVU_Mes_Corriente!DY79*MINVU_Mes_Constante!$DP$1</f>
        <v>0</v>
      </c>
      <c r="DZ79" s="8">
        <f>+MINVU_Mes_Corriente!DZ79*MINVU_Mes_Constante!$DP$1</f>
        <v>0</v>
      </c>
      <c r="EA79" s="8">
        <f>+MINVU_Mes_Corriente!EA79*MINVU_Mes_Constante!$DP$1</f>
        <v>0</v>
      </c>
      <c r="EB79" s="9">
        <f t="shared" si="66"/>
        <v>0</v>
      </c>
      <c r="EC79" s="8">
        <f>+MINVU_Mes_Corriente!EC79*MINVU_Mes_Constante!$EC$1</f>
        <v>0</v>
      </c>
      <c r="ED79" s="8">
        <f>+MINVU_Mes_Corriente!ED79*MINVU_Mes_Constante!$EC$1</f>
        <v>0</v>
      </c>
      <c r="EE79" s="8">
        <f>+MINVU_Mes_Corriente!EE79*MINVU_Mes_Constante!$EC$1</f>
        <v>0</v>
      </c>
      <c r="EF79" s="8">
        <f>+MINVU_Mes_Corriente!EF79*MINVU_Mes_Constante!$EC$1</f>
        <v>0</v>
      </c>
      <c r="EG79" s="8">
        <f>+MINVU_Mes_Corriente!EG79*MINVU_Mes_Constante!$EC$1</f>
        <v>0</v>
      </c>
      <c r="EH79" s="8">
        <f>+MINVU_Mes_Corriente!EH79*MINVU_Mes_Constante!$EC$1</f>
        <v>0</v>
      </c>
      <c r="EI79" s="8">
        <f>+MINVU_Mes_Corriente!EI79*MINVU_Mes_Constante!$EC$1</f>
        <v>0</v>
      </c>
      <c r="EJ79" s="8">
        <f>+MINVU_Mes_Corriente!EJ79*MINVU_Mes_Constante!$EC$1</f>
        <v>0</v>
      </c>
      <c r="EK79" s="8">
        <f>+MINVU_Mes_Corriente!EK79*MINVU_Mes_Constante!$EC$1</f>
        <v>0</v>
      </c>
      <c r="EL79" s="8">
        <f>+MINVU_Mes_Corriente!EL79*MINVU_Mes_Constante!$EC$1</f>
        <v>0</v>
      </c>
      <c r="EM79" s="8">
        <f>+MINVU_Mes_Corriente!EM79*MINVU_Mes_Constante!$EC$1</f>
        <v>0</v>
      </c>
      <c r="EN79" s="8">
        <f>+MINVU_Mes_Corriente!EN79*MINVU_Mes_Constante!$EC$1</f>
        <v>0</v>
      </c>
      <c r="EO79" s="9">
        <f t="shared" si="67"/>
        <v>0</v>
      </c>
      <c r="EP79" s="8">
        <f>+MINVU_Mes_Corriente!EP79*MINVU_Mes_Constante!$EP$1</f>
        <v>3126</v>
      </c>
      <c r="EQ79" s="8">
        <f>+MINVU_Mes_Corriente!EQ79*MINVU_Mes_Constante!$EP$1</f>
        <v>3126</v>
      </c>
      <c r="ER79" s="8">
        <f>+MINVU_Mes_Corriente!ER79*MINVU_Mes_Constante!$EP$1</f>
        <v>3126</v>
      </c>
      <c r="ES79" s="8">
        <f>+MINVU_Mes_Corriente!ES79*MINVU_Mes_Constante!$EP$1</f>
        <v>3126</v>
      </c>
      <c r="ET79" s="8">
        <f>+MINVU_Mes_Corriente!ET79*MINVU_Mes_Constante!$EP$1</f>
        <v>3126</v>
      </c>
      <c r="EU79" s="8">
        <f>+MINVU_Mes_Corriente!EU79*MINVU_Mes_Constante!$EP$1</f>
        <v>3126</v>
      </c>
      <c r="EV79" s="8">
        <f>+MINVU_Mes_Corriente!EV79*MINVU_Mes_Constante!$EP$1</f>
        <v>3126</v>
      </c>
      <c r="EW79" s="8">
        <f>+MINVU_Mes_Corriente!EW79*MINVU_Mes_Constante!$EP$1</f>
        <v>3126</v>
      </c>
      <c r="EX79" s="8">
        <f>+MINVU_Mes_Corriente!EX79*MINVU_Mes_Constante!$EP$1</f>
        <v>3126</v>
      </c>
      <c r="EY79" s="8">
        <f>+MINVU_Mes_Corriente!EY79*MINVU_Mes_Constante!$EP$1</f>
        <v>3126</v>
      </c>
      <c r="EZ79" s="8">
        <f>+MINVU_Mes_Corriente!EZ79*MINVU_Mes_Constante!$EP$1</f>
        <v>3126</v>
      </c>
      <c r="FA79" s="8">
        <f>+MINVU_Mes_Corriente!FA79*MINVU_Mes_Constante!$EP$1</f>
        <v>3126</v>
      </c>
      <c r="FB79" s="9">
        <f t="shared" si="68"/>
        <v>3126</v>
      </c>
      <c r="FC79" s="8">
        <f>+MINVU_Mes_Corriente!FC79*MINVU_Mes_Constante!$FC$1</f>
        <v>10</v>
      </c>
      <c r="FD79" s="8">
        <f>+MINVU_Mes_Corriente!FD79*MINVU_Mes_Constante!$FC$1</f>
        <v>10</v>
      </c>
      <c r="FE79" s="8">
        <f>+MINVU_Mes_Corriente!FE79*MINVU_Mes_Constante!$FC$1</f>
        <v>10</v>
      </c>
      <c r="FF79" s="8">
        <f>+MINVU_Mes_Corriente!FF79*MINVU_Mes_Constante!$FC$1</f>
        <v>10</v>
      </c>
      <c r="FG79" s="8">
        <f>+MINVU_Mes_Corriente!FG79*MINVU_Mes_Constante!$FC$1</f>
        <v>10</v>
      </c>
      <c r="FH79" s="8">
        <f>+MINVU_Mes_Corriente!FH79*MINVU_Mes_Constante!$FC$1</f>
        <v>10</v>
      </c>
      <c r="FI79" s="8">
        <f>+MINVU_Mes_Corriente!FI79*MINVU_Mes_Constante!$FC$1</f>
        <v>10</v>
      </c>
      <c r="FJ79" s="8"/>
      <c r="FK79" s="8"/>
      <c r="FL79" s="8"/>
      <c r="FM79" s="8"/>
      <c r="FN79" s="8"/>
      <c r="FO79" s="9">
        <f t="shared" si="69"/>
        <v>10</v>
      </c>
    </row>
    <row r="80" spans="2:171" ht="14.25" customHeight="1" x14ac:dyDescent="0.3">
      <c r="B80" s="7" t="s">
        <v>46</v>
      </c>
      <c r="C80" s="8">
        <f>+MINVU_Mes_Corriente!C80*MINVU_Mes_Constante!$C$1</f>
        <v>15798.383508823968</v>
      </c>
      <c r="D80" s="8">
        <f>+MINVU_Mes_Corriente!D80*MINVU_Mes_Constante!$C$1</f>
        <v>15798.383508823968</v>
      </c>
      <c r="E80" s="8">
        <f>+MINVU_Mes_Corriente!E80*MINVU_Mes_Constante!$C$1</f>
        <v>15798.383508823968</v>
      </c>
      <c r="F80" s="8">
        <f>+MINVU_Mes_Corriente!F80*MINVU_Mes_Constante!$C$1</f>
        <v>15798.383508823968</v>
      </c>
      <c r="G80" s="8">
        <f>+MINVU_Mes_Corriente!G80*MINVU_Mes_Constante!$C$1</f>
        <v>15798.383508823968</v>
      </c>
      <c r="H80" s="8">
        <f>+MINVU_Mes_Corriente!H80*MINVU_Mes_Constante!$C$1</f>
        <v>15798.383508823968</v>
      </c>
      <c r="I80" s="8">
        <f>+MINVU_Mes_Corriente!I80*MINVU_Mes_Constante!$C$1</f>
        <v>15798.383508823968</v>
      </c>
      <c r="J80" s="8">
        <f>+MINVU_Mes_Corriente!J80*MINVU_Mes_Constante!$C$1</f>
        <v>15798.383508823968</v>
      </c>
      <c r="K80" s="8">
        <f>+MINVU_Mes_Corriente!K80*MINVU_Mes_Constante!$C$1</f>
        <v>15798.383508823968</v>
      </c>
      <c r="L80" s="8">
        <f>+MINVU_Mes_Corriente!L80*MINVU_Mes_Constante!$C$1</f>
        <v>15798.383508823968</v>
      </c>
      <c r="M80" s="8">
        <f>+MINVU_Mes_Corriente!M80*MINVU_Mes_Constante!$C$1</f>
        <v>15798.383508823968</v>
      </c>
      <c r="N80" s="8">
        <f>+MINVU_Mes_Corriente!N80*MINVU_Mes_Constante!$C$1</f>
        <v>15798.383508823968</v>
      </c>
      <c r="O80" s="9">
        <f t="shared" si="57"/>
        <v>15798.383508823968</v>
      </c>
      <c r="P80" s="8">
        <f>+MINVU_Mes_Corriente!P80*MINVU_Mes_Constante!$P$1</f>
        <v>23424.387839181694</v>
      </c>
      <c r="Q80" s="8">
        <f>+MINVU_Mes_Corriente!Q80*MINVU_Mes_Constante!$P$1</f>
        <v>23424.387839181694</v>
      </c>
      <c r="R80" s="8">
        <f>+MINVU_Mes_Corriente!R80*MINVU_Mes_Constante!$P$1</f>
        <v>23424.387839181694</v>
      </c>
      <c r="S80" s="8">
        <f>+MINVU_Mes_Corriente!S80*MINVU_Mes_Constante!$P$1</f>
        <v>23424.387839181694</v>
      </c>
      <c r="T80" s="8">
        <f>+MINVU_Mes_Corriente!T80*MINVU_Mes_Constante!$P$1</f>
        <v>23424.387839181694</v>
      </c>
      <c r="U80" s="8">
        <f>+MINVU_Mes_Corriente!U80*MINVU_Mes_Constante!$P$1</f>
        <v>23424.387839181694</v>
      </c>
      <c r="V80" s="8">
        <f>+MINVU_Mes_Corriente!V80*MINVU_Mes_Constante!$P$1</f>
        <v>23424.387839181694</v>
      </c>
      <c r="W80" s="8">
        <f>+MINVU_Mes_Corriente!W80*MINVU_Mes_Constante!$P$1</f>
        <v>23424.387839181694</v>
      </c>
      <c r="X80" s="8">
        <f>+MINVU_Mes_Corriente!X80*MINVU_Mes_Constante!$P$1</f>
        <v>23424.387839181694</v>
      </c>
      <c r="Y80" s="8">
        <f>+MINVU_Mes_Corriente!Y80*MINVU_Mes_Constante!$P$1</f>
        <v>23424.387839181694</v>
      </c>
      <c r="Z80" s="8">
        <f>+MINVU_Mes_Corriente!Z80*MINVU_Mes_Constante!$P$1</f>
        <v>23424.387839181694</v>
      </c>
      <c r="AA80" s="8">
        <f>+MINVU_Mes_Corriente!AA80*MINVU_Mes_Constante!$P$1</f>
        <v>23424.387839181694</v>
      </c>
      <c r="AB80" s="9">
        <f t="shared" si="58"/>
        <v>23424.387839181694</v>
      </c>
      <c r="AC80" s="8">
        <f>+MINVU_Mes_Corriente!AC80*MINVU_Mes_Constante!$AC$1</f>
        <v>22111.962927099183</v>
      </c>
      <c r="AD80" s="8">
        <f>+MINVU_Mes_Corriente!AD80*MINVU_Mes_Constante!$AC$1</f>
        <v>22111.962927099183</v>
      </c>
      <c r="AE80" s="8">
        <f>+MINVU_Mes_Corriente!AE80*MINVU_Mes_Constante!$AC$1</f>
        <v>22111.962927099183</v>
      </c>
      <c r="AF80" s="8">
        <f>+MINVU_Mes_Corriente!AF80*MINVU_Mes_Constante!$AC$1</f>
        <v>22111.962927099183</v>
      </c>
      <c r="AG80" s="8">
        <f>+MINVU_Mes_Corriente!AG80*MINVU_Mes_Constante!$AC$1</f>
        <v>22111.962927099183</v>
      </c>
      <c r="AH80" s="8">
        <f>+MINVU_Mes_Corriente!AH80*MINVU_Mes_Constante!$AC$1</f>
        <v>22111.962927099183</v>
      </c>
      <c r="AI80" s="8">
        <f>+MINVU_Mes_Corriente!AI80*MINVU_Mes_Constante!$AC$1</f>
        <v>22111.962927099183</v>
      </c>
      <c r="AJ80" s="8">
        <f>+MINVU_Mes_Corriente!AJ80*MINVU_Mes_Constante!$AC$1</f>
        <v>22111.962927099183</v>
      </c>
      <c r="AK80" s="8">
        <f>+MINVU_Mes_Corriente!AK80*MINVU_Mes_Constante!$AC$1</f>
        <v>22111.962927099183</v>
      </c>
      <c r="AL80" s="8">
        <f>+MINVU_Mes_Corriente!AL80*MINVU_Mes_Constante!$AC$1</f>
        <v>22111.962927099183</v>
      </c>
      <c r="AM80" s="8">
        <f>+MINVU_Mes_Corriente!AM80*MINVU_Mes_Constante!$AC$1</f>
        <v>22111.962927099183</v>
      </c>
      <c r="AN80" s="8">
        <f>+MINVU_Mes_Corriente!AN80*MINVU_Mes_Constante!$AC$1</f>
        <v>22111.962927099183</v>
      </c>
      <c r="AO80" s="9">
        <f t="shared" si="59"/>
        <v>22111.962927099183</v>
      </c>
      <c r="AP80" s="8">
        <f>+MINVU_Mes_Corriente!AP80*MINVU_Mes_Constante!$AP$1</f>
        <v>23594.425808196942</v>
      </c>
      <c r="AQ80" s="8">
        <f>+MINVU_Mes_Corriente!AQ80*MINVU_Mes_Constante!$AP$1</f>
        <v>23594.425808196942</v>
      </c>
      <c r="AR80" s="8">
        <f>+MINVU_Mes_Corriente!AR80*MINVU_Mes_Constante!$AP$1</f>
        <v>23594.425808196942</v>
      </c>
      <c r="AS80" s="8">
        <f>+MINVU_Mes_Corriente!AS80*MINVU_Mes_Constante!$AP$1</f>
        <v>23594.425808196942</v>
      </c>
      <c r="AT80" s="8">
        <f>+MINVU_Mes_Corriente!AT80*MINVU_Mes_Constante!$AP$1</f>
        <v>23594.425808196942</v>
      </c>
      <c r="AU80" s="8">
        <f>+MINVU_Mes_Corriente!AU80*MINVU_Mes_Constante!$AP$1</f>
        <v>23594.425808196942</v>
      </c>
      <c r="AV80" s="8">
        <f>+MINVU_Mes_Corriente!AV80*MINVU_Mes_Constante!$AP$1</f>
        <v>23594.425808196942</v>
      </c>
      <c r="AW80" s="8">
        <f>+MINVU_Mes_Corriente!AW80*MINVU_Mes_Constante!$AP$1</f>
        <v>23594.425808196942</v>
      </c>
      <c r="AX80" s="8">
        <f>+MINVU_Mes_Corriente!AX80*MINVU_Mes_Constante!$AP$1</f>
        <v>23594.425808196942</v>
      </c>
      <c r="AY80" s="8">
        <f>+MINVU_Mes_Corriente!AY80*MINVU_Mes_Constante!$AP$1</f>
        <v>23594.425808196942</v>
      </c>
      <c r="AZ80" s="8">
        <f>+MINVU_Mes_Corriente!AZ80*MINVU_Mes_Constante!$AP$1</f>
        <v>23594.425808196942</v>
      </c>
      <c r="BA80" s="8">
        <f>+MINVU_Mes_Corriente!BA80*MINVU_Mes_Constante!$AP$1</f>
        <v>23594.425808196942</v>
      </c>
      <c r="BB80" s="9">
        <f t="shared" si="60"/>
        <v>23594.425808196942</v>
      </c>
      <c r="BC80" s="8">
        <f>+MINVU_Mes_Corriente!BC80*MINVU_Mes_Constante!$BC$1</f>
        <v>21826.064618224984</v>
      </c>
      <c r="BD80" s="8">
        <f>+MINVU_Mes_Corriente!BD80*MINVU_Mes_Constante!$BC$1</f>
        <v>21826.064618224984</v>
      </c>
      <c r="BE80" s="8">
        <f>+MINVU_Mes_Corriente!BE80*MINVU_Mes_Constante!$BC$1</f>
        <v>21826.064618224984</v>
      </c>
      <c r="BF80" s="8">
        <f>+MINVU_Mes_Corriente!BF80*MINVU_Mes_Constante!$BC$1</f>
        <v>21826.064618224984</v>
      </c>
      <c r="BG80" s="8">
        <f>+MINVU_Mes_Corriente!BG80*MINVU_Mes_Constante!$BC$1</f>
        <v>21826.064618224984</v>
      </c>
      <c r="BH80" s="8">
        <f>+MINVU_Mes_Corriente!BH80*MINVU_Mes_Constante!$BC$1</f>
        <v>21826.064618224984</v>
      </c>
      <c r="BI80" s="8">
        <f>+MINVU_Mes_Corriente!BI80*MINVU_Mes_Constante!$BC$1</f>
        <v>21826.064618224984</v>
      </c>
      <c r="BJ80" s="8">
        <f>+MINVU_Mes_Corriente!BJ80*MINVU_Mes_Constante!$BC$1</f>
        <v>21826.064618224984</v>
      </c>
      <c r="BK80" s="8">
        <f>+MINVU_Mes_Corriente!BK80*MINVU_Mes_Constante!$BC$1</f>
        <v>21826.064618224984</v>
      </c>
      <c r="BL80" s="8">
        <f>+MINVU_Mes_Corriente!BL80*MINVU_Mes_Constante!$BC$1</f>
        <v>21826.064618224984</v>
      </c>
      <c r="BM80" s="8">
        <f>+MINVU_Mes_Corriente!BM80*MINVU_Mes_Constante!$BC$1</f>
        <v>21826.064618224984</v>
      </c>
      <c r="BN80" s="8">
        <f>+MINVU_Mes_Corriente!BN80*MINVU_Mes_Constante!$BC$1</f>
        <v>21826.064618224984</v>
      </c>
      <c r="BO80" s="9">
        <f t="shared" si="61"/>
        <v>21826.064618224984</v>
      </c>
      <c r="BP80" s="8">
        <f>+MINVU_Mes_Corriente!BP80*MINVU_Mes_Constante!$BP$1</f>
        <v>25163.375416133167</v>
      </c>
      <c r="BQ80" s="8">
        <f>+MINVU_Mes_Corriente!BQ80*MINVU_Mes_Constante!$BP$1</f>
        <v>25163.375416133167</v>
      </c>
      <c r="BR80" s="8">
        <f>+MINVU_Mes_Corriente!BR80*MINVU_Mes_Constante!$BP$1</f>
        <v>25163.375416133167</v>
      </c>
      <c r="BS80" s="8">
        <f>+MINVU_Mes_Corriente!BS80*MINVU_Mes_Constante!$BP$1</f>
        <v>25163.375416133167</v>
      </c>
      <c r="BT80" s="8">
        <f>+MINVU_Mes_Corriente!BT80*MINVU_Mes_Constante!$BP$1</f>
        <v>25163.375416133167</v>
      </c>
      <c r="BU80" s="8">
        <f>+MINVU_Mes_Corriente!BU80*MINVU_Mes_Constante!$BP$1</f>
        <v>25163.375416133167</v>
      </c>
      <c r="BV80" s="8">
        <f>+MINVU_Mes_Corriente!BV80*MINVU_Mes_Constante!$BP$1</f>
        <v>25163.375416133167</v>
      </c>
      <c r="BW80" s="8">
        <f>+MINVU_Mes_Corriente!BW80*MINVU_Mes_Constante!$BP$1</f>
        <v>25163.375416133167</v>
      </c>
      <c r="BX80" s="8">
        <f>+MINVU_Mes_Corriente!BX80*MINVU_Mes_Constante!$BP$1</f>
        <v>25163.375416133167</v>
      </c>
      <c r="BY80" s="8">
        <f>+MINVU_Mes_Corriente!BY80*MINVU_Mes_Constante!$BP$1</f>
        <v>25163.375416133167</v>
      </c>
      <c r="BZ80" s="8">
        <f>+MINVU_Mes_Corriente!BZ80*MINVU_Mes_Constante!$BP$1</f>
        <v>25163.375416133167</v>
      </c>
      <c r="CA80" s="8">
        <f>+MINVU_Mes_Corriente!CA80*MINVU_Mes_Constante!$BP$1</f>
        <v>25163.375416133167</v>
      </c>
      <c r="CB80" s="9">
        <f t="shared" si="62"/>
        <v>25163.375416133167</v>
      </c>
      <c r="CC80" s="8">
        <f>+MINVU_Mes_Corriente!CC80*MINVU_Mes_Constante!$CC$1</f>
        <v>25070.164117866469</v>
      </c>
      <c r="CD80" s="8">
        <f>+MINVU_Mes_Corriente!CD80*MINVU_Mes_Constante!$CC$1</f>
        <v>25070.164117866469</v>
      </c>
      <c r="CE80" s="8">
        <f>+MINVU_Mes_Corriente!CE80*MINVU_Mes_Constante!$CC$1</f>
        <v>25070.164117866469</v>
      </c>
      <c r="CF80" s="8">
        <f>+MINVU_Mes_Corriente!CF80*MINVU_Mes_Constante!$CC$1</f>
        <v>25070.164117866469</v>
      </c>
      <c r="CG80" s="8">
        <f>+MINVU_Mes_Corriente!CG80*MINVU_Mes_Constante!$CC$1</f>
        <v>25070.164117866469</v>
      </c>
      <c r="CH80" s="8">
        <f>+MINVU_Mes_Corriente!CH80*MINVU_Mes_Constante!$CC$1</f>
        <v>25070.164117866469</v>
      </c>
      <c r="CI80" s="8">
        <f>+MINVU_Mes_Corriente!CI80*MINVU_Mes_Constante!$CC$1</f>
        <v>25070.164117866469</v>
      </c>
      <c r="CJ80" s="8">
        <f>+MINVU_Mes_Corriente!CJ80*MINVU_Mes_Constante!$CC$1</f>
        <v>25070.164117866469</v>
      </c>
      <c r="CK80" s="8">
        <f>+MINVU_Mes_Corriente!CK80*MINVU_Mes_Constante!$CC$1</f>
        <v>25070.164117866469</v>
      </c>
      <c r="CL80" s="8">
        <f>+MINVU_Mes_Corriente!CL80*MINVU_Mes_Constante!$CC$1</f>
        <v>25070.164117866469</v>
      </c>
      <c r="CM80" s="8">
        <f>+MINVU_Mes_Corriente!CM80*MINVU_Mes_Constante!$CC$1</f>
        <v>25070.164117866469</v>
      </c>
      <c r="CN80" s="8">
        <f>+MINVU_Mes_Corriente!CN80*MINVU_Mes_Constante!$CC$1</f>
        <v>25070.164117866469</v>
      </c>
      <c r="CO80" s="9">
        <f t="shared" si="63"/>
        <v>25070.164117866469</v>
      </c>
      <c r="CP80" s="8">
        <f>+MINVU_Mes_Corriente!CP80*MINVU_Mes_Constante!$CP$1</f>
        <v>16664.051276102084</v>
      </c>
      <c r="CQ80" s="8">
        <f>+MINVU_Mes_Corriente!CQ80*MINVU_Mes_Constante!$CP$1</f>
        <v>16664.051276102084</v>
      </c>
      <c r="CR80" s="8">
        <f>+MINVU_Mes_Corriente!CR80*MINVU_Mes_Constante!$CP$1</f>
        <v>16664.051276102084</v>
      </c>
      <c r="CS80" s="8">
        <f>+MINVU_Mes_Corriente!CS80*MINVU_Mes_Constante!$CP$1</f>
        <v>16664.051276102084</v>
      </c>
      <c r="CT80" s="8">
        <f>+MINVU_Mes_Corriente!CT80*MINVU_Mes_Constante!$CP$1</f>
        <v>16664.051276102084</v>
      </c>
      <c r="CU80" s="8">
        <f>+MINVU_Mes_Corriente!CU80*MINVU_Mes_Constante!$CP$1</f>
        <v>16664.051276102084</v>
      </c>
      <c r="CV80" s="8">
        <f>+MINVU_Mes_Corriente!CV80*MINVU_Mes_Constante!$CP$1</f>
        <v>16664.051276102084</v>
      </c>
      <c r="CW80" s="8">
        <f>+MINVU_Mes_Corriente!CW80*MINVU_Mes_Constante!$CP$1</f>
        <v>16664.051276102084</v>
      </c>
      <c r="CX80" s="8">
        <f>+MINVU_Mes_Corriente!CX80*MINVU_Mes_Constante!$CP$1</f>
        <v>16664.051276102084</v>
      </c>
      <c r="CY80" s="8">
        <f>+MINVU_Mes_Corriente!CY80*MINVU_Mes_Constante!$CP$1</f>
        <v>16664.051276102084</v>
      </c>
      <c r="CZ80" s="8">
        <f>+MINVU_Mes_Corriente!CZ80*MINVU_Mes_Constante!$CP$1</f>
        <v>16664.051276102084</v>
      </c>
      <c r="DA80" s="8">
        <f>+MINVU_Mes_Corriente!DA80*MINVU_Mes_Constante!$CP$1</f>
        <v>16664.051276102084</v>
      </c>
      <c r="DB80" s="9">
        <f t="shared" si="64"/>
        <v>16664.051276102084</v>
      </c>
      <c r="DC80" s="8">
        <f>+MINVU_Mes_Corriente!DC80*MINVU_Mes_Constante!$DC$1</f>
        <v>0</v>
      </c>
      <c r="DD80" s="8">
        <f>+MINVU_Mes_Corriente!DD80*MINVU_Mes_Constante!$DC$1</f>
        <v>0</v>
      </c>
      <c r="DE80" s="8">
        <f>+MINVU_Mes_Corriente!DE80*MINVU_Mes_Constante!$DC$1</f>
        <v>0</v>
      </c>
      <c r="DF80" s="8">
        <f>+MINVU_Mes_Corriente!DF80*MINVU_Mes_Constante!$DC$1</f>
        <v>0</v>
      </c>
      <c r="DG80" s="8">
        <f>+MINVU_Mes_Corriente!DG80*MINVU_Mes_Constante!$DC$1</f>
        <v>0</v>
      </c>
      <c r="DH80" s="8">
        <f>+MINVU_Mes_Corriente!DH80*MINVU_Mes_Constante!$DC$1</f>
        <v>0</v>
      </c>
      <c r="DI80" s="8">
        <f>+MINVU_Mes_Corriente!DI80*MINVU_Mes_Constante!$DC$1</f>
        <v>0</v>
      </c>
      <c r="DJ80" s="8">
        <f>+MINVU_Mes_Corriente!DJ80*MINVU_Mes_Constante!$DC$1</f>
        <v>0</v>
      </c>
      <c r="DK80" s="8">
        <f>+MINVU_Mes_Corriente!DK80*MINVU_Mes_Constante!$DC$1</f>
        <v>0</v>
      </c>
      <c r="DL80" s="8">
        <f>+MINVU_Mes_Corriente!DL80*MINVU_Mes_Constante!$DC$1</f>
        <v>0</v>
      </c>
      <c r="DM80" s="8">
        <f>+MINVU_Mes_Corriente!DM80*MINVU_Mes_Constante!$DC$1</f>
        <v>0</v>
      </c>
      <c r="DN80" s="8">
        <f>+MINVU_Mes_Corriente!DN80*MINVU_Mes_Constante!$DC$1</f>
        <v>0</v>
      </c>
      <c r="DO80" s="9">
        <f t="shared" si="65"/>
        <v>0</v>
      </c>
      <c r="DP80" s="8">
        <f>+MINVU_Mes_Corriente!DP80*MINVU_Mes_Constante!$DP$1</f>
        <v>0</v>
      </c>
      <c r="DQ80" s="8">
        <f>+MINVU_Mes_Corriente!DQ80*MINVU_Mes_Constante!$DP$1</f>
        <v>0</v>
      </c>
      <c r="DR80" s="8">
        <f>+MINVU_Mes_Corriente!DR80*MINVU_Mes_Constante!$DP$1</f>
        <v>0</v>
      </c>
      <c r="DS80" s="8">
        <f>+MINVU_Mes_Corriente!DS80*MINVU_Mes_Constante!$DP$1</f>
        <v>0</v>
      </c>
      <c r="DT80" s="8">
        <f>+MINVU_Mes_Corriente!DT80*MINVU_Mes_Constante!$DP$1</f>
        <v>0</v>
      </c>
      <c r="DU80" s="8">
        <f>+MINVU_Mes_Corriente!DU80*MINVU_Mes_Constante!$DP$1</f>
        <v>0</v>
      </c>
      <c r="DV80" s="8">
        <f>+MINVU_Mes_Corriente!DV80*MINVU_Mes_Constante!$DP$1</f>
        <v>0</v>
      </c>
      <c r="DW80" s="8">
        <f>+MINVU_Mes_Corriente!DW80*MINVU_Mes_Constante!$DP$1</f>
        <v>0</v>
      </c>
      <c r="DX80" s="8">
        <f>+MINVU_Mes_Corriente!DX80*MINVU_Mes_Constante!$DP$1</f>
        <v>0</v>
      </c>
      <c r="DY80" s="8">
        <f>+MINVU_Mes_Corriente!DY80*MINVU_Mes_Constante!$DP$1</f>
        <v>0</v>
      </c>
      <c r="DZ80" s="8">
        <f>+MINVU_Mes_Corriente!DZ80*MINVU_Mes_Constante!$DP$1</f>
        <v>0</v>
      </c>
      <c r="EA80" s="8">
        <f>+MINVU_Mes_Corriente!EA80*MINVU_Mes_Constante!$DP$1</f>
        <v>0</v>
      </c>
      <c r="EB80" s="9">
        <f t="shared" si="66"/>
        <v>0</v>
      </c>
      <c r="EC80" s="8">
        <f>+MINVU_Mes_Corriente!EC80*MINVU_Mes_Constante!$EC$1</f>
        <v>0</v>
      </c>
      <c r="ED80" s="8">
        <f>+MINVU_Mes_Corriente!ED80*MINVU_Mes_Constante!$EC$1</f>
        <v>0</v>
      </c>
      <c r="EE80" s="8">
        <f>+MINVU_Mes_Corriente!EE80*MINVU_Mes_Constante!$EC$1</f>
        <v>0</v>
      </c>
      <c r="EF80" s="8">
        <f>+MINVU_Mes_Corriente!EF80*MINVU_Mes_Constante!$EC$1</f>
        <v>0</v>
      </c>
      <c r="EG80" s="8">
        <f>+MINVU_Mes_Corriente!EG80*MINVU_Mes_Constante!$EC$1</f>
        <v>0</v>
      </c>
      <c r="EH80" s="8">
        <f>+MINVU_Mes_Corriente!EH80*MINVU_Mes_Constante!$EC$1</f>
        <v>0</v>
      </c>
      <c r="EI80" s="8">
        <f>+MINVU_Mes_Corriente!EI80*MINVU_Mes_Constante!$EC$1</f>
        <v>0</v>
      </c>
      <c r="EJ80" s="8">
        <f>+MINVU_Mes_Corriente!EJ80*MINVU_Mes_Constante!$EC$1</f>
        <v>0</v>
      </c>
      <c r="EK80" s="8">
        <f>+MINVU_Mes_Corriente!EK80*MINVU_Mes_Constante!$EC$1</f>
        <v>0</v>
      </c>
      <c r="EL80" s="8">
        <f>+MINVU_Mes_Corriente!EL80*MINVU_Mes_Constante!$EC$1</f>
        <v>0</v>
      </c>
      <c r="EM80" s="8">
        <f>+MINVU_Mes_Corriente!EM80*MINVU_Mes_Constante!$EC$1</f>
        <v>0</v>
      </c>
      <c r="EN80" s="8">
        <f>+MINVU_Mes_Corriente!EN80*MINVU_Mes_Constante!$EC$1</f>
        <v>0</v>
      </c>
      <c r="EO80" s="9">
        <f t="shared" si="67"/>
        <v>0</v>
      </c>
      <c r="EP80" s="8">
        <f>+MINVU_Mes_Corriente!EP80*MINVU_Mes_Constante!$EP$1</f>
        <v>6172</v>
      </c>
      <c r="EQ80" s="8">
        <f>+MINVU_Mes_Corriente!EQ80*MINVU_Mes_Constante!$EP$1</f>
        <v>6172</v>
      </c>
      <c r="ER80" s="8">
        <f>+MINVU_Mes_Corriente!ER80*MINVU_Mes_Constante!$EP$1</f>
        <v>6172</v>
      </c>
      <c r="ES80" s="8">
        <f>+MINVU_Mes_Corriente!ES80*MINVU_Mes_Constante!$EP$1</f>
        <v>6172</v>
      </c>
      <c r="ET80" s="8">
        <f>+MINVU_Mes_Corriente!ET80*MINVU_Mes_Constante!$EP$1</f>
        <v>6172</v>
      </c>
      <c r="EU80" s="8">
        <f>+MINVU_Mes_Corriente!EU80*MINVU_Mes_Constante!$EP$1</f>
        <v>6172</v>
      </c>
      <c r="EV80" s="8">
        <f>+MINVU_Mes_Corriente!EV80*MINVU_Mes_Constante!$EP$1</f>
        <v>6172</v>
      </c>
      <c r="EW80" s="8">
        <f>+MINVU_Mes_Corriente!EW80*MINVU_Mes_Constante!$EP$1</f>
        <v>6172</v>
      </c>
      <c r="EX80" s="8">
        <f>+MINVU_Mes_Corriente!EX80*MINVU_Mes_Constante!$EP$1</f>
        <v>6172</v>
      </c>
      <c r="EY80" s="8">
        <f>+MINVU_Mes_Corriente!EY80*MINVU_Mes_Constante!$EP$1</f>
        <v>6172</v>
      </c>
      <c r="EZ80" s="8">
        <f>+MINVU_Mes_Corriente!EZ80*MINVU_Mes_Constante!$EP$1</f>
        <v>6172</v>
      </c>
      <c r="FA80" s="8">
        <f>+MINVU_Mes_Corriente!FA80*MINVU_Mes_Constante!$EP$1</f>
        <v>6172</v>
      </c>
      <c r="FB80" s="9">
        <f t="shared" si="68"/>
        <v>6172</v>
      </c>
      <c r="FC80" s="8">
        <f>+MINVU_Mes_Corriente!FC80*MINVU_Mes_Constante!$FC$1</f>
        <v>10</v>
      </c>
      <c r="FD80" s="8">
        <f>+MINVU_Mes_Corriente!FD80*MINVU_Mes_Constante!$FC$1</f>
        <v>10</v>
      </c>
      <c r="FE80" s="8">
        <f>+MINVU_Mes_Corriente!FE80*MINVU_Mes_Constante!$FC$1</f>
        <v>10</v>
      </c>
      <c r="FF80" s="8">
        <f>+MINVU_Mes_Corriente!FF80*MINVU_Mes_Constante!$FC$1</f>
        <v>10</v>
      </c>
      <c r="FG80" s="8">
        <f>+MINVU_Mes_Corriente!FG80*MINVU_Mes_Constante!$FC$1</f>
        <v>10</v>
      </c>
      <c r="FH80" s="8">
        <f>+MINVU_Mes_Corriente!FH80*MINVU_Mes_Constante!$FC$1</f>
        <v>10</v>
      </c>
      <c r="FI80" s="8">
        <f>+MINVU_Mes_Corriente!FI80*MINVU_Mes_Constante!$FC$1</f>
        <v>10</v>
      </c>
      <c r="FJ80" s="8"/>
      <c r="FK80" s="8"/>
      <c r="FL80" s="8"/>
      <c r="FM80" s="8"/>
      <c r="FN80" s="8"/>
      <c r="FO80" s="9">
        <f t="shared" si="69"/>
        <v>10</v>
      </c>
    </row>
    <row r="81" spans="2:171" ht="14.25" customHeight="1" x14ac:dyDescent="0.3">
      <c r="B81" s="7" t="s">
        <v>47</v>
      </c>
      <c r="C81" s="8">
        <f>+MINVU_Mes_Corriente!C81*MINVU_Mes_Constante!$C$1</f>
        <v>10861.18611893816</v>
      </c>
      <c r="D81" s="8">
        <f>+MINVU_Mes_Corriente!D81*MINVU_Mes_Constante!$C$1</f>
        <v>10861.18611893816</v>
      </c>
      <c r="E81" s="8">
        <f>+MINVU_Mes_Corriente!E81*MINVU_Mes_Constante!$C$1</f>
        <v>10861.18611893816</v>
      </c>
      <c r="F81" s="8">
        <f>+MINVU_Mes_Corriente!F81*MINVU_Mes_Constante!$C$1</f>
        <v>10861.18611893816</v>
      </c>
      <c r="G81" s="8">
        <f>+MINVU_Mes_Corriente!G81*MINVU_Mes_Constante!$C$1</f>
        <v>10861.18611893816</v>
      </c>
      <c r="H81" s="8">
        <f>+MINVU_Mes_Corriente!H81*MINVU_Mes_Constante!$C$1</f>
        <v>10861.18611893816</v>
      </c>
      <c r="I81" s="8">
        <f>+MINVU_Mes_Corriente!I81*MINVU_Mes_Constante!$C$1</f>
        <v>10861.18611893816</v>
      </c>
      <c r="J81" s="8">
        <f>+MINVU_Mes_Corriente!J81*MINVU_Mes_Constante!$C$1</f>
        <v>10861.18611893816</v>
      </c>
      <c r="K81" s="8">
        <f>+MINVU_Mes_Corriente!K81*MINVU_Mes_Constante!$C$1</f>
        <v>10861.18611893816</v>
      </c>
      <c r="L81" s="8">
        <f>+MINVU_Mes_Corriente!L81*MINVU_Mes_Constante!$C$1</f>
        <v>10861.18611893816</v>
      </c>
      <c r="M81" s="8">
        <f>+MINVU_Mes_Corriente!M81*MINVU_Mes_Constante!$C$1</f>
        <v>10861.18611893816</v>
      </c>
      <c r="N81" s="8">
        <f>+MINVU_Mes_Corriente!N81*MINVU_Mes_Constante!$C$1</f>
        <v>10861.18611893816</v>
      </c>
      <c r="O81" s="9">
        <f t="shared" si="57"/>
        <v>10861.18611893816</v>
      </c>
      <c r="P81" s="8">
        <f>+MINVU_Mes_Corriente!P81*MINVU_Mes_Constante!$P$1</f>
        <v>12683.10072453473</v>
      </c>
      <c r="Q81" s="8">
        <f>+MINVU_Mes_Corriente!Q81*MINVU_Mes_Constante!$P$1</f>
        <v>12683.10072453473</v>
      </c>
      <c r="R81" s="8">
        <f>+MINVU_Mes_Corriente!R81*MINVU_Mes_Constante!$P$1</f>
        <v>12683.10072453473</v>
      </c>
      <c r="S81" s="8">
        <f>+MINVU_Mes_Corriente!S81*MINVU_Mes_Constante!$P$1</f>
        <v>12683.10072453473</v>
      </c>
      <c r="T81" s="8">
        <f>+MINVU_Mes_Corriente!T81*MINVU_Mes_Constante!$P$1</f>
        <v>12683.10072453473</v>
      </c>
      <c r="U81" s="8">
        <f>+MINVU_Mes_Corriente!U81*MINVU_Mes_Constante!$P$1</f>
        <v>12683.10072453473</v>
      </c>
      <c r="V81" s="8">
        <f>+MINVU_Mes_Corriente!V81*MINVU_Mes_Constante!$P$1</f>
        <v>12683.10072453473</v>
      </c>
      <c r="W81" s="8">
        <f>+MINVU_Mes_Corriente!W81*MINVU_Mes_Constante!$P$1</f>
        <v>12683.10072453473</v>
      </c>
      <c r="X81" s="8">
        <f>+MINVU_Mes_Corriente!X81*MINVU_Mes_Constante!$P$1</f>
        <v>12683.10072453473</v>
      </c>
      <c r="Y81" s="8">
        <f>+MINVU_Mes_Corriente!Y81*MINVU_Mes_Constante!$P$1</f>
        <v>12683.10072453473</v>
      </c>
      <c r="Z81" s="8">
        <f>+MINVU_Mes_Corriente!Z81*MINVU_Mes_Constante!$P$1</f>
        <v>12683.10072453473</v>
      </c>
      <c r="AA81" s="8">
        <f>+MINVU_Mes_Corriente!AA81*MINVU_Mes_Constante!$P$1</f>
        <v>12683.10072453473</v>
      </c>
      <c r="AB81" s="9">
        <f t="shared" si="58"/>
        <v>12683.10072453473</v>
      </c>
      <c r="AC81" s="8">
        <f>+MINVU_Mes_Corriente!AC81*MINVU_Mes_Constante!$AC$1</f>
        <v>15363.506709088393</v>
      </c>
      <c r="AD81" s="8">
        <f>+MINVU_Mes_Corriente!AD81*MINVU_Mes_Constante!$AC$1</f>
        <v>15363.506709088393</v>
      </c>
      <c r="AE81" s="8">
        <f>+MINVU_Mes_Corriente!AE81*MINVU_Mes_Constante!$AC$1</f>
        <v>15363.506709088393</v>
      </c>
      <c r="AF81" s="8">
        <f>+MINVU_Mes_Corriente!AF81*MINVU_Mes_Constante!$AC$1</f>
        <v>15363.506709088393</v>
      </c>
      <c r="AG81" s="8">
        <f>+MINVU_Mes_Corriente!AG81*MINVU_Mes_Constante!$AC$1</f>
        <v>15363.506709088393</v>
      </c>
      <c r="AH81" s="8">
        <f>+MINVU_Mes_Corriente!AH81*MINVU_Mes_Constante!$AC$1</f>
        <v>15363.506709088393</v>
      </c>
      <c r="AI81" s="8">
        <f>+MINVU_Mes_Corriente!AI81*MINVU_Mes_Constante!$AC$1</f>
        <v>15363.506709088393</v>
      </c>
      <c r="AJ81" s="8">
        <f>+MINVU_Mes_Corriente!AJ81*MINVU_Mes_Constante!$AC$1</f>
        <v>15363.506709088393</v>
      </c>
      <c r="AK81" s="8">
        <f>+MINVU_Mes_Corriente!AK81*MINVU_Mes_Constante!$AC$1</f>
        <v>15363.506709088393</v>
      </c>
      <c r="AL81" s="8">
        <f>+MINVU_Mes_Corriente!AL81*MINVU_Mes_Constante!$AC$1</f>
        <v>15363.506709088393</v>
      </c>
      <c r="AM81" s="8">
        <f>+MINVU_Mes_Corriente!AM81*MINVU_Mes_Constante!$AC$1</f>
        <v>15363.506709088393</v>
      </c>
      <c r="AN81" s="8">
        <f>+MINVU_Mes_Corriente!AN81*MINVU_Mes_Constante!$AC$1</f>
        <v>15363.506709088393</v>
      </c>
      <c r="AO81" s="9">
        <f t="shared" si="59"/>
        <v>15363.506709088393</v>
      </c>
      <c r="AP81" s="8">
        <f>+MINVU_Mes_Corriente!AP81*MINVU_Mes_Constante!$AP$1</f>
        <v>16744.431218720409</v>
      </c>
      <c r="AQ81" s="8">
        <f>+MINVU_Mes_Corriente!AQ81*MINVU_Mes_Constante!$AP$1</f>
        <v>16744.431218720409</v>
      </c>
      <c r="AR81" s="8">
        <f>+MINVU_Mes_Corriente!AR81*MINVU_Mes_Constante!$AP$1</f>
        <v>16744.431218720409</v>
      </c>
      <c r="AS81" s="8">
        <f>+MINVU_Mes_Corriente!AS81*MINVU_Mes_Constante!$AP$1</f>
        <v>16744.431218720409</v>
      </c>
      <c r="AT81" s="8">
        <f>+MINVU_Mes_Corriente!AT81*MINVU_Mes_Constante!$AP$1</f>
        <v>16744.431218720409</v>
      </c>
      <c r="AU81" s="8">
        <f>+MINVU_Mes_Corriente!AU81*MINVU_Mes_Constante!$AP$1</f>
        <v>16744.431218720409</v>
      </c>
      <c r="AV81" s="8">
        <f>+MINVU_Mes_Corriente!AV81*MINVU_Mes_Constante!$AP$1</f>
        <v>16744.431218720409</v>
      </c>
      <c r="AW81" s="8">
        <f>+MINVU_Mes_Corriente!AW81*MINVU_Mes_Constante!$AP$1</f>
        <v>16744.431218720409</v>
      </c>
      <c r="AX81" s="8">
        <f>+MINVU_Mes_Corriente!AX81*MINVU_Mes_Constante!$AP$1</f>
        <v>16744.431218720409</v>
      </c>
      <c r="AY81" s="8">
        <f>+MINVU_Mes_Corriente!AY81*MINVU_Mes_Constante!$AP$1</f>
        <v>16744.431218720409</v>
      </c>
      <c r="AZ81" s="8">
        <f>+MINVU_Mes_Corriente!AZ81*MINVU_Mes_Constante!$AP$1</f>
        <v>16744.431218720409</v>
      </c>
      <c r="BA81" s="8">
        <f>+MINVU_Mes_Corriente!BA81*MINVU_Mes_Constante!$AP$1</f>
        <v>16744.431218720409</v>
      </c>
      <c r="BB81" s="9">
        <f t="shared" si="60"/>
        <v>16744.431218720409</v>
      </c>
      <c r="BC81" s="8">
        <f>+MINVU_Mes_Corriente!BC81*MINVU_Mes_Constante!$BC$1</f>
        <v>2205444.006329949</v>
      </c>
      <c r="BD81" s="8">
        <f>+MINVU_Mes_Corriente!BD81*MINVU_Mes_Constante!$BC$1</f>
        <v>2205444.006329949</v>
      </c>
      <c r="BE81" s="8">
        <f>+MINVU_Mes_Corriente!BE81*MINVU_Mes_Constante!$BC$1</f>
        <v>2205444.006329949</v>
      </c>
      <c r="BF81" s="8">
        <f>+MINVU_Mes_Corriente!BF81*MINVU_Mes_Constante!$BC$1</f>
        <v>2205444.006329949</v>
      </c>
      <c r="BG81" s="8">
        <f>+MINVU_Mes_Corriente!BG81*MINVU_Mes_Constante!$BC$1</f>
        <v>2205444.006329949</v>
      </c>
      <c r="BH81" s="8">
        <f>+MINVU_Mes_Corriente!BH81*MINVU_Mes_Constante!$BC$1</f>
        <v>2205444.006329949</v>
      </c>
      <c r="BI81" s="8">
        <f>+MINVU_Mes_Corriente!BI81*MINVU_Mes_Constante!$BC$1</f>
        <v>2205444.006329949</v>
      </c>
      <c r="BJ81" s="8">
        <f>+MINVU_Mes_Corriente!BJ81*MINVU_Mes_Constante!$BC$1</f>
        <v>2205444.006329949</v>
      </c>
      <c r="BK81" s="8">
        <f>+MINVU_Mes_Corriente!BK81*MINVU_Mes_Constante!$BC$1</f>
        <v>2205444.006329949</v>
      </c>
      <c r="BL81" s="8">
        <f>+MINVU_Mes_Corriente!BL81*MINVU_Mes_Constante!$BC$1</f>
        <v>2205444.006329949</v>
      </c>
      <c r="BM81" s="8">
        <f>+MINVU_Mes_Corriente!BM81*MINVU_Mes_Constante!$BC$1</f>
        <v>2205444.006329949</v>
      </c>
      <c r="BN81" s="8">
        <f>+MINVU_Mes_Corriente!BN81*MINVU_Mes_Constante!$BC$1</f>
        <v>2205444.006329949</v>
      </c>
      <c r="BO81" s="9">
        <f t="shared" si="61"/>
        <v>2205444.006329949</v>
      </c>
      <c r="BP81" s="8">
        <f>+MINVU_Mes_Corriente!BP81*MINVU_Mes_Constante!$BP$1</f>
        <v>12210.259667093471</v>
      </c>
      <c r="BQ81" s="8">
        <f>+MINVU_Mes_Corriente!BQ81*MINVU_Mes_Constante!$BP$1</f>
        <v>12210.259667093471</v>
      </c>
      <c r="BR81" s="8">
        <f>+MINVU_Mes_Corriente!BR81*MINVU_Mes_Constante!$BP$1</f>
        <v>12210.259667093471</v>
      </c>
      <c r="BS81" s="8">
        <f>+MINVU_Mes_Corriente!BS81*MINVU_Mes_Constante!$BP$1</f>
        <v>12210.259667093471</v>
      </c>
      <c r="BT81" s="8">
        <f>+MINVU_Mes_Corriente!BT81*MINVU_Mes_Constante!$BP$1</f>
        <v>12210.259667093471</v>
      </c>
      <c r="BU81" s="8">
        <f>+MINVU_Mes_Corriente!BU81*MINVU_Mes_Constante!$BP$1</f>
        <v>12210.259667093471</v>
      </c>
      <c r="BV81" s="8">
        <f>+MINVU_Mes_Corriente!BV81*MINVU_Mes_Constante!$BP$1</f>
        <v>12210.259667093471</v>
      </c>
      <c r="BW81" s="8">
        <f>+MINVU_Mes_Corriente!BW81*MINVU_Mes_Constante!$BP$1</f>
        <v>12210.259667093471</v>
      </c>
      <c r="BX81" s="8">
        <f>+MINVU_Mes_Corriente!BX81*MINVU_Mes_Constante!$BP$1</f>
        <v>12210.259667093471</v>
      </c>
      <c r="BY81" s="8">
        <f>+MINVU_Mes_Corriente!BY81*MINVU_Mes_Constante!$BP$1</f>
        <v>12210.259667093471</v>
      </c>
      <c r="BZ81" s="8">
        <f>+MINVU_Mes_Corriente!BZ81*MINVU_Mes_Constante!$BP$1</f>
        <v>12210.259667093471</v>
      </c>
      <c r="CA81" s="8">
        <f>+MINVU_Mes_Corriente!CA81*MINVU_Mes_Constante!$BP$1</f>
        <v>12210.259667093471</v>
      </c>
      <c r="CB81" s="9">
        <f t="shared" si="62"/>
        <v>12210.259667093471</v>
      </c>
      <c r="CC81" s="8">
        <f>+MINVU_Mes_Corriente!CC81*MINVU_Mes_Constante!$CC$1</f>
        <v>10273.944796717644</v>
      </c>
      <c r="CD81" s="8">
        <f>+MINVU_Mes_Corriente!CD81*MINVU_Mes_Constante!$CC$1</f>
        <v>10273.944796717644</v>
      </c>
      <c r="CE81" s="8">
        <f>+MINVU_Mes_Corriente!CE81*MINVU_Mes_Constante!$CC$1</f>
        <v>10273.944796717644</v>
      </c>
      <c r="CF81" s="8">
        <f>+MINVU_Mes_Corriente!CF81*MINVU_Mes_Constante!$CC$1</f>
        <v>10273.944796717644</v>
      </c>
      <c r="CG81" s="8">
        <f>+MINVU_Mes_Corriente!CG81*MINVU_Mes_Constante!$CC$1</f>
        <v>10273.944796717644</v>
      </c>
      <c r="CH81" s="8">
        <f>+MINVU_Mes_Corriente!CH81*MINVU_Mes_Constante!$CC$1</f>
        <v>10273.944796717644</v>
      </c>
      <c r="CI81" s="8">
        <f>+MINVU_Mes_Corriente!CI81*MINVU_Mes_Constante!$CC$1</f>
        <v>10273.944796717644</v>
      </c>
      <c r="CJ81" s="8">
        <f>+MINVU_Mes_Corriente!CJ81*MINVU_Mes_Constante!$CC$1</f>
        <v>10273.944796717644</v>
      </c>
      <c r="CK81" s="8">
        <f>+MINVU_Mes_Corriente!CK81*MINVU_Mes_Constante!$CC$1</f>
        <v>10273.944796717644</v>
      </c>
      <c r="CL81" s="8">
        <f>+MINVU_Mes_Corriente!CL81*MINVU_Mes_Constante!$CC$1</f>
        <v>10273.944796717644</v>
      </c>
      <c r="CM81" s="8">
        <f>+MINVU_Mes_Corriente!CM81*MINVU_Mes_Constante!$CC$1</f>
        <v>10273.944796717644</v>
      </c>
      <c r="CN81" s="8">
        <f>+MINVU_Mes_Corriente!CN81*MINVU_Mes_Constante!$CC$1</f>
        <v>10273.944796717644</v>
      </c>
      <c r="CO81" s="9">
        <f t="shared" si="63"/>
        <v>10273.944796717644</v>
      </c>
      <c r="CP81" s="8">
        <f>+MINVU_Mes_Corriente!CP81*MINVU_Mes_Constante!$CP$1</f>
        <v>2048.3081206496518</v>
      </c>
      <c r="CQ81" s="8">
        <f>+MINVU_Mes_Corriente!CQ81*MINVU_Mes_Constante!$CP$1</f>
        <v>2048.3081206496518</v>
      </c>
      <c r="CR81" s="8">
        <f>+MINVU_Mes_Corriente!CR81*MINVU_Mes_Constante!$CP$1</f>
        <v>2048.3081206496518</v>
      </c>
      <c r="CS81" s="8">
        <f>+MINVU_Mes_Corriente!CS81*MINVU_Mes_Constante!$CP$1</f>
        <v>2048.3081206496518</v>
      </c>
      <c r="CT81" s="8">
        <f>+MINVU_Mes_Corriente!CT81*MINVU_Mes_Constante!$CP$1</f>
        <v>2048.3081206496518</v>
      </c>
      <c r="CU81" s="8">
        <f>+MINVU_Mes_Corriente!CU81*MINVU_Mes_Constante!$CP$1</f>
        <v>2048.3081206496518</v>
      </c>
      <c r="CV81" s="8">
        <f>+MINVU_Mes_Corriente!CV81*MINVU_Mes_Constante!$CP$1</f>
        <v>2048.3081206496518</v>
      </c>
      <c r="CW81" s="8">
        <f>+MINVU_Mes_Corriente!CW81*MINVU_Mes_Constante!$CP$1</f>
        <v>2048.3081206496518</v>
      </c>
      <c r="CX81" s="8">
        <f>+MINVU_Mes_Corriente!CX81*MINVU_Mes_Constante!$CP$1</f>
        <v>2048.3081206496518</v>
      </c>
      <c r="CY81" s="8">
        <f>+MINVU_Mes_Corriente!CY81*MINVU_Mes_Constante!$CP$1</f>
        <v>2048.3081206496518</v>
      </c>
      <c r="CZ81" s="8">
        <f>+MINVU_Mes_Corriente!CZ81*MINVU_Mes_Constante!$CP$1</f>
        <v>2048.3081206496518</v>
      </c>
      <c r="DA81" s="8">
        <f>+MINVU_Mes_Corriente!DA81*MINVU_Mes_Constante!$CP$1</f>
        <v>2048.3081206496518</v>
      </c>
      <c r="DB81" s="9">
        <f t="shared" si="64"/>
        <v>2048.3081206496518</v>
      </c>
      <c r="DC81" s="8">
        <f>+MINVU_Mes_Corriente!DC81*MINVU_Mes_Constante!$DC$1</f>
        <v>0</v>
      </c>
      <c r="DD81" s="8">
        <f>+MINVU_Mes_Corriente!DD81*MINVU_Mes_Constante!$DC$1</f>
        <v>0</v>
      </c>
      <c r="DE81" s="8">
        <f>+MINVU_Mes_Corriente!DE81*MINVU_Mes_Constante!$DC$1</f>
        <v>0</v>
      </c>
      <c r="DF81" s="8">
        <f>+MINVU_Mes_Corriente!DF81*MINVU_Mes_Constante!$DC$1</f>
        <v>0</v>
      </c>
      <c r="DG81" s="8">
        <f>+MINVU_Mes_Corriente!DG81*MINVU_Mes_Constante!$DC$1</f>
        <v>0</v>
      </c>
      <c r="DH81" s="8">
        <f>+MINVU_Mes_Corriente!DH81*MINVU_Mes_Constante!$DC$1</f>
        <v>0</v>
      </c>
      <c r="DI81" s="8">
        <f>+MINVU_Mes_Corriente!DI81*MINVU_Mes_Constante!$DC$1</f>
        <v>0</v>
      </c>
      <c r="DJ81" s="8">
        <f>+MINVU_Mes_Corriente!DJ81*MINVU_Mes_Constante!$DC$1</f>
        <v>0</v>
      </c>
      <c r="DK81" s="8">
        <f>+MINVU_Mes_Corriente!DK81*MINVU_Mes_Constante!$DC$1</f>
        <v>0</v>
      </c>
      <c r="DL81" s="8">
        <f>+MINVU_Mes_Corriente!DL81*MINVU_Mes_Constante!$DC$1</f>
        <v>0</v>
      </c>
      <c r="DM81" s="8">
        <f>+MINVU_Mes_Corriente!DM81*MINVU_Mes_Constante!$DC$1</f>
        <v>0</v>
      </c>
      <c r="DN81" s="8">
        <f>+MINVU_Mes_Corriente!DN81*MINVU_Mes_Constante!$DC$1</f>
        <v>0</v>
      </c>
      <c r="DO81" s="9">
        <f t="shared" si="65"/>
        <v>0</v>
      </c>
      <c r="DP81" s="8">
        <f>+MINVU_Mes_Corriente!DP81*MINVU_Mes_Constante!$DP$1</f>
        <v>0</v>
      </c>
      <c r="DQ81" s="8">
        <f>+MINVU_Mes_Corriente!DQ81*MINVU_Mes_Constante!$DP$1</f>
        <v>0</v>
      </c>
      <c r="DR81" s="8">
        <f>+MINVU_Mes_Corriente!DR81*MINVU_Mes_Constante!$DP$1</f>
        <v>0</v>
      </c>
      <c r="DS81" s="8">
        <f>+MINVU_Mes_Corriente!DS81*MINVU_Mes_Constante!$DP$1</f>
        <v>0</v>
      </c>
      <c r="DT81" s="8">
        <f>+MINVU_Mes_Corriente!DT81*MINVU_Mes_Constante!$DP$1</f>
        <v>0</v>
      </c>
      <c r="DU81" s="8">
        <f>+MINVU_Mes_Corriente!DU81*MINVU_Mes_Constante!$DP$1</f>
        <v>0</v>
      </c>
      <c r="DV81" s="8">
        <f>+MINVU_Mes_Corriente!DV81*MINVU_Mes_Constante!$DP$1</f>
        <v>0</v>
      </c>
      <c r="DW81" s="8">
        <f>+MINVU_Mes_Corriente!DW81*MINVU_Mes_Constante!$DP$1</f>
        <v>0</v>
      </c>
      <c r="DX81" s="8">
        <f>+MINVU_Mes_Corriente!DX81*MINVU_Mes_Constante!$DP$1</f>
        <v>0</v>
      </c>
      <c r="DY81" s="8">
        <f>+MINVU_Mes_Corriente!DY81*MINVU_Mes_Constante!$DP$1</f>
        <v>0</v>
      </c>
      <c r="DZ81" s="8">
        <f>+MINVU_Mes_Corriente!DZ81*MINVU_Mes_Constante!$DP$1</f>
        <v>0</v>
      </c>
      <c r="EA81" s="8">
        <f>+MINVU_Mes_Corriente!EA81*MINVU_Mes_Constante!$DP$1</f>
        <v>0</v>
      </c>
      <c r="EB81" s="9">
        <f t="shared" si="66"/>
        <v>0</v>
      </c>
      <c r="EC81" s="8">
        <f>+MINVU_Mes_Corriente!EC81*MINVU_Mes_Constante!$EC$1</f>
        <v>0</v>
      </c>
      <c r="ED81" s="8">
        <f>+MINVU_Mes_Corriente!ED81*MINVU_Mes_Constante!$EC$1</f>
        <v>0</v>
      </c>
      <c r="EE81" s="8">
        <f>+MINVU_Mes_Corriente!EE81*MINVU_Mes_Constante!$EC$1</f>
        <v>0</v>
      </c>
      <c r="EF81" s="8">
        <f>+MINVU_Mes_Corriente!EF81*MINVU_Mes_Constante!$EC$1</f>
        <v>0</v>
      </c>
      <c r="EG81" s="8">
        <f>+MINVU_Mes_Corriente!EG81*MINVU_Mes_Constante!$EC$1</f>
        <v>0</v>
      </c>
      <c r="EH81" s="8">
        <f>+MINVU_Mes_Corriente!EH81*MINVU_Mes_Constante!$EC$1</f>
        <v>0</v>
      </c>
      <c r="EI81" s="8">
        <f>+MINVU_Mes_Corriente!EI81*MINVU_Mes_Constante!$EC$1</f>
        <v>0</v>
      </c>
      <c r="EJ81" s="8">
        <f>+MINVU_Mes_Corriente!EJ81*MINVU_Mes_Constante!$EC$1</f>
        <v>0</v>
      </c>
      <c r="EK81" s="8">
        <f>+MINVU_Mes_Corriente!EK81*MINVU_Mes_Constante!$EC$1</f>
        <v>0</v>
      </c>
      <c r="EL81" s="8">
        <f>+MINVU_Mes_Corriente!EL81*MINVU_Mes_Constante!$EC$1</f>
        <v>0</v>
      </c>
      <c r="EM81" s="8">
        <f>+MINVU_Mes_Corriente!EM81*MINVU_Mes_Constante!$EC$1</f>
        <v>0</v>
      </c>
      <c r="EN81" s="8">
        <f>+MINVU_Mes_Corriente!EN81*MINVU_Mes_Constante!$EC$1</f>
        <v>0</v>
      </c>
      <c r="EO81" s="9">
        <f t="shared" si="67"/>
        <v>0</v>
      </c>
      <c r="EP81" s="8">
        <f>+MINVU_Mes_Corriente!EP81*MINVU_Mes_Constante!$EP$1</f>
        <v>747</v>
      </c>
      <c r="EQ81" s="8">
        <f>+MINVU_Mes_Corriente!EQ81*MINVU_Mes_Constante!$EP$1</f>
        <v>747</v>
      </c>
      <c r="ER81" s="8">
        <f>+MINVU_Mes_Corriente!ER81*MINVU_Mes_Constante!$EP$1</f>
        <v>747</v>
      </c>
      <c r="ES81" s="8">
        <f>+MINVU_Mes_Corriente!ES81*MINVU_Mes_Constante!$EP$1</f>
        <v>747</v>
      </c>
      <c r="ET81" s="8">
        <f>+MINVU_Mes_Corriente!ET81*MINVU_Mes_Constante!$EP$1</f>
        <v>747</v>
      </c>
      <c r="EU81" s="8">
        <f>+MINVU_Mes_Corriente!EU81*MINVU_Mes_Constante!$EP$1</f>
        <v>747</v>
      </c>
      <c r="EV81" s="8">
        <f>+MINVU_Mes_Corriente!EV81*MINVU_Mes_Constante!$EP$1</f>
        <v>747</v>
      </c>
      <c r="EW81" s="8">
        <f>+MINVU_Mes_Corriente!EW81*MINVU_Mes_Constante!$EP$1</f>
        <v>747</v>
      </c>
      <c r="EX81" s="8">
        <f>+MINVU_Mes_Corriente!EX81*MINVU_Mes_Constante!$EP$1</f>
        <v>747</v>
      </c>
      <c r="EY81" s="8">
        <f>+MINVU_Mes_Corriente!EY81*MINVU_Mes_Constante!$EP$1</f>
        <v>747</v>
      </c>
      <c r="EZ81" s="8">
        <f>+MINVU_Mes_Corriente!EZ81*MINVU_Mes_Constante!$EP$1</f>
        <v>747</v>
      </c>
      <c r="FA81" s="8">
        <f>+MINVU_Mes_Corriente!FA81*MINVU_Mes_Constante!$EP$1</f>
        <v>747</v>
      </c>
      <c r="FB81" s="9">
        <f t="shared" si="68"/>
        <v>747</v>
      </c>
      <c r="FC81" s="8">
        <f>+MINVU_Mes_Corriente!FC81*MINVU_Mes_Constante!$FC$1</f>
        <v>10</v>
      </c>
      <c r="FD81" s="8">
        <f>+MINVU_Mes_Corriente!FD81*MINVU_Mes_Constante!$FC$1</f>
        <v>10</v>
      </c>
      <c r="FE81" s="8">
        <f>+MINVU_Mes_Corriente!FE81*MINVU_Mes_Constante!$FC$1</f>
        <v>10</v>
      </c>
      <c r="FF81" s="8">
        <f>+MINVU_Mes_Corriente!FF81*MINVU_Mes_Constante!$FC$1</f>
        <v>10</v>
      </c>
      <c r="FG81" s="8">
        <f>+MINVU_Mes_Corriente!FG81*MINVU_Mes_Constante!$FC$1</f>
        <v>10</v>
      </c>
      <c r="FH81" s="8">
        <f>+MINVU_Mes_Corriente!FH81*MINVU_Mes_Constante!$FC$1</f>
        <v>10</v>
      </c>
      <c r="FI81" s="8">
        <f>+MINVU_Mes_Corriente!FI81*MINVU_Mes_Constante!$FC$1</f>
        <v>10</v>
      </c>
      <c r="FJ81" s="8"/>
      <c r="FK81" s="8"/>
      <c r="FL81" s="8"/>
      <c r="FM81" s="8"/>
      <c r="FN81" s="8"/>
      <c r="FO81" s="9">
        <f t="shared" si="69"/>
        <v>10</v>
      </c>
    </row>
    <row r="82" spans="2:171" ht="14.25" customHeight="1" x14ac:dyDescent="0.3">
      <c r="B82" s="7" t="s">
        <v>48</v>
      </c>
      <c r="C82" s="8">
        <f>+MINVU_Mes_Corriente!C82*MINVU_Mes_Constante!$C$1</f>
        <v>14249.331751445947</v>
      </c>
      <c r="D82" s="8">
        <f>+MINVU_Mes_Corriente!D82*MINVU_Mes_Constante!$C$1</f>
        <v>14249.331751445947</v>
      </c>
      <c r="E82" s="8">
        <f>+MINVU_Mes_Corriente!E82*MINVU_Mes_Constante!$C$1</f>
        <v>14249.331751445947</v>
      </c>
      <c r="F82" s="8">
        <f>+MINVU_Mes_Corriente!F82*MINVU_Mes_Constante!$C$1</f>
        <v>14249.331751445947</v>
      </c>
      <c r="G82" s="8">
        <f>+MINVU_Mes_Corriente!G82*MINVU_Mes_Constante!$C$1</f>
        <v>14249.331751445947</v>
      </c>
      <c r="H82" s="8">
        <f>+MINVU_Mes_Corriente!H82*MINVU_Mes_Constante!$C$1</f>
        <v>14249.331751445947</v>
      </c>
      <c r="I82" s="8">
        <f>+MINVU_Mes_Corriente!I82*MINVU_Mes_Constante!$C$1</f>
        <v>14249.331751445947</v>
      </c>
      <c r="J82" s="8">
        <f>+MINVU_Mes_Corriente!J82*MINVU_Mes_Constante!$C$1</f>
        <v>14249.331751445947</v>
      </c>
      <c r="K82" s="8">
        <f>+MINVU_Mes_Corriente!K82*MINVU_Mes_Constante!$C$1</f>
        <v>14249.331751445947</v>
      </c>
      <c r="L82" s="8">
        <f>+MINVU_Mes_Corriente!L82*MINVU_Mes_Constante!$C$1</f>
        <v>14249.331751445947</v>
      </c>
      <c r="M82" s="8">
        <f>+MINVU_Mes_Corriente!M82*MINVU_Mes_Constante!$C$1</f>
        <v>14249.331751445947</v>
      </c>
      <c r="N82" s="8">
        <f>+MINVU_Mes_Corriente!N82*MINVU_Mes_Constante!$C$1</f>
        <v>14249.331751445947</v>
      </c>
      <c r="O82" s="9">
        <f t="shared" si="57"/>
        <v>14249.331751445947</v>
      </c>
      <c r="P82" s="8">
        <f>+MINVU_Mes_Corriente!P82*MINVU_Mes_Constante!$P$1</f>
        <v>20604.023867026557</v>
      </c>
      <c r="Q82" s="8">
        <f>+MINVU_Mes_Corriente!Q82*MINVU_Mes_Constante!$P$1</f>
        <v>20604.023867026557</v>
      </c>
      <c r="R82" s="8">
        <f>+MINVU_Mes_Corriente!R82*MINVU_Mes_Constante!$P$1</f>
        <v>20604.023867026557</v>
      </c>
      <c r="S82" s="8">
        <f>+MINVU_Mes_Corriente!S82*MINVU_Mes_Constante!$P$1</f>
        <v>20604.023867026557</v>
      </c>
      <c r="T82" s="8">
        <f>+MINVU_Mes_Corriente!T82*MINVU_Mes_Constante!$P$1</f>
        <v>20604.023867026557</v>
      </c>
      <c r="U82" s="8">
        <f>+MINVU_Mes_Corriente!U82*MINVU_Mes_Constante!$P$1</f>
        <v>20604.023867026557</v>
      </c>
      <c r="V82" s="8">
        <f>+MINVU_Mes_Corriente!V82*MINVU_Mes_Constante!$P$1</f>
        <v>20604.023867026557</v>
      </c>
      <c r="W82" s="8">
        <f>+MINVU_Mes_Corriente!W82*MINVU_Mes_Constante!$P$1</f>
        <v>20604.023867026557</v>
      </c>
      <c r="X82" s="8">
        <f>+MINVU_Mes_Corriente!X82*MINVU_Mes_Constante!$P$1</f>
        <v>20604.023867026557</v>
      </c>
      <c r="Y82" s="8">
        <f>+MINVU_Mes_Corriente!Y82*MINVU_Mes_Constante!$P$1</f>
        <v>20604.023867026557</v>
      </c>
      <c r="Z82" s="8">
        <f>+MINVU_Mes_Corriente!Z82*MINVU_Mes_Constante!$P$1</f>
        <v>20604.023867026557</v>
      </c>
      <c r="AA82" s="8">
        <f>+MINVU_Mes_Corriente!AA82*MINVU_Mes_Constante!$P$1</f>
        <v>20604.023867026557</v>
      </c>
      <c r="AB82" s="9">
        <f t="shared" si="58"/>
        <v>20604.023867026557</v>
      </c>
      <c r="AC82" s="8">
        <f>+MINVU_Mes_Corriente!AC82*MINVU_Mes_Constante!$AC$1</f>
        <v>23147.280398395353</v>
      </c>
      <c r="AD82" s="8">
        <f>+MINVU_Mes_Corriente!AD82*MINVU_Mes_Constante!$AC$1</f>
        <v>23147.280398395353</v>
      </c>
      <c r="AE82" s="8">
        <f>+MINVU_Mes_Corriente!AE82*MINVU_Mes_Constante!$AC$1</f>
        <v>23147.280398395353</v>
      </c>
      <c r="AF82" s="8">
        <f>+MINVU_Mes_Corriente!AF82*MINVU_Mes_Constante!$AC$1</f>
        <v>23147.280398395353</v>
      </c>
      <c r="AG82" s="8">
        <f>+MINVU_Mes_Corriente!AG82*MINVU_Mes_Constante!$AC$1</f>
        <v>23147.280398395353</v>
      </c>
      <c r="AH82" s="8">
        <f>+MINVU_Mes_Corriente!AH82*MINVU_Mes_Constante!$AC$1</f>
        <v>23147.280398395353</v>
      </c>
      <c r="AI82" s="8">
        <f>+MINVU_Mes_Corriente!AI82*MINVU_Mes_Constante!$AC$1</f>
        <v>23147.280398395353</v>
      </c>
      <c r="AJ82" s="8">
        <f>+MINVU_Mes_Corriente!AJ82*MINVU_Mes_Constante!$AC$1</f>
        <v>23147.280398395353</v>
      </c>
      <c r="AK82" s="8">
        <f>+MINVU_Mes_Corriente!AK82*MINVU_Mes_Constante!$AC$1</f>
        <v>23147.280398395353</v>
      </c>
      <c r="AL82" s="8">
        <f>+MINVU_Mes_Corriente!AL82*MINVU_Mes_Constante!$AC$1</f>
        <v>23147.280398395353</v>
      </c>
      <c r="AM82" s="8">
        <f>+MINVU_Mes_Corriente!AM82*MINVU_Mes_Constante!$AC$1</f>
        <v>23147.280398395353</v>
      </c>
      <c r="AN82" s="8">
        <f>+MINVU_Mes_Corriente!AN82*MINVU_Mes_Constante!$AC$1</f>
        <v>23147.280398395353</v>
      </c>
      <c r="AO82" s="9">
        <f t="shared" si="59"/>
        <v>23147.280398395353</v>
      </c>
      <c r="AP82" s="8">
        <f>+MINVU_Mes_Corriente!AP82*MINVU_Mes_Constante!$AP$1</f>
        <v>20245.539564452858</v>
      </c>
      <c r="AQ82" s="8">
        <f>+MINVU_Mes_Corriente!AQ82*MINVU_Mes_Constante!$AP$1</f>
        <v>20245.539564452858</v>
      </c>
      <c r="AR82" s="8">
        <f>+MINVU_Mes_Corriente!AR82*MINVU_Mes_Constante!$AP$1</f>
        <v>20245.539564452858</v>
      </c>
      <c r="AS82" s="8">
        <f>+MINVU_Mes_Corriente!AS82*MINVU_Mes_Constante!$AP$1</f>
        <v>20245.539564452858</v>
      </c>
      <c r="AT82" s="8">
        <f>+MINVU_Mes_Corriente!AT82*MINVU_Mes_Constante!$AP$1</f>
        <v>20245.539564452858</v>
      </c>
      <c r="AU82" s="8">
        <f>+MINVU_Mes_Corriente!AU82*MINVU_Mes_Constante!$AP$1</f>
        <v>20245.539564452858</v>
      </c>
      <c r="AV82" s="8">
        <f>+MINVU_Mes_Corriente!AV82*MINVU_Mes_Constante!$AP$1</f>
        <v>20245.539564452858</v>
      </c>
      <c r="AW82" s="8">
        <f>+MINVU_Mes_Corriente!AW82*MINVU_Mes_Constante!$AP$1</f>
        <v>20245.539564452858</v>
      </c>
      <c r="AX82" s="8">
        <f>+MINVU_Mes_Corriente!AX82*MINVU_Mes_Constante!$AP$1</f>
        <v>20245.539564452858</v>
      </c>
      <c r="AY82" s="8">
        <f>+MINVU_Mes_Corriente!AY82*MINVU_Mes_Constante!$AP$1</f>
        <v>20245.539564452858</v>
      </c>
      <c r="AZ82" s="8">
        <f>+MINVU_Mes_Corriente!AZ82*MINVU_Mes_Constante!$AP$1</f>
        <v>20245.539564452858</v>
      </c>
      <c r="BA82" s="8">
        <f>+MINVU_Mes_Corriente!BA82*MINVU_Mes_Constante!$AP$1</f>
        <v>20245.539564452858</v>
      </c>
      <c r="BB82" s="9">
        <f t="shared" si="60"/>
        <v>20245.539564452858</v>
      </c>
      <c r="BC82" s="8">
        <f>+MINVU_Mes_Corriente!BC82*MINVU_Mes_Constante!$BC$1</f>
        <v>27135.613609389431</v>
      </c>
      <c r="BD82" s="8">
        <f>+MINVU_Mes_Corriente!BD82*MINVU_Mes_Constante!$BC$1</f>
        <v>27135.613609389431</v>
      </c>
      <c r="BE82" s="8">
        <f>+MINVU_Mes_Corriente!BE82*MINVU_Mes_Constante!$BC$1</f>
        <v>27135.613609389431</v>
      </c>
      <c r="BF82" s="8">
        <f>+MINVU_Mes_Corriente!BF82*MINVU_Mes_Constante!$BC$1</f>
        <v>27135.613609389431</v>
      </c>
      <c r="BG82" s="8">
        <f>+MINVU_Mes_Corriente!BG82*MINVU_Mes_Constante!$BC$1</f>
        <v>27135.613609389431</v>
      </c>
      <c r="BH82" s="8">
        <f>+MINVU_Mes_Corriente!BH82*MINVU_Mes_Constante!$BC$1</f>
        <v>27135.613609389431</v>
      </c>
      <c r="BI82" s="8">
        <f>+MINVU_Mes_Corriente!BI82*MINVU_Mes_Constante!$BC$1</f>
        <v>27135.613609389431</v>
      </c>
      <c r="BJ82" s="8">
        <f>+MINVU_Mes_Corriente!BJ82*MINVU_Mes_Constante!$BC$1</f>
        <v>27135.613609389431</v>
      </c>
      <c r="BK82" s="8">
        <f>+MINVU_Mes_Corriente!BK82*MINVU_Mes_Constante!$BC$1</f>
        <v>27135.613609389431</v>
      </c>
      <c r="BL82" s="8">
        <f>+MINVU_Mes_Corriente!BL82*MINVU_Mes_Constante!$BC$1</f>
        <v>27135.613609389431</v>
      </c>
      <c r="BM82" s="8">
        <f>+MINVU_Mes_Corriente!BM82*MINVU_Mes_Constante!$BC$1</f>
        <v>27135.613609389431</v>
      </c>
      <c r="BN82" s="8">
        <f>+MINVU_Mes_Corriente!BN82*MINVU_Mes_Constante!$BC$1</f>
        <v>27135.613609389431</v>
      </c>
      <c r="BO82" s="9">
        <f t="shared" si="61"/>
        <v>27135.613609389431</v>
      </c>
      <c r="BP82" s="8">
        <f>+MINVU_Mes_Corriente!BP82*MINVU_Mes_Constante!$BP$1</f>
        <v>18658.138540332908</v>
      </c>
      <c r="BQ82" s="8">
        <f>+MINVU_Mes_Corriente!BQ82*MINVU_Mes_Constante!$BP$1</f>
        <v>18658.138540332908</v>
      </c>
      <c r="BR82" s="8">
        <f>+MINVU_Mes_Corriente!BR82*MINVU_Mes_Constante!$BP$1</f>
        <v>18658.138540332908</v>
      </c>
      <c r="BS82" s="8">
        <f>+MINVU_Mes_Corriente!BS82*MINVU_Mes_Constante!$BP$1</f>
        <v>18658.138540332908</v>
      </c>
      <c r="BT82" s="8">
        <f>+MINVU_Mes_Corriente!BT82*MINVU_Mes_Constante!$BP$1</f>
        <v>18658.138540332908</v>
      </c>
      <c r="BU82" s="8">
        <f>+MINVU_Mes_Corriente!BU82*MINVU_Mes_Constante!$BP$1</f>
        <v>18658.138540332908</v>
      </c>
      <c r="BV82" s="8">
        <f>+MINVU_Mes_Corriente!BV82*MINVU_Mes_Constante!$BP$1</f>
        <v>18658.138540332908</v>
      </c>
      <c r="BW82" s="8">
        <f>+MINVU_Mes_Corriente!BW82*MINVU_Mes_Constante!$BP$1</f>
        <v>18658.138540332908</v>
      </c>
      <c r="BX82" s="8">
        <f>+MINVU_Mes_Corriente!BX82*MINVU_Mes_Constante!$BP$1</f>
        <v>18658.138540332908</v>
      </c>
      <c r="BY82" s="8">
        <f>+MINVU_Mes_Corriente!BY82*MINVU_Mes_Constante!$BP$1</f>
        <v>18658.138540332908</v>
      </c>
      <c r="BZ82" s="8">
        <f>+MINVU_Mes_Corriente!BZ82*MINVU_Mes_Constante!$BP$1</f>
        <v>18658.138540332908</v>
      </c>
      <c r="CA82" s="8">
        <f>+MINVU_Mes_Corriente!CA82*MINVU_Mes_Constante!$BP$1</f>
        <v>18658.138540332908</v>
      </c>
      <c r="CB82" s="9">
        <f t="shared" si="62"/>
        <v>18658.138540332908</v>
      </c>
      <c r="CC82" s="8">
        <f>+MINVU_Mes_Corriente!CC82*MINVU_Mes_Constante!$CC$1</f>
        <v>18589.007086907874</v>
      </c>
      <c r="CD82" s="8">
        <f>+MINVU_Mes_Corriente!CD82*MINVU_Mes_Constante!$CC$1</f>
        <v>18589.007086907874</v>
      </c>
      <c r="CE82" s="8">
        <f>+MINVU_Mes_Corriente!CE82*MINVU_Mes_Constante!$CC$1</f>
        <v>18589.007086907874</v>
      </c>
      <c r="CF82" s="8">
        <f>+MINVU_Mes_Corriente!CF82*MINVU_Mes_Constante!$CC$1</f>
        <v>18589.007086907874</v>
      </c>
      <c r="CG82" s="8">
        <f>+MINVU_Mes_Corriente!CG82*MINVU_Mes_Constante!$CC$1</f>
        <v>18589.007086907874</v>
      </c>
      <c r="CH82" s="8">
        <f>+MINVU_Mes_Corriente!CH82*MINVU_Mes_Constante!$CC$1</f>
        <v>18589.007086907874</v>
      </c>
      <c r="CI82" s="8">
        <f>+MINVU_Mes_Corriente!CI82*MINVU_Mes_Constante!$CC$1</f>
        <v>18589.007086907874</v>
      </c>
      <c r="CJ82" s="8">
        <f>+MINVU_Mes_Corriente!CJ82*MINVU_Mes_Constante!$CC$1</f>
        <v>18589.007086907874</v>
      </c>
      <c r="CK82" s="8">
        <f>+MINVU_Mes_Corriente!CK82*MINVU_Mes_Constante!$CC$1</f>
        <v>18589.007086907874</v>
      </c>
      <c r="CL82" s="8">
        <f>+MINVU_Mes_Corriente!CL82*MINVU_Mes_Constante!$CC$1</f>
        <v>18589.007086907874</v>
      </c>
      <c r="CM82" s="8">
        <f>+MINVU_Mes_Corriente!CM82*MINVU_Mes_Constante!$CC$1</f>
        <v>18589.007086907874</v>
      </c>
      <c r="CN82" s="8">
        <f>+MINVU_Mes_Corriente!CN82*MINVU_Mes_Constante!$CC$1</f>
        <v>18589.007086907874</v>
      </c>
      <c r="CO82" s="9">
        <f t="shared" si="63"/>
        <v>18589.007086907874</v>
      </c>
      <c r="CP82" s="8">
        <f>+MINVU_Mes_Corriente!CP82*MINVU_Mes_Constante!$CP$1</f>
        <v>9849.8777262180956</v>
      </c>
      <c r="CQ82" s="8">
        <f>+MINVU_Mes_Corriente!CQ82*MINVU_Mes_Constante!$CP$1</f>
        <v>9849.8777262180956</v>
      </c>
      <c r="CR82" s="8">
        <f>+MINVU_Mes_Corriente!CR82*MINVU_Mes_Constante!$CP$1</f>
        <v>9849.8777262180956</v>
      </c>
      <c r="CS82" s="8">
        <f>+MINVU_Mes_Corriente!CS82*MINVU_Mes_Constante!$CP$1</f>
        <v>9849.8777262180956</v>
      </c>
      <c r="CT82" s="8">
        <f>+MINVU_Mes_Corriente!CT82*MINVU_Mes_Constante!$CP$1</f>
        <v>9849.8777262180956</v>
      </c>
      <c r="CU82" s="8">
        <f>+MINVU_Mes_Corriente!CU82*MINVU_Mes_Constante!$CP$1</f>
        <v>9849.8777262180956</v>
      </c>
      <c r="CV82" s="8">
        <f>+MINVU_Mes_Corriente!CV82*MINVU_Mes_Constante!$CP$1</f>
        <v>9849.8777262180956</v>
      </c>
      <c r="CW82" s="8">
        <f>+MINVU_Mes_Corriente!CW82*MINVU_Mes_Constante!$CP$1</f>
        <v>9849.8777262180956</v>
      </c>
      <c r="CX82" s="8">
        <f>+MINVU_Mes_Corriente!CX82*MINVU_Mes_Constante!$CP$1</f>
        <v>9849.8777262180956</v>
      </c>
      <c r="CY82" s="8">
        <f>+MINVU_Mes_Corriente!CY82*MINVU_Mes_Constante!$CP$1</f>
        <v>9849.8777262180956</v>
      </c>
      <c r="CZ82" s="8">
        <f>+MINVU_Mes_Corriente!CZ82*MINVU_Mes_Constante!$CP$1</f>
        <v>9849.8777262180956</v>
      </c>
      <c r="DA82" s="8">
        <f>+MINVU_Mes_Corriente!DA82*MINVU_Mes_Constante!$CP$1</f>
        <v>9849.8777262180956</v>
      </c>
      <c r="DB82" s="9">
        <f t="shared" si="64"/>
        <v>9849.8777262180956</v>
      </c>
      <c r="DC82" s="8">
        <f>+MINVU_Mes_Corriente!DC82*MINVU_Mes_Constante!$DC$1</f>
        <v>0</v>
      </c>
      <c r="DD82" s="8">
        <f>+MINVU_Mes_Corriente!DD82*MINVU_Mes_Constante!$DC$1</f>
        <v>0</v>
      </c>
      <c r="DE82" s="8">
        <f>+MINVU_Mes_Corriente!DE82*MINVU_Mes_Constante!$DC$1</f>
        <v>0</v>
      </c>
      <c r="DF82" s="8">
        <f>+MINVU_Mes_Corriente!DF82*MINVU_Mes_Constante!$DC$1</f>
        <v>0</v>
      </c>
      <c r="DG82" s="8">
        <f>+MINVU_Mes_Corriente!DG82*MINVU_Mes_Constante!$DC$1</f>
        <v>0</v>
      </c>
      <c r="DH82" s="8">
        <f>+MINVU_Mes_Corriente!DH82*MINVU_Mes_Constante!$DC$1</f>
        <v>0</v>
      </c>
      <c r="DI82" s="8">
        <f>+MINVU_Mes_Corriente!DI82*MINVU_Mes_Constante!$DC$1</f>
        <v>0</v>
      </c>
      <c r="DJ82" s="8">
        <f>+MINVU_Mes_Corriente!DJ82*MINVU_Mes_Constante!$DC$1</f>
        <v>0</v>
      </c>
      <c r="DK82" s="8">
        <f>+MINVU_Mes_Corriente!DK82*MINVU_Mes_Constante!$DC$1</f>
        <v>0</v>
      </c>
      <c r="DL82" s="8">
        <f>+MINVU_Mes_Corriente!DL82*MINVU_Mes_Constante!$DC$1</f>
        <v>0</v>
      </c>
      <c r="DM82" s="8">
        <f>+MINVU_Mes_Corriente!DM82*MINVU_Mes_Constante!$DC$1</f>
        <v>0</v>
      </c>
      <c r="DN82" s="8">
        <f>+MINVU_Mes_Corriente!DN82*MINVU_Mes_Constante!$DC$1</f>
        <v>0</v>
      </c>
      <c r="DO82" s="9">
        <f t="shared" si="65"/>
        <v>0</v>
      </c>
      <c r="DP82" s="8">
        <f>+MINVU_Mes_Corriente!DP82*MINVU_Mes_Constante!$DP$1</f>
        <v>0</v>
      </c>
      <c r="DQ82" s="8">
        <f>+MINVU_Mes_Corriente!DQ82*MINVU_Mes_Constante!$DP$1</f>
        <v>0</v>
      </c>
      <c r="DR82" s="8">
        <f>+MINVU_Mes_Corriente!DR82*MINVU_Mes_Constante!$DP$1</f>
        <v>0</v>
      </c>
      <c r="DS82" s="8">
        <f>+MINVU_Mes_Corriente!DS82*MINVU_Mes_Constante!$DP$1</f>
        <v>0</v>
      </c>
      <c r="DT82" s="8">
        <f>+MINVU_Mes_Corriente!DT82*MINVU_Mes_Constante!$DP$1</f>
        <v>0</v>
      </c>
      <c r="DU82" s="8">
        <f>+MINVU_Mes_Corriente!DU82*MINVU_Mes_Constante!$DP$1</f>
        <v>0</v>
      </c>
      <c r="DV82" s="8">
        <f>+MINVU_Mes_Corriente!DV82*MINVU_Mes_Constante!$DP$1</f>
        <v>0</v>
      </c>
      <c r="DW82" s="8">
        <f>+MINVU_Mes_Corriente!DW82*MINVU_Mes_Constante!$DP$1</f>
        <v>0</v>
      </c>
      <c r="DX82" s="8">
        <f>+MINVU_Mes_Corriente!DX82*MINVU_Mes_Constante!$DP$1</f>
        <v>0</v>
      </c>
      <c r="DY82" s="8">
        <f>+MINVU_Mes_Corriente!DY82*MINVU_Mes_Constante!$DP$1</f>
        <v>0</v>
      </c>
      <c r="DZ82" s="8">
        <f>+MINVU_Mes_Corriente!DZ82*MINVU_Mes_Constante!$DP$1</f>
        <v>0</v>
      </c>
      <c r="EA82" s="8">
        <f>+MINVU_Mes_Corriente!EA82*MINVU_Mes_Constante!$DP$1</f>
        <v>0</v>
      </c>
      <c r="EB82" s="9">
        <f t="shared" si="66"/>
        <v>0</v>
      </c>
      <c r="EC82" s="8">
        <f>+MINVU_Mes_Corriente!EC82*MINVU_Mes_Constante!$EC$1</f>
        <v>0</v>
      </c>
      <c r="ED82" s="8">
        <f>+MINVU_Mes_Corriente!ED82*MINVU_Mes_Constante!$EC$1</f>
        <v>0</v>
      </c>
      <c r="EE82" s="8">
        <f>+MINVU_Mes_Corriente!EE82*MINVU_Mes_Constante!$EC$1</f>
        <v>0</v>
      </c>
      <c r="EF82" s="8">
        <f>+MINVU_Mes_Corriente!EF82*MINVU_Mes_Constante!$EC$1</f>
        <v>0</v>
      </c>
      <c r="EG82" s="8">
        <f>+MINVU_Mes_Corriente!EG82*MINVU_Mes_Constante!$EC$1</f>
        <v>0</v>
      </c>
      <c r="EH82" s="8">
        <f>+MINVU_Mes_Corriente!EH82*MINVU_Mes_Constante!$EC$1</f>
        <v>0</v>
      </c>
      <c r="EI82" s="8">
        <f>+MINVU_Mes_Corriente!EI82*MINVU_Mes_Constante!$EC$1</f>
        <v>0</v>
      </c>
      <c r="EJ82" s="8">
        <f>+MINVU_Mes_Corriente!EJ82*MINVU_Mes_Constante!$EC$1</f>
        <v>0</v>
      </c>
      <c r="EK82" s="8">
        <f>+MINVU_Mes_Corriente!EK82*MINVU_Mes_Constante!$EC$1</f>
        <v>0</v>
      </c>
      <c r="EL82" s="8">
        <f>+MINVU_Mes_Corriente!EL82*MINVU_Mes_Constante!$EC$1</f>
        <v>0</v>
      </c>
      <c r="EM82" s="8">
        <f>+MINVU_Mes_Corriente!EM82*MINVU_Mes_Constante!$EC$1</f>
        <v>0</v>
      </c>
      <c r="EN82" s="8">
        <f>+MINVU_Mes_Corriente!EN82*MINVU_Mes_Constante!$EC$1</f>
        <v>0</v>
      </c>
      <c r="EO82" s="9">
        <f t="shared" si="67"/>
        <v>0</v>
      </c>
      <c r="EP82" s="8">
        <f>+MINVU_Mes_Corriente!EP82*MINVU_Mes_Constante!$EP$1</f>
        <v>6884</v>
      </c>
      <c r="EQ82" s="8">
        <f>+MINVU_Mes_Corriente!EQ82*MINVU_Mes_Constante!$EP$1</f>
        <v>6884</v>
      </c>
      <c r="ER82" s="8">
        <f>+MINVU_Mes_Corriente!ER82*MINVU_Mes_Constante!$EP$1</f>
        <v>6884</v>
      </c>
      <c r="ES82" s="8">
        <f>+MINVU_Mes_Corriente!ES82*MINVU_Mes_Constante!$EP$1</f>
        <v>6884</v>
      </c>
      <c r="ET82" s="8">
        <f>+MINVU_Mes_Corriente!ET82*MINVU_Mes_Constante!$EP$1</f>
        <v>6884</v>
      </c>
      <c r="EU82" s="8">
        <f>+MINVU_Mes_Corriente!EU82*MINVU_Mes_Constante!$EP$1</f>
        <v>6884</v>
      </c>
      <c r="EV82" s="8">
        <f>+MINVU_Mes_Corriente!EV82*MINVU_Mes_Constante!$EP$1</f>
        <v>6884</v>
      </c>
      <c r="EW82" s="8">
        <f>+MINVU_Mes_Corriente!EW82*MINVU_Mes_Constante!$EP$1</f>
        <v>6884</v>
      </c>
      <c r="EX82" s="8">
        <f>+MINVU_Mes_Corriente!EX82*MINVU_Mes_Constante!$EP$1</f>
        <v>6884</v>
      </c>
      <c r="EY82" s="8">
        <f>+MINVU_Mes_Corriente!EY82*MINVU_Mes_Constante!$EP$1</f>
        <v>6884</v>
      </c>
      <c r="EZ82" s="8">
        <f>+MINVU_Mes_Corriente!EZ82*MINVU_Mes_Constante!$EP$1</f>
        <v>6884</v>
      </c>
      <c r="FA82" s="8">
        <f>+MINVU_Mes_Corriente!FA82*MINVU_Mes_Constante!$EP$1</f>
        <v>6884</v>
      </c>
      <c r="FB82" s="9">
        <f t="shared" si="68"/>
        <v>6884</v>
      </c>
      <c r="FC82" s="8">
        <f>+MINVU_Mes_Corriente!FC82*MINVU_Mes_Constante!$FC$1</f>
        <v>10</v>
      </c>
      <c r="FD82" s="8">
        <f>+MINVU_Mes_Corriente!FD82*MINVU_Mes_Constante!$FC$1</f>
        <v>10</v>
      </c>
      <c r="FE82" s="8">
        <f>+MINVU_Mes_Corriente!FE82*MINVU_Mes_Constante!$FC$1</f>
        <v>10</v>
      </c>
      <c r="FF82" s="8">
        <f>+MINVU_Mes_Corriente!FF82*MINVU_Mes_Constante!$FC$1</f>
        <v>10</v>
      </c>
      <c r="FG82" s="8">
        <f>+MINVU_Mes_Corriente!FG82*MINVU_Mes_Constante!$FC$1</f>
        <v>10</v>
      </c>
      <c r="FH82" s="8">
        <f>+MINVU_Mes_Corriente!FH82*MINVU_Mes_Constante!$FC$1</f>
        <v>10</v>
      </c>
      <c r="FI82" s="8">
        <f>+MINVU_Mes_Corriente!FI82*MINVU_Mes_Constante!$FC$1</f>
        <v>10</v>
      </c>
      <c r="FJ82" s="8"/>
      <c r="FK82" s="8"/>
      <c r="FL82" s="8"/>
      <c r="FM82" s="8"/>
      <c r="FN82" s="8"/>
      <c r="FO82" s="9">
        <f t="shared" si="69"/>
        <v>10</v>
      </c>
    </row>
    <row r="83" spans="2:171" ht="14.25" customHeight="1" x14ac:dyDescent="0.3">
      <c r="B83" s="7" t="s">
        <v>49</v>
      </c>
      <c r="C83" s="8">
        <f>+MINVU_Mes_Corriente!C83*MINVU_Mes_Constante!$C$1</f>
        <v>31052.330416728462</v>
      </c>
      <c r="D83" s="8">
        <f>+MINVU_Mes_Corriente!D83*MINVU_Mes_Constante!$C$1</f>
        <v>31052.330416728462</v>
      </c>
      <c r="E83" s="8">
        <f>+MINVU_Mes_Corriente!E83*MINVU_Mes_Constante!$C$1</f>
        <v>31052.330416728462</v>
      </c>
      <c r="F83" s="8">
        <f>+MINVU_Mes_Corriente!F83*MINVU_Mes_Constante!$C$1</f>
        <v>31052.330416728462</v>
      </c>
      <c r="G83" s="8">
        <f>+MINVU_Mes_Corriente!G83*MINVU_Mes_Constante!$C$1</f>
        <v>31052.330416728462</v>
      </c>
      <c r="H83" s="8">
        <f>+MINVU_Mes_Corriente!H83*MINVU_Mes_Constante!$C$1</f>
        <v>31052.330416728462</v>
      </c>
      <c r="I83" s="8">
        <f>+MINVU_Mes_Corriente!I83*MINVU_Mes_Constante!$C$1</f>
        <v>31052.330416728462</v>
      </c>
      <c r="J83" s="8">
        <f>+MINVU_Mes_Corriente!J83*MINVU_Mes_Constante!$C$1</f>
        <v>31052.330416728462</v>
      </c>
      <c r="K83" s="8">
        <f>+MINVU_Mes_Corriente!K83*MINVU_Mes_Constante!$C$1</f>
        <v>31052.330416728462</v>
      </c>
      <c r="L83" s="8">
        <f>+MINVU_Mes_Corriente!L83*MINVU_Mes_Constante!$C$1</f>
        <v>31052.330416728462</v>
      </c>
      <c r="M83" s="8">
        <f>+MINVU_Mes_Corriente!M83*MINVU_Mes_Constante!$C$1</f>
        <v>31052.330416728462</v>
      </c>
      <c r="N83" s="8">
        <f>+MINVU_Mes_Corriente!N83*MINVU_Mes_Constante!$C$1</f>
        <v>31052.330416728462</v>
      </c>
      <c r="O83" s="9">
        <f t="shared" si="57"/>
        <v>31052.330416728462</v>
      </c>
      <c r="P83" s="8">
        <f>+MINVU_Mes_Corriente!P83*MINVU_Mes_Constante!$P$1</f>
        <v>32438.066202585582</v>
      </c>
      <c r="Q83" s="8">
        <f>+MINVU_Mes_Corriente!Q83*MINVU_Mes_Constante!$P$1</f>
        <v>32438.066202585582</v>
      </c>
      <c r="R83" s="8">
        <f>+MINVU_Mes_Corriente!R83*MINVU_Mes_Constante!$P$1</f>
        <v>32438.066202585582</v>
      </c>
      <c r="S83" s="8">
        <f>+MINVU_Mes_Corriente!S83*MINVU_Mes_Constante!$P$1</f>
        <v>32438.066202585582</v>
      </c>
      <c r="T83" s="8">
        <f>+MINVU_Mes_Corriente!T83*MINVU_Mes_Constante!$P$1</f>
        <v>32438.066202585582</v>
      </c>
      <c r="U83" s="8">
        <f>+MINVU_Mes_Corriente!U83*MINVU_Mes_Constante!$P$1</f>
        <v>32438.066202585582</v>
      </c>
      <c r="V83" s="8">
        <f>+MINVU_Mes_Corriente!V83*MINVU_Mes_Constante!$P$1</f>
        <v>32438.066202585582</v>
      </c>
      <c r="W83" s="8">
        <f>+MINVU_Mes_Corriente!W83*MINVU_Mes_Constante!$P$1</f>
        <v>32438.066202585582</v>
      </c>
      <c r="X83" s="8">
        <f>+MINVU_Mes_Corriente!X83*MINVU_Mes_Constante!$P$1</f>
        <v>32438.066202585582</v>
      </c>
      <c r="Y83" s="8">
        <f>+MINVU_Mes_Corriente!Y83*MINVU_Mes_Constante!$P$1</f>
        <v>32438.066202585582</v>
      </c>
      <c r="Z83" s="8">
        <f>+MINVU_Mes_Corriente!Z83*MINVU_Mes_Constante!$P$1</f>
        <v>32438.066202585582</v>
      </c>
      <c r="AA83" s="8">
        <f>+MINVU_Mes_Corriente!AA83*MINVU_Mes_Constante!$P$1</f>
        <v>32438.066202585582</v>
      </c>
      <c r="AB83" s="9">
        <f t="shared" si="58"/>
        <v>32438.066202585582</v>
      </c>
      <c r="AC83" s="8">
        <f>+MINVU_Mes_Corriente!AC83*MINVU_Mes_Constante!$AC$1</f>
        <v>24534.756951168903</v>
      </c>
      <c r="AD83" s="8">
        <f>+MINVU_Mes_Corriente!AD83*MINVU_Mes_Constante!$AC$1</f>
        <v>24534.756951168903</v>
      </c>
      <c r="AE83" s="8">
        <f>+MINVU_Mes_Corriente!AE83*MINVU_Mes_Constante!$AC$1</f>
        <v>24534.756951168903</v>
      </c>
      <c r="AF83" s="8">
        <f>+MINVU_Mes_Corriente!AF83*MINVU_Mes_Constante!$AC$1</f>
        <v>24534.756951168903</v>
      </c>
      <c r="AG83" s="8">
        <f>+MINVU_Mes_Corriente!AG83*MINVU_Mes_Constante!$AC$1</f>
        <v>24534.756951168903</v>
      </c>
      <c r="AH83" s="8">
        <f>+MINVU_Mes_Corriente!AH83*MINVU_Mes_Constante!$AC$1</f>
        <v>24534.756951168903</v>
      </c>
      <c r="AI83" s="8">
        <f>+MINVU_Mes_Corriente!AI83*MINVU_Mes_Constante!$AC$1</f>
        <v>24534.756951168903</v>
      </c>
      <c r="AJ83" s="8">
        <f>+MINVU_Mes_Corriente!AJ83*MINVU_Mes_Constante!$AC$1</f>
        <v>24534.756951168903</v>
      </c>
      <c r="AK83" s="8">
        <f>+MINVU_Mes_Corriente!AK83*MINVU_Mes_Constante!$AC$1</f>
        <v>24534.756951168903</v>
      </c>
      <c r="AL83" s="8">
        <f>+MINVU_Mes_Corriente!AL83*MINVU_Mes_Constante!$AC$1</f>
        <v>24534.756951168903</v>
      </c>
      <c r="AM83" s="8">
        <f>+MINVU_Mes_Corriente!AM83*MINVU_Mes_Constante!$AC$1</f>
        <v>24534.756951168903</v>
      </c>
      <c r="AN83" s="8">
        <f>+MINVU_Mes_Corriente!AN83*MINVU_Mes_Constante!$AC$1</f>
        <v>24534.756951168903</v>
      </c>
      <c r="AO83" s="9">
        <f t="shared" si="59"/>
        <v>24534.756951168903</v>
      </c>
      <c r="AP83" s="8">
        <f>+MINVU_Mes_Corriente!AP83*MINVU_Mes_Constante!$AP$1</f>
        <v>22224.426890301635</v>
      </c>
      <c r="AQ83" s="8">
        <f>+MINVU_Mes_Corriente!AQ83*MINVU_Mes_Constante!$AP$1</f>
        <v>22224.426890301635</v>
      </c>
      <c r="AR83" s="8">
        <f>+MINVU_Mes_Corriente!AR83*MINVU_Mes_Constante!$AP$1</f>
        <v>22224.426890301635</v>
      </c>
      <c r="AS83" s="8">
        <f>+MINVU_Mes_Corriente!AS83*MINVU_Mes_Constante!$AP$1</f>
        <v>22224.426890301635</v>
      </c>
      <c r="AT83" s="8">
        <f>+MINVU_Mes_Corriente!AT83*MINVU_Mes_Constante!$AP$1</f>
        <v>22224.426890301635</v>
      </c>
      <c r="AU83" s="8">
        <f>+MINVU_Mes_Corriente!AU83*MINVU_Mes_Constante!$AP$1</f>
        <v>22224.426890301635</v>
      </c>
      <c r="AV83" s="8">
        <f>+MINVU_Mes_Corriente!AV83*MINVU_Mes_Constante!$AP$1</f>
        <v>22224.426890301635</v>
      </c>
      <c r="AW83" s="8">
        <f>+MINVU_Mes_Corriente!AW83*MINVU_Mes_Constante!$AP$1</f>
        <v>22224.426890301635</v>
      </c>
      <c r="AX83" s="8">
        <f>+MINVU_Mes_Corriente!AX83*MINVU_Mes_Constante!$AP$1</f>
        <v>22224.426890301635</v>
      </c>
      <c r="AY83" s="8">
        <f>+MINVU_Mes_Corriente!AY83*MINVU_Mes_Constante!$AP$1</f>
        <v>22224.426890301635</v>
      </c>
      <c r="AZ83" s="8">
        <f>+MINVU_Mes_Corriente!AZ83*MINVU_Mes_Constante!$AP$1</f>
        <v>22224.426890301635</v>
      </c>
      <c r="BA83" s="8">
        <f>+MINVU_Mes_Corriente!BA83*MINVU_Mes_Constante!$AP$1</f>
        <v>22224.426890301635</v>
      </c>
      <c r="BB83" s="9">
        <f t="shared" si="60"/>
        <v>22224.426890301635</v>
      </c>
      <c r="BC83" s="8">
        <f>+MINVU_Mes_Corriente!BC83*MINVU_Mes_Constante!$BC$1</f>
        <v>24892.203085849935</v>
      </c>
      <c r="BD83" s="8">
        <f>+MINVU_Mes_Corriente!BD83*MINVU_Mes_Constante!$BC$1</f>
        <v>24892.203085849935</v>
      </c>
      <c r="BE83" s="8">
        <f>+MINVU_Mes_Corriente!BE83*MINVU_Mes_Constante!$BC$1</f>
        <v>24892.203085849935</v>
      </c>
      <c r="BF83" s="8">
        <f>+MINVU_Mes_Corriente!BF83*MINVU_Mes_Constante!$BC$1</f>
        <v>24892.203085849935</v>
      </c>
      <c r="BG83" s="8">
        <f>+MINVU_Mes_Corriente!BG83*MINVU_Mes_Constante!$BC$1</f>
        <v>24892.203085849935</v>
      </c>
      <c r="BH83" s="8">
        <f>+MINVU_Mes_Corriente!BH83*MINVU_Mes_Constante!$BC$1</f>
        <v>24892.203085849935</v>
      </c>
      <c r="BI83" s="8">
        <f>+MINVU_Mes_Corriente!BI83*MINVU_Mes_Constante!$BC$1</f>
        <v>24892.203085849935</v>
      </c>
      <c r="BJ83" s="8">
        <f>+MINVU_Mes_Corriente!BJ83*MINVU_Mes_Constante!$BC$1</f>
        <v>24892.203085849935</v>
      </c>
      <c r="BK83" s="8">
        <f>+MINVU_Mes_Corriente!BK83*MINVU_Mes_Constante!$BC$1</f>
        <v>24892.203085849935</v>
      </c>
      <c r="BL83" s="8">
        <f>+MINVU_Mes_Corriente!BL83*MINVU_Mes_Constante!$BC$1</f>
        <v>24892.203085849935</v>
      </c>
      <c r="BM83" s="8">
        <f>+MINVU_Mes_Corriente!BM83*MINVU_Mes_Constante!$BC$1</f>
        <v>24892.203085849935</v>
      </c>
      <c r="BN83" s="8">
        <f>+MINVU_Mes_Corriente!BN83*MINVU_Mes_Constante!$BC$1</f>
        <v>24892.203085849935</v>
      </c>
      <c r="BO83" s="9">
        <f t="shared" si="61"/>
        <v>24892.203085849935</v>
      </c>
      <c r="BP83" s="8">
        <f>+MINVU_Mes_Corriente!BP83*MINVU_Mes_Constante!$BP$1</f>
        <v>16719.158258642768</v>
      </c>
      <c r="BQ83" s="8">
        <f>+MINVU_Mes_Corriente!BQ83*MINVU_Mes_Constante!$BP$1</f>
        <v>16719.158258642768</v>
      </c>
      <c r="BR83" s="8">
        <f>+MINVU_Mes_Corriente!BR83*MINVU_Mes_Constante!$BP$1</f>
        <v>16719.158258642768</v>
      </c>
      <c r="BS83" s="8">
        <f>+MINVU_Mes_Corriente!BS83*MINVU_Mes_Constante!$BP$1</f>
        <v>16719.158258642768</v>
      </c>
      <c r="BT83" s="8">
        <f>+MINVU_Mes_Corriente!BT83*MINVU_Mes_Constante!$BP$1</f>
        <v>16719.158258642768</v>
      </c>
      <c r="BU83" s="8">
        <f>+MINVU_Mes_Corriente!BU83*MINVU_Mes_Constante!$BP$1</f>
        <v>16719.158258642768</v>
      </c>
      <c r="BV83" s="8">
        <f>+MINVU_Mes_Corriente!BV83*MINVU_Mes_Constante!$BP$1</f>
        <v>16719.158258642768</v>
      </c>
      <c r="BW83" s="8">
        <f>+MINVU_Mes_Corriente!BW83*MINVU_Mes_Constante!$BP$1</f>
        <v>16719.158258642768</v>
      </c>
      <c r="BX83" s="8">
        <f>+MINVU_Mes_Corriente!BX83*MINVU_Mes_Constante!$BP$1</f>
        <v>16719.158258642768</v>
      </c>
      <c r="BY83" s="8">
        <f>+MINVU_Mes_Corriente!BY83*MINVU_Mes_Constante!$BP$1</f>
        <v>16719.158258642768</v>
      </c>
      <c r="BZ83" s="8">
        <f>+MINVU_Mes_Corriente!BZ83*MINVU_Mes_Constante!$BP$1</f>
        <v>16719.158258642768</v>
      </c>
      <c r="CA83" s="8">
        <f>+MINVU_Mes_Corriente!CA83*MINVU_Mes_Constante!$BP$1</f>
        <v>16719.158258642768</v>
      </c>
      <c r="CB83" s="9">
        <f t="shared" si="62"/>
        <v>16719.158258642768</v>
      </c>
      <c r="CC83" s="8">
        <f>+MINVU_Mes_Corriente!CC83*MINVU_Mes_Constante!$CC$1</f>
        <v>16657.293547183886</v>
      </c>
      <c r="CD83" s="8">
        <f>+MINVU_Mes_Corriente!CD83*MINVU_Mes_Constante!$CC$1</f>
        <v>16657.293547183886</v>
      </c>
      <c r="CE83" s="8">
        <f>+MINVU_Mes_Corriente!CE83*MINVU_Mes_Constante!$CC$1</f>
        <v>16657.293547183886</v>
      </c>
      <c r="CF83" s="8">
        <f>+MINVU_Mes_Corriente!CF83*MINVU_Mes_Constante!$CC$1</f>
        <v>16657.293547183886</v>
      </c>
      <c r="CG83" s="8">
        <f>+MINVU_Mes_Corriente!CG83*MINVU_Mes_Constante!$CC$1</f>
        <v>16657.293547183886</v>
      </c>
      <c r="CH83" s="8">
        <f>+MINVU_Mes_Corriente!CH83*MINVU_Mes_Constante!$CC$1</f>
        <v>16657.293547183886</v>
      </c>
      <c r="CI83" s="8">
        <f>+MINVU_Mes_Corriente!CI83*MINVU_Mes_Constante!$CC$1</f>
        <v>16657.293547183886</v>
      </c>
      <c r="CJ83" s="8">
        <f>+MINVU_Mes_Corriente!CJ83*MINVU_Mes_Constante!$CC$1</f>
        <v>16657.293547183886</v>
      </c>
      <c r="CK83" s="8">
        <f>+MINVU_Mes_Corriente!CK83*MINVU_Mes_Constante!$CC$1</f>
        <v>16657.293547183886</v>
      </c>
      <c r="CL83" s="8">
        <f>+MINVU_Mes_Corriente!CL83*MINVU_Mes_Constante!$CC$1</f>
        <v>16657.293547183886</v>
      </c>
      <c r="CM83" s="8">
        <f>+MINVU_Mes_Corriente!CM83*MINVU_Mes_Constante!$CC$1</f>
        <v>16657.293547183886</v>
      </c>
      <c r="CN83" s="8">
        <f>+MINVU_Mes_Corriente!CN83*MINVU_Mes_Constante!$CC$1</f>
        <v>16657.293547183886</v>
      </c>
      <c r="CO83" s="9">
        <f t="shared" si="63"/>
        <v>16657.293547183886</v>
      </c>
      <c r="CP83" s="8">
        <f>+MINVU_Mes_Corriente!CP83*MINVU_Mes_Constante!$CP$1</f>
        <v>11988.179582366587</v>
      </c>
      <c r="CQ83" s="8">
        <f>+MINVU_Mes_Corriente!CQ83*MINVU_Mes_Constante!$CP$1</f>
        <v>11988.179582366587</v>
      </c>
      <c r="CR83" s="8">
        <f>+MINVU_Mes_Corriente!CR83*MINVU_Mes_Constante!$CP$1</f>
        <v>11988.179582366587</v>
      </c>
      <c r="CS83" s="8">
        <f>+MINVU_Mes_Corriente!CS83*MINVU_Mes_Constante!$CP$1</f>
        <v>11988.179582366587</v>
      </c>
      <c r="CT83" s="8">
        <f>+MINVU_Mes_Corriente!CT83*MINVU_Mes_Constante!$CP$1</f>
        <v>11988.179582366587</v>
      </c>
      <c r="CU83" s="8">
        <f>+MINVU_Mes_Corriente!CU83*MINVU_Mes_Constante!$CP$1</f>
        <v>11988.179582366587</v>
      </c>
      <c r="CV83" s="8">
        <f>+MINVU_Mes_Corriente!CV83*MINVU_Mes_Constante!$CP$1</f>
        <v>11988.179582366587</v>
      </c>
      <c r="CW83" s="8">
        <f>+MINVU_Mes_Corriente!CW83*MINVU_Mes_Constante!$CP$1</f>
        <v>11988.179582366587</v>
      </c>
      <c r="CX83" s="8">
        <f>+MINVU_Mes_Corriente!CX83*MINVU_Mes_Constante!$CP$1</f>
        <v>11988.179582366587</v>
      </c>
      <c r="CY83" s="8">
        <f>+MINVU_Mes_Corriente!CY83*MINVU_Mes_Constante!$CP$1</f>
        <v>11988.179582366587</v>
      </c>
      <c r="CZ83" s="8">
        <f>+MINVU_Mes_Corriente!CZ83*MINVU_Mes_Constante!$CP$1</f>
        <v>11988.179582366587</v>
      </c>
      <c r="DA83" s="8">
        <f>+MINVU_Mes_Corriente!DA83*MINVU_Mes_Constante!$CP$1</f>
        <v>11988.179582366587</v>
      </c>
      <c r="DB83" s="9">
        <f t="shared" si="64"/>
        <v>11988.179582366587</v>
      </c>
      <c r="DC83" s="8">
        <f>+MINVU_Mes_Corriente!DC83*MINVU_Mes_Constante!$DC$1</f>
        <v>0</v>
      </c>
      <c r="DD83" s="8">
        <f>+MINVU_Mes_Corriente!DD83*MINVU_Mes_Constante!$DC$1</f>
        <v>0</v>
      </c>
      <c r="DE83" s="8">
        <f>+MINVU_Mes_Corriente!DE83*MINVU_Mes_Constante!$DC$1</f>
        <v>0</v>
      </c>
      <c r="DF83" s="8">
        <f>+MINVU_Mes_Corriente!DF83*MINVU_Mes_Constante!$DC$1</f>
        <v>0</v>
      </c>
      <c r="DG83" s="8">
        <f>+MINVU_Mes_Corriente!DG83*MINVU_Mes_Constante!$DC$1</f>
        <v>0</v>
      </c>
      <c r="DH83" s="8">
        <f>+MINVU_Mes_Corriente!DH83*MINVU_Mes_Constante!$DC$1</f>
        <v>0</v>
      </c>
      <c r="DI83" s="8">
        <f>+MINVU_Mes_Corriente!DI83*MINVU_Mes_Constante!$DC$1</f>
        <v>0</v>
      </c>
      <c r="DJ83" s="8">
        <f>+MINVU_Mes_Corriente!DJ83*MINVU_Mes_Constante!$DC$1</f>
        <v>0</v>
      </c>
      <c r="DK83" s="8">
        <f>+MINVU_Mes_Corriente!DK83*MINVU_Mes_Constante!$DC$1</f>
        <v>0</v>
      </c>
      <c r="DL83" s="8">
        <f>+MINVU_Mes_Corriente!DL83*MINVU_Mes_Constante!$DC$1</f>
        <v>0</v>
      </c>
      <c r="DM83" s="8">
        <f>+MINVU_Mes_Corriente!DM83*MINVU_Mes_Constante!$DC$1</f>
        <v>0</v>
      </c>
      <c r="DN83" s="8">
        <f>+MINVU_Mes_Corriente!DN83*MINVU_Mes_Constante!$DC$1</f>
        <v>0</v>
      </c>
      <c r="DO83" s="9">
        <f t="shared" si="65"/>
        <v>0</v>
      </c>
      <c r="DP83" s="8">
        <f>+MINVU_Mes_Corriente!DP83*MINVU_Mes_Constante!$DP$1</f>
        <v>0</v>
      </c>
      <c r="DQ83" s="8">
        <f>+MINVU_Mes_Corriente!DQ83*MINVU_Mes_Constante!$DP$1</f>
        <v>0</v>
      </c>
      <c r="DR83" s="8">
        <f>+MINVU_Mes_Corriente!DR83*MINVU_Mes_Constante!$DP$1</f>
        <v>0</v>
      </c>
      <c r="DS83" s="8">
        <f>+MINVU_Mes_Corriente!DS83*MINVU_Mes_Constante!$DP$1</f>
        <v>0</v>
      </c>
      <c r="DT83" s="8">
        <f>+MINVU_Mes_Corriente!DT83*MINVU_Mes_Constante!$DP$1</f>
        <v>0</v>
      </c>
      <c r="DU83" s="8">
        <f>+MINVU_Mes_Corriente!DU83*MINVU_Mes_Constante!$DP$1</f>
        <v>0</v>
      </c>
      <c r="DV83" s="8">
        <f>+MINVU_Mes_Corriente!DV83*MINVU_Mes_Constante!$DP$1</f>
        <v>0</v>
      </c>
      <c r="DW83" s="8">
        <f>+MINVU_Mes_Corriente!DW83*MINVU_Mes_Constante!$DP$1</f>
        <v>0</v>
      </c>
      <c r="DX83" s="8">
        <f>+MINVU_Mes_Corriente!DX83*MINVU_Mes_Constante!$DP$1</f>
        <v>0</v>
      </c>
      <c r="DY83" s="8">
        <f>+MINVU_Mes_Corriente!DY83*MINVU_Mes_Constante!$DP$1</f>
        <v>0</v>
      </c>
      <c r="DZ83" s="8">
        <f>+MINVU_Mes_Corriente!DZ83*MINVU_Mes_Constante!$DP$1</f>
        <v>0</v>
      </c>
      <c r="EA83" s="8">
        <f>+MINVU_Mes_Corriente!EA83*MINVU_Mes_Constante!$DP$1</f>
        <v>0</v>
      </c>
      <c r="EB83" s="9">
        <f t="shared" si="66"/>
        <v>0</v>
      </c>
      <c r="EC83" s="8">
        <f>+MINVU_Mes_Corriente!EC83*MINVU_Mes_Constante!$EC$1</f>
        <v>0</v>
      </c>
      <c r="ED83" s="8">
        <f>+MINVU_Mes_Corriente!ED83*MINVU_Mes_Constante!$EC$1</f>
        <v>0</v>
      </c>
      <c r="EE83" s="8">
        <f>+MINVU_Mes_Corriente!EE83*MINVU_Mes_Constante!$EC$1</f>
        <v>0</v>
      </c>
      <c r="EF83" s="8">
        <f>+MINVU_Mes_Corriente!EF83*MINVU_Mes_Constante!$EC$1</f>
        <v>0</v>
      </c>
      <c r="EG83" s="8">
        <f>+MINVU_Mes_Corriente!EG83*MINVU_Mes_Constante!$EC$1</f>
        <v>0</v>
      </c>
      <c r="EH83" s="8">
        <f>+MINVU_Mes_Corriente!EH83*MINVU_Mes_Constante!$EC$1</f>
        <v>0</v>
      </c>
      <c r="EI83" s="8">
        <f>+MINVU_Mes_Corriente!EI83*MINVU_Mes_Constante!$EC$1</f>
        <v>0</v>
      </c>
      <c r="EJ83" s="8">
        <f>+MINVU_Mes_Corriente!EJ83*MINVU_Mes_Constante!$EC$1</f>
        <v>0</v>
      </c>
      <c r="EK83" s="8">
        <f>+MINVU_Mes_Corriente!EK83*MINVU_Mes_Constante!$EC$1</f>
        <v>0</v>
      </c>
      <c r="EL83" s="8">
        <f>+MINVU_Mes_Corriente!EL83*MINVU_Mes_Constante!$EC$1</f>
        <v>0</v>
      </c>
      <c r="EM83" s="8">
        <f>+MINVU_Mes_Corriente!EM83*MINVU_Mes_Constante!$EC$1</f>
        <v>0</v>
      </c>
      <c r="EN83" s="8">
        <f>+MINVU_Mes_Corriente!EN83*MINVU_Mes_Constante!$EC$1</f>
        <v>0</v>
      </c>
      <c r="EO83" s="9">
        <f t="shared" si="67"/>
        <v>0</v>
      </c>
      <c r="EP83" s="8">
        <f>+MINVU_Mes_Corriente!EP83*MINVU_Mes_Constante!$EP$1</f>
        <v>6351</v>
      </c>
      <c r="EQ83" s="8">
        <f>+MINVU_Mes_Corriente!EQ83*MINVU_Mes_Constante!$EP$1</f>
        <v>6351</v>
      </c>
      <c r="ER83" s="8">
        <f>+MINVU_Mes_Corriente!ER83*MINVU_Mes_Constante!$EP$1</f>
        <v>6351</v>
      </c>
      <c r="ES83" s="8">
        <f>+MINVU_Mes_Corriente!ES83*MINVU_Mes_Constante!$EP$1</f>
        <v>6351</v>
      </c>
      <c r="ET83" s="8">
        <f>+MINVU_Mes_Corriente!ET83*MINVU_Mes_Constante!$EP$1</f>
        <v>6351</v>
      </c>
      <c r="EU83" s="8">
        <f>+MINVU_Mes_Corriente!EU83*MINVU_Mes_Constante!$EP$1</f>
        <v>6351</v>
      </c>
      <c r="EV83" s="8">
        <f>+MINVU_Mes_Corriente!EV83*MINVU_Mes_Constante!$EP$1</f>
        <v>6351</v>
      </c>
      <c r="EW83" s="8">
        <f>+MINVU_Mes_Corriente!EW83*MINVU_Mes_Constante!$EP$1</f>
        <v>6351</v>
      </c>
      <c r="EX83" s="8">
        <f>+MINVU_Mes_Corriente!EX83*MINVU_Mes_Constante!$EP$1</f>
        <v>6351</v>
      </c>
      <c r="EY83" s="8">
        <f>+MINVU_Mes_Corriente!EY83*MINVU_Mes_Constante!$EP$1</f>
        <v>6351</v>
      </c>
      <c r="EZ83" s="8">
        <f>+MINVU_Mes_Corriente!EZ83*MINVU_Mes_Constante!$EP$1</f>
        <v>6351</v>
      </c>
      <c r="FA83" s="8">
        <f>+MINVU_Mes_Corriente!FA83*MINVU_Mes_Constante!$EP$1</f>
        <v>6351</v>
      </c>
      <c r="FB83" s="9">
        <f t="shared" si="68"/>
        <v>6351</v>
      </c>
      <c r="FC83" s="8">
        <f>+MINVU_Mes_Corriente!FC83*MINVU_Mes_Constante!$FC$1</f>
        <v>10</v>
      </c>
      <c r="FD83" s="8">
        <f>+MINVU_Mes_Corriente!FD83*MINVU_Mes_Constante!$FC$1</f>
        <v>10</v>
      </c>
      <c r="FE83" s="8">
        <f>+MINVU_Mes_Corriente!FE83*MINVU_Mes_Constante!$FC$1</f>
        <v>10</v>
      </c>
      <c r="FF83" s="8">
        <f>+MINVU_Mes_Corriente!FF83*MINVU_Mes_Constante!$FC$1</f>
        <v>10</v>
      </c>
      <c r="FG83" s="8">
        <f>+MINVU_Mes_Corriente!FG83*MINVU_Mes_Constante!$FC$1</f>
        <v>10</v>
      </c>
      <c r="FH83" s="8">
        <f>+MINVU_Mes_Corriente!FH83*MINVU_Mes_Constante!$FC$1</f>
        <v>10</v>
      </c>
      <c r="FI83" s="8">
        <f>+MINVU_Mes_Corriente!FI83*MINVU_Mes_Constante!$FC$1</f>
        <v>10</v>
      </c>
      <c r="FJ83" s="8"/>
      <c r="FK83" s="8"/>
      <c r="FL83" s="8"/>
      <c r="FM83" s="8"/>
      <c r="FN83" s="8"/>
      <c r="FO83" s="9">
        <f t="shared" si="69"/>
        <v>10</v>
      </c>
    </row>
    <row r="84" spans="2:171" ht="14.25" customHeight="1" x14ac:dyDescent="0.3">
      <c r="B84" s="7" t="s">
        <v>50</v>
      </c>
      <c r="C84" s="8">
        <f>+MINVU_Mes_Corriente!C84*MINVU_Mes_Constante!$C$1</f>
        <v>36624.703841020324</v>
      </c>
      <c r="D84" s="8">
        <f>+MINVU_Mes_Corriente!D84*MINVU_Mes_Constante!$C$1</f>
        <v>36624.703841020324</v>
      </c>
      <c r="E84" s="8">
        <f>+MINVU_Mes_Corriente!E84*MINVU_Mes_Constante!$C$1</f>
        <v>36624.703841020324</v>
      </c>
      <c r="F84" s="8">
        <f>+MINVU_Mes_Corriente!F84*MINVU_Mes_Constante!$C$1</f>
        <v>36624.703841020324</v>
      </c>
      <c r="G84" s="8">
        <f>+MINVU_Mes_Corriente!G84*MINVU_Mes_Constante!$C$1</f>
        <v>36624.703841020324</v>
      </c>
      <c r="H84" s="8">
        <f>+MINVU_Mes_Corriente!H84*MINVU_Mes_Constante!$C$1</f>
        <v>36624.703841020324</v>
      </c>
      <c r="I84" s="8">
        <f>+MINVU_Mes_Corriente!I84*MINVU_Mes_Constante!$C$1</f>
        <v>36624.703841020324</v>
      </c>
      <c r="J84" s="8">
        <f>+MINVU_Mes_Corriente!J84*MINVU_Mes_Constante!$C$1</f>
        <v>36624.703841020324</v>
      </c>
      <c r="K84" s="8">
        <f>+MINVU_Mes_Corriente!K84*MINVU_Mes_Constante!$C$1</f>
        <v>36624.703841020324</v>
      </c>
      <c r="L84" s="8">
        <f>+MINVU_Mes_Corriente!L84*MINVU_Mes_Constante!$C$1</f>
        <v>36624.703841020324</v>
      </c>
      <c r="M84" s="8">
        <f>+MINVU_Mes_Corriente!M84*MINVU_Mes_Constante!$C$1</f>
        <v>36624.703841020324</v>
      </c>
      <c r="N84" s="8">
        <f>+MINVU_Mes_Corriente!N84*MINVU_Mes_Constante!$C$1</f>
        <v>36624.703841020324</v>
      </c>
      <c r="O84" s="9">
        <f t="shared" si="57"/>
        <v>36624.703841020324</v>
      </c>
      <c r="P84" s="8">
        <f>+MINVU_Mes_Corriente!P84*MINVU_Mes_Constante!$P$1</f>
        <v>196143.35331723248</v>
      </c>
      <c r="Q84" s="8">
        <f>+MINVU_Mes_Corriente!Q84*MINVU_Mes_Constante!$P$1</f>
        <v>196143.35331723248</v>
      </c>
      <c r="R84" s="8">
        <f>+MINVU_Mes_Corriente!R84*MINVU_Mes_Constante!$P$1</f>
        <v>196143.35331723248</v>
      </c>
      <c r="S84" s="8">
        <f>+MINVU_Mes_Corriente!S84*MINVU_Mes_Constante!$P$1</f>
        <v>196143.35331723248</v>
      </c>
      <c r="T84" s="8">
        <f>+MINVU_Mes_Corriente!T84*MINVU_Mes_Constante!$P$1</f>
        <v>196143.35331723248</v>
      </c>
      <c r="U84" s="8">
        <f>+MINVU_Mes_Corriente!U84*MINVU_Mes_Constante!$P$1</f>
        <v>196143.35331723248</v>
      </c>
      <c r="V84" s="8">
        <f>+MINVU_Mes_Corriente!V84*MINVU_Mes_Constante!$P$1</f>
        <v>196143.35331723248</v>
      </c>
      <c r="W84" s="8">
        <f>+MINVU_Mes_Corriente!W84*MINVU_Mes_Constante!$P$1</f>
        <v>196143.35331723248</v>
      </c>
      <c r="X84" s="8">
        <f>+MINVU_Mes_Corriente!X84*MINVU_Mes_Constante!$P$1</f>
        <v>196143.35331723248</v>
      </c>
      <c r="Y84" s="8">
        <f>+MINVU_Mes_Corriente!Y84*MINVU_Mes_Constante!$P$1</f>
        <v>196143.35331723248</v>
      </c>
      <c r="Z84" s="8">
        <f>+MINVU_Mes_Corriente!Z84*MINVU_Mes_Constante!$P$1</f>
        <v>196143.35331723248</v>
      </c>
      <c r="AA84" s="8">
        <f>+MINVU_Mes_Corriente!AA84*MINVU_Mes_Constante!$P$1</f>
        <v>196143.35331723248</v>
      </c>
      <c r="AB84" s="9">
        <f t="shared" si="58"/>
        <v>196143.35331723248</v>
      </c>
      <c r="AC84" s="8">
        <f>+MINVU_Mes_Corriente!AC84*MINVU_Mes_Constante!$AC$1</f>
        <v>864926.88670632173</v>
      </c>
      <c r="AD84" s="8">
        <f>+MINVU_Mes_Corriente!AD84*MINVU_Mes_Constante!$AC$1</f>
        <v>864926.88670632173</v>
      </c>
      <c r="AE84" s="8">
        <f>+MINVU_Mes_Corriente!AE84*MINVU_Mes_Constante!$AC$1</f>
        <v>864926.88670632173</v>
      </c>
      <c r="AF84" s="8">
        <f>+MINVU_Mes_Corriente!AF84*MINVU_Mes_Constante!$AC$1</f>
        <v>864926.88670632173</v>
      </c>
      <c r="AG84" s="8">
        <f>+MINVU_Mes_Corriente!AG84*MINVU_Mes_Constante!$AC$1</f>
        <v>864926.88670632173</v>
      </c>
      <c r="AH84" s="8">
        <f>+MINVU_Mes_Corriente!AH84*MINVU_Mes_Constante!$AC$1</f>
        <v>864926.88670632173</v>
      </c>
      <c r="AI84" s="8">
        <f>+MINVU_Mes_Corriente!AI84*MINVU_Mes_Constante!$AC$1</f>
        <v>864926.88670632173</v>
      </c>
      <c r="AJ84" s="8">
        <f>+MINVU_Mes_Corriente!AJ84*MINVU_Mes_Constante!$AC$1</f>
        <v>864926.88670632173</v>
      </c>
      <c r="AK84" s="8">
        <f>+MINVU_Mes_Corriente!AK84*MINVU_Mes_Constante!$AC$1</f>
        <v>864926.88670632173</v>
      </c>
      <c r="AL84" s="8">
        <f>+MINVU_Mes_Corriente!AL84*MINVU_Mes_Constante!$AC$1</f>
        <v>864926.88670632173</v>
      </c>
      <c r="AM84" s="8">
        <f>+MINVU_Mes_Corriente!AM84*MINVU_Mes_Constante!$AC$1</f>
        <v>864926.88670632173</v>
      </c>
      <c r="AN84" s="8">
        <f>+MINVU_Mes_Corriente!AN84*MINVU_Mes_Constante!$AC$1</f>
        <v>864926.88670632173</v>
      </c>
      <c r="AO84" s="9">
        <f t="shared" si="59"/>
        <v>864926.88670632173</v>
      </c>
      <c r="AP84" s="8">
        <f>+MINVU_Mes_Corriente!AP84*MINVU_Mes_Constante!$AP$1</f>
        <v>277348.66982280533</v>
      </c>
      <c r="AQ84" s="8">
        <f>+MINVU_Mes_Corriente!AQ84*MINVU_Mes_Constante!$AP$1</f>
        <v>277348.66982280533</v>
      </c>
      <c r="AR84" s="8">
        <f>+MINVU_Mes_Corriente!AR84*MINVU_Mes_Constante!$AP$1</f>
        <v>277348.66982280533</v>
      </c>
      <c r="AS84" s="8">
        <f>+MINVU_Mes_Corriente!AS84*MINVU_Mes_Constante!$AP$1</f>
        <v>277348.66982280533</v>
      </c>
      <c r="AT84" s="8">
        <f>+MINVU_Mes_Corriente!AT84*MINVU_Mes_Constante!$AP$1</f>
        <v>277348.66982280533</v>
      </c>
      <c r="AU84" s="8">
        <f>+MINVU_Mes_Corriente!AU84*MINVU_Mes_Constante!$AP$1</f>
        <v>277348.66982280533</v>
      </c>
      <c r="AV84" s="8">
        <f>+MINVU_Mes_Corriente!AV84*MINVU_Mes_Constante!$AP$1</f>
        <v>277348.66982280533</v>
      </c>
      <c r="AW84" s="8">
        <f>+MINVU_Mes_Corriente!AW84*MINVU_Mes_Constante!$AP$1</f>
        <v>277348.66982280533</v>
      </c>
      <c r="AX84" s="8">
        <f>+MINVU_Mes_Corriente!AX84*MINVU_Mes_Constante!$AP$1</f>
        <v>277348.66982280533</v>
      </c>
      <c r="AY84" s="8">
        <f>+MINVU_Mes_Corriente!AY84*MINVU_Mes_Constante!$AP$1</f>
        <v>277348.66982280533</v>
      </c>
      <c r="AZ84" s="8">
        <f>+MINVU_Mes_Corriente!AZ84*MINVU_Mes_Constante!$AP$1</f>
        <v>277348.66982280533</v>
      </c>
      <c r="BA84" s="8">
        <f>+MINVU_Mes_Corriente!BA84*MINVU_Mes_Constante!$AP$1</f>
        <v>277348.66982280533</v>
      </c>
      <c r="BB84" s="9">
        <f t="shared" si="60"/>
        <v>277348.66982280533</v>
      </c>
      <c r="BC84" s="8">
        <f>+MINVU_Mes_Corriente!BC84*MINVU_Mes_Constante!$BC$1</f>
        <v>43100.281946459196</v>
      </c>
      <c r="BD84" s="8">
        <f>+MINVU_Mes_Corriente!BD84*MINVU_Mes_Constante!$BC$1</f>
        <v>43100.281946459196</v>
      </c>
      <c r="BE84" s="8">
        <f>+MINVU_Mes_Corriente!BE84*MINVU_Mes_Constante!$BC$1</f>
        <v>43100.281946459196</v>
      </c>
      <c r="BF84" s="8">
        <f>+MINVU_Mes_Corriente!BF84*MINVU_Mes_Constante!$BC$1</f>
        <v>43100.281946459196</v>
      </c>
      <c r="BG84" s="8">
        <f>+MINVU_Mes_Corriente!BG84*MINVU_Mes_Constante!$BC$1</f>
        <v>43100.281946459196</v>
      </c>
      <c r="BH84" s="8">
        <f>+MINVU_Mes_Corriente!BH84*MINVU_Mes_Constante!$BC$1</f>
        <v>43100.281946459196</v>
      </c>
      <c r="BI84" s="8">
        <f>+MINVU_Mes_Corriente!BI84*MINVU_Mes_Constante!$BC$1</f>
        <v>43100.281946459196</v>
      </c>
      <c r="BJ84" s="8">
        <f>+MINVU_Mes_Corriente!BJ84*MINVU_Mes_Constante!$BC$1</f>
        <v>43100.281946459196</v>
      </c>
      <c r="BK84" s="8">
        <f>+MINVU_Mes_Corriente!BK84*MINVU_Mes_Constante!$BC$1</f>
        <v>43100.281946459196</v>
      </c>
      <c r="BL84" s="8">
        <f>+MINVU_Mes_Corriente!BL84*MINVU_Mes_Constante!$BC$1</f>
        <v>43100.281946459196</v>
      </c>
      <c r="BM84" s="8">
        <f>+MINVU_Mes_Corriente!BM84*MINVU_Mes_Constante!$BC$1</f>
        <v>43100.281946459196</v>
      </c>
      <c r="BN84" s="8">
        <f>+MINVU_Mes_Corriente!BN84*MINVU_Mes_Constante!$BC$1</f>
        <v>43100.281946459196</v>
      </c>
      <c r="BO84" s="9">
        <f t="shared" si="61"/>
        <v>43100.281946459196</v>
      </c>
      <c r="BP84" s="8">
        <f>+MINVU_Mes_Corriente!BP84*MINVU_Mes_Constante!$BP$1</f>
        <v>30794.252496798978</v>
      </c>
      <c r="BQ84" s="8">
        <f>+MINVU_Mes_Corriente!BQ84*MINVU_Mes_Constante!$BP$1</f>
        <v>30794.252496798978</v>
      </c>
      <c r="BR84" s="8">
        <f>+MINVU_Mes_Corriente!BR84*MINVU_Mes_Constante!$BP$1</f>
        <v>30794.252496798978</v>
      </c>
      <c r="BS84" s="8">
        <f>+MINVU_Mes_Corriente!BS84*MINVU_Mes_Constante!$BP$1</f>
        <v>30794.252496798978</v>
      </c>
      <c r="BT84" s="8">
        <f>+MINVU_Mes_Corriente!BT84*MINVU_Mes_Constante!$BP$1</f>
        <v>30794.252496798978</v>
      </c>
      <c r="BU84" s="8">
        <f>+MINVU_Mes_Corriente!BU84*MINVU_Mes_Constante!$BP$1</f>
        <v>30794.252496798978</v>
      </c>
      <c r="BV84" s="8">
        <f>+MINVU_Mes_Corriente!BV84*MINVU_Mes_Constante!$BP$1</f>
        <v>30794.252496798978</v>
      </c>
      <c r="BW84" s="8">
        <f>+MINVU_Mes_Corriente!BW84*MINVU_Mes_Constante!$BP$1</f>
        <v>30794.252496798978</v>
      </c>
      <c r="BX84" s="8">
        <f>+MINVU_Mes_Corriente!BX84*MINVU_Mes_Constante!$BP$1</f>
        <v>30794.252496798978</v>
      </c>
      <c r="BY84" s="8">
        <f>+MINVU_Mes_Corriente!BY84*MINVU_Mes_Constante!$BP$1</f>
        <v>30794.252496798978</v>
      </c>
      <c r="BZ84" s="8">
        <f>+MINVU_Mes_Corriente!BZ84*MINVU_Mes_Constante!$BP$1</f>
        <v>30794.252496798978</v>
      </c>
      <c r="CA84" s="8">
        <f>+MINVU_Mes_Corriente!CA84*MINVU_Mes_Constante!$BP$1</f>
        <v>30794.252496798978</v>
      </c>
      <c r="CB84" s="9">
        <f t="shared" si="62"/>
        <v>30794.252496798978</v>
      </c>
      <c r="CC84" s="8">
        <f>+MINVU_Mes_Corriente!CC84*MINVU_Mes_Constante!$CC$1</f>
        <v>244580.47295785157</v>
      </c>
      <c r="CD84" s="8">
        <f>+MINVU_Mes_Corriente!CD84*MINVU_Mes_Constante!$CC$1</f>
        <v>244580.47295785157</v>
      </c>
      <c r="CE84" s="8">
        <f>+MINVU_Mes_Corriente!CE84*MINVU_Mes_Constante!$CC$1</f>
        <v>244580.47295785157</v>
      </c>
      <c r="CF84" s="8">
        <f>+MINVU_Mes_Corriente!CF84*MINVU_Mes_Constante!$CC$1</f>
        <v>244580.47295785157</v>
      </c>
      <c r="CG84" s="8">
        <f>+MINVU_Mes_Corriente!CG84*MINVU_Mes_Constante!$CC$1</f>
        <v>244580.47295785157</v>
      </c>
      <c r="CH84" s="8">
        <f>+MINVU_Mes_Corriente!CH84*MINVU_Mes_Constante!$CC$1</f>
        <v>244580.47295785157</v>
      </c>
      <c r="CI84" s="8">
        <f>+MINVU_Mes_Corriente!CI84*MINVU_Mes_Constante!$CC$1</f>
        <v>244580.47295785157</v>
      </c>
      <c r="CJ84" s="8">
        <f>+MINVU_Mes_Corriente!CJ84*MINVU_Mes_Constante!$CC$1</f>
        <v>244580.47295785157</v>
      </c>
      <c r="CK84" s="8">
        <f>+MINVU_Mes_Corriente!CK84*MINVU_Mes_Constante!$CC$1</f>
        <v>244580.47295785157</v>
      </c>
      <c r="CL84" s="8">
        <f>+MINVU_Mes_Corriente!CL84*MINVU_Mes_Constante!$CC$1</f>
        <v>244580.47295785157</v>
      </c>
      <c r="CM84" s="8">
        <f>+MINVU_Mes_Corriente!CM84*MINVU_Mes_Constante!$CC$1</f>
        <v>244580.47295785157</v>
      </c>
      <c r="CN84" s="8">
        <f>+MINVU_Mes_Corriente!CN84*MINVU_Mes_Constante!$CC$1</f>
        <v>244580.47295785157</v>
      </c>
      <c r="CO84" s="9">
        <f t="shared" si="63"/>
        <v>244580.47295785157</v>
      </c>
      <c r="CP84" s="8">
        <f>+MINVU_Mes_Corriente!CP84*MINVU_Mes_Constante!$CP$1</f>
        <v>20827.845939675171</v>
      </c>
      <c r="CQ84" s="8">
        <f>+MINVU_Mes_Corriente!CQ84*MINVU_Mes_Constante!$CP$1</f>
        <v>20827.845939675171</v>
      </c>
      <c r="CR84" s="8">
        <f>+MINVU_Mes_Corriente!CR84*MINVU_Mes_Constante!$CP$1</f>
        <v>20827.845939675171</v>
      </c>
      <c r="CS84" s="8">
        <f>+MINVU_Mes_Corriente!CS84*MINVU_Mes_Constante!$CP$1</f>
        <v>20827.845939675171</v>
      </c>
      <c r="CT84" s="8">
        <f>+MINVU_Mes_Corriente!CT84*MINVU_Mes_Constante!$CP$1</f>
        <v>20827.845939675171</v>
      </c>
      <c r="CU84" s="8">
        <f>+MINVU_Mes_Corriente!CU84*MINVU_Mes_Constante!$CP$1</f>
        <v>20827.845939675171</v>
      </c>
      <c r="CV84" s="8">
        <f>+MINVU_Mes_Corriente!CV84*MINVU_Mes_Constante!$CP$1</f>
        <v>20827.845939675171</v>
      </c>
      <c r="CW84" s="8">
        <f>+MINVU_Mes_Corriente!CW84*MINVU_Mes_Constante!$CP$1</f>
        <v>20827.845939675171</v>
      </c>
      <c r="CX84" s="8">
        <f>+MINVU_Mes_Corriente!CX84*MINVU_Mes_Constante!$CP$1</f>
        <v>20827.845939675171</v>
      </c>
      <c r="CY84" s="8">
        <f>+MINVU_Mes_Corriente!CY84*MINVU_Mes_Constante!$CP$1</f>
        <v>20827.845939675171</v>
      </c>
      <c r="CZ84" s="8">
        <f>+MINVU_Mes_Corriente!CZ84*MINVU_Mes_Constante!$CP$1</f>
        <v>20827.845939675171</v>
      </c>
      <c r="DA84" s="8">
        <f>+MINVU_Mes_Corriente!DA84*MINVU_Mes_Constante!$CP$1</f>
        <v>20827.845939675171</v>
      </c>
      <c r="DB84" s="9">
        <f t="shared" si="64"/>
        <v>20827.845939675171</v>
      </c>
      <c r="DC84" s="8">
        <f>+MINVU_Mes_Corriente!DC84*MINVU_Mes_Constante!$DC$1</f>
        <v>0</v>
      </c>
      <c r="DD84" s="8">
        <f>+MINVU_Mes_Corriente!DD84*MINVU_Mes_Constante!$DC$1</f>
        <v>0</v>
      </c>
      <c r="DE84" s="8">
        <f>+MINVU_Mes_Corriente!DE84*MINVU_Mes_Constante!$DC$1</f>
        <v>0</v>
      </c>
      <c r="DF84" s="8">
        <f>+MINVU_Mes_Corriente!DF84*MINVU_Mes_Constante!$DC$1</f>
        <v>0</v>
      </c>
      <c r="DG84" s="8">
        <f>+MINVU_Mes_Corriente!DG84*MINVU_Mes_Constante!$DC$1</f>
        <v>0</v>
      </c>
      <c r="DH84" s="8">
        <f>+MINVU_Mes_Corriente!DH84*MINVU_Mes_Constante!$DC$1</f>
        <v>0</v>
      </c>
      <c r="DI84" s="8">
        <f>+MINVU_Mes_Corriente!DI84*MINVU_Mes_Constante!$DC$1</f>
        <v>0</v>
      </c>
      <c r="DJ84" s="8">
        <f>+MINVU_Mes_Corriente!DJ84*MINVU_Mes_Constante!$DC$1</f>
        <v>0</v>
      </c>
      <c r="DK84" s="8">
        <f>+MINVU_Mes_Corriente!DK84*MINVU_Mes_Constante!$DC$1</f>
        <v>0</v>
      </c>
      <c r="DL84" s="8">
        <f>+MINVU_Mes_Corriente!DL84*MINVU_Mes_Constante!$DC$1</f>
        <v>0</v>
      </c>
      <c r="DM84" s="8">
        <f>+MINVU_Mes_Corriente!DM84*MINVU_Mes_Constante!$DC$1</f>
        <v>0</v>
      </c>
      <c r="DN84" s="8">
        <f>+MINVU_Mes_Corriente!DN84*MINVU_Mes_Constante!$DC$1</f>
        <v>0</v>
      </c>
      <c r="DO84" s="9">
        <f t="shared" si="65"/>
        <v>0</v>
      </c>
      <c r="DP84" s="8">
        <f>+MINVU_Mes_Corriente!DP84*MINVU_Mes_Constante!$DP$1</f>
        <v>4310547.0605700715</v>
      </c>
      <c r="DQ84" s="8">
        <f>+MINVU_Mes_Corriente!DQ84*MINVU_Mes_Constante!$DP$1</f>
        <v>4310547.0605700715</v>
      </c>
      <c r="DR84" s="8">
        <f>+MINVU_Mes_Corriente!DR84*MINVU_Mes_Constante!$DP$1</f>
        <v>4310547.0605700715</v>
      </c>
      <c r="DS84" s="8">
        <f>+MINVU_Mes_Corriente!DS84*MINVU_Mes_Constante!$DP$1</f>
        <v>4310547.0605700715</v>
      </c>
      <c r="DT84" s="8">
        <f>+MINVU_Mes_Corriente!DT84*MINVU_Mes_Constante!$DP$1</f>
        <v>4310547.0605700715</v>
      </c>
      <c r="DU84" s="8">
        <f>+MINVU_Mes_Corriente!DU84*MINVU_Mes_Constante!$DP$1</f>
        <v>4310547.0605700715</v>
      </c>
      <c r="DV84" s="8">
        <f>+MINVU_Mes_Corriente!DV84*MINVU_Mes_Constante!$DP$1</f>
        <v>4310547.0605700715</v>
      </c>
      <c r="DW84" s="8">
        <f>+MINVU_Mes_Corriente!DW84*MINVU_Mes_Constante!$DP$1</f>
        <v>4310547.0605700715</v>
      </c>
      <c r="DX84" s="8">
        <f>+MINVU_Mes_Corriente!DX84*MINVU_Mes_Constante!$DP$1</f>
        <v>4310547.0605700715</v>
      </c>
      <c r="DY84" s="8">
        <f>+MINVU_Mes_Corriente!DY84*MINVU_Mes_Constante!$DP$1</f>
        <v>4310547.0605700715</v>
      </c>
      <c r="DZ84" s="8">
        <f>+MINVU_Mes_Corriente!DZ84*MINVU_Mes_Constante!$DP$1</f>
        <v>4310547.0605700715</v>
      </c>
      <c r="EA84" s="8">
        <f>+MINVU_Mes_Corriente!EA84*MINVU_Mes_Constante!$DP$1</f>
        <v>4310547.0605700715</v>
      </c>
      <c r="EB84" s="9">
        <f t="shared" si="66"/>
        <v>4310547.0605700715</v>
      </c>
      <c r="EC84" s="8">
        <f>+MINVU_Mes_Corriente!EC84*MINVU_Mes_Constante!$EC$1</f>
        <v>0</v>
      </c>
      <c r="ED84" s="8">
        <f>+MINVU_Mes_Corriente!ED84*MINVU_Mes_Constante!$EC$1</f>
        <v>0</v>
      </c>
      <c r="EE84" s="8">
        <f>+MINVU_Mes_Corriente!EE84*MINVU_Mes_Constante!$EC$1</f>
        <v>0</v>
      </c>
      <c r="EF84" s="8">
        <f>+MINVU_Mes_Corriente!EF84*MINVU_Mes_Constante!$EC$1</f>
        <v>0</v>
      </c>
      <c r="EG84" s="8">
        <f>+MINVU_Mes_Corriente!EG84*MINVU_Mes_Constante!$EC$1</f>
        <v>0</v>
      </c>
      <c r="EH84" s="8">
        <f>+MINVU_Mes_Corriente!EH84*MINVU_Mes_Constante!$EC$1</f>
        <v>0</v>
      </c>
      <c r="EI84" s="8">
        <f>+MINVU_Mes_Corriente!EI84*MINVU_Mes_Constante!$EC$1</f>
        <v>0</v>
      </c>
      <c r="EJ84" s="8">
        <f>+MINVU_Mes_Corriente!EJ84*MINVU_Mes_Constante!$EC$1</f>
        <v>0</v>
      </c>
      <c r="EK84" s="8">
        <f>+MINVU_Mes_Corriente!EK84*MINVU_Mes_Constante!$EC$1</f>
        <v>0</v>
      </c>
      <c r="EL84" s="8">
        <f>+MINVU_Mes_Corriente!EL84*MINVU_Mes_Constante!$EC$1</f>
        <v>0</v>
      </c>
      <c r="EM84" s="8">
        <f>+MINVU_Mes_Corriente!EM84*MINVU_Mes_Constante!$EC$1</f>
        <v>0</v>
      </c>
      <c r="EN84" s="8">
        <f>+MINVU_Mes_Corriente!EN84*MINVU_Mes_Constante!$EC$1</f>
        <v>0</v>
      </c>
      <c r="EO84" s="9">
        <f t="shared" si="67"/>
        <v>0</v>
      </c>
      <c r="EP84" s="8">
        <f>+MINVU_Mes_Corriente!EP84*MINVU_Mes_Constante!$EP$1</f>
        <v>7515</v>
      </c>
      <c r="EQ84" s="8">
        <f>+MINVU_Mes_Corriente!EQ84*MINVU_Mes_Constante!$EP$1</f>
        <v>7515</v>
      </c>
      <c r="ER84" s="8">
        <f>+MINVU_Mes_Corriente!ER84*MINVU_Mes_Constante!$EP$1</f>
        <v>7515</v>
      </c>
      <c r="ES84" s="8">
        <f>+MINVU_Mes_Corriente!ES84*MINVU_Mes_Constante!$EP$1</f>
        <v>7515</v>
      </c>
      <c r="ET84" s="8">
        <f>+MINVU_Mes_Corriente!ET84*MINVU_Mes_Constante!$EP$1</f>
        <v>7515</v>
      </c>
      <c r="EU84" s="8">
        <f>+MINVU_Mes_Corriente!EU84*MINVU_Mes_Constante!$EP$1</f>
        <v>7515</v>
      </c>
      <c r="EV84" s="8">
        <f>+MINVU_Mes_Corriente!EV84*MINVU_Mes_Constante!$EP$1</f>
        <v>7515</v>
      </c>
      <c r="EW84" s="8">
        <f>+MINVU_Mes_Corriente!EW84*MINVU_Mes_Constante!$EP$1</f>
        <v>7515</v>
      </c>
      <c r="EX84" s="8">
        <f>+MINVU_Mes_Corriente!EX84*MINVU_Mes_Constante!$EP$1</f>
        <v>7515</v>
      </c>
      <c r="EY84" s="8">
        <f>+MINVU_Mes_Corriente!EY84*MINVU_Mes_Constante!$EP$1</f>
        <v>7515</v>
      </c>
      <c r="EZ84" s="8">
        <f>+MINVU_Mes_Corriente!EZ84*MINVU_Mes_Constante!$EP$1</f>
        <v>7515</v>
      </c>
      <c r="FA84" s="8">
        <f>+MINVU_Mes_Corriente!FA84*MINVU_Mes_Constante!$EP$1</f>
        <v>7515</v>
      </c>
      <c r="FB84" s="9">
        <f t="shared" si="68"/>
        <v>7515</v>
      </c>
      <c r="FC84" s="8">
        <f>+MINVU_Mes_Corriente!FC84*MINVU_Mes_Constante!$FC$1</f>
        <v>10</v>
      </c>
      <c r="FD84" s="8">
        <f>+MINVU_Mes_Corriente!FD84*MINVU_Mes_Constante!$FC$1</f>
        <v>10</v>
      </c>
      <c r="FE84" s="8">
        <f>+MINVU_Mes_Corriente!FE84*MINVU_Mes_Constante!$FC$1</f>
        <v>10</v>
      </c>
      <c r="FF84" s="8">
        <f>+MINVU_Mes_Corriente!FF84*MINVU_Mes_Constante!$FC$1</f>
        <v>10</v>
      </c>
      <c r="FG84" s="8">
        <f>+MINVU_Mes_Corriente!FG84*MINVU_Mes_Constante!$FC$1</f>
        <v>10</v>
      </c>
      <c r="FH84" s="8">
        <f>+MINVU_Mes_Corriente!FH84*MINVU_Mes_Constante!$FC$1</f>
        <v>10</v>
      </c>
      <c r="FI84" s="8">
        <f>+MINVU_Mes_Corriente!FI84*MINVU_Mes_Constante!$FC$1</f>
        <v>10</v>
      </c>
      <c r="FJ84" s="8"/>
      <c r="FK84" s="8"/>
      <c r="FL84" s="8"/>
      <c r="FM84" s="8"/>
      <c r="FN84" s="8"/>
      <c r="FO84" s="9">
        <f t="shared" si="69"/>
        <v>10</v>
      </c>
    </row>
    <row r="85" spans="2:171" ht="14.25" customHeight="1" x14ac:dyDescent="0.3">
      <c r="B85" s="7" t="s">
        <v>51</v>
      </c>
      <c r="C85" s="8">
        <f>+MINVU_Mes_Corriente!C85*MINVU_Mes_Constante!$C$1</f>
        <v>84536.745068960416</v>
      </c>
      <c r="D85" s="8">
        <f>+MINVU_Mes_Corriente!D85*MINVU_Mes_Constante!$C$1</f>
        <v>84536.745068960416</v>
      </c>
      <c r="E85" s="8">
        <f>+MINVU_Mes_Corriente!E85*MINVU_Mes_Constante!$C$1</f>
        <v>84536.745068960416</v>
      </c>
      <c r="F85" s="8">
        <f>+MINVU_Mes_Corriente!F85*MINVU_Mes_Constante!$C$1</f>
        <v>84536.745068960416</v>
      </c>
      <c r="G85" s="8">
        <f>+MINVU_Mes_Corriente!G85*MINVU_Mes_Constante!$C$1</f>
        <v>84536.745068960416</v>
      </c>
      <c r="H85" s="8">
        <f>+MINVU_Mes_Corriente!H85*MINVU_Mes_Constante!$C$1</f>
        <v>84536.745068960416</v>
      </c>
      <c r="I85" s="8">
        <f>+MINVU_Mes_Corriente!I85*MINVU_Mes_Constante!$C$1</f>
        <v>84536.745068960416</v>
      </c>
      <c r="J85" s="8">
        <f>+MINVU_Mes_Corriente!J85*MINVU_Mes_Constante!$C$1</f>
        <v>84536.745068960416</v>
      </c>
      <c r="K85" s="8">
        <f>+MINVU_Mes_Corriente!K85*MINVU_Mes_Constante!$C$1</f>
        <v>84536.745068960416</v>
      </c>
      <c r="L85" s="8">
        <f>+MINVU_Mes_Corriente!L85*MINVU_Mes_Constante!$C$1</f>
        <v>84536.745068960416</v>
      </c>
      <c r="M85" s="8">
        <f>+MINVU_Mes_Corriente!M85*MINVU_Mes_Constante!$C$1</f>
        <v>84536.745068960416</v>
      </c>
      <c r="N85" s="8">
        <f>+MINVU_Mes_Corriente!N85*MINVU_Mes_Constante!$C$1</f>
        <v>84536.745068960416</v>
      </c>
      <c r="O85" s="9">
        <f t="shared" si="57"/>
        <v>84536.745068960416</v>
      </c>
      <c r="P85" s="8">
        <f>+MINVU_Mes_Corriente!P85*MINVU_Mes_Constante!$P$1</f>
        <v>10571002.013070034</v>
      </c>
      <c r="Q85" s="8">
        <f>+MINVU_Mes_Corriente!Q85*MINVU_Mes_Constante!$P$1</f>
        <v>10571002.013070034</v>
      </c>
      <c r="R85" s="8">
        <f>+MINVU_Mes_Corriente!R85*MINVU_Mes_Constante!$P$1</f>
        <v>10571002.013070034</v>
      </c>
      <c r="S85" s="8">
        <f>+MINVU_Mes_Corriente!S85*MINVU_Mes_Constante!$P$1</f>
        <v>10571002.013070034</v>
      </c>
      <c r="T85" s="8">
        <f>+MINVU_Mes_Corriente!T85*MINVU_Mes_Constante!$P$1</f>
        <v>10571002.013070034</v>
      </c>
      <c r="U85" s="8">
        <f>+MINVU_Mes_Corriente!U85*MINVU_Mes_Constante!$P$1</f>
        <v>10571002.013070034</v>
      </c>
      <c r="V85" s="8">
        <f>+MINVU_Mes_Corriente!V85*MINVU_Mes_Constante!$P$1</f>
        <v>10571002.013070034</v>
      </c>
      <c r="W85" s="8">
        <f>+MINVU_Mes_Corriente!W85*MINVU_Mes_Constante!$P$1</f>
        <v>10571002.013070034</v>
      </c>
      <c r="X85" s="8">
        <f>+MINVU_Mes_Corriente!X85*MINVU_Mes_Constante!$P$1</f>
        <v>10571002.013070034</v>
      </c>
      <c r="Y85" s="8">
        <f>+MINVU_Mes_Corriente!Y85*MINVU_Mes_Constante!$P$1</f>
        <v>10571002.013070034</v>
      </c>
      <c r="Z85" s="8">
        <f>+MINVU_Mes_Corriente!Z85*MINVU_Mes_Constante!$P$1</f>
        <v>10571002.013070034</v>
      </c>
      <c r="AA85" s="8">
        <f>+MINVU_Mes_Corriente!AA85*MINVU_Mes_Constante!$P$1</f>
        <v>10571002.013070034</v>
      </c>
      <c r="AB85" s="9">
        <f t="shared" si="58"/>
        <v>10571002.013070034</v>
      </c>
      <c r="AC85" s="8">
        <f>+MINVU_Mes_Corriente!AC85*MINVU_Mes_Constante!$AC$1</f>
        <v>161367.45275971779</v>
      </c>
      <c r="AD85" s="8">
        <f>+MINVU_Mes_Corriente!AD85*MINVU_Mes_Constante!$AC$1</f>
        <v>161367.45275971779</v>
      </c>
      <c r="AE85" s="8">
        <f>+MINVU_Mes_Corriente!AE85*MINVU_Mes_Constante!$AC$1</f>
        <v>161367.45275971779</v>
      </c>
      <c r="AF85" s="8">
        <f>+MINVU_Mes_Corriente!AF85*MINVU_Mes_Constante!$AC$1</f>
        <v>161367.45275971779</v>
      </c>
      <c r="AG85" s="8">
        <f>+MINVU_Mes_Corriente!AG85*MINVU_Mes_Constante!$AC$1</f>
        <v>161367.45275971779</v>
      </c>
      <c r="AH85" s="8">
        <f>+MINVU_Mes_Corriente!AH85*MINVU_Mes_Constante!$AC$1</f>
        <v>161367.45275971779</v>
      </c>
      <c r="AI85" s="8">
        <f>+MINVU_Mes_Corriente!AI85*MINVU_Mes_Constante!$AC$1</f>
        <v>161367.45275971779</v>
      </c>
      <c r="AJ85" s="8">
        <f>+MINVU_Mes_Corriente!AJ85*MINVU_Mes_Constante!$AC$1</f>
        <v>161367.45275971779</v>
      </c>
      <c r="AK85" s="8">
        <f>+MINVU_Mes_Corriente!AK85*MINVU_Mes_Constante!$AC$1</f>
        <v>161367.45275971779</v>
      </c>
      <c r="AL85" s="8">
        <f>+MINVU_Mes_Corriente!AL85*MINVU_Mes_Constante!$AC$1</f>
        <v>161367.45275971779</v>
      </c>
      <c r="AM85" s="8">
        <f>+MINVU_Mes_Corriente!AM85*MINVU_Mes_Constante!$AC$1</f>
        <v>161367.45275971779</v>
      </c>
      <c r="AN85" s="8">
        <f>+MINVU_Mes_Corriente!AN85*MINVU_Mes_Constante!$AC$1</f>
        <v>161367.45275971779</v>
      </c>
      <c r="AO85" s="9">
        <f t="shared" si="59"/>
        <v>161367.45275971779</v>
      </c>
      <c r="AP85" s="8">
        <f>+MINVU_Mes_Corriente!AP85*MINVU_Mes_Constante!$AP$1</f>
        <v>122538.79210063574</v>
      </c>
      <c r="AQ85" s="8">
        <f>+MINVU_Mes_Corriente!AQ85*MINVU_Mes_Constante!$AP$1</f>
        <v>122538.79210063574</v>
      </c>
      <c r="AR85" s="8">
        <f>+MINVU_Mes_Corriente!AR85*MINVU_Mes_Constante!$AP$1</f>
        <v>122538.79210063574</v>
      </c>
      <c r="AS85" s="8">
        <f>+MINVU_Mes_Corriente!AS85*MINVU_Mes_Constante!$AP$1</f>
        <v>122538.79210063574</v>
      </c>
      <c r="AT85" s="8">
        <f>+MINVU_Mes_Corriente!AT85*MINVU_Mes_Constante!$AP$1</f>
        <v>122538.79210063574</v>
      </c>
      <c r="AU85" s="8">
        <f>+MINVU_Mes_Corriente!AU85*MINVU_Mes_Constante!$AP$1</f>
        <v>122538.79210063574</v>
      </c>
      <c r="AV85" s="8">
        <f>+MINVU_Mes_Corriente!AV85*MINVU_Mes_Constante!$AP$1</f>
        <v>122538.79210063574</v>
      </c>
      <c r="AW85" s="8">
        <f>+MINVU_Mes_Corriente!AW85*MINVU_Mes_Constante!$AP$1</f>
        <v>122538.79210063574</v>
      </c>
      <c r="AX85" s="8">
        <f>+MINVU_Mes_Corriente!AX85*MINVU_Mes_Constante!$AP$1</f>
        <v>122538.79210063574</v>
      </c>
      <c r="AY85" s="8">
        <f>+MINVU_Mes_Corriente!AY85*MINVU_Mes_Constante!$AP$1</f>
        <v>122538.79210063574</v>
      </c>
      <c r="AZ85" s="8">
        <f>+MINVU_Mes_Corriente!AZ85*MINVU_Mes_Constante!$AP$1</f>
        <v>122538.79210063574</v>
      </c>
      <c r="BA85" s="8">
        <f>+MINVU_Mes_Corriente!BA85*MINVU_Mes_Constante!$AP$1</f>
        <v>122538.79210063574</v>
      </c>
      <c r="BB85" s="9">
        <f t="shared" si="60"/>
        <v>122538.79210063574</v>
      </c>
      <c r="BC85" s="8">
        <f>+MINVU_Mes_Corriente!BC85*MINVU_Mes_Constante!$BC$1</f>
        <v>166990.71897665836</v>
      </c>
      <c r="BD85" s="8">
        <f>+MINVU_Mes_Corriente!BD85*MINVU_Mes_Constante!$BC$1</f>
        <v>166990.71897665836</v>
      </c>
      <c r="BE85" s="8">
        <f>+MINVU_Mes_Corriente!BE85*MINVU_Mes_Constante!$BC$1</f>
        <v>166990.71897665836</v>
      </c>
      <c r="BF85" s="8">
        <f>+MINVU_Mes_Corriente!BF85*MINVU_Mes_Constante!$BC$1</f>
        <v>166990.71897665836</v>
      </c>
      <c r="BG85" s="8">
        <f>+MINVU_Mes_Corriente!BG85*MINVU_Mes_Constante!$BC$1</f>
        <v>166990.71897665836</v>
      </c>
      <c r="BH85" s="8">
        <f>+MINVU_Mes_Corriente!BH85*MINVU_Mes_Constante!$BC$1</f>
        <v>166990.71897665836</v>
      </c>
      <c r="BI85" s="8">
        <f>+MINVU_Mes_Corriente!BI85*MINVU_Mes_Constante!$BC$1</f>
        <v>166990.71897665836</v>
      </c>
      <c r="BJ85" s="8">
        <f>+MINVU_Mes_Corriente!BJ85*MINVU_Mes_Constante!$BC$1</f>
        <v>166990.71897665836</v>
      </c>
      <c r="BK85" s="8">
        <f>+MINVU_Mes_Corriente!BK85*MINVU_Mes_Constante!$BC$1</f>
        <v>166990.71897665836</v>
      </c>
      <c r="BL85" s="8">
        <f>+MINVU_Mes_Corriente!BL85*MINVU_Mes_Constante!$BC$1</f>
        <v>166990.71897665836</v>
      </c>
      <c r="BM85" s="8">
        <f>+MINVU_Mes_Corriente!BM85*MINVU_Mes_Constante!$BC$1</f>
        <v>166990.71897665836</v>
      </c>
      <c r="BN85" s="8">
        <f>+MINVU_Mes_Corriente!BN85*MINVU_Mes_Constante!$BC$1</f>
        <v>166990.71897665836</v>
      </c>
      <c r="BO85" s="9">
        <f t="shared" si="61"/>
        <v>166990.71897665836</v>
      </c>
      <c r="BP85" s="8">
        <f>+MINVU_Mes_Corriente!BP85*MINVU_Mes_Constante!$BP$1</f>
        <v>100226.81408450706</v>
      </c>
      <c r="BQ85" s="8">
        <f>+MINVU_Mes_Corriente!BQ85*MINVU_Mes_Constante!$BP$1</f>
        <v>100226.81408450706</v>
      </c>
      <c r="BR85" s="8">
        <f>+MINVU_Mes_Corriente!BR85*MINVU_Mes_Constante!$BP$1</f>
        <v>100226.81408450706</v>
      </c>
      <c r="BS85" s="8">
        <f>+MINVU_Mes_Corriente!BS85*MINVU_Mes_Constante!$BP$1</f>
        <v>100226.81408450706</v>
      </c>
      <c r="BT85" s="8">
        <f>+MINVU_Mes_Corriente!BT85*MINVU_Mes_Constante!$BP$1</f>
        <v>100226.81408450706</v>
      </c>
      <c r="BU85" s="8">
        <f>+MINVU_Mes_Corriente!BU85*MINVU_Mes_Constante!$BP$1</f>
        <v>100226.81408450706</v>
      </c>
      <c r="BV85" s="8">
        <f>+MINVU_Mes_Corriente!BV85*MINVU_Mes_Constante!$BP$1</f>
        <v>100226.81408450706</v>
      </c>
      <c r="BW85" s="8">
        <f>+MINVU_Mes_Corriente!BW85*MINVU_Mes_Constante!$BP$1</f>
        <v>100226.81408450706</v>
      </c>
      <c r="BX85" s="8">
        <f>+MINVU_Mes_Corriente!BX85*MINVU_Mes_Constante!$BP$1</f>
        <v>100226.81408450706</v>
      </c>
      <c r="BY85" s="8">
        <f>+MINVU_Mes_Corriente!BY85*MINVU_Mes_Constante!$BP$1</f>
        <v>100226.81408450706</v>
      </c>
      <c r="BZ85" s="8">
        <f>+MINVU_Mes_Corriente!BZ85*MINVU_Mes_Constante!$BP$1</f>
        <v>100226.81408450706</v>
      </c>
      <c r="CA85" s="8">
        <f>+MINVU_Mes_Corriente!CA85*MINVU_Mes_Constante!$BP$1</f>
        <v>100226.81408450706</v>
      </c>
      <c r="CB85" s="9">
        <f t="shared" si="62"/>
        <v>100226.81408450706</v>
      </c>
      <c r="CC85" s="8">
        <f>+MINVU_Mes_Corriente!CC85*MINVU_Mes_Constante!$CC$1</f>
        <v>99854.103692652003</v>
      </c>
      <c r="CD85" s="8">
        <f>+MINVU_Mes_Corriente!CD85*MINVU_Mes_Constante!$CC$1</f>
        <v>99854.103692652003</v>
      </c>
      <c r="CE85" s="8">
        <f>+MINVU_Mes_Corriente!CE85*MINVU_Mes_Constante!$CC$1</f>
        <v>99854.103692652003</v>
      </c>
      <c r="CF85" s="8">
        <f>+MINVU_Mes_Corriente!CF85*MINVU_Mes_Constante!$CC$1</f>
        <v>99854.103692652003</v>
      </c>
      <c r="CG85" s="8">
        <f>+MINVU_Mes_Corriente!CG85*MINVU_Mes_Constante!$CC$1</f>
        <v>99854.103692652003</v>
      </c>
      <c r="CH85" s="8">
        <f>+MINVU_Mes_Corriente!CH85*MINVU_Mes_Constante!$CC$1</f>
        <v>99854.103692652003</v>
      </c>
      <c r="CI85" s="8">
        <f>+MINVU_Mes_Corriente!CI85*MINVU_Mes_Constante!$CC$1</f>
        <v>99854.103692652003</v>
      </c>
      <c r="CJ85" s="8">
        <f>+MINVU_Mes_Corriente!CJ85*MINVU_Mes_Constante!$CC$1</f>
        <v>99854.103692652003</v>
      </c>
      <c r="CK85" s="8">
        <f>+MINVU_Mes_Corriente!CK85*MINVU_Mes_Constante!$CC$1</f>
        <v>99854.103692652003</v>
      </c>
      <c r="CL85" s="8">
        <f>+MINVU_Mes_Corriente!CL85*MINVU_Mes_Constante!$CC$1</f>
        <v>99854.103692652003</v>
      </c>
      <c r="CM85" s="8">
        <f>+MINVU_Mes_Corriente!CM85*MINVU_Mes_Constante!$CC$1</f>
        <v>99854.103692652003</v>
      </c>
      <c r="CN85" s="8">
        <f>+MINVU_Mes_Corriente!CN85*MINVU_Mes_Constante!$CC$1</f>
        <v>99854.103692652003</v>
      </c>
      <c r="CO85" s="9">
        <f t="shared" si="63"/>
        <v>99854.103692652003</v>
      </c>
      <c r="CP85" s="8">
        <f>+MINVU_Mes_Corriente!CP85*MINVU_Mes_Constante!$CP$1</f>
        <v>58019.34153132249</v>
      </c>
      <c r="CQ85" s="8">
        <f>+MINVU_Mes_Corriente!CQ85*MINVU_Mes_Constante!$CP$1</f>
        <v>58019.34153132249</v>
      </c>
      <c r="CR85" s="8">
        <f>+MINVU_Mes_Corriente!CR85*MINVU_Mes_Constante!$CP$1</f>
        <v>58019.34153132249</v>
      </c>
      <c r="CS85" s="8">
        <f>+MINVU_Mes_Corriente!CS85*MINVU_Mes_Constante!$CP$1</f>
        <v>58019.34153132249</v>
      </c>
      <c r="CT85" s="8">
        <f>+MINVU_Mes_Corriente!CT85*MINVU_Mes_Constante!$CP$1</f>
        <v>58019.34153132249</v>
      </c>
      <c r="CU85" s="8">
        <f>+MINVU_Mes_Corriente!CU85*MINVU_Mes_Constante!$CP$1</f>
        <v>58019.34153132249</v>
      </c>
      <c r="CV85" s="8">
        <f>+MINVU_Mes_Corriente!CV85*MINVU_Mes_Constante!$CP$1</f>
        <v>58019.34153132249</v>
      </c>
      <c r="CW85" s="8">
        <f>+MINVU_Mes_Corriente!CW85*MINVU_Mes_Constante!$CP$1</f>
        <v>58019.34153132249</v>
      </c>
      <c r="CX85" s="8">
        <f>+MINVU_Mes_Corriente!CX85*MINVU_Mes_Constante!$CP$1</f>
        <v>58019.34153132249</v>
      </c>
      <c r="CY85" s="8">
        <f>+MINVU_Mes_Corriente!CY85*MINVU_Mes_Constante!$CP$1</f>
        <v>58019.34153132249</v>
      </c>
      <c r="CZ85" s="8">
        <f>+MINVU_Mes_Corriente!CZ85*MINVU_Mes_Constante!$CP$1</f>
        <v>58019.34153132249</v>
      </c>
      <c r="DA85" s="8">
        <f>+MINVU_Mes_Corriente!DA85*MINVU_Mes_Constante!$CP$1</f>
        <v>58019.34153132249</v>
      </c>
      <c r="DB85" s="9">
        <f t="shared" si="64"/>
        <v>58019.34153132249</v>
      </c>
      <c r="DC85" s="8">
        <f>+MINVU_Mes_Corriente!DC85*MINVU_Mes_Constante!$DC$1</f>
        <v>0</v>
      </c>
      <c r="DD85" s="8">
        <f>+MINVU_Mes_Corriente!DD85*MINVU_Mes_Constante!$DC$1</f>
        <v>0</v>
      </c>
      <c r="DE85" s="8">
        <f>+MINVU_Mes_Corriente!DE85*MINVU_Mes_Constante!$DC$1</f>
        <v>0</v>
      </c>
      <c r="DF85" s="8">
        <f>+MINVU_Mes_Corriente!DF85*MINVU_Mes_Constante!$DC$1</f>
        <v>0</v>
      </c>
      <c r="DG85" s="8">
        <f>+MINVU_Mes_Corriente!DG85*MINVU_Mes_Constante!$DC$1</f>
        <v>0</v>
      </c>
      <c r="DH85" s="8">
        <f>+MINVU_Mes_Corriente!DH85*MINVU_Mes_Constante!$DC$1</f>
        <v>0</v>
      </c>
      <c r="DI85" s="8">
        <f>+MINVU_Mes_Corriente!DI85*MINVU_Mes_Constante!$DC$1</f>
        <v>0</v>
      </c>
      <c r="DJ85" s="8">
        <f>+MINVU_Mes_Corriente!DJ85*MINVU_Mes_Constante!$DC$1</f>
        <v>0</v>
      </c>
      <c r="DK85" s="8">
        <f>+MINVU_Mes_Corriente!DK85*MINVU_Mes_Constante!$DC$1</f>
        <v>0</v>
      </c>
      <c r="DL85" s="8">
        <f>+MINVU_Mes_Corriente!DL85*MINVU_Mes_Constante!$DC$1</f>
        <v>0</v>
      </c>
      <c r="DM85" s="8">
        <f>+MINVU_Mes_Corriente!DM85*MINVU_Mes_Constante!$DC$1</f>
        <v>0</v>
      </c>
      <c r="DN85" s="8">
        <f>+MINVU_Mes_Corriente!DN85*MINVU_Mes_Constante!$DC$1</f>
        <v>0</v>
      </c>
      <c r="DO85" s="9">
        <f t="shared" si="65"/>
        <v>0</v>
      </c>
      <c r="DP85" s="8">
        <f>+MINVU_Mes_Corriente!DP85*MINVU_Mes_Constante!$DP$1</f>
        <v>10057943.141330168</v>
      </c>
      <c r="DQ85" s="8">
        <f>+MINVU_Mes_Corriente!DQ85*MINVU_Mes_Constante!$DP$1</f>
        <v>10057943.141330168</v>
      </c>
      <c r="DR85" s="8">
        <f>+MINVU_Mes_Corriente!DR85*MINVU_Mes_Constante!$DP$1</f>
        <v>10057943.141330168</v>
      </c>
      <c r="DS85" s="8">
        <f>+MINVU_Mes_Corriente!DS85*MINVU_Mes_Constante!$DP$1</f>
        <v>10057943.141330168</v>
      </c>
      <c r="DT85" s="8">
        <f>+MINVU_Mes_Corriente!DT85*MINVU_Mes_Constante!$DP$1</f>
        <v>10057943.141330168</v>
      </c>
      <c r="DU85" s="8">
        <f>+MINVU_Mes_Corriente!DU85*MINVU_Mes_Constante!$DP$1</f>
        <v>10057943.141330168</v>
      </c>
      <c r="DV85" s="8">
        <f>+MINVU_Mes_Corriente!DV85*MINVU_Mes_Constante!$DP$1</f>
        <v>10057943.141330168</v>
      </c>
      <c r="DW85" s="8">
        <f>+MINVU_Mes_Corriente!DW85*MINVU_Mes_Constante!$DP$1</f>
        <v>10057943.141330168</v>
      </c>
      <c r="DX85" s="8">
        <f>+MINVU_Mes_Corriente!DX85*MINVU_Mes_Constante!$DP$1</f>
        <v>10057943.141330168</v>
      </c>
      <c r="DY85" s="8">
        <f>+MINVU_Mes_Corriente!DY85*MINVU_Mes_Constante!$DP$1</f>
        <v>10057943.141330168</v>
      </c>
      <c r="DZ85" s="8">
        <f>+MINVU_Mes_Corriente!DZ85*MINVU_Mes_Constante!$DP$1</f>
        <v>10057943.141330168</v>
      </c>
      <c r="EA85" s="8">
        <f>+MINVU_Mes_Corriente!EA85*MINVU_Mes_Constante!$DP$1</f>
        <v>10057943.141330168</v>
      </c>
      <c r="EB85" s="9">
        <f t="shared" si="66"/>
        <v>10057943.141330168</v>
      </c>
      <c r="EC85" s="8">
        <f>+MINVU_Mes_Corriente!EC85*MINVU_Mes_Constante!$EC$1</f>
        <v>0</v>
      </c>
      <c r="ED85" s="8">
        <f>+MINVU_Mes_Corriente!ED85*MINVU_Mes_Constante!$EC$1</f>
        <v>0</v>
      </c>
      <c r="EE85" s="8">
        <f>+MINVU_Mes_Corriente!EE85*MINVU_Mes_Constante!$EC$1</f>
        <v>0</v>
      </c>
      <c r="EF85" s="8">
        <f>+MINVU_Mes_Corriente!EF85*MINVU_Mes_Constante!$EC$1</f>
        <v>0</v>
      </c>
      <c r="EG85" s="8">
        <f>+MINVU_Mes_Corriente!EG85*MINVU_Mes_Constante!$EC$1</f>
        <v>0</v>
      </c>
      <c r="EH85" s="8">
        <f>+MINVU_Mes_Corriente!EH85*MINVU_Mes_Constante!$EC$1</f>
        <v>0</v>
      </c>
      <c r="EI85" s="8">
        <f>+MINVU_Mes_Corriente!EI85*MINVU_Mes_Constante!$EC$1</f>
        <v>0</v>
      </c>
      <c r="EJ85" s="8">
        <f>+MINVU_Mes_Corriente!EJ85*MINVU_Mes_Constante!$EC$1</f>
        <v>0</v>
      </c>
      <c r="EK85" s="8">
        <f>+MINVU_Mes_Corriente!EK85*MINVU_Mes_Constante!$EC$1</f>
        <v>0</v>
      </c>
      <c r="EL85" s="8">
        <f>+MINVU_Mes_Corriente!EL85*MINVU_Mes_Constante!$EC$1</f>
        <v>0</v>
      </c>
      <c r="EM85" s="8">
        <f>+MINVU_Mes_Corriente!EM85*MINVU_Mes_Constante!$EC$1</f>
        <v>0</v>
      </c>
      <c r="EN85" s="8">
        <f>+MINVU_Mes_Corriente!EN85*MINVU_Mes_Constante!$EC$1</f>
        <v>0</v>
      </c>
      <c r="EO85" s="9">
        <f t="shared" si="67"/>
        <v>0</v>
      </c>
      <c r="EP85" s="8">
        <f>+MINVU_Mes_Corriente!EP85*MINVU_Mes_Constante!$EP$1</f>
        <v>18756</v>
      </c>
      <c r="EQ85" s="8">
        <f>+MINVU_Mes_Corriente!EQ85*MINVU_Mes_Constante!$EP$1</f>
        <v>18756</v>
      </c>
      <c r="ER85" s="8">
        <f>+MINVU_Mes_Corriente!ER85*MINVU_Mes_Constante!$EP$1</f>
        <v>18756</v>
      </c>
      <c r="ES85" s="8">
        <f>+MINVU_Mes_Corriente!ES85*MINVU_Mes_Constante!$EP$1</f>
        <v>18756</v>
      </c>
      <c r="ET85" s="8">
        <f>+MINVU_Mes_Corriente!ET85*MINVU_Mes_Constante!$EP$1</f>
        <v>18756</v>
      </c>
      <c r="EU85" s="8">
        <f>+MINVU_Mes_Corriente!EU85*MINVU_Mes_Constante!$EP$1</f>
        <v>18756</v>
      </c>
      <c r="EV85" s="8">
        <f>+MINVU_Mes_Corriente!EV85*MINVU_Mes_Constante!$EP$1</f>
        <v>18756</v>
      </c>
      <c r="EW85" s="8">
        <f>+MINVU_Mes_Corriente!EW85*MINVU_Mes_Constante!$EP$1</f>
        <v>18756</v>
      </c>
      <c r="EX85" s="8">
        <f>+MINVU_Mes_Corriente!EX85*MINVU_Mes_Constante!$EP$1</f>
        <v>18756</v>
      </c>
      <c r="EY85" s="8">
        <f>+MINVU_Mes_Corriente!EY85*MINVU_Mes_Constante!$EP$1</f>
        <v>18756</v>
      </c>
      <c r="EZ85" s="8">
        <f>+MINVU_Mes_Corriente!EZ85*MINVU_Mes_Constante!$EP$1</f>
        <v>18756</v>
      </c>
      <c r="FA85" s="8">
        <f>+MINVU_Mes_Corriente!FA85*MINVU_Mes_Constante!$EP$1</f>
        <v>18756</v>
      </c>
      <c r="FB85" s="9">
        <f t="shared" si="68"/>
        <v>18756</v>
      </c>
      <c r="FC85" s="8">
        <f>+MINVU_Mes_Corriente!FC85*MINVU_Mes_Constante!$FC$1</f>
        <v>10</v>
      </c>
      <c r="FD85" s="8">
        <f>+MINVU_Mes_Corriente!FD85*MINVU_Mes_Constante!$FC$1</f>
        <v>10</v>
      </c>
      <c r="FE85" s="8">
        <f>+MINVU_Mes_Corriente!FE85*MINVU_Mes_Constante!$FC$1</f>
        <v>10</v>
      </c>
      <c r="FF85" s="8">
        <f>+MINVU_Mes_Corriente!FF85*MINVU_Mes_Constante!$FC$1</f>
        <v>10</v>
      </c>
      <c r="FG85" s="8">
        <f>+MINVU_Mes_Corriente!FG85*MINVU_Mes_Constante!$FC$1</f>
        <v>10</v>
      </c>
      <c r="FH85" s="8">
        <f>+MINVU_Mes_Corriente!FH85*MINVU_Mes_Constante!$FC$1</f>
        <v>10</v>
      </c>
      <c r="FI85" s="8">
        <f>+MINVU_Mes_Corriente!FI85*MINVU_Mes_Constante!$FC$1</f>
        <v>10</v>
      </c>
      <c r="FJ85" s="8"/>
      <c r="FK85" s="8"/>
      <c r="FL85" s="8"/>
      <c r="FM85" s="8"/>
      <c r="FN85" s="8"/>
      <c r="FO85" s="9">
        <f t="shared" si="69"/>
        <v>10</v>
      </c>
    </row>
    <row r="86" spans="2:171" ht="14.25" customHeight="1" x14ac:dyDescent="0.3">
      <c r="B86" s="7" t="s">
        <v>52</v>
      </c>
      <c r="C86" s="8">
        <f>+MINVU_Mes_Corriente!C86*MINVU_Mes_Constante!$C$1</f>
        <v>33314.334865786746</v>
      </c>
      <c r="D86" s="8">
        <f>+MINVU_Mes_Corriente!D86*MINVU_Mes_Constante!$C$1</f>
        <v>33314.334865786746</v>
      </c>
      <c r="E86" s="8">
        <f>+MINVU_Mes_Corriente!E86*MINVU_Mes_Constante!$C$1</f>
        <v>33314.334865786746</v>
      </c>
      <c r="F86" s="8">
        <f>+MINVU_Mes_Corriente!F86*MINVU_Mes_Constante!$C$1</f>
        <v>33314.334865786746</v>
      </c>
      <c r="G86" s="8">
        <f>+MINVU_Mes_Corriente!G86*MINVU_Mes_Constante!$C$1</f>
        <v>33314.334865786746</v>
      </c>
      <c r="H86" s="8">
        <f>+MINVU_Mes_Corriente!H86*MINVU_Mes_Constante!$C$1</f>
        <v>33314.334865786746</v>
      </c>
      <c r="I86" s="8">
        <f>+MINVU_Mes_Corriente!I86*MINVU_Mes_Constante!$C$1</f>
        <v>33314.334865786746</v>
      </c>
      <c r="J86" s="8">
        <f>+MINVU_Mes_Corriente!J86*MINVU_Mes_Constante!$C$1</f>
        <v>33314.334865786746</v>
      </c>
      <c r="K86" s="8">
        <f>+MINVU_Mes_Corriente!K86*MINVU_Mes_Constante!$C$1</f>
        <v>33314.334865786746</v>
      </c>
      <c r="L86" s="8">
        <f>+MINVU_Mes_Corriente!L86*MINVU_Mes_Constante!$C$1</f>
        <v>33314.334865786746</v>
      </c>
      <c r="M86" s="8">
        <f>+MINVU_Mes_Corriente!M86*MINVU_Mes_Constante!$C$1</f>
        <v>33314.334865786746</v>
      </c>
      <c r="N86" s="8">
        <f>+MINVU_Mes_Corriente!N86*MINVU_Mes_Constante!$C$1</f>
        <v>33314.334865786746</v>
      </c>
      <c r="O86" s="9">
        <f t="shared" si="57"/>
        <v>33314.334865786746</v>
      </c>
      <c r="P86" s="8">
        <f>+MINVU_Mes_Corriente!P86*MINVU_Mes_Constante!$P$1</f>
        <v>35092.343798835049</v>
      </c>
      <c r="Q86" s="8">
        <f>+MINVU_Mes_Corriente!Q86*MINVU_Mes_Constante!$P$1</f>
        <v>35092.343798835049</v>
      </c>
      <c r="R86" s="8">
        <f>+MINVU_Mes_Corriente!R86*MINVU_Mes_Constante!$P$1</f>
        <v>35092.343798835049</v>
      </c>
      <c r="S86" s="8">
        <f>+MINVU_Mes_Corriente!S86*MINVU_Mes_Constante!$P$1</f>
        <v>35092.343798835049</v>
      </c>
      <c r="T86" s="8">
        <f>+MINVU_Mes_Corriente!T86*MINVU_Mes_Constante!$P$1</f>
        <v>35092.343798835049</v>
      </c>
      <c r="U86" s="8">
        <f>+MINVU_Mes_Corriente!U86*MINVU_Mes_Constante!$P$1</f>
        <v>35092.343798835049</v>
      </c>
      <c r="V86" s="8">
        <f>+MINVU_Mes_Corriente!V86*MINVU_Mes_Constante!$P$1</f>
        <v>35092.343798835049</v>
      </c>
      <c r="W86" s="8">
        <f>+MINVU_Mes_Corriente!W86*MINVU_Mes_Constante!$P$1</f>
        <v>35092.343798835049</v>
      </c>
      <c r="X86" s="8">
        <f>+MINVU_Mes_Corriente!X86*MINVU_Mes_Constante!$P$1</f>
        <v>35092.343798835049</v>
      </c>
      <c r="Y86" s="8">
        <f>+MINVU_Mes_Corriente!Y86*MINVU_Mes_Constante!$P$1</f>
        <v>35092.343798835049</v>
      </c>
      <c r="Z86" s="8">
        <f>+MINVU_Mes_Corriente!Z86*MINVU_Mes_Constante!$P$1</f>
        <v>35092.343798835049</v>
      </c>
      <c r="AA86" s="8">
        <f>+MINVU_Mes_Corriente!AA86*MINVU_Mes_Constante!$P$1</f>
        <v>35092.343798835049</v>
      </c>
      <c r="AB86" s="9">
        <f t="shared" si="58"/>
        <v>35092.343798835049</v>
      </c>
      <c r="AC86" s="8">
        <f>+MINVU_Mes_Corriente!AC86*MINVU_Mes_Constante!$AC$1</f>
        <v>1429652.5148706599</v>
      </c>
      <c r="AD86" s="8">
        <f>+MINVU_Mes_Corriente!AD86*MINVU_Mes_Constante!$AC$1</f>
        <v>1429652.5148706599</v>
      </c>
      <c r="AE86" s="8">
        <f>+MINVU_Mes_Corriente!AE86*MINVU_Mes_Constante!$AC$1</f>
        <v>1429652.5148706599</v>
      </c>
      <c r="AF86" s="8">
        <f>+MINVU_Mes_Corriente!AF86*MINVU_Mes_Constante!$AC$1</f>
        <v>1429652.5148706599</v>
      </c>
      <c r="AG86" s="8">
        <f>+MINVU_Mes_Corriente!AG86*MINVU_Mes_Constante!$AC$1</f>
        <v>1429652.5148706599</v>
      </c>
      <c r="AH86" s="8">
        <f>+MINVU_Mes_Corriente!AH86*MINVU_Mes_Constante!$AC$1</f>
        <v>1429652.5148706599</v>
      </c>
      <c r="AI86" s="8">
        <f>+MINVU_Mes_Corriente!AI86*MINVU_Mes_Constante!$AC$1</f>
        <v>1429652.5148706599</v>
      </c>
      <c r="AJ86" s="8">
        <f>+MINVU_Mes_Corriente!AJ86*MINVU_Mes_Constante!$AC$1</f>
        <v>1429652.5148706599</v>
      </c>
      <c r="AK86" s="8">
        <f>+MINVU_Mes_Corriente!AK86*MINVU_Mes_Constante!$AC$1</f>
        <v>1429652.5148706599</v>
      </c>
      <c r="AL86" s="8">
        <f>+MINVU_Mes_Corriente!AL86*MINVU_Mes_Constante!$AC$1</f>
        <v>1429652.5148706599</v>
      </c>
      <c r="AM86" s="8">
        <f>+MINVU_Mes_Corriente!AM86*MINVU_Mes_Constante!$AC$1</f>
        <v>1429652.5148706599</v>
      </c>
      <c r="AN86" s="8">
        <f>+MINVU_Mes_Corriente!AN86*MINVU_Mes_Constante!$AC$1</f>
        <v>1429652.5148706599</v>
      </c>
      <c r="AO86" s="9">
        <f t="shared" si="59"/>
        <v>1429652.5148706599</v>
      </c>
      <c r="AP86" s="8">
        <f>+MINVU_Mes_Corriente!AP86*MINVU_Mes_Constante!$AP$1</f>
        <v>25116.646828080615</v>
      </c>
      <c r="AQ86" s="8">
        <f>+MINVU_Mes_Corriente!AQ86*MINVU_Mes_Constante!$AP$1</f>
        <v>25116.646828080615</v>
      </c>
      <c r="AR86" s="8">
        <f>+MINVU_Mes_Corriente!AR86*MINVU_Mes_Constante!$AP$1</f>
        <v>25116.646828080615</v>
      </c>
      <c r="AS86" s="8">
        <f>+MINVU_Mes_Corriente!AS86*MINVU_Mes_Constante!$AP$1</f>
        <v>25116.646828080615</v>
      </c>
      <c r="AT86" s="8">
        <f>+MINVU_Mes_Corriente!AT86*MINVU_Mes_Constante!$AP$1</f>
        <v>25116.646828080615</v>
      </c>
      <c r="AU86" s="8">
        <f>+MINVU_Mes_Corriente!AU86*MINVU_Mes_Constante!$AP$1</f>
        <v>25116.646828080615</v>
      </c>
      <c r="AV86" s="8">
        <f>+MINVU_Mes_Corriente!AV86*MINVU_Mes_Constante!$AP$1</f>
        <v>25116.646828080615</v>
      </c>
      <c r="AW86" s="8">
        <f>+MINVU_Mes_Corriente!AW86*MINVU_Mes_Constante!$AP$1</f>
        <v>25116.646828080615</v>
      </c>
      <c r="AX86" s="8">
        <f>+MINVU_Mes_Corriente!AX86*MINVU_Mes_Constante!$AP$1</f>
        <v>25116.646828080615</v>
      </c>
      <c r="AY86" s="8">
        <f>+MINVU_Mes_Corriente!AY86*MINVU_Mes_Constante!$AP$1</f>
        <v>25116.646828080615</v>
      </c>
      <c r="AZ86" s="8">
        <f>+MINVU_Mes_Corriente!AZ86*MINVU_Mes_Constante!$AP$1</f>
        <v>25116.646828080615</v>
      </c>
      <c r="BA86" s="8">
        <f>+MINVU_Mes_Corriente!BA86*MINVU_Mes_Constante!$AP$1</f>
        <v>25116.646828080615</v>
      </c>
      <c r="BB86" s="9">
        <f t="shared" si="60"/>
        <v>25116.646828080615</v>
      </c>
      <c r="BC86" s="8">
        <f>+MINVU_Mes_Corriente!BC86*MINVU_Mes_Constante!$BC$1</f>
        <v>25116.976394566802</v>
      </c>
      <c r="BD86" s="8">
        <f>+MINVU_Mes_Corriente!BD86*MINVU_Mes_Constante!$BC$1</f>
        <v>25116.976394566802</v>
      </c>
      <c r="BE86" s="8">
        <f>+MINVU_Mes_Corriente!BE86*MINVU_Mes_Constante!$BC$1</f>
        <v>25116.976394566802</v>
      </c>
      <c r="BF86" s="8">
        <f>+MINVU_Mes_Corriente!BF86*MINVU_Mes_Constante!$BC$1</f>
        <v>25116.976394566802</v>
      </c>
      <c r="BG86" s="8">
        <f>+MINVU_Mes_Corriente!BG86*MINVU_Mes_Constante!$BC$1</f>
        <v>25116.976394566802</v>
      </c>
      <c r="BH86" s="8">
        <f>+MINVU_Mes_Corriente!BH86*MINVU_Mes_Constante!$BC$1</f>
        <v>25116.976394566802</v>
      </c>
      <c r="BI86" s="8">
        <f>+MINVU_Mes_Corriente!BI86*MINVU_Mes_Constante!$BC$1</f>
        <v>25116.976394566802</v>
      </c>
      <c r="BJ86" s="8">
        <f>+MINVU_Mes_Corriente!BJ86*MINVU_Mes_Constante!$BC$1</f>
        <v>25116.976394566802</v>
      </c>
      <c r="BK86" s="8">
        <f>+MINVU_Mes_Corriente!BK86*MINVU_Mes_Constante!$BC$1</f>
        <v>25116.976394566802</v>
      </c>
      <c r="BL86" s="8">
        <f>+MINVU_Mes_Corriente!BL86*MINVU_Mes_Constante!$BC$1</f>
        <v>25116.976394566802</v>
      </c>
      <c r="BM86" s="8">
        <f>+MINVU_Mes_Corriente!BM86*MINVU_Mes_Constante!$BC$1</f>
        <v>25116.976394566802</v>
      </c>
      <c r="BN86" s="8">
        <f>+MINVU_Mes_Corriente!BN86*MINVU_Mes_Constante!$BC$1</f>
        <v>25116.976394566802</v>
      </c>
      <c r="BO86" s="9">
        <f t="shared" si="61"/>
        <v>25116.976394566802</v>
      </c>
      <c r="BP86" s="8">
        <f>+MINVU_Mes_Corriente!BP86*MINVU_Mes_Constante!$BP$1</f>
        <v>1310346.3664532653</v>
      </c>
      <c r="BQ86" s="8">
        <f>+MINVU_Mes_Corriente!BQ86*MINVU_Mes_Constante!$BP$1</f>
        <v>1310346.3664532653</v>
      </c>
      <c r="BR86" s="8">
        <f>+MINVU_Mes_Corriente!BR86*MINVU_Mes_Constante!$BP$1</f>
        <v>1310346.3664532653</v>
      </c>
      <c r="BS86" s="8">
        <f>+MINVU_Mes_Corriente!BS86*MINVU_Mes_Constante!$BP$1</f>
        <v>1310346.3664532653</v>
      </c>
      <c r="BT86" s="8">
        <f>+MINVU_Mes_Corriente!BT86*MINVU_Mes_Constante!$BP$1</f>
        <v>1310346.3664532653</v>
      </c>
      <c r="BU86" s="8">
        <f>+MINVU_Mes_Corriente!BU86*MINVU_Mes_Constante!$BP$1</f>
        <v>1310346.3664532653</v>
      </c>
      <c r="BV86" s="8">
        <f>+MINVU_Mes_Corriente!BV86*MINVU_Mes_Constante!$BP$1</f>
        <v>1310346.3664532653</v>
      </c>
      <c r="BW86" s="8">
        <f>+MINVU_Mes_Corriente!BW86*MINVU_Mes_Constante!$BP$1</f>
        <v>1310346.3664532653</v>
      </c>
      <c r="BX86" s="8">
        <f>+MINVU_Mes_Corriente!BX86*MINVU_Mes_Constante!$BP$1</f>
        <v>1310346.3664532653</v>
      </c>
      <c r="BY86" s="8">
        <f>+MINVU_Mes_Corriente!BY86*MINVU_Mes_Constante!$BP$1</f>
        <v>1310346.3664532653</v>
      </c>
      <c r="BZ86" s="8">
        <f>+MINVU_Mes_Corriente!BZ86*MINVU_Mes_Constante!$BP$1</f>
        <v>1310346.3664532653</v>
      </c>
      <c r="CA86" s="8">
        <f>+MINVU_Mes_Corriente!CA86*MINVU_Mes_Constante!$BP$1</f>
        <v>1310346.3664532653</v>
      </c>
      <c r="CB86" s="9">
        <f t="shared" si="62"/>
        <v>1310346.3664532653</v>
      </c>
      <c r="CC86" s="8">
        <f>+MINVU_Mes_Corriente!CC86*MINVU_Mes_Constante!$CC$1</f>
        <v>4405009.1883625519</v>
      </c>
      <c r="CD86" s="8">
        <f>+MINVU_Mes_Corriente!CD86*MINVU_Mes_Constante!$CC$1</f>
        <v>4405009.1883625519</v>
      </c>
      <c r="CE86" s="8">
        <f>+MINVU_Mes_Corriente!CE86*MINVU_Mes_Constante!$CC$1</f>
        <v>4405009.1883625519</v>
      </c>
      <c r="CF86" s="8">
        <f>+MINVU_Mes_Corriente!CF86*MINVU_Mes_Constante!$CC$1</f>
        <v>4405009.1883625519</v>
      </c>
      <c r="CG86" s="8">
        <f>+MINVU_Mes_Corriente!CG86*MINVU_Mes_Constante!$CC$1</f>
        <v>4405009.1883625519</v>
      </c>
      <c r="CH86" s="8">
        <f>+MINVU_Mes_Corriente!CH86*MINVU_Mes_Constante!$CC$1</f>
        <v>4405009.1883625519</v>
      </c>
      <c r="CI86" s="8">
        <f>+MINVU_Mes_Corriente!CI86*MINVU_Mes_Constante!$CC$1</f>
        <v>4405009.1883625519</v>
      </c>
      <c r="CJ86" s="8">
        <f>+MINVU_Mes_Corriente!CJ86*MINVU_Mes_Constante!$CC$1</f>
        <v>4405009.1883625519</v>
      </c>
      <c r="CK86" s="8">
        <f>+MINVU_Mes_Corriente!CK86*MINVU_Mes_Constante!$CC$1</f>
        <v>4405009.1883625519</v>
      </c>
      <c r="CL86" s="8">
        <f>+MINVU_Mes_Corriente!CL86*MINVU_Mes_Constante!$CC$1</f>
        <v>4405009.1883625519</v>
      </c>
      <c r="CM86" s="8">
        <f>+MINVU_Mes_Corriente!CM86*MINVU_Mes_Constante!$CC$1</f>
        <v>4405009.1883625519</v>
      </c>
      <c r="CN86" s="8">
        <f>+MINVU_Mes_Corriente!CN86*MINVU_Mes_Constante!$CC$1</f>
        <v>4405009.1883625519</v>
      </c>
      <c r="CO86" s="9">
        <f t="shared" si="63"/>
        <v>4405009.1883625519</v>
      </c>
      <c r="CP86" s="8">
        <f>+MINVU_Mes_Corriente!CP86*MINVU_Mes_Constante!$CP$1</f>
        <v>14063.105568445473</v>
      </c>
      <c r="CQ86" s="8">
        <f>+MINVU_Mes_Corriente!CQ86*MINVU_Mes_Constante!$CP$1</f>
        <v>14063.105568445473</v>
      </c>
      <c r="CR86" s="8">
        <f>+MINVU_Mes_Corriente!CR86*MINVU_Mes_Constante!$CP$1</f>
        <v>14063.105568445473</v>
      </c>
      <c r="CS86" s="8">
        <f>+MINVU_Mes_Corriente!CS86*MINVU_Mes_Constante!$CP$1</f>
        <v>14063.105568445473</v>
      </c>
      <c r="CT86" s="8">
        <f>+MINVU_Mes_Corriente!CT86*MINVU_Mes_Constante!$CP$1</f>
        <v>14063.105568445473</v>
      </c>
      <c r="CU86" s="8">
        <f>+MINVU_Mes_Corriente!CU86*MINVU_Mes_Constante!$CP$1</f>
        <v>14063.105568445473</v>
      </c>
      <c r="CV86" s="8">
        <f>+MINVU_Mes_Corriente!CV86*MINVU_Mes_Constante!$CP$1</f>
        <v>14063.105568445473</v>
      </c>
      <c r="CW86" s="8">
        <f>+MINVU_Mes_Corriente!CW86*MINVU_Mes_Constante!$CP$1</f>
        <v>14063.105568445473</v>
      </c>
      <c r="CX86" s="8">
        <f>+MINVU_Mes_Corriente!CX86*MINVU_Mes_Constante!$CP$1</f>
        <v>14063.105568445473</v>
      </c>
      <c r="CY86" s="8">
        <f>+MINVU_Mes_Corriente!CY86*MINVU_Mes_Constante!$CP$1</f>
        <v>14063.105568445473</v>
      </c>
      <c r="CZ86" s="8">
        <f>+MINVU_Mes_Corriente!CZ86*MINVU_Mes_Constante!$CP$1</f>
        <v>14063.105568445473</v>
      </c>
      <c r="DA86" s="8">
        <f>+MINVU_Mes_Corriente!DA86*MINVU_Mes_Constante!$CP$1</f>
        <v>14063.105568445473</v>
      </c>
      <c r="DB86" s="9">
        <f t="shared" si="64"/>
        <v>14063.105568445473</v>
      </c>
      <c r="DC86" s="8">
        <f>+MINVU_Mes_Corriente!DC86*MINVU_Mes_Constante!$DC$1</f>
        <v>0</v>
      </c>
      <c r="DD86" s="8">
        <f>+MINVU_Mes_Corriente!DD86*MINVU_Mes_Constante!$DC$1</f>
        <v>0</v>
      </c>
      <c r="DE86" s="8">
        <f>+MINVU_Mes_Corriente!DE86*MINVU_Mes_Constante!$DC$1</f>
        <v>0</v>
      </c>
      <c r="DF86" s="8">
        <f>+MINVU_Mes_Corriente!DF86*MINVU_Mes_Constante!$DC$1</f>
        <v>0</v>
      </c>
      <c r="DG86" s="8">
        <f>+MINVU_Mes_Corriente!DG86*MINVU_Mes_Constante!$DC$1</f>
        <v>0</v>
      </c>
      <c r="DH86" s="8">
        <f>+MINVU_Mes_Corriente!DH86*MINVU_Mes_Constante!$DC$1</f>
        <v>0</v>
      </c>
      <c r="DI86" s="8">
        <f>+MINVU_Mes_Corriente!DI86*MINVU_Mes_Constante!$DC$1</f>
        <v>0</v>
      </c>
      <c r="DJ86" s="8">
        <f>+MINVU_Mes_Corriente!DJ86*MINVU_Mes_Constante!$DC$1</f>
        <v>0</v>
      </c>
      <c r="DK86" s="8">
        <f>+MINVU_Mes_Corriente!DK86*MINVU_Mes_Constante!$DC$1</f>
        <v>0</v>
      </c>
      <c r="DL86" s="8">
        <f>+MINVU_Mes_Corriente!DL86*MINVU_Mes_Constante!$DC$1</f>
        <v>0</v>
      </c>
      <c r="DM86" s="8">
        <f>+MINVU_Mes_Corriente!DM86*MINVU_Mes_Constante!$DC$1</f>
        <v>0</v>
      </c>
      <c r="DN86" s="8">
        <f>+MINVU_Mes_Corriente!DN86*MINVU_Mes_Constante!$DC$1</f>
        <v>0</v>
      </c>
      <c r="DO86" s="9">
        <f t="shared" si="65"/>
        <v>0</v>
      </c>
      <c r="DP86" s="8">
        <f>+MINVU_Mes_Corriente!DP86*MINVU_Mes_Constante!$DP$1</f>
        <v>0</v>
      </c>
      <c r="DQ86" s="8">
        <f>+MINVU_Mes_Corriente!DQ86*MINVU_Mes_Constante!$DP$1</f>
        <v>0</v>
      </c>
      <c r="DR86" s="8">
        <f>+MINVU_Mes_Corriente!DR86*MINVU_Mes_Constante!$DP$1</f>
        <v>0</v>
      </c>
      <c r="DS86" s="8">
        <f>+MINVU_Mes_Corriente!DS86*MINVU_Mes_Constante!$DP$1</f>
        <v>0</v>
      </c>
      <c r="DT86" s="8">
        <f>+MINVU_Mes_Corriente!DT86*MINVU_Mes_Constante!$DP$1</f>
        <v>0</v>
      </c>
      <c r="DU86" s="8">
        <f>+MINVU_Mes_Corriente!DU86*MINVU_Mes_Constante!$DP$1</f>
        <v>0</v>
      </c>
      <c r="DV86" s="8">
        <f>+MINVU_Mes_Corriente!DV86*MINVU_Mes_Constante!$DP$1</f>
        <v>0</v>
      </c>
      <c r="DW86" s="8">
        <f>+MINVU_Mes_Corriente!DW86*MINVU_Mes_Constante!$DP$1</f>
        <v>0</v>
      </c>
      <c r="DX86" s="8">
        <f>+MINVU_Mes_Corriente!DX86*MINVU_Mes_Constante!$DP$1</f>
        <v>0</v>
      </c>
      <c r="DY86" s="8">
        <f>+MINVU_Mes_Corriente!DY86*MINVU_Mes_Constante!$DP$1</f>
        <v>0</v>
      </c>
      <c r="DZ86" s="8">
        <f>+MINVU_Mes_Corriente!DZ86*MINVU_Mes_Constante!$DP$1</f>
        <v>0</v>
      </c>
      <c r="EA86" s="8">
        <f>+MINVU_Mes_Corriente!EA86*MINVU_Mes_Constante!$DP$1</f>
        <v>0</v>
      </c>
      <c r="EB86" s="9">
        <f t="shared" si="66"/>
        <v>0</v>
      </c>
      <c r="EC86" s="8">
        <f>+MINVU_Mes_Corriente!EC86*MINVU_Mes_Constante!$EC$1</f>
        <v>0</v>
      </c>
      <c r="ED86" s="8">
        <f>+MINVU_Mes_Corriente!ED86*MINVU_Mes_Constante!$EC$1</f>
        <v>0</v>
      </c>
      <c r="EE86" s="8">
        <f>+MINVU_Mes_Corriente!EE86*MINVU_Mes_Constante!$EC$1</f>
        <v>0</v>
      </c>
      <c r="EF86" s="8">
        <f>+MINVU_Mes_Corriente!EF86*MINVU_Mes_Constante!$EC$1</f>
        <v>0</v>
      </c>
      <c r="EG86" s="8">
        <f>+MINVU_Mes_Corriente!EG86*MINVU_Mes_Constante!$EC$1</f>
        <v>0</v>
      </c>
      <c r="EH86" s="8">
        <f>+MINVU_Mes_Corriente!EH86*MINVU_Mes_Constante!$EC$1</f>
        <v>0</v>
      </c>
      <c r="EI86" s="8">
        <f>+MINVU_Mes_Corriente!EI86*MINVU_Mes_Constante!$EC$1</f>
        <v>0</v>
      </c>
      <c r="EJ86" s="8">
        <f>+MINVU_Mes_Corriente!EJ86*MINVU_Mes_Constante!$EC$1</f>
        <v>0</v>
      </c>
      <c r="EK86" s="8">
        <f>+MINVU_Mes_Corriente!EK86*MINVU_Mes_Constante!$EC$1</f>
        <v>0</v>
      </c>
      <c r="EL86" s="8">
        <f>+MINVU_Mes_Corriente!EL86*MINVU_Mes_Constante!$EC$1</f>
        <v>0</v>
      </c>
      <c r="EM86" s="8">
        <f>+MINVU_Mes_Corriente!EM86*MINVU_Mes_Constante!$EC$1</f>
        <v>0</v>
      </c>
      <c r="EN86" s="8">
        <f>+MINVU_Mes_Corriente!EN86*MINVU_Mes_Constante!$EC$1</f>
        <v>0</v>
      </c>
      <c r="EO86" s="9">
        <f t="shared" si="67"/>
        <v>0</v>
      </c>
      <c r="EP86" s="8">
        <f>+MINVU_Mes_Corriente!EP86*MINVU_Mes_Constante!$EP$1</f>
        <v>7815</v>
      </c>
      <c r="EQ86" s="8">
        <f>+MINVU_Mes_Corriente!EQ86*MINVU_Mes_Constante!$EP$1</f>
        <v>7815</v>
      </c>
      <c r="ER86" s="8">
        <f>+MINVU_Mes_Corriente!ER86*MINVU_Mes_Constante!$EP$1</f>
        <v>7815</v>
      </c>
      <c r="ES86" s="8">
        <f>+MINVU_Mes_Corriente!ES86*MINVU_Mes_Constante!$EP$1</f>
        <v>7815</v>
      </c>
      <c r="ET86" s="8">
        <f>+MINVU_Mes_Corriente!ET86*MINVU_Mes_Constante!$EP$1</f>
        <v>7815</v>
      </c>
      <c r="EU86" s="8">
        <f>+MINVU_Mes_Corriente!EU86*MINVU_Mes_Constante!$EP$1</f>
        <v>7815</v>
      </c>
      <c r="EV86" s="8">
        <f>+MINVU_Mes_Corriente!EV86*MINVU_Mes_Constante!$EP$1</f>
        <v>7815</v>
      </c>
      <c r="EW86" s="8">
        <f>+MINVU_Mes_Corriente!EW86*MINVU_Mes_Constante!$EP$1</f>
        <v>7815</v>
      </c>
      <c r="EX86" s="8">
        <f>+MINVU_Mes_Corriente!EX86*MINVU_Mes_Constante!$EP$1</f>
        <v>7815</v>
      </c>
      <c r="EY86" s="8">
        <f>+MINVU_Mes_Corriente!EY86*MINVU_Mes_Constante!$EP$1</f>
        <v>7815</v>
      </c>
      <c r="EZ86" s="8">
        <f>+MINVU_Mes_Corriente!EZ86*MINVU_Mes_Constante!$EP$1</f>
        <v>7815</v>
      </c>
      <c r="FA86" s="8">
        <f>+MINVU_Mes_Corriente!FA86*MINVU_Mes_Constante!$EP$1</f>
        <v>7815</v>
      </c>
      <c r="FB86" s="9">
        <f t="shared" si="68"/>
        <v>7815</v>
      </c>
      <c r="FC86" s="8">
        <f>+MINVU_Mes_Corriente!FC86*MINVU_Mes_Constante!$FC$1</f>
        <v>10</v>
      </c>
      <c r="FD86" s="8">
        <f>+MINVU_Mes_Corriente!FD86*MINVU_Mes_Constante!$FC$1</f>
        <v>10</v>
      </c>
      <c r="FE86" s="8">
        <f>+MINVU_Mes_Corriente!FE86*MINVU_Mes_Constante!$FC$1</f>
        <v>10</v>
      </c>
      <c r="FF86" s="8">
        <f>+MINVU_Mes_Corriente!FF86*MINVU_Mes_Constante!$FC$1</f>
        <v>10</v>
      </c>
      <c r="FG86" s="8">
        <f>+MINVU_Mes_Corriente!FG86*MINVU_Mes_Constante!$FC$1</f>
        <v>10</v>
      </c>
      <c r="FH86" s="8">
        <f>+MINVU_Mes_Corriente!FH86*MINVU_Mes_Constante!$FC$1</f>
        <v>10</v>
      </c>
      <c r="FI86" s="8">
        <f>+MINVU_Mes_Corriente!FI86*MINVU_Mes_Constante!$FC$1</f>
        <v>10</v>
      </c>
      <c r="FJ86" s="8"/>
      <c r="FK86" s="8"/>
      <c r="FL86" s="8"/>
      <c r="FM86" s="8"/>
      <c r="FN86" s="8"/>
      <c r="FO86" s="9">
        <f t="shared" si="69"/>
        <v>10</v>
      </c>
    </row>
    <row r="87" spans="2:171" ht="14.25" customHeight="1" x14ac:dyDescent="0.3">
      <c r="B87" s="7" t="s">
        <v>53</v>
      </c>
      <c r="C87" s="8">
        <f>+MINVU_Mes_Corriente!C87*MINVU_Mes_Constante!$C$1</f>
        <v>35714.068812101446</v>
      </c>
      <c r="D87" s="8">
        <f>+MINVU_Mes_Corriente!D87*MINVU_Mes_Constante!$C$1</f>
        <v>35714.068812101446</v>
      </c>
      <c r="E87" s="8">
        <f>+MINVU_Mes_Corriente!E87*MINVU_Mes_Constante!$C$1</f>
        <v>35714.068812101446</v>
      </c>
      <c r="F87" s="8">
        <f>+MINVU_Mes_Corriente!F87*MINVU_Mes_Constante!$C$1</f>
        <v>35714.068812101446</v>
      </c>
      <c r="G87" s="8">
        <f>+MINVU_Mes_Corriente!G87*MINVU_Mes_Constante!$C$1</f>
        <v>35714.068812101446</v>
      </c>
      <c r="H87" s="8">
        <f>+MINVU_Mes_Corriente!H87*MINVU_Mes_Constante!$C$1</f>
        <v>35714.068812101446</v>
      </c>
      <c r="I87" s="8">
        <f>+MINVU_Mes_Corriente!I87*MINVU_Mes_Constante!$C$1</f>
        <v>35714.068812101446</v>
      </c>
      <c r="J87" s="8">
        <f>+MINVU_Mes_Corriente!J87*MINVU_Mes_Constante!$C$1</f>
        <v>35714.068812101446</v>
      </c>
      <c r="K87" s="8">
        <f>+MINVU_Mes_Corriente!K87*MINVU_Mes_Constante!$C$1</f>
        <v>35714.068812101446</v>
      </c>
      <c r="L87" s="8">
        <f>+MINVU_Mes_Corriente!L87*MINVU_Mes_Constante!$C$1</f>
        <v>35714.068812101446</v>
      </c>
      <c r="M87" s="8">
        <f>+MINVU_Mes_Corriente!M87*MINVU_Mes_Constante!$C$1</f>
        <v>35714.068812101446</v>
      </c>
      <c r="N87" s="8">
        <f>+MINVU_Mes_Corriente!N87*MINVU_Mes_Constante!$C$1</f>
        <v>35714.068812101446</v>
      </c>
      <c r="O87" s="9">
        <f t="shared" si="57"/>
        <v>35714.068812101446</v>
      </c>
      <c r="P87" s="8">
        <f>+MINVU_Mes_Corriente!P87*MINVU_Mes_Constante!$P$1</f>
        <v>38261.954823128268</v>
      </c>
      <c r="Q87" s="8">
        <f>+MINVU_Mes_Corriente!Q87*MINVU_Mes_Constante!$P$1</f>
        <v>38261.954823128268</v>
      </c>
      <c r="R87" s="8">
        <f>+MINVU_Mes_Corriente!R87*MINVU_Mes_Constante!$P$1</f>
        <v>38261.954823128268</v>
      </c>
      <c r="S87" s="8">
        <f>+MINVU_Mes_Corriente!S87*MINVU_Mes_Constante!$P$1</f>
        <v>38261.954823128268</v>
      </c>
      <c r="T87" s="8">
        <f>+MINVU_Mes_Corriente!T87*MINVU_Mes_Constante!$P$1</f>
        <v>38261.954823128268</v>
      </c>
      <c r="U87" s="8">
        <f>+MINVU_Mes_Corriente!U87*MINVU_Mes_Constante!$P$1</f>
        <v>38261.954823128268</v>
      </c>
      <c r="V87" s="8">
        <f>+MINVU_Mes_Corriente!V87*MINVU_Mes_Constante!$P$1</f>
        <v>38261.954823128268</v>
      </c>
      <c r="W87" s="8">
        <f>+MINVU_Mes_Corriente!W87*MINVU_Mes_Constante!$P$1</f>
        <v>38261.954823128268</v>
      </c>
      <c r="X87" s="8">
        <f>+MINVU_Mes_Corriente!X87*MINVU_Mes_Constante!$P$1</f>
        <v>38261.954823128268</v>
      </c>
      <c r="Y87" s="8">
        <f>+MINVU_Mes_Corriente!Y87*MINVU_Mes_Constante!$P$1</f>
        <v>38261.954823128268</v>
      </c>
      <c r="Z87" s="8">
        <f>+MINVU_Mes_Corriente!Z87*MINVU_Mes_Constante!$P$1</f>
        <v>38261.954823128268</v>
      </c>
      <c r="AA87" s="8">
        <f>+MINVU_Mes_Corriente!AA87*MINVU_Mes_Constante!$P$1</f>
        <v>38261.954823128268</v>
      </c>
      <c r="AB87" s="9">
        <f t="shared" si="58"/>
        <v>38261.954823128268</v>
      </c>
      <c r="AC87" s="8">
        <f>+MINVU_Mes_Corriente!AC87*MINVU_Mes_Constante!$AC$1</f>
        <v>38013.532438788214</v>
      </c>
      <c r="AD87" s="8">
        <f>+MINVU_Mes_Corriente!AD87*MINVU_Mes_Constante!$AC$1</f>
        <v>38013.532438788214</v>
      </c>
      <c r="AE87" s="8">
        <f>+MINVU_Mes_Corriente!AE87*MINVU_Mes_Constante!$AC$1</f>
        <v>38013.532438788214</v>
      </c>
      <c r="AF87" s="8">
        <f>+MINVU_Mes_Corriente!AF87*MINVU_Mes_Constante!$AC$1</f>
        <v>38013.532438788214</v>
      </c>
      <c r="AG87" s="8">
        <f>+MINVU_Mes_Corriente!AG87*MINVU_Mes_Constante!$AC$1</f>
        <v>38013.532438788214</v>
      </c>
      <c r="AH87" s="8">
        <f>+MINVU_Mes_Corriente!AH87*MINVU_Mes_Constante!$AC$1</f>
        <v>38013.532438788214</v>
      </c>
      <c r="AI87" s="8">
        <f>+MINVU_Mes_Corriente!AI87*MINVU_Mes_Constante!$AC$1</f>
        <v>38013.532438788214</v>
      </c>
      <c r="AJ87" s="8">
        <f>+MINVU_Mes_Corriente!AJ87*MINVU_Mes_Constante!$AC$1</f>
        <v>38013.532438788214</v>
      </c>
      <c r="AK87" s="8">
        <f>+MINVU_Mes_Corriente!AK87*MINVU_Mes_Constante!$AC$1</f>
        <v>38013.532438788214</v>
      </c>
      <c r="AL87" s="8">
        <f>+MINVU_Mes_Corriente!AL87*MINVU_Mes_Constante!$AC$1</f>
        <v>38013.532438788214</v>
      </c>
      <c r="AM87" s="8">
        <f>+MINVU_Mes_Corriente!AM87*MINVU_Mes_Constante!$AC$1</f>
        <v>38013.532438788214</v>
      </c>
      <c r="AN87" s="8">
        <f>+MINVU_Mes_Corriente!AN87*MINVU_Mes_Constante!$AC$1</f>
        <v>38013.532438788214</v>
      </c>
      <c r="AO87" s="9">
        <f t="shared" si="59"/>
        <v>38013.532438788214</v>
      </c>
      <c r="AP87" s="8">
        <f>+MINVU_Mes_Corriente!AP87*MINVU_Mes_Constante!$AP$1</f>
        <v>1024151.780062221</v>
      </c>
      <c r="AQ87" s="8">
        <f>+MINVU_Mes_Corriente!AQ87*MINVU_Mes_Constante!$AP$1</f>
        <v>1024151.780062221</v>
      </c>
      <c r="AR87" s="8">
        <f>+MINVU_Mes_Corriente!AR87*MINVU_Mes_Constante!$AP$1</f>
        <v>1024151.780062221</v>
      </c>
      <c r="AS87" s="8">
        <f>+MINVU_Mes_Corriente!AS87*MINVU_Mes_Constante!$AP$1</f>
        <v>1024151.780062221</v>
      </c>
      <c r="AT87" s="8">
        <f>+MINVU_Mes_Corriente!AT87*MINVU_Mes_Constante!$AP$1</f>
        <v>1024151.780062221</v>
      </c>
      <c r="AU87" s="8">
        <f>+MINVU_Mes_Corriente!AU87*MINVU_Mes_Constante!$AP$1</f>
        <v>1024151.780062221</v>
      </c>
      <c r="AV87" s="8">
        <f>+MINVU_Mes_Corriente!AV87*MINVU_Mes_Constante!$AP$1</f>
        <v>1024151.780062221</v>
      </c>
      <c r="AW87" s="8">
        <f>+MINVU_Mes_Corriente!AW87*MINVU_Mes_Constante!$AP$1</f>
        <v>1024151.780062221</v>
      </c>
      <c r="AX87" s="8">
        <f>+MINVU_Mes_Corriente!AX87*MINVU_Mes_Constante!$AP$1</f>
        <v>1024151.780062221</v>
      </c>
      <c r="AY87" s="8">
        <f>+MINVU_Mes_Corriente!AY87*MINVU_Mes_Constante!$AP$1</f>
        <v>1024151.780062221</v>
      </c>
      <c r="AZ87" s="8">
        <f>+MINVU_Mes_Corriente!AZ87*MINVU_Mes_Constante!$AP$1</f>
        <v>1024151.780062221</v>
      </c>
      <c r="BA87" s="8">
        <f>+MINVU_Mes_Corriente!BA87*MINVU_Mes_Constante!$AP$1</f>
        <v>1024151.780062221</v>
      </c>
      <c r="BB87" s="9">
        <f t="shared" si="60"/>
        <v>1024151.780062221</v>
      </c>
      <c r="BC87" s="8">
        <f>+MINVU_Mes_Corriente!BC87*MINVU_Mes_Constante!$BC$1</f>
        <v>2106994.7379665044</v>
      </c>
      <c r="BD87" s="8">
        <f>+MINVU_Mes_Corriente!BD87*MINVU_Mes_Constante!$BC$1</f>
        <v>2106994.7379665044</v>
      </c>
      <c r="BE87" s="8">
        <f>+MINVU_Mes_Corriente!BE87*MINVU_Mes_Constante!$BC$1</f>
        <v>2106994.7379665044</v>
      </c>
      <c r="BF87" s="8">
        <f>+MINVU_Mes_Corriente!BF87*MINVU_Mes_Constante!$BC$1</f>
        <v>2106994.7379665044</v>
      </c>
      <c r="BG87" s="8">
        <f>+MINVU_Mes_Corriente!BG87*MINVU_Mes_Constante!$BC$1</f>
        <v>2106994.7379665044</v>
      </c>
      <c r="BH87" s="8">
        <f>+MINVU_Mes_Corriente!BH87*MINVU_Mes_Constante!$BC$1</f>
        <v>2106994.7379665044</v>
      </c>
      <c r="BI87" s="8">
        <f>+MINVU_Mes_Corriente!BI87*MINVU_Mes_Constante!$BC$1</f>
        <v>2106994.7379665044</v>
      </c>
      <c r="BJ87" s="8">
        <f>+MINVU_Mes_Corriente!BJ87*MINVU_Mes_Constante!$BC$1</f>
        <v>2106994.7379665044</v>
      </c>
      <c r="BK87" s="8">
        <f>+MINVU_Mes_Corriente!BK87*MINVU_Mes_Constante!$BC$1</f>
        <v>2106994.7379665044</v>
      </c>
      <c r="BL87" s="8">
        <f>+MINVU_Mes_Corriente!BL87*MINVU_Mes_Constante!$BC$1</f>
        <v>2106994.7379665044</v>
      </c>
      <c r="BM87" s="8">
        <f>+MINVU_Mes_Corriente!BM87*MINVU_Mes_Constante!$BC$1</f>
        <v>2106994.7379665044</v>
      </c>
      <c r="BN87" s="8">
        <f>+MINVU_Mes_Corriente!BN87*MINVU_Mes_Constante!$BC$1</f>
        <v>2106994.7379665044</v>
      </c>
      <c r="BO87" s="9">
        <f t="shared" si="61"/>
        <v>2106994.7379665044</v>
      </c>
      <c r="BP87" s="8">
        <f>+MINVU_Mes_Corriente!BP87*MINVU_Mes_Constante!$BP$1</f>
        <v>788475.27964148531</v>
      </c>
      <c r="BQ87" s="8">
        <f>+MINVU_Mes_Corriente!BQ87*MINVU_Mes_Constante!$BP$1</f>
        <v>788475.27964148531</v>
      </c>
      <c r="BR87" s="8">
        <f>+MINVU_Mes_Corriente!BR87*MINVU_Mes_Constante!$BP$1</f>
        <v>788475.27964148531</v>
      </c>
      <c r="BS87" s="8">
        <f>+MINVU_Mes_Corriente!BS87*MINVU_Mes_Constante!$BP$1</f>
        <v>788475.27964148531</v>
      </c>
      <c r="BT87" s="8">
        <f>+MINVU_Mes_Corriente!BT87*MINVU_Mes_Constante!$BP$1</f>
        <v>788475.27964148531</v>
      </c>
      <c r="BU87" s="8">
        <f>+MINVU_Mes_Corriente!BU87*MINVU_Mes_Constante!$BP$1</f>
        <v>788475.27964148531</v>
      </c>
      <c r="BV87" s="8">
        <f>+MINVU_Mes_Corriente!BV87*MINVU_Mes_Constante!$BP$1</f>
        <v>788475.27964148531</v>
      </c>
      <c r="BW87" s="8">
        <f>+MINVU_Mes_Corriente!BW87*MINVU_Mes_Constante!$BP$1</f>
        <v>788475.27964148531</v>
      </c>
      <c r="BX87" s="8">
        <f>+MINVU_Mes_Corriente!BX87*MINVU_Mes_Constante!$BP$1</f>
        <v>788475.27964148531</v>
      </c>
      <c r="BY87" s="8">
        <f>+MINVU_Mes_Corriente!BY87*MINVU_Mes_Constante!$BP$1</f>
        <v>788475.27964148531</v>
      </c>
      <c r="BZ87" s="8">
        <f>+MINVU_Mes_Corriente!BZ87*MINVU_Mes_Constante!$BP$1</f>
        <v>788475.27964148531</v>
      </c>
      <c r="CA87" s="8">
        <f>+MINVU_Mes_Corriente!CA87*MINVU_Mes_Constante!$BP$1</f>
        <v>788475.27964148531</v>
      </c>
      <c r="CB87" s="9">
        <f t="shared" si="62"/>
        <v>788475.27964148531</v>
      </c>
      <c r="CC87" s="8">
        <f>+MINVU_Mes_Corriente!CC87*MINVU_Mes_Constante!$CC$1</f>
        <v>17184.37150317046</v>
      </c>
      <c r="CD87" s="8">
        <f>+MINVU_Mes_Corriente!CD87*MINVU_Mes_Constante!$CC$1</f>
        <v>17184.37150317046</v>
      </c>
      <c r="CE87" s="8">
        <f>+MINVU_Mes_Corriente!CE87*MINVU_Mes_Constante!$CC$1</f>
        <v>17184.37150317046</v>
      </c>
      <c r="CF87" s="8">
        <f>+MINVU_Mes_Corriente!CF87*MINVU_Mes_Constante!$CC$1</f>
        <v>17184.37150317046</v>
      </c>
      <c r="CG87" s="8">
        <f>+MINVU_Mes_Corriente!CG87*MINVU_Mes_Constante!$CC$1</f>
        <v>17184.37150317046</v>
      </c>
      <c r="CH87" s="8">
        <f>+MINVU_Mes_Corriente!CH87*MINVU_Mes_Constante!$CC$1</f>
        <v>17184.37150317046</v>
      </c>
      <c r="CI87" s="8">
        <f>+MINVU_Mes_Corriente!CI87*MINVU_Mes_Constante!$CC$1</f>
        <v>17184.37150317046</v>
      </c>
      <c r="CJ87" s="8">
        <f>+MINVU_Mes_Corriente!CJ87*MINVU_Mes_Constante!$CC$1</f>
        <v>17184.37150317046</v>
      </c>
      <c r="CK87" s="8">
        <f>+MINVU_Mes_Corriente!CK87*MINVU_Mes_Constante!$CC$1</f>
        <v>17184.37150317046</v>
      </c>
      <c r="CL87" s="8">
        <f>+MINVU_Mes_Corriente!CL87*MINVU_Mes_Constante!$CC$1</f>
        <v>17184.37150317046</v>
      </c>
      <c r="CM87" s="8">
        <f>+MINVU_Mes_Corriente!CM87*MINVU_Mes_Constante!$CC$1</f>
        <v>17184.37150317046</v>
      </c>
      <c r="CN87" s="8">
        <f>+MINVU_Mes_Corriente!CN87*MINVU_Mes_Constante!$CC$1</f>
        <v>17184.37150317046</v>
      </c>
      <c r="CO87" s="9">
        <f t="shared" si="63"/>
        <v>17184.37150317046</v>
      </c>
      <c r="CP87" s="8">
        <f>+MINVU_Mes_Corriente!CP87*MINVU_Mes_Constante!$CP$1</f>
        <v>8942.3352668213447</v>
      </c>
      <c r="CQ87" s="8">
        <f>+MINVU_Mes_Corriente!CQ87*MINVU_Mes_Constante!$CP$1</f>
        <v>8942.3352668213447</v>
      </c>
      <c r="CR87" s="8">
        <f>+MINVU_Mes_Corriente!CR87*MINVU_Mes_Constante!$CP$1</f>
        <v>8942.3352668213447</v>
      </c>
      <c r="CS87" s="8">
        <f>+MINVU_Mes_Corriente!CS87*MINVU_Mes_Constante!$CP$1</f>
        <v>8942.3352668213447</v>
      </c>
      <c r="CT87" s="8">
        <f>+MINVU_Mes_Corriente!CT87*MINVU_Mes_Constante!$CP$1</f>
        <v>8942.3352668213447</v>
      </c>
      <c r="CU87" s="8">
        <f>+MINVU_Mes_Corriente!CU87*MINVU_Mes_Constante!$CP$1</f>
        <v>8942.3352668213447</v>
      </c>
      <c r="CV87" s="8">
        <f>+MINVU_Mes_Corriente!CV87*MINVU_Mes_Constante!$CP$1</f>
        <v>8942.3352668213447</v>
      </c>
      <c r="CW87" s="8">
        <f>+MINVU_Mes_Corriente!CW87*MINVU_Mes_Constante!$CP$1</f>
        <v>8942.3352668213447</v>
      </c>
      <c r="CX87" s="8">
        <f>+MINVU_Mes_Corriente!CX87*MINVU_Mes_Constante!$CP$1</f>
        <v>8942.3352668213447</v>
      </c>
      <c r="CY87" s="8">
        <f>+MINVU_Mes_Corriente!CY87*MINVU_Mes_Constante!$CP$1</f>
        <v>8942.3352668213447</v>
      </c>
      <c r="CZ87" s="8">
        <f>+MINVU_Mes_Corriente!CZ87*MINVU_Mes_Constante!$CP$1</f>
        <v>8942.3352668213447</v>
      </c>
      <c r="DA87" s="8">
        <f>+MINVU_Mes_Corriente!DA87*MINVU_Mes_Constante!$CP$1</f>
        <v>8942.3352668213447</v>
      </c>
      <c r="DB87" s="9">
        <f t="shared" si="64"/>
        <v>8942.3352668213447</v>
      </c>
      <c r="DC87" s="8">
        <f>+MINVU_Mes_Corriente!DC87*MINVU_Mes_Constante!$DC$1</f>
        <v>0</v>
      </c>
      <c r="DD87" s="8">
        <f>+MINVU_Mes_Corriente!DD87*MINVU_Mes_Constante!$DC$1</f>
        <v>0</v>
      </c>
      <c r="DE87" s="8">
        <f>+MINVU_Mes_Corriente!DE87*MINVU_Mes_Constante!$DC$1</f>
        <v>0</v>
      </c>
      <c r="DF87" s="8">
        <f>+MINVU_Mes_Corriente!DF87*MINVU_Mes_Constante!$DC$1</f>
        <v>0</v>
      </c>
      <c r="DG87" s="8">
        <f>+MINVU_Mes_Corriente!DG87*MINVU_Mes_Constante!$DC$1</f>
        <v>0</v>
      </c>
      <c r="DH87" s="8">
        <f>+MINVU_Mes_Corriente!DH87*MINVU_Mes_Constante!$DC$1</f>
        <v>0</v>
      </c>
      <c r="DI87" s="8">
        <f>+MINVU_Mes_Corriente!DI87*MINVU_Mes_Constante!$DC$1</f>
        <v>0</v>
      </c>
      <c r="DJ87" s="8">
        <f>+MINVU_Mes_Corriente!DJ87*MINVU_Mes_Constante!$DC$1</f>
        <v>0</v>
      </c>
      <c r="DK87" s="8">
        <f>+MINVU_Mes_Corriente!DK87*MINVU_Mes_Constante!$DC$1</f>
        <v>0</v>
      </c>
      <c r="DL87" s="8">
        <f>+MINVU_Mes_Corriente!DL87*MINVU_Mes_Constante!$DC$1</f>
        <v>0</v>
      </c>
      <c r="DM87" s="8">
        <f>+MINVU_Mes_Corriente!DM87*MINVU_Mes_Constante!$DC$1</f>
        <v>0</v>
      </c>
      <c r="DN87" s="8">
        <f>+MINVU_Mes_Corriente!DN87*MINVU_Mes_Constante!$DC$1</f>
        <v>0</v>
      </c>
      <c r="DO87" s="9">
        <f t="shared" si="65"/>
        <v>0</v>
      </c>
      <c r="DP87" s="8">
        <f>+MINVU_Mes_Corriente!DP87*MINVU_Mes_Constante!$DP$1</f>
        <v>0</v>
      </c>
      <c r="DQ87" s="8">
        <f>+MINVU_Mes_Corriente!DQ87*MINVU_Mes_Constante!$DP$1</f>
        <v>0</v>
      </c>
      <c r="DR87" s="8">
        <f>+MINVU_Mes_Corriente!DR87*MINVU_Mes_Constante!$DP$1</f>
        <v>0</v>
      </c>
      <c r="DS87" s="8">
        <f>+MINVU_Mes_Corriente!DS87*MINVU_Mes_Constante!$DP$1</f>
        <v>0</v>
      </c>
      <c r="DT87" s="8">
        <f>+MINVU_Mes_Corriente!DT87*MINVU_Mes_Constante!$DP$1</f>
        <v>0</v>
      </c>
      <c r="DU87" s="8">
        <f>+MINVU_Mes_Corriente!DU87*MINVU_Mes_Constante!$DP$1</f>
        <v>0</v>
      </c>
      <c r="DV87" s="8">
        <f>+MINVU_Mes_Corriente!DV87*MINVU_Mes_Constante!$DP$1</f>
        <v>0</v>
      </c>
      <c r="DW87" s="8">
        <f>+MINVU_Mes_Corriente!DW87*MINVU_Mes_Constante!$DP$1</f>
        <v>0</v>
      </c>
      <c r="DX87" s="8">
        <f>+MINVU_Mes_Corriente!DX87*MINVU_Mes_Constante!$DP$1</f>
        <v>0</v>
      </c>
      <c r="DY87" s="8">
        <f>+MINVU_Mes_Corriente!DY87*MINVU_Mes_Constante!$DP$1</f>
        <v>0</v>
      </c>
      <c r="DZ87" s="8">
        <f>+MINVU_Mes_Corriente!DZ87*MINVU_Mes_Constante!$DP$1</f>
        <v>0</v>
      </c>
      <c r="EA87" s="8">
        <f>+MINVU_Mes_Corriente!EA87*MINVU_Mes_Constante!$DP$1</f>
        <v>0</v>
      </c>
      <c r="EB87" s="9">
        <f t="shared" si="66"/>
        <v>0</v>
      </c>
      <c r="EC87" s="8">
        <f>+MINVU_Mes_Corriente!EC87*MINVU_Mes_Constante!$EC$1</f>
        <v>0</v>
      </c>
      <c r="ED87" s="8">
        <f>+MINVU_Mes_Corriente!ED87*MINVU_Mes_Constante!$EC$1</f>
        <v>0</v>
      </c>
      <c r="EE87" s="8">
        <f>+MINVU_Mes_Corriente!EE87*MINVU_Mes_Constante!$EC$1</f>
        <v>0</v>
      </c>
      <c r="EF87" s="8">
        <f>+MINVU_Mes_Corriente!EF87*MINVU_Mes_Constante!$EC$1</f>
        <v>0</v>
      </c>
      <c r="EG87" s="8">
        <f>+MINVU_Mes_Corriente!EG87*MINVU_Mes_Constante!$EC$1</f>
        <v>0</v>
      </c>
      <c r="EH87" s="8">
        <f>+MINVU_Mes_Corriente!EH87*MINVU_Mes_Constante!$EC$1</f>
        <v>0</v>
      </c>
      <c r="EI87" s="8">
        <f>+MINVU_Mes_Corriente!EI87*MINVU_Mes_Constante!$EC$1</f>
        <v>0</v>
      </c>
      <c r="EJ87" s="8">
        <f>+MINVU_Mes_Corriente!EJ87*MINVU_Mes_Constante!$EC$1</f>
        <v>0</v>
      </c>
      <c r="EK87" s="8">
        <f>+MINVU_Mes_Corriente!EK87*MINVU_Mes_Constante!$EC$1</f>
        <v>0</v>
      </c>
      <c r="EL87" s="8">
        <f>+MINVU_Mes_Corriente!EL87*MINVU_Mes_Constante!$EC$1</f>
        <v>0</v>
      </c>
      <c r="EM87" s="8">
        <f>+MINVU_Mes_Corriente!EM87*MINVU_Mes_Constante!$EC$1</f>
        <v>0</v>
      </c>
      <c r="EN87" s="8">
        <f>+MINVU_Mes_Corriente!EN87*MINVU_Mes_Constante!$EC$1</f>
        <v>0</v>
      </c>
      <c r="EO87" s="9">
        <f t="shared" si="67"/>
        <v>0</v>
      </c>
      <c r="EP87" s="8">
        <f>+MINVU_Mes_Corriente!EP87*MINVU_Mes_Constante!$EP$1</f>
        <v>3126</v>
      </c>
      <c r="EQ87" s="8">
        <f>+MINVU_Mes_Corriente!EQ87*MINVU_Mes_Constante!$EP$1</f>
        <v>3126</v>
      </c>
      <c r="ER87" s="8">
        <f>+MINVU_Mes_Corriente!ER87*MINVU_Mes_Constante!$EP$1</f>
        <v>3126</v>
      </c>
      <c r="ES87" s="8">
        <f>+MINVU_Mes_Corriente!ES87*MINVU_Mes_Constante!$EP$1</f>
        <v>3126</v>
      </c>
      <c r="ET87" s="8">
        <f>+MINVU_Mes_Corriente!ET87*MINVU_Mes_Constante!$EP$1</f>
        <v>3126</v>
      </c>
      <c r="EU87" s="8">
        <f>+MINVU_Mes_Corriente!EU87*MINVU_Mes_Constante!$EP$1</f>
        <v>3126</v>
      </c>
      <c r="EV87" s="8">
        <f>+MINVU_Mes_Corriente!EV87*MINVU_Mes_Constante!$EP$1</f>
        <v>3126</v>
      </c>
      <c r="EW87" s="8">
        <f>+MINVU_Mes_Corriente!EW87*MINVU_Mes_Constante!$EP$1</f>
        <v>3126</v>
      </c>
      <c r="EX87" s="8">
        <f>+MINVU_Mes_Corriente!EX87*MINVU_Mes_Constante!$EP$1</f>
        <v>3126</v>
      </c>
      <c r="EY87" s="8">
        <f>+MINVU_Mes_Corriente!EY87*MINVU_Mes_Constante!$EP$1</f>
        <v>3126</v>
      </c>
      <c r="EZ87" s="8">
        <f>+MINVU_Mes_Corriente!EZ87*MINVU_Mes_Constante!$EP$1</f>
        <v>3126</v>
      </c>
      <c r="FA87" s="8">
        <f>+MINVU_Mes_Corriente!FA87*MINVU_Mes_Constante!$EP$1</f>
        <v>3126</v>
      </c>
      <c r="FB87" s="9">
        <f t="shared" si="68"/>
        <v>3126</v>
      </c>
      <c r="FC87" s="8">
        <f>+MINVU_Mes_Corriente!FC87*MINVU_Mes_Constante!$FC$1</f>
        <v>10</v>
      </c>
      <c r="FD87" s="8">
        <f>+MINVU_Mes_Corriente!FD87*MINVU_Mes_Constante!$FC$1</f>
        <v>10</v>
      </c>
      <c r="FE87" s="8">
        <f>+MINVU_Mes_Corriente!FE87*MINVU_Mes_Constante!$FC$1</f>
        <v>10</v>
      </c>
      <c r="FF87" s="8">
        <f>+MINVU_Mes_Corriente!FF87*MINVU_Mes_Constante!$FC$1</f>
        <v>10</v>
      </c>
      <c r="FG87" s="8">
        <f>+MINVU_Mes_Corriente!FG87*MINVU_Mes_Constante!$FC$1</f>
        <v>10</v>
      </c>
      <c r="FH87" s="8">
        <f>+MINVU_Mes_Corriente!FH87*MINVU_Mes_Constante!$FC$1</f>
        <v>10</v>
      </c>
      <c r="FI87" s="8">
        <f>+MINVU_Mes_Corriente!FI87*MINVU_Mes_Constante!$FC$1</f>
        <v>10</v>
      </c>
      <c r="FJ87" s="8"/>
      <c r="FK87" s="8"/>
      <c r="FL87" s="8"/>
      <c r="FM87" s="8"/>
      <c r="FN87" s="8"/>
      <c r="FO87" s="9">
        <f t="shared" si="69"/>
        <v>10</v>
      </c>
    </row>
    <row r="88" spans="2:171" ht="14.25" customHeight="1" x14ac:dyDescent="0.3">
      <c r="B88" s="7" t="s">
        <v>54</v>
      </c>
      <c r="C88" s="8">
        <f>+MINVU_Mes_Corriente!C88*MINVU_Mes_Constante!$C$1</f>
        <v>0</v>
      </c>
      <c r="D88" s="8">
        <f>+MINVU_Mes_Corriente!D88*MINVU_Mes_Constante!$C$1</f>
        <v>0</v>
      </c>
      <c r="E88" s="8">
        <f>+MINVU_Mes_Corriente!E88*MINVU_Mes_Constante!$C$1</f>
        <v>0</v>
      </c>
      <c r="F88" s="8">
        <f>+MINVU_Mes_Corriente!F88*MINVU_Mes_Constante!$C$1</f>
        <v>0</v>
      </c>
      <c r="G88" s="8">
        <f>+MINVU_Mes_Corriente!G88*MINVU_Mes_Constante!$C$1</f>
        <v>0</v>
      </c>
      <c r="H88" s="8">
        <f>+MINVU_Mes_Corriente!H88*MINVU_Mes_Constante!$C$1</f>
        <v>0</v>
      </c>
      <c r="I88" s="8">
        <f>+MINVU_Mes_Corriente!I88*MINVU_Mes_Constante!$C$1</f>
        <v>0</v>
      </c>
      <c r="J88" s="8">
        <f>+MINVU_Mes_Corriente!J88*MINVU_Mes_Constante!$C$1</f>
        <v>0</v>
      </c>
      <c r="K88" s="8">
        <f>+MINVU_Mes_Corriente!K88*MINVU_Mes_Constante!$C$1</f>
        <v>0</v>
      </c>
      <c r="L88" s="8">
        <f>+MINVU_Mes_Corriente!L88*MINVU_Mes_Constante!$C$1</f>
        <v>0</v>
      </c>
      <c r="M88" s="8">
        <f>+MINVU_Mes_Corriente!M88*MINVU_Mes_Constante!$C$1</f>
        <v>0</v>
      </c>
      <c r="N88" s="8">
        <f>+MINVU_Mes_Corriente!N88*MINVU_Mes_Constante!$C$1</f>
        <v>0</v>
      </c>
      <c r="O88" s="9">
        <f t="shared" si="57"/>
        <v>0</v>
      </c>
      <c r="P88" s="8">
        <f>+MINVU_Mes_Corriente!P88*MINVU_Mes_Constante!$P$1</f>
        <v>0</v>
      </c>
      <c r="Q88" s="8">
        <f>+MINVU_Mes_Corriente!Q88*MINVU_Mes_Constante!$P$1</f>
        <v>0</v>
      </c>
      <c r="R88" s="8">
        <f>+MINVU_Mes_Corriente!R88*MINVU_Mes_Constante!$P$1</f>
        <v>0</v>
      </c>
      <c r="S88" s="8">
        <f>+MINVU_Mes_Corriente!S88*MINVU_Mes_Constante!$P$1</f>
        <v>0</v>
      </c>
      <c r="T88" s="8">
        <f>+MINVU_Mes_Corriente!T88*MINVU_Mes_Constante!$P$1</f>
        <v>0</v>
      </c>
      <c r="U88" s="8">
        <f>+MINVU_Mes_Corriente!U88*MINVU_Mes_Constante!$P$1</f>
        <v>0</v>
      </c>
      <c r="V88" s="8">
        <f>+MINVU_Mes_Corriente!V88*MINVU_Mes_Constante!$P$1</f>
        <v>0</v>
      </c>
      <c r="W88" s="8">
        <f>+MINVU_Mes_Corriente!W88*MINVU_Mes_Constante!$P$1</f>
        <v>0</v>
      </c>
      <c r="X88" s="8">
        <f>+MINVU_Mes_Corriente!X88*MINVU_Mes_Constante!$P$1</f>
        <v>0</v>
      </c>
      <c r="Y88" s="8">
        <f>+MINVU_Mes_Corriente!Y88*MINVU_Mes_Constante!$P$1</f>
        <v>0</v>
      </c>
      <c r="Z88" s="8">
        <f>+MINVU_Mes_Corriente!Z88*MINVU_Mes_Constante!$P$1</f>
        <v>0</v>
      </c>
      <c r="AA88" s="8">
        <f>+MINVU_Mes_Corriente!AA88*MINVU_Mes_Constante!$P$1</f>
        <v>0</v>
      </c>
      <c r="AB88" s="9">
        <f t="shared" si="58"/>
        <v>0</v>
      </c>
      <c r="AC88" s="8">
        <f>+MINVU_Mes_Corriente!AC88*MINVU_Mes_Constante!$AC$1</f>
        <v>0</v>
      </c>
      <c r="AD88" s="8">
        <f>+MINVU_Mes_Corriente!AD88*MINVU_Mes_Constante!$AC$1</f>
        <v>0</v>
      </c>
      <c r="AE88" s="8">
        <f>+MINVU_Mes_Corriente!AE88*MINVU_Mes_Constante!$AC$1</f>
        <v>0</v>
      </c>
      <c r="AF88" s="8">
        <f>+MINVU_Mes_Corriente!AF88*MINVU_Mes_Constante!$AC$1</f>
        <v>0</v>
      </c>
      <c r="AG88" s="8">
        <f>+MINVU_Mes_Corriente!AG88*MINVU_Mes_Constante!$AC$1</f>
        <v>0</v>
      </c>
      <c r="AH88" s="8">
        <f>+MINVU_Mes_Corriente!AH88*MINVU_Mes_Constante!$AC$1</f>
        <v>0</v>
      </c>
      <c r="AI88" s="8">
        <f>+MINVU_Mes_Corriente!AI88*MINVU_Mes_Constante!$AC$1</f>
        <v>0</v>
      </c>
      <c r="AJ88" s="8">
        <f>+MINVU_Mes_Corriente!AJ88*MINVU_Mes_Constante!$AC$1</f>
        <v>0</v>
      </c>
      <c r="AK88" s="8">
        <f>+MINVU_Mes_Corriente!AK88*MINVU_Mes_Constante!$AC$1</f>
        <v>0</v>
      </c>
      <c r="AL88" s="8">
        <f>+MINVU_Mes_Corriente!AL88*MINVU_Mes_Constante!$AC$1</f>
        <v>0</v>
      </c>
      <c r="AM88" s="8">
        <f>+MINVU_Mes_Corriente!AM88*MINVU_Mes_Constante!$AC$1</f>
        <v>0</v>
      </c>
      <c r="AN88" s="8">
        <f>+MINVU_Mes_Corriente!AN88*MINVU_Mes_Constante!$AC$1</f>
        <v>0</v>
      </c>
      <c r="AO88" s="9">
        <f t="shared" si="59"/>
        <v>0</v>
      </c>
      <c r="AP88" s="8">
        <f>+MINVU_Mes_Corriente!AP88*MINVU_Mes_Constante!$AP$1</f>
        <v>0</v>
      </c>
      <c r="AQ88" s="8">
        <f>+MINVU_Mes_Corriente!AQ88*MINVU_Mes_Constante!$AP$1</f>
        <v>0</v>
      </c>
      <c r="AR88" s="8">
        <f>+MINVU_Mes_Corriente!AR88*MINVU_Mes_Constante!$AP$1</f>
        <v>0</v>
      </c>
      <c r="AS88" s="8">
        <f>+MINVU_Mes_Corriente!AS88*MINVU_Mes_Constante!$AP$1</f>
        <v>0</v>
      </c>
      <c r="AT88" s="8">
        <f>+MINVU_Mes_Corriente!AT88*MINVU_Mes_Constante!$AP$1</f>
        <v>0</v>
      </c>
      <c r="AU88" s="8">
        <f>+MINVU_Mes_Corriente!AU88*MINVU_Mes_Constante!$AP$1</f>
        <v>0</v>
      </c>
      <c r="AV88" s="8">
        <f>+MINVU_Mes_Corriente!AV88*MINVU_Mes_Constante!$AP$1</f>
        <v>0</v>
      </c>
      <c r="AW88" s="8">
        <f>+MINVU_Mes_Corriente!AW88*MINVU_Mes_Constante!$AP$1</f>
        <v>0</v>
      </c>
      <c r="AX88" s="8">
        <f>+MINVU_Mes_Corriente!AX88*MINVU_Mes_Constante!$AP$1</f>
        <v>0</v>
      </c>
      <c r="AY88" s="8">
        <f>+MINVU_Mes_Corriente!AY88*MINVU_Mes_Constante!$AP$1</f>
        <v>0</v>
      </c>
      <c r="AZ88" s="8">
        <f>+MINVU_Mes_Corriente!AZ88*MINVU_Mes_Constante!$AP$1</f>
        <v>0</v>
      </c>
      <c r="BA88" s="8">
        <f>+MINVU_Mes_Corriente!BA88*MINVU_Mes_Constante!$AP$1</f>
        <v>0</v>
      </c>
      <c r="BB88" s="9">
        <f t="shared" si="60"/>
        <v>0</v>
      </c>
      <c r="BC88" s="8">
        <f>+MINVU_Mes_Corriente!BC88*MINVU_Mes_Constante!$BC$1</f>
        <v>0</v>
      </c>
      <c r="BD88" s="8">
        <f>+MINVU_Mes_Corriente!BD88*MINVU_Mes_Constante!$BC$1</f>
        <v>0</v>
      </c>
      <c r="BE88" s="8">
        <f>+MINVU_Mes_Corriente!BE88*MINVU_Mes_Constante!$BC$1</f>
        <v>0</v>
      </c>
      <c r="BF88" s="8">
        <f>+MINVU_Mes_Corriente!BF88*MINVU_Mes_Constante!$BC$1</f>
        <v>0</v>
      </c>
      <c r="BG88" s="8">
        <f>+MINVU_Mes_Corriente!BG88*MINVU_Mes_Constante!$BC$1</f>
        <v>0</v>
      </c>
      <c r="BH88" s="8">
        <f>+MINVU_Mes_Corriente!BH88*MINVU_Mes_Constante!$BC$1</f>
        <v>0</v>
      </c>
      <c r="BI88" s="8">
        <f>+MINVU_Mes_Corriente!BI88*MINVU_Mes_Constante!$BC$1</f>
        <v>0</v>
      </c>
      <c r="BJ88" s="8">
        <f>+MINVU_Mes_Corriente!BJ88*MINVU_Mes_Constante!$BC$1</f>
        <v>0</v>
      </c>
      <c r="BK88" s="8">
        <f>+MINVU_Mes_Corriente!BK88*MINVU_Mes_Constante!$BC$1</f>
        <v>0</v>
      </c>
      <c r="BL88" s="8">
        <f>+MINVU_Mes_Corriente!BL88*MINVU_Mes_Constante!$BC$1</f>
        <v>0</v>
      </c>
      <c r="BM88" s="8">
        <f>+MINVU_Mes_Corriente!BM88*MINVU_Mes_Constante!$BC$1</f>
        <v>0</v>
      </c>
      <c r="BN88" s="8">
        <f>+MINVU_Mes_Corriente!BN88*MINVU_Mes_Constante!$BC$1</f>
        <v>0</v>
      </c>
      <c r="BO88" s="9">
        <f t="shared" si="61"/>
        <v>0</v>
      </c>
      <c r="BP88" s="8">
        <f>+MINVU_Mes_Corriente!BP88*MINVU_Mes_Constante!$BP$1</f>
        <v>95755.687836107565</v>
      </c>
      <c r="BQ88" s="8">
        <f>+MINVU_Mes_Corriente!BQ88*MINVU_Mes_Constante!$BP$1</f>
        <v>95755.687836107565</v>
      </c>
      <c r="BR88" s="8">
        <f>+MINVU_Mes_Corriente!BR88*MINVU_Mes_Constante!$BP$1</f>
        <v>95755.687836107565</v>
      </c>
      <c r="BS88" s="8">
        <f>+MINVU_Mes_Corriente!BS88*MINVU_Mes_Constante!$BP$1</f>
        <v>95755.687836107565</v>
      </c>
      <c r="BT88" s="8">
        <f>+MINVU_Mes_Corriente!BT88*MINVU_Mes_Constante!$BP$1</f>
        <v>95755.687836107565</v>
      </c>
      <c r="BU88" s="8">
        <f>+MINVU_Mes_Corriente!BU88*MINVU_Mes_Constante!$BP$1</f>
        <v>95755.687836107565</v>
      </c>
      <c r="BV88" s="8">
        <f>+MINVU_Mes_Corriente!BV88*MINVU_Mes_Constante!$BP$1</f>
        <v>95755.687836107565</v>
      </c>
      <c r="BW88" s="8">
        <f>+MINVU_Mes_Corriente!BW88*MINVU_Mes_Constante!$BP$1</f>
        <v>95755.687836107565</v>
      </c>
      <c r="BX88" s="8">
        <f>+MINVU_Mes_Corriente!BX88*MINVU_Mes_Constante!$BP$1</f>
        <v>95755.687836107565</v>
      </c>
      <c r="BY88" s="8">
        <f>+MINVU_Mes_Corriente!BY88*MINVU_Mes_Constante!$BP$1</f>
        <v>95755.687836107565</v>
      </c>
      <c r="BZ88" s="8">
        <f>+MINVU_Mes_Corriente!BZ88*MINVU_Mes_Constante!$BP$1</f>
        <v>95755.687836107565</v>
      </c>
      <c r="CA88" s="8">
        <f>+MINVU_Mes_Corriente!CA88*MINVU_Mes_Constante!$BP$1</f>
        <v>95755.687836107565</v>
      </c>
      <c r="CB88" s="9">
        <f t="shared" si="62"/>
        <v>95755.687836107565</v>
      </c>
      <c r="CC88" s="8">
        <f>+MINVU_Mes_Corriente!CC88*MINVU_Mes_Constante!$CC$1</f>
        <v>29851.902275270426</v>
      </c>
      <c r="CD88" s="8">
        <f>+MINVU_Mes_Corriente!CD88*MINVU_Mes_Constante!$CC$1</f>
        <v>29851.902275270426</v>
      </c>
      <c r="CE88" s="8">
        <f>+MINVU_Mes_Corriente!CE88*MINVU_Mes_Constante!$CC$1</f>
        <v>29851.902275270426</v>
      </c>
      <c r="CF88" s="8">
        <f>+MINVU_Mes_Corriente!CF88*MINVU_Mes_Constante!$CC$1</f>
        <v>29851.902275270426</v>
      </c>
      <c r="CG88" s="8">
        <f>+MINVU_Mes_Corriente!CG88*MINVU_Mes_Constante!$CC$1</f>
        <v>29851.902275270426</v>
      </c>
      <c r="CH88" s="8">
        <f>+MINVU_Mes_Corriente!CH88*MINVU_Mes_Constante!$CC$1</f>
        <v>29851.902275270426</v>
      </c>
      <c r="CI88" s="8">
        <f>+MINVU_Mes_Corriente!CI88*MINVU_Mes_Constante!$CC$1</f>
        <v>29851.902275270426</v>
      </c>
      <c r="CJ88" s="8">
        <f>+MINVU_Mes_Corriente!CJ88*MINVU_Mes_Constante!$CC$1</f>
        <v>29851.902275270426</v>
      </c>
      <c r="CK88" s="8">
        <f>+MINVU_Mes_Corriente!CK88*MINVU_Mes_Constante!$CC$1</f>
        <v>29851.902275270426</v>
      </c>
      <c r="CL88" s="8">
        <f>+MINVU_Mes_Corriente!CL88*MINVU_Mes_Constante!$CC$1</f>
        <v>29851.902275270426</v>
      </c>
      <c r="CM88" s="8">
        <f>+MINVU_Mes_Corriente!CM88*MINVU_Mes_Constante!$CC$1</f>
        <v>29851.902275270426</v>
      </c>
      <c r="CN88" s="8">
        <f>+MINVU_Mes_Corriente!CN88*MINVU_Mes_Constante!$CC$1</f>
        <v>29851.902275270426</v>
      </c>
      <c r="CO88" s="9">
        <f t="shared" si="63"/>
        <v>29851.902275270426</v>
      </c>
      <c r="CP88" s="8">
        <f>+MINVU_Mes_Corriente!CP88*MINVU_Mes_Constante!$CP$1</f>
        <v>19733.978422273776</v>
      </c>
      <c r="CQ88" s="8">
        <f>+MINVU_Mes_Corriente!CQ88*MINVU_Mes_Constante!$CP$1</f>
        <v>19733.978422273776</v>
      </c>
      <c r="CR88" s="8">
        <f>+MINVU_Mes_Corriente!CR88*MINVU_Mes_Constante!$CP$1</f>
        <v>19733.978422273776</v>
      </c>
      <c r="CS88" s="8">
        <f>+MINVU_Mes_Corriente!CS88*MINVU_Mes_Constante!$CP$1</f>
        <v>19733.978422273776</v>
      </c>
      <c r="CT88" s="8">
        <f>+MINVU_Mes_Corriente!CT88*MINVU_Mes_Constante!$CP$1</f>
        <v>19733.978422273776</v>
      </c>
      <c r="CU88" s="8">
        <f>+MINVU_Mes_Corriente!CU88*MINVU_Mes_Constante!$CP$1</f>
        <v>19733.978422273776</v>
      </c>
      <c r="CV88" s="8">
        <f>+MINVU_Mes_Corriente!CV88*MINVU_Mes_Constante!$CP$1</f>
        <v>19733.978422273776</v>
      </c>
      <c r="CW88" s="8">
        <f>+MINVU_Mes_Corriente!CW88*MINVU_Mes_Constante!$CP$1</f>
        <v>19733.978422273776</v>
      </c>
      <c r="CX88" s="8">
        <f>+MINVU_Mes_Corriente!CX88*MINVU_Mes_Constante!$CP$1</f>
        <v>19733.978422273776</v>
      </c>
      <c r="CY88" s="8">
        <f>+MINVU_Mes_Corriente!CY88*MINVU_Mes_Constante!$CP$1</f>
        <v>19733.978422273776</v>
      </c>
      <c r="CZ88" s="8">
        <f>+MINVU_Mes_Corriente!CZ88*MINVU_Mes_Constante!$CP$1</f>
        <v>19733.978422273776</v>
      </c>
      <c r="DA88" s="8">
        <f>+MINVU_Mes_Corriente!DA88*MINVU_Mes_Constante!$CP$1</f>
        <v>19733.978422273776</v>
      </c>
      <c r="DB88" s="9">
        <f t="shared" si="64"/>
        <v>19733.978422273776</v>
      </c>
      <c r="DC88" s="8">
        <f>+MINVU_Mes_Corriente!DC88*MINVU_Mes_Constante!$DC$1</f>
        <v>0</v>
      </c>
      <c r="DD88" s="8">
        <f>+MINVU_Mes_Corriente!DD88*MINVU_Mes_Constante!$DC$1</f>
        <v>0</v>
      </c>
      <c r="DE88" s="8">
        <f>+MINVU_Mes_Corriente!DE88*MINVU_Mes_Constante!$DC$1</f>
        <v>0</v>
      </c>
      <c r="DF88" s="8">
        <f>+MINVU_Mes_Corriente!DF88*MINVU_Mes_Constante!$DC$1</f>
        <v>0</v>
      </c>
      <c r="DG88" s="8">
        <f>+MINVU_Mes_Corriente!DG88*MINVU_Mes_Constante!$DC$1</f>
        <v>0</v>
      </c>
      <c r="DH88" s="8">
        <f>+MINVU_Mes_Corriente!DH88*MINVU_Mes_Constante!$DC$1</f>
        <v>0</v>
      </c>
      <c r="DI88" s="8">
        <f>+MINVU_Mes_Corriente!DI88*MINVU_Mes_Constante!$DC$1</f>
        <v>0</v>
      </c>
      <c r="DJ88" s="8">
        <f>+MINVU_Mes_Corriente!DJ88*MINVU_Mes_Constante!$DC$1</f>
        <v>0</v>
      </c>
      <c r="DK88" s="8">
        <f>+MINVU_Mes_Corriente!DK88*MINVU_Mes_Constante!$DC$1</f>
        <v>0</v>
      </c>
      <c r="DL88" s="8">
        <f>+MINVU_Mes_Corriente!DL88*MINVU_Mes_Constante!$DC$1</f>
        <v>0</v>
      </c>
      <c r="DM88" s="8">
        <f>+MINVU_Mes_Corriente!DM88*MINVU_Mes_Constante!$DC$1</f>
        <v>0</v>
      </c>
      <c r="DN88" s="8">
        <f>+MINVU_Mes_Corriente!DN88*MINVU_Mes_Constante!$DC$1</f>
        <v>0</v>
      </c>
      <c r="DO88" s="9">
        <f t="shared" si="65"/>
        <v>0</v>
      </c>
      <c r="DP88" s="8">
        <f>+MINVU_Mes_Corriente!DP88*MINVU_Mes_Constante!$DP$1</f>
        <v>4310547.0605700715</v>
      </c>
      <c r="DQ88" s="8">
        <f>+MINVU_Mes_Corriente!DQ88*MINVU_Mes_Constante!$DP$1</f>
        <v>4310547.0605700715</v>
      </c>
      <c r="DR88" s="8">
        <f>+MINVU_Mes_Corriente!DR88*MINVU_Mes_Constante!$DP$1</f>
        <v>4310547.0605700715</v>
      </c>
      <c r="DS88" s="8">
        <f>+MINVU_Mes_Corriente!DS88*MINVU_Mes_Constante!$DP$1</f>
        <v>4310547.0605700715</v>
      </c>
      <c r="DT88" s="8">
        <f>+MINVU_Mes_Corriente!DT88*MINVU_Mes_Constante!$DP$1</f>
        <v>4310547.0605700715</v>
      </c>
      <c r="DU88" s="8">
        <f>+MINVU_Mes_Corriente!DU88*MINVU_Mes_Constante!$DP$1</f>
        <v>4310547.0605700715</v>
      </c>
      <c r="DV88" s="8">
        <f>+MINVU_Mes_Corriente!DV88*MINVU_Mes_Constante!$DP$1</f>
        <v>4310547.0605700715</v>
      </c>
      <c r="DW88" s="8">
        <f>+MINVU_Mes_Corriente!DW88*MINVU_Mes_Constante!$DP$1</f>
        <v>4310547.0605700715</v>
      </c>
      <c r="DX88" s="8">
        <f>+MINVU_Mes_Corriente!DX88*MINVU_Mes_Constante!$DP$1</f>
        <v>4310547.0605700715</v>
      </c>
      <c r="DY88" s="8">
        <f>+MINVU_Mes_Corriente!DY88*MINVU_Mes_Constante!$DP$1</f>
        <v>4310547.0605700715</v>
      </c>
      <c r="DZ88" s="8">
        <f>+MINVU_Mes_Corriente!DZ88*MINVU_Mes_Constante!$DP$1</f>
        <v>4310547.0605700715</v>
      </c>
      <c r="EA88" s="8">
        <f>+MINVU_Mes_Corriente!EA88*MINVU_Mes_Constante!$DP$1</f>
        <v>4310547.0605700715</v>
      </c>
      <c r="EB88" s="9">
        <f t="shared" si="66"/>
        <v>4310547.0605700715</v>
      </c>
      <c r="EC88" s="8">
        <f>+MINVU_Mes_Corriente!EC88*MINVU_Mes_Constante!$EC$1</f>
        <v>0</v>
      </c>
      <c r="ED88" s="8">
        <f>+MINVU_Mes_Corriente!ED88*MINVU_Mes_Constante!$EC$1</f>
        <v>0</v>
      </c>
      <c r="EE88" s="8">
        <f>+MINVU_Mes_Corriente!EE88*MINVU_Mes_Constante!$EC$1</f>
        <v>0</v>
      </c>
      <c r="EF88" s="8">
        <f>+MINVU_Mes_Corriente!EF88*MINVU_Mes_Constante!$EC$1</f>
        <v>0</v>
      </c>
      <c r="EG88" s="8">
        <f>+MINVU_Mes_Corriente!EG88*MINVU_Mes_Constante!$EC$1</f>
        <v>0</v>
      </c>
      <c r="EH88" s="8">
        <f>+MINVU_Mes_Corriente!EH88*MINVU_Mes_Constante!$EC$1</f>
        <v>0</v>
      </c>
      <c r="EI88" s="8">
        <f>+MINVU_Mes_Corriente!EI88*MINVU_Mes_Constante!$EC$1</f>
        <v>0</v>
      </c>
      <c r="EJ88" s="8">
        <f>+MINVU_Mes_Corriente!EJ88*MINVU_Mes_Constante!$EC$1</f>
        <v>0</v>
      </c>
      <c r="EK88" s="8">
        <f>+MINVU_Mes_Corriente!EK88*MINVU_Mes_Constante!$EC$1</f>
        <v>0</v>
      </c>
      <c r="EL88" s="8">
        <f>+MINVU_Mes_Corriente!EL88*MINVU_Mes_Constante!$EC$1</f>
        <v>0</v>
      </c>
      <c r="EM88" s="8">
        <f>+MINVU_Mes_Corriente!EM88*MINVU_Mes_Constante!$EC$1</f>
        <v>0</v>
      </c>
      <c r="EN88" s="8">
        <f>+MINVU_Mes_Corriente!EN88*MINVU_Mes_Constante!$EC$1</f>
        <v>0</v>
      </c>
      <c r="EO88" s="9">
        <f t="shared" si="67"/>
        <v>0</v>
      </c>
      <c r="EP88" s="8">
        <f>+MINVU_Mes_Corriente!EP88*MINVU_Mes_Constante!$EP$1</f>
        <v>9378</v>
      </c>
      <c r="EQ88" s="8">
        <f>+MINVU_Mes_Corriente!EQ88*MINVU_Mes_Constante!$EP$1</f>
        <v>9378</v>
      </c>
      <c r="ER88" s="8">
        <f>+MINVU_Mes_Corriente!ER88*MINVU_Mes_Constante!$EP$1</f>
        <v>9378</v>
      </c>
      <c r="ES88" s="8">
        <f>+MINVU_Mes_Corriente!ES88*MINVU_Mes_Constante!$EP$1</f>
        <v>9378</v>
      </c>
      <c r="ET88" s="8">
        <f>+MINVU_Mes_Corriente!ET88*MINVU_Mes_Constante!$EP$1</f>
        <v>9378</v>
      </c>
      <c r="EU88" s="8">
        <f>+MINVU_Mes_Corriente!EU88*MINVU_Mes_Constante!$EP$1</f>
        <v>9378</v>
      </c>
      <c r="EV88" s="8">
        <f>+MINVU_Mes_Corriente!EV88*MINVU_Mes_Constante!$EP$1</f>
        <v>9378</v>
      </c>
      <c r="EW88" s="8">
        <f>+MINVU_Mes_Corriente!EW88*MINVU_Mes_Constante!$EP$1</f>
        <v>9378</v>
      </c>
      <c r="EX88" s="8">
        <f>+MINVU_Mes_Corriente!EX88*MINVU_Mes_Constante!$EP$1</f>
        <v>9378</v>
      </c>
      <c r="EY88" s="8">
        <f>+MINVU_Mes_Corriente!EY88*MINVU_Mes_Constante!$EP$1</f>
        <v>9378</v>
      </c>
      <c r="EZ88" s="8">
        <f>+MINVU_Mes_Corriente!EZ88*MINVU_Mes_Constante!$EP$1</f>
        <v>9378</v>
      </c>
      <c r="FA88" s="8">
        <f>+MINVU_Mes_Corriente!FA88*MINVU_Mes_Constante!$EP$1</f>
        <v>9378</v>
      </c>
      <c r="FB88" s="9">
        <f t="shared" si="68"/>
        <v>9378</v>
      </c>
      <c r="FC88" s="8">
        <f>+MINVU_Mes_Corriente!FC88*MINVU_Mes_Constante!$FC$1</f>
        <v>10</v>
      </c>
      <c r="FD88" s="8">
        <f>+MINVU_Mes_Corriente!FD88*MINVU_Mes_Constante!$FC$1</f>
        <v>10</v>
      </c>
      <c r="FE88" s="8">
        <f>+MINVU_Mes_Corriente!FE88*MINVU_Mes_Constante!$FC$1</f>
        <v>10</v>
      </c>
      <c r="FF88" s="8">
        <f>+MINVU_Mes_Corriente!FF88*MINVU_Mes_Constante!$FC$1</f>
        <v>10</v>
      </c>
      <c r="FG88" s="8">
        <f>+MINVU_Mes_Corriente!FG88*MINVU_Mes_Constante!$FC$1</f>
        <v>10</v>
      </c>
      <c r="FH88" s="8">
        <f>+MINVU_Mes_Corriente!FH88*MINVU_Mes_Constante!$FC$1</f>
        <v>10</v>
      </c>
      <c r="FI88" s="8">
        <f>+MINVU_Mes_Corriente!FI88*MINVU_Mes_Constante!$FC$1</f>
        <v>10</v>
      </c>
      <c r="FJ88" s="8"/>
      <c r="FK88" s="8"/>
      <c r="FL88" s="8"/>
      <c r="FM88" s="8"/>
      <c r="FN88" s="8"/>
      <c r="FO88" s="9">
        <f t="shared" si="69"/>
        <v>10</v>
      </c>
    </row>
    <row r="89" spans="2:171" ht="14.25" customHeight="1" x14ac:dyDescent="0.3">
      <c r="B89" s="7" t="s">
        <v>55</v>
      </c>
      <c r="C89" s="8">
        <f>+MINVU_Mes_Corriente!C89*MINVU_Mes_Constante!$C$1</f>
        <v>43694.277917840729</v>
      </c>
      <c r="D89" s="8">
        <f>+MINVU_Mes_Corriente!D89*MINVU_Mes_Constante!$C$1</f>
        <v>43694.277917840729</v>
      </c>
      <c r="E89" s="8">
        <f>+MINVU_Mes_Corriente!E89*MINVU_Mes_Constante!$C$1</f>
        <v>43694.277917840729</v>
      </c>
      <c r="F89" s="8">
        <f>+MINVU_Mes_Corriente!F89*MINVU_Mes_Constante!$C$1</f>
        <v>43694.277917840729</v>
      </c>
      <c r="G89" s="8">
        <f>+MINVU_Mes_Corriente!G89*MINVU_Mes_Constante!$C$1</f>
        <v>43694.277917840729</v>
      </c>
      <c r="H89" s="8">
        <f>+MINVU_Mes_Corriente!H89*MINVU_Mes_Constante!$C$1</f>
        <v>43694.277917840729</v>
      </c>
      <c r="I89" s="8">
        <f>+MINVU_Mes_Corriente!I89*MINVU_Mes_Constante!$C$1</f>
        <v>43694.277917840729</v>
      </c>
      <c r="J89" s="8">
        <f>+MINVU_Mes_Corriente!J89*MINVU_Mes_Constante!$C$1</f>
        <v>43694.277917840729</v>
      </c>
      <c r="K89" s="8">
        <f>+MINVU_Mes_Corriente!K89*MINVU_Mes_Constante!$C$1</f>
        <v>43694.277917840729</v>
      </c>
      <c r="L89" s="8">
        <f>+MINVU_Mes_Corriente!L89*MINVU_Mes_Constante!$C$1</f>
        <v>43694.277917840729</v>
      </c>
      <c r="M89" s="8">
        <f>+MINVU_Mes_Corriente!M89*MINVU_Mes_Constante!$C$1</f>
        <v>43694.277917840729</v>
      </c>
      <c r="N89" s="8">
        <f>+MINVU_Mes_Corriente!N89*MINVU_Mes_Constante!$C$1</f>
        <v>43694.277917840729</v>
      </c>
      <c r="O89" s="9">
        <f t="shared" si="57"/>
        <v>43694.277917840729</v>
      </c>
      <c r="P89" s="8">
        <f>+MINVU_Mes_Corriente!P89*MINVU_Mes_Constante!$P$1</f>
        <v>48546.892456314796</v>
      </c>
      <c r="Q89" s="8">
        <f>+MINVU_Mes_Corriente!Q89*MINVU_Mes_Constante!$P$1</f>
        <v>48546.892456314796</v>
      </c>
      <c r="R89" s="8">
        <f>+MINVU_Mes_Corriente!R89*MINVU_Mes_Constante!$P$1</f>
        <v>48546.892456314796</v>
      </c>
      <c r="S89" s="8">
        <f>+MINVU_Mes_Corriente!S89*MINVU_Mes_Constante!$P$1</f>
        <v>48546.892456314796</v>
      </c>
      <c r="T89" s="8">
        <f>+MINVU_Mes_Corriente!T89*MINVU_Mes_Constante!$P$1</f>
        <v>48546.892456314796</v>
      </c>
      <c r="U89" s="8">
        <f>+MINVU_Mes_Corriente!U89*MINVU_Mes_Constante!$P$1</f>
        <v>48546.892456314796</v>
      </c>
      <c r="V89" s="8">
        <f>+MINVU_Mes_Corriente!V89*MINVU_Mes_Constante!$P$1</f>
        <v>48546.892456314796</v>
      </c>
      <c r="W89" s="8">
        <f>+MINVU_Mes_Corriente!W89*MINVU_Mes_Constante!$P$1</f>
        <v>48546.892456314796</v>
      </c>
      <c r="X89" s="8">
        <f>+MINVU_Mes_Corriente!X89*MINVU_Mes_Constante!$P$1</f>
        <v>48546.892456314796</v>
      </c>
      <c r="Y89" s="8">
        <f>+MINVU_Mes_Corriente!Y89*MINVU_Mes_Constante!$P$1</f>
        <v>48546.892456314796</v>
      </c>
      <c r="Z89" s="8">
        <f>+MINVU_Mes_Corriente!Z89*MINVU_Mes_Constante!$P$1</f>
        <v>48546.892456314796</v>
      </c>
      <c r="AA89" s="8">
        <f>+MINVU_Mes_Corriente!AA89*MINVU_Mes_Constante!$P$1</f>
        <v>48546.892456314796</v>
      </c>
      <c r="AB89" s="9">
        <f t="shared" si="58"/>
        <v>48546.892456314796</v>
      </c>
      <c r="AC89" s="8">
        <f>+MINVU_Mes_Corriente!AC89*MINVU_Mes_Constante!$AC$1</f>
        <v>51988.051182736199</v>
      </c>
      <c r="AD89" s="8">
        <f>+MINVU_Mes_Corriente!AD89*MINVU_Mes_Constante!$AC$1</f>
        <v>51988.051182736199</v>
      </c>
      <c r="AE89" s="8">
        <f>+MINVU_Mes_Corriente!AE89*MINVU_Mes_Constante!$AC$1</f>
        <v>51988.051182736199</v>
      </c>
      <c r="AF89" s="8">
        <f>+MINVU_Mes_Corriente!AF89*MINVU_Mes_Constante!$AC$1</f>
        <v>51988.051182736199</v>
      </c>
      <c r="AG89" s="8">
        <f>+MINVU_Mes_Corriente!AG89*MINVU_Mes_Constante!$AC$1</f>
        <v>51988.051182736199</v>
      </c>
      <c r="AH89" s="8">
        <f>+MINVU_Mes_Corriente!AH89*MINVU_Mes_Constante!$AC$1</f>
        <v>51988.051182736199</v>
      </c>
      <c r="AI89" s="8">
        <f>+MINVU_Mes_Corriente!AI89*MINVU_Mes_Constante!$AC$1</f>
        <v>51988.051182736199</v>
      </c>
      <c r="AJ89" s="8">
        <f>+MINVU_Mes_Corriente!AJ89*MINVU_Mes_Constante!$AC$1</f>
        <v>51988.051182736199</v>
      </c>
      <c r="AK89" s="8">
        <f>+MINVU_Mes_Corriente!AK89*MINVU_Mes_Constante!$AC$1</f>
        <v>51988.051182736199</v>
      </c>
      <c r="AL89" s="8">
        <f>+MINVU_Mes_Corriente!AL89*MINVU_Mes_Constante!$AC$1</f>
        <v>51988.051182736199</v>
      </c>
      <c r="AM89" s="8">
        <f>+MINVU_Mes_Corriente!AM89*MINVU_Mes_Constante!$AC$1</f>
        <v>51988.051182736199</v>
      </c>
      <c r="AN89" s="8">
        <f>+MINVU_Mes_Corriente!AN89*MINVU_Mes_Constante!$AC$1</f>
        <v>51988.051182736199</v>
      </c>
      <c r="AO89" s="9">
        <f t="shared" si="59"/>
        <v>51988.051182736199</v>
      </c>
      <c r="AP89" s="8">
        <f>+MINVU_Mes_Corriente!AP89*MINVU_Mes_Constante!$AP$1</f>
        <v>46884.407412417146</v>
      </c>
      <c r="AQ89" s="8">
        <f>+MINVU_Mes_Corriente!AQ89*MINVU_Mes_Constante!$AP$1</f>
        <v>46884.407412417146</v>
      </c>
      <c r="AR89" s="8">
        <f>+MINVU_Mes_Corriente!AR89*MINVU_Mes_Constante!$AP$1</f>
        <v>46884.407412417146</v>
      </c>
      <c r="AS89" s="8">
        <f>+MINVU_Mes_Corriente!AS89*MINVU_Mes_Constante!$AP$1</f>
        <v>46884.407412417146</v>
      </c>
      <c r="AT89" s="8">
        <f>+MINVU_Mes_Corriente!AT89*MINVU_Mes_Constante!$AP$1</f>
        <v>46884.407412417146</v>
      </c>
      <c r="AU89" s="8">
        <f>+MINVU_Mes_Corriente!AU89*MINVU_Mes_Constante!$AP$1</f>
        <v>46884.407412417146</v>
      </c>
      <c r="AV89" s="8">
        <f>+MINVU_Mes_Corriente!AV89*MINVU_Mes_Constante!$AP$1</f>
        <v>46884.407412417146</v>
      </c>
      <c r="AW89" s="8">
        <f>+MINVU_Mes_Corriente!AW89*MINVU_Mes_Constante!$AP$1</f>
        <v>46884.407412417146</v>
      </c>
      <c r="AX89" s="8">
        <f>+MINVU_Mes_Corriente!AX89*MINVU_Mes_Constante!$AP$1</f>
        <v>46884.407412417146</v>
      </c>
      <c r="AY89" s="8">
        <f>+MINVU_Mes_Corriente!AY89*MINVU_Mes_Constante!$AP$1</f>
        <v>46884.407412417146</v>
      </c>
      <c r="AZ89" s="8">
        <f>+MINVU_Mes_Corriente!AZ89*MINVU_Mes_Constante!$AP$1</f>
        <v>46884.407412417146</v>
      </c>
      <c r="BA89" s="8">
        <f>+MINVU_Mes_Corriente!BA89*MINVU_Mes_Constante!$AP$1</f>
        <v>46884.407412417146</v>
      </c>
      <c r="BB89" s="9">
        <f t="shared" si="60"/>
        <v>46884.407412417146</v>
      </c>
      <c r="BC89" s="8">
        <f>+MINVU_Mes_Corriente!BC89*MINVU_Mes_Constante!$BC$1</f>
        <v>29566.335223526316</v>
      </c>
      <c r="BD89" s="8">
        <f>+MINVU_Mes_Corriente!BD89*MINVU_Mes_Constante!$BC$1</f>
        <v>29566.335223526316</v>
      </c>
      <c r="BE89" s="8">
        <f>+MINVU_Mes_Corriente!BE89*MINVU_Mes_Constante!$BC$1</f>
        <v>29566.335223526316</v>
      </c>
      <c r="BF89" s="8">
        <f>+MINVU_Mes_Corriente!BF89*MINVU_Mes_Constante!$BC$1</f>
        <v>29566.335223526316</v>
      </c>
      <c r="BG89" s="8">
        <f>+MINVU_Mes_Corriente!BG89*MINVU_Mes_Constante!$BC$1</f>
        <v>29566.335223526316</v>
      </c>
      <c r="BH89" s="8">
        <f>+MINVU_Mes_Corriente!BH89*MINVU_Mes_Constante!$BC$1</f>
        <v>29566.335223526316</v>
      </c>
      <c r="BI89" s="8">
        <f>+MINVU_Mes_Corriente!BI89*MINVU_Mes_Constante!$BC$1</f>
        <v>29566.335223526316</v>
      </c>
      <c r="BJ89" s="8">
        <f>+MINVU_Mes_Corriente!BJ89*MINVU_Mes_Constante!$BC$1</f>
        <v>29566.335223526316</v>
      </c>
      <c r="BK89" s="8">
        <f>+MINVU_Mes_Corriente!BK89*MINVU_Mes_Constante!$BC$1</f>
        <v>29566.335223526316</v>
      </c>
      <c r="BL89" s="8">
        <f>+MINVU_Mes_Corriente!BL89*MINVU_Mes_Constante!$BC$1</f>
        <v>29566.335223526316</v>
      </c>
      <c r="BM89" s="8">
        <f>+MINVU_Mes_Corriente!BM89*MINVU_Mes_Constante!$BC$1</f>
        <v>29566.335223526316</v>
      </c>
      <c r="BN89" s="8">
        <f>+MINVU_Mes_Corriente!BN89*MINVU_Mes_Constante!$BC$1</f>
        <v>29566.335223526316</v>
      </c>
      <c r="BO89" s="9">
        <f t="shared" si="61"/>
        <v>29566.335223526316</v>
      </c>
      <c r="BP89" s="8">
        <f>+MINVU_Mes_Corriente!BP89*MINVU_Mes_Constante!$BP$1</f>
        <v>12969.903457106275</v>
      </c>
      <c r="BQ89" s="8">
        <f>+MINVU_Mes_Corriente!BQ89*MINVU_Mes_Constante!$BP$1</f>
        <v>12969.903457106275</v>
      </c>
      <c r="BR89" s="8">
        <f>+MINVU_Mes_Corriente!BR89*MINVU_Mes_Constante!$BP$1</f>
        <v>12969.903457106275</v>
      </c>
      <c r="BS89" s="8">
        <f>+MINVU_Mes_Corriente!BS89*MINVU_Mes_Constante!$BP$1</f>
        <v>12969.903457106275</v>
      </c>
      <c r="BT89" s="8">
        <f>+MINVU_Mes_Corriente!BT89*MINVU_Mes_Constante!$BP$1</f>
        <v>12969.903457106275</v>
      </c>
      <c r="BU89" s="8">
        <f>+MINVU_Mes_Corriente!BU89*MINVU_Mes_Constante!$BP$1</f>
        <v>12969.903457106275</v>
      </c>
      <c r="BV89" s="8">
        <f>+MINVU_Mes_Corriente!BV89*MINVU_Mes_Constante!$BP$1</f>
        <v>12969.903457106275</v>
      </c>
      <c r="BW89" s="8">
        <f>+MINVU_Mes_Corriente!BW89*MINVU_Mes_Constante!$BP$1</f>
        <v>12969.903457106275</v>
      </c>
      <c r="BX89" s="8">
        <f>+MINVU_Mes_Corriente!BX89*MINVU_Mes_Constante!$BP$1</f>
        <v>12969.903457106275</v>
      </c>
      <c r="BY89" s="8">
        <f>+MINVU_Mes_Corriente!BY89*MINVU_Mes_Constante!$BP$1</f>
        <v>12969.903457106275</v>
      </c>
      <c r="BZ89" s="8">
        <f>+MINVU_Mes_Corriente!BZ89*MINVU_Mes_Constante!$BP$1</f>
        <v>12969.903457106275</v>
      </c>
      <c r="CA89" s="8">
        <f>+MINVU_Mes_Corriente!CA89*MINVU_Mes_Constante!$BP$1</f>
        <v>12969.903457106275</v>
      </c>
      <c r="CB89" s="9">
        <f t="shared" si="62"/>
        <v>12969.903457106275</v>
      </c>
      <c r="CC89" s="8">
        <f>+MINVU_Mes_Corriente!CC89*MINVU_Mes_Constante!$CC$1</f>
        <v>12921.56061171205</v>
      </c>
      <c r="CD89" s="8">
        <f>+MINVU_Mes_Corriente!CD89*MINVU_Mes_Constante!$CC$1</f>
        <v>12921.56061171205</v>
      </c>
      <c r="CE89" s="8">
        <f>+MINVU_Mes_Corriente!CE89*MINVU_Mes_Constante!$CC$1</f>
        <v>12921.56061171205</v>
      </c>
      <c r="CF89" s="8">
        <f>+MINVU_Mes_Corriente!CF89*MINVU_Mes_Constante!$CC$1</f>
        <v>12921.56061171205</v>
      </c>
      <c r="CG89" s="8">
        <f>+MINVU_Mes_Corriente!CG89*MINVU_Mes_Constante!$CC$1</f>
        <v>12921.56061171205</v>
      </c>
      <c r="CH89" s="8">
        <f>+MINVU_Mes_Corriente!CH89*MINVU_Mes_Constante!$CC$1</f>
        <v>12921.56061171205</v>
      </c>
      <c r="CI89" s="8">
        <f>+MINVU_Mes_Corriente!CI89*MINVU_Mes_Constante!$CC$1</f>
        <v>12921.56061171205</v>
      </c>
      <c r="CJ89" s="8">
        <f>+MINVU_Mes_Corriente!CJ89*MINVU_Mes_Constante!$CC$1</f>
        <v>12921.56061171205</v>
      </c>
      <c r="CK89" s="8">
        <f>+MINVU_Mes_Corriente!CK89*MINVU_Mes_Constante!$CC$1</f>
        <v>12921.56061171205</v>
      </c>
      <c r="CL89" s="8">
        <f>+MINVU_Mes_Corriente!CL89*MINVU_Mes_Constante!$CC$1</f>
        <v>12921.56061171205</v>
      </c>
      <c r="CM89" s="8">
        <f>+MINVU_Mes_Corriente!CM89*MINVU_Mes_Constante!$CC$1</f>
        <v>12921.56061171205</v>
      </c>
      <c r="CN89" s="8">
        <f>+MINVU_Mes_Corriente!CN89*MINVU_Mes_Constante!$CC$1</f>
        <v>12921.56061171205</v>
      </c>
      <c r="CO89" s="9">
        <f t="shared" si="63"/>
        <v>12921.56061171205</v>
      </c>
      <c r="CP89" s="8">
        <f>+MINVU_Mes_Corriente!CP89*MINVU_Mes_Constante!$CP$1</f>
        <v>16570.254988399069</v>
      </c>
      <c r="CQ89" s="8">
        <f>+MINVU_Mes_Corriente!CQ89*MINVU_Mes_Constante!$CP$1</f>
        <v>16570.254988399069</v>
      </c>
      <c r="CR89" s="8">
        <f>+MINVU_Mes_Corriente!CR89*MINVU_Mes_Constante!$CP$1</f>
        <v>16570.254988399069</v>
      </c>
      <c r="CS89" s="8">
        <f>+MINVU_Mes_Corriente!CS89*MINVU_Mes_Constante!$CP$1</f>
        <v>16570.254988399069</v>
      </c>
      <c r="CT89" s="8">
        <f>+MINVU_Mes_Corriente!CT89*MINVU_Mes_Constante!$CP$1</f>
        <v>16570.254988399069</v>
      </c>
      <c r="CU89" s="8">
        <f>+MINVU_Mes_Corriente!CU89*MINVU_Mes_Constante!$CP$1</f>
        <v>16570.254988399069</v>
      </c>
      <c r="CV89" s="8">
        <f>+MINVU_Mes_Corriente!CV89*MINVU_Mes_Constante!$CP$1</f>
        <v>16570.254988399069</v>
      </c>
      <c r="CW89" s="8">
        <f>+MINVU_Mes_Corriente!CW89*MINVU_Mes_Constante!$CP$1</f>
        <v>16570.254988399069</v>
      </c>
      <c r="CX89" s="8">
        <f>+MINVU_Mes_Corriente!CX89*MINVU_Mes_Constante!$CP$1</f>
        <v>16570.254988399069</v>
      </c>
      <c r="CY89" s="8">
        <f>+MINVU_Mes_Corriente!CY89*MINVU_Mes_Constante!$CP$1</f>
        <v>16570.254988399069</v>
      </c>
      <c r="CZ89" s="8">
        <f>+MINVU_Mes_Corriente!CZ89*MINVU_Mes_Constante!$CP$1</f>
        <v>16570.254988399069</v>
      </c>
      <c r="DA89" s="8">
        <f>+MINVU_Mes_Corriente!DA89*MINVU_Mes_Constante!$CP$1</f>
        <v>16570.254988399069</v>
      </c>
      <c r="DB89" s="9">
        <f t="shared" si="64"/>
        <v>16570.254988399069</v>
      </c>
      <c r="DC89" s="8">
        <f>+MINVU_Mes_Corriente!DC89*MINVU_Mes_Constante!$DC$1</f>
        <v>0</v>
      </c>
      <c r="DD89" s="8">
        <f>+MINVU_Mes_Corriente!DD89*MINVU_Mes_Constante!$DC$1</f>
        <v>0</v>
      </c>
      <c r="DE89" s="8">
        <f>+MINVU_Mes_Corriente!DE89*MINVU_Mes_Constante!$DC$1</f>
        <v>0</v>
      </c>
      <c r="DF89" s="8">
        <f>+MINVU_Mes_Corriente!DF89*MINVU_Mes_Constante!$DC$1</f>
        <v>0</v>
      </c>
      <c r="DG89" s="8">
        <f>+MINVU_Mes_Corriente!DG89*MINVU_Mes_Constante!$DC$1</f>
        <v>0</v>
      </c>
      <c r="DH89" s="8">
        <f>+MINVU_Mes_Corriente!DH89*MINVU_Mes_Constante!$DC$1</f>
        <v>0</v>
      </c>
      <c r="DI89" s="8">
        <f>+MINVU_Mes_Corriente!DI89*MINVU_Mes_Constante!$DC$1</f>
        <v>0</v>
      </c>
      <c r="DJ89" s="8">
        <f>+MINVU_Mes_Corriente!DJ89*MINVU_Mes_Constante!$DC$1</f>
        <v>0</v>
      </c>
      <c r="DK89" s="8">
        <f>+MINVU_Mes_Corriente!DK89*MINVU_Mes_Constante!$DC$1</f>
        <v>0</v>
      </c>
      <c r="DL89" s="8">
        <f>+MINVU_Mes_Corriente!DL89*MINVU_Mes_Constante!$DC$1</f>
        <v>0</v>
      </c>
      <c r="DM89" s="8">
        <f>+MINVU_Mes_Corriente!DM89*MINVU_Mes_Constante!$DC$1</f>
        <v>0</v>
      </c>
      <c r="DN89" s="8">
        <f>+MINVU_Mes_Corriente!DN89*MINVU_Mes_Constante!$DC$1</f>
        <v>0</v>
      </c>
      <c r="DO89" s="9">
        <f t="shared" si="65"/>
        <v>0</v>
      </c>
      <c r="DP89" s="8">
        <f>+MINVU_Mes_Corriente!DP89*MINVU_Mes_Constante!$DP$1</f>
        <v>10057943.141330168</v>
      </c>
      <c r="DQ89" s="8">
        <f>+MINVU_Mes_Corriente!DQ89*MINVU_Mes_Constante!$DP$1</f>
        <v>10057943.141330168</v>
      </c>
      <c r="DR89" s="8">
        <f>+MINVU_Mes_Corriente!DR89*MINVU_Mes_Constante!$DP$1</f>
        <v>10057943.141330168</v>
      </c>
      <c r="DS89" s="8">
        <f>+MINVU_Mes_Corriente!DS89*MINVU_Mes_Constante!$DP$1</f>
        <v>10057943.141330168</v>
      </c>
      <c r="DT89" s="8">
        <f>+MINVU_Mes_Corriente!DT89*MINVU_Mes_Constante!$DP$1</f>
        <v>10057943.141330168</v>
      </c>
      <c r="DU89" s="8">
        <f>+MINVU_Mes_Corriente!DU89*MINVU_Mes_Constante!$DP$1</f>
        <v>10057943.141330168</v>
      </c>
      <c r="DV89" s="8">
        <f>+MINVU_Mes_Corriente!DV89*MINVU_Mes_Constante!$DP$1</f>
        <v>10057943.141330168</v>
      </c>
      <c r="DW89" s="8">
        <f>+MINVU_Mes_Corriente!DW89*MINVU_Mes_Constante!$DP$1</f>
        <v>10057943.141330168</v>
      </c>
      <c r="DX89" s="8">
        <f>+MINVU_Mes_Corriente!DX89*MINVU_Mes_Constante!$DP$1</f>
        <v>10057943.141330168</v>
      </c>
      <c r="DY89" s="8">
        <f>+MINVU_Mes_Corriente!DY89*MINVU_Mes_Constante!$DP$1</f>
        <v>10057943.141330168</v>
      </c>
      <c r="DZ89" s="8">
        <f>+MINVU_Mes_Corriente!DZ89*MINVU_Mes_Constante!$DP$1</f>
        <v>10057943.141330168</v>
      </c>
      <c r="EA89" s="8">
        <f>+MINVU_Mes_Corriente!EA89*MINVU_Mes_Constante!$DP$1</f>
        <v>10057943.141330168</v>
      </c>
      <c r="EB89" s="9">
        <f t="shared" si="66"/>
        <v>10057943.141330168</v>
      </c>
      <c r="EC89" s="8">
        <f>+MINVU_Mes_Corriente!EC89*MINVU_Mes_Constante!$EC$1</f>
        <v>0</v>
      </c>
      <c r="ED89" s="8">
        <f>+MINVU_Mes_Corriente!ED89*MINVU_Mes_Constante!$EC$1</f>
        <v>0</v>
      </c>
      <c r="EE89" s="8">
        <f>+MINVU_Mes_Corriente!EE89*MINVU_Mes_Constante!$EC$1</f>
        <v>0</v>
      </c>
      <c r="EF89" s="8">
        <f>+MINVU_Mes_Corriente!EF89*MINVU_Mes_Constante!$EC$1</f>
        <v>0</v>
      </c>
      <c r="EG89" s="8">
        <f>+MINVU_Mes_Corriente!EG89*MINVU_Mes_Constante!$EC$1</f>
        <v>0</v>
      </c>
      <c r="EH89" s="8">
        <f>+MINVU_Mes_Corriente!EH89*MINVU_Mes_Constante!$EC$1</f>
        <v>0</v>
      </c>
      <c r="EI89" s="8">
        <f>+MINVU_Mes_Corriente!EI89*MINVU_Mes_Constante!$EC$1</f>
        <v>0</v>
      </c>
      <c r="EJ89" s="8">
        <f>+MINVU_Mes_Corriente!EJ89*MINVU_Mes_Constante!$EC$1</f>
        <v>0</v>
      </c>
      <c r="EK89" s="8">
        <f>+MINVU_Mes_Corriente!EK89*MINVU_Mes_Constante!$EC$1</f>
        <v>0</v>
      </c>
      <c r="EL89" s="8">
        <f>+MINVU_Mes_Corriente!EL89*MINVU_Mes_Constante!$EC$1</f>
        <v>0</v>
      </c>
      <c r="EM89" s="8">
        <f>+MINVU_Mes_Corriente!EM89*MINVU_Mes_Constante!$EC$1</f>
        <v>0</v>
      </c>
      <c r="EN89" s="8">
        <f>+MINVU_Mes_Corriente!EN89*MINVU_Mes_Constante!$EC$1</f>
        <v>0</v>
      </c>
      <c r="EO89" s="9">
        <f t="shared" si="67"/>
        <v>0</v>
      </c>
      <c r="EP89" s="8">
        <f>+MINVU_Mes_Corriente!EP89*MINVU_Mes_Constante!$EP$1</f>
        <v>12504</v>
      </c>
      <c r="EQ89" s="8">
        <f>+MINVU_Mes_Corriente!EQ89*MINVU_Mes_Constante!$EP$1</f>
        <v>12504</v>
      </c>
      <c r="ER89" s="8">
        <f>+MINVU_Mes_Corriente!ER89*MINVU_Mes_Constante!$EP$1</f>
        <v>12504</v>
      </c>
      <c r="ES89" s="8">
        <f>+MINVU_Mes_Corriente!ES89*MINVU_Mes_Constante!$EP$1</f>
        <v>12504</v>
      </c>
      <c r="ET89" s="8">
        <f>+MINVU_Mes_Corriente!ET89*MINVU_Mes_Constante!$EP$1</f>
        <v>12504</v>
      </c>
      <c r="EU89" s="8">
        <f>+MINVU_Mes_Corriente!EU89*MINVU_Mes_Constante!$EP$1</f>
        <v>12504</v>
      </c>
      <c r="EV89" s="8">
        <f>+MINVU_Mes_Corriente!EV89*MINVU_Mes_Constante!$EP$1</f>
        <v>12504</v>
      </c>
      <c r="EW89" s="8">
        <f>+MINVU_Mes_Corriente!EW89*MINVU_Mes_Constante!$EP$1</f>
        <v>12504</v>
      </c>
      <c r="EX89" s="8">
        <f>+MINVU_Mes_Corriente!EX89*MINVU_Mes_Constante!$EP$1</f>
        <v>12504</v>
      </c>
      <c r="EY89" s="8">
        <f>+MINVU_Mes_Corriente!EY89*MINVU_Mes_Constante!$EP$1</f>
        <v>12504</v>
      </c>
      <c r="EZ89" s="8">
        <f>+MINVU_Mes_Corriente!EZ89*MINVU_Mes_Constante!$EP$1</f>
        <v>12504</v>
      </c>
      <c r="FA89" s="8">
        <f>+MINVU_Mes_Corriente!FA89*MINVU_Mes_Constante!$EP$1</f>
        <v>12504</v>
      </c>
      <c r="FB89" s="9">
        <f t="shared" si="68"/>
        <v>12504</v>
      </c>
      <c r="FC89" s="8">
        <f>+MINVU_Mes_Corriente!FC89*MINVU_Mes_Constante!$FC$1</f>
        <v>10</v>
      </c>
      <c r="FD89" s="8">
        <f>+MINVU_Mes_Corriente!FD89*MINVU_Mes_Constante!$FC$1</f>
        <v>10</v>
      </c>
      <c r="FE89" s="8">
        <f>+MINVU_Mes_Corriente!FE89*MINVU_Mes_Constante!$FC$1</f>
        <v>10</v>
      </c>
      <c r="FF89" s="8">
        <f>+MINVU_Mes_Corriente!FF89*MINVU_Mes_Constante!$FC$1</f>
        <v>10</v>
      </c>
      <c r="FG89" s="8">
        <f>+MINVU_Mes_Corriente!FG89*MINVU_Mes_Constante!$FC$1</f>
        <v>10</v>
      </c>
      <c r="FH89" s="8">
        <f>+MINVU_Mes_Corriente!FH89*MINVU_Mes_Constante!$FC$1</f>
        <v>10</v>
      </c>
      <c r="FI89" s="8">
        <f>+MINVU_Mes_Corriente!FI89*MINVU_Mes_Constante!$FC$1</f>
        <v>10</v>
      </c>
      <c r="FJ89" s="8"/>
      <c r="FK89" s="8"/>
      <c r="FL89" s="8"/>
      <c r="FM89" s="8"/>
      <c r="FN89" s="8"/>
      <c r="FO89" s="9">
        <f t="shared" si="69"/>
        <v>10</v>
      </c>
    </row>
    <row r="90" spans="2:171" ht="14.25" customHeight="1" x14ac:dyDescent="0.3">
      <c r="B90" s="7" t="s">
        <v>56</v>
      </c>
      <c r="C90" s="8">
        <f>+MINVU_Mes_Corriente!C90*MINVU_Mes_Constante!$C$1</f>
        <v>29922.948539225868</v>
      </c>
      <c r="D90" s="8">
        <f>+MINVU_Mes_Corriente!D90*MINVU_Mes_Constante!$C$1</f>
        <v>29922.948539225868</v>
      </c>
      <c r="E90" s="8">
        <f>+MINVU_Mes_Corriente!E90*MINVU_Mes_Constante!$C$1</f>
        <v>29922.948539225868</v>
      </c>
      <c r="F90" s="8">
        <f>+MINVU_Mes_Corriente!F90*MINVU_Mes_Constante!$C$1</f>
        <v>29922.948539225868</v>
      </c>
      <c r="G90" s="8">
        <f>+MINVU_Mes_Corriente!G90*MINVU_Mes_Constante!$C$1</f>
        <v>29922.948539225868</v>
      </c>
      <c r="H90" s="8">
        <f>+MINVU_Mes_Corriente!H90*MINVU_Mes_Constante!$C$1</f>
        <v>29922.948539225868</v>
      </c>
      <c r="I90" s="8">
        <f>+MINVU_Mes_Corriente!I90*MINVU_Mes_Constante!$C$1</f>
        <v>29922.948539225868</v>
      </c>
      <c r="J90" s="8">
        <f>+MINVU_Mes_Corriente!J90*MINVU_Mes_Constante!$C$1</f>
        <v>29922.948539225868</v>
      </c>
      <c r="K90" s="8">
        <f>+MINVU_Mes_Corriente!K90*MINVU_Mes_Constante!$C$1</f>
        <v>29922.948539225868</v>
      </c>
      <c r="L90" s="8">
        <f>+MINVU_Mes_Corriente!L90*MINVU_Mes_Constante!$C$1</f>
        <v>29922.948539225868</v>
      </c>
      <c r="M90" s="8">
        <f>+MINVU_Mes_Corriente!M90*MINVU_Mes_Constante!$C$1</f>
        <v>29922.948539225868</v>
      </c>
      <c r="N90" s="8">
        <f>+MINVU_Mes_Corriente!N90*MINVU_Mes_Constante!$C$1</f>
        <v>29922.948539225868</v>
      </c>
      <c r="O90" s="9">
        <f t="shared" si="57"/>
        <v>29922.948539225868</v>
      </c>
      <c r="P90" s="8">
        <f>+MINVU_Mes_Corriente!P90*MINVU_Mes_Constante!$P$1</f>
        <v>31717.841170620814</v>
      </c>
      <c r="Q90" s="8">
        <f>+MINVU_Mes_Corriente!Q90*MINVU_Mes_Constante!$P$1</f>
        <v>31717.841170620814</v>
      </c>
      <c r="R90" s="8">
        <f>+MINVU_Mes_Corriente!R90*MINVU_Mes_Constante!$P$1</f>
        <v>31717.841170620814</v>
      </c>
      <c r="S90" s="8">
        <f>+MINVU_Mes_Corriente!S90*MINVU_Mes_Constante!$P$1</f>
        <v>31717.841170620814</v>
      </c>
      <c r="T90" s="8">
        <f>+MINVU_Mes_Corriente!T90*MINVU_Mes_Constante!$P$1</f>
        <v>31717.841170620814</v>
      </c>
      <c r="U90" s="8">
        <f>+MINVU_Mes_Corriente!U90*MINVU_Mes_Constante!$P$1</f>
        <v>31717.841170620814</v>
      </c>
      <c r="V90" s="8">
        <f>+MINVU_Mes_Corriente!V90*MINVU_Mes_Constante!$P$1</f>
        <v>31717.841170620814</v>
      </c>
      <c r="W90" s="8">
        <f>+MINVU_Mes_Corriente!W90*MINVU_Mes_Constante!$P$1</f>
        <v>31717.841170620814</v>
      </c>
      <c r="X90" s="8">
        <f>+MINVU_Mes_Corriente!X90*MINVU_Mes_Constante!$P$1</f>
        <v>31717.841170620814</v>
      </c>
      <c r="Y90" s="8">
        <f>+MINVU_Mes_Corriente!Y90*MINVU_Mes_Constante!$P$1</f>
        <v>31717.841170620814</v>
      </c>
      <c r="Z90" s="8">
        <f>+MINVU_Mes_Corriente!Z90*MINVU_Mes_Constante!$P$1</f>
        <v>31717.841170620814</v>
      </c>
      <c r="AA90" s="8">
        <f>+MINVU_Mes_Corriente!AA90*MINVU_Mes_Constante!$P$1</f>
        <v>31717.841170620814</v>
      </c>
      <c r="AB90" s="9">
        <f t="shared" si="58"/>
        <v>31717.841170620814</v>
      </c>
      <c r="AC90" s="8">
        <f>+MINVU_Mes_Corriente!AC90*MINVU_Mes_Constante!$AC$1</f>
        <v>34686.913819338777</v>
      </c>
      <c r="AD90" s="8">
        <f>+MINVU_Mes_Corriente!AD90*MINVU_Mes_Constante!$AC$1</f>
        <v>34686.913819338777</v>
      </c>
      <c r="AE90" s="8">
        <f>+MINVU_Mes_Corriente!AE90*MINVU_Mes_Constante!$AC$1</f>
        <v>34686.913819338777</v>
      </c>
      <c r="AF90" s="8">
        <f>+MINVU_Mes_Corriente!AF90*MINVU_Mes_Constante!$AC$1</f>
        <v>34686.913819338777</v>
      </c>
      <c r="AG90" s="8">
        <f>+MINVU_Mes_Corriente!AG90*MINVU_Mes_Constante!$AC$1</f>
        <v>34686.913819338777</v>
      </c>
      <c r="AH90" s="8">
        <f>+MINVU_Mes_Corriente!AH90*MINVU_Mes_Constante!$AC$1</f>
        <v>34686.913819338777</v>
      </c>
      <c r="AI90" s="8">
        <f>+MINVU_Mes_Corriente!AI90*MINVU_Mes_Constante!$AC$1</f>
        <v>34686.913819338777</v>
      </c>
      <c r="AJ90" s="8">
        <f>+MINVU_Mes_Corriente!AJ90*MINVU_Mes_Constante!$AC$1</f>
        <v>34686.913819338777</v>
      </c>
      <c r="AK90" s="8">
        <f>+MINVU_Mes_Corriente!AK90*MINVU_Mes_Constante!$AC$1</f>
        <v>34686.913819338777</v>
      </c>
      <c r="AL90" s="8">
        <f>+MINVU_Mes_Corriente!AL90*MINVU_Mes_Constante!$AC$1</f>
        <v>34686.913819338777</v>
      </c>
      <c r="AM90" s="8">
        <f>+MINVU_Mes_Corriente!AM90*MINVU_Mes_Constante!$AC$1</f>
        <v>34686.913819338777</v>
      </c>
      <c r="AN90" s="8">
        <f>+MINVU_Mes_Corriente!AN90*MINVU_Mes_Constante!$AC$1</f>
        <v>34686.913819338777</v>
      </c>
      <c r="AO90" s="9">
        <f t="shared" si="59"/>
        <v>34686.913819338777</v>
      </c>
      <c r="AP90" s="8">
        <f>+MINVU_Mes_Corriente!AP90*MINVU_Mes_Constante!$AP$1</f>
        <v>33488.862437440817</v>
      </c>
      <c r="AQ90" s="8">
        <f>+MINVU_Mes_Corriente!AQ90*MINVU_Mes_Constante!$AP$1</f>
        <v>33488.862437440817</v>
      </c>
      <c r="AR90" s="8">
        <f>+MINVU_Mes_Corriente!AR90*MINVU_Mes_Constante!$AP$1</f>
        <v>33488.862437440817</v>
      </c>
      <c r="AS90" s="8">
        <f>+MINVU_Mes_Corriente!AS90*MINVU_Mes_Constante!$AP$1</f>
        <v>33488.862437440817</v>
      </c>
      <c r="AT90" s="8">
        <f>+MINVU_Mes_Corriente!AT90*MINVU_Mes_Constante!$AP$1</f>
        <v>33488.862437440817</v>
      </c>
      <c r="AU90" s="8">
        <f>+MINVU_Mes_Corriente!AU90*MINVU_Mes_Constante!$AP$1</f>
        <v>33488.862437440817</v>
      </c>
      <c r="AV90" s="8">
        <f>+MINVU_Mes_Corriente!AV90*MINVU_Mes_Constante!$AP$1</f>
        <v>33488.862437440817</v>
      </c>
      <c r="AW90" s="8">
        <f>+MINVU_Mes_Corriente!AW90*MINVU_Mes_Constante!$AP$1</f>
        <v>33488.862437440817</v>
      </c>
      <c r="AX90" s="8">
        <f>+MINVU_Mes_Corriente!AX90*MINVU_Mes_Constante!$AP$1</f>
        <v>33488.862437440817</v>
      </c>
      <c r="AY90" s="8">
        <f>+MINVU_Mes_Corriente!AY90*MINVU_Mes_Constante!$AP$1</f>
        <v>33488.862437440817</v>
      </c>
      <c r="AZ90" s="8">
        <f>+MINVU_Mes_Corriente!AZ90*MINVU_Mes_Constante!$AP$1</f>
        <v>33488.862437440817</v>
      </c>
      <c r="BA90" s="8">
        <f>+MINVU_Mes_Corriente!BA90*MINVU_Mes_Constante!$AP$1</f>
        <v>33488.862437440817</v>
      </c>
      <c r="BB90" s="9">
        <f t="shared" si="60"/>
        <v>33488.862437440817</v>
      </c>
      <c r="BC90" s="8">
        <f>+MINVU_Mes_Corriente!BC90*MINVU_Mes_Constante!$BC$1</f>
        <v>42058.544111829098</v>
      </c>
      <c r="BD90" s="8">
        <f>+MINVU_Mes_Corriente!BD90*MINVU_Mes_Constante!$BC$1</f>
        <v>42058.544111829098</v>
      </c>
      <c r="BE90" s="8">
        <f>+MINVU_Mes_Corriente!BE90*MINVU_Mes_Constante!$BC$1</f>
        <v>42058.544111829098</v>
      </c>
      <c r="BF90" s="8">
        <f>+MINVU_Mes_Corriente!BF90*MINVU_Mes_Constante!$BC$1</f>
        <v>42058.544111829098</v>
      </c>
      <c r="BG90" s="8">
        <f>+MINVU_Mes_Corriente!BG90*MINVU_Mes_Constante!$BC$1</f>
        <v>42058.544111829098</v>
      </c>
      <c r="BH90" s="8">
        <f>+MINVU_Mes_Corriente!BH90*MINVU_Mes_Constante!$BC$1</f>
        <v>42058.544111829098</v>
      </c>
      <c r="BI90" s="8">
        <f>+MINVU_Mes_Corriente!BI90*MINVU_Mes_Constante!$BC$1</f>
        <v>42058.544111829098</v>
      </c>
      <c r="BJ90" s="8">
        <f>+MINVU_Mes_Corriente!BJ90*MINVU_Mes_Constante!$BC$1</f>
        <v>42058.544111829098</v>
      </c>
      <c r="BK90" s="8">
        <f>+MINVU_Mes_Corriente!BK90*MINVU_Mes_Constante!$BC$1</f>
        <v>42058.544111829098</v>
      </c>
      <c r="BL90" s="8">
        <f>+MINVU_Mes_Corriente!BL90*MINVU_Mes_Constante!$BC$1</f>
        <v>42058.544111829098</v>
      </c>
      <c r="BM90" s="8">
        <f>+MINVU_Mes_Corriente!BM90*MINVU_Mes_Constante!$BC$1</f>
        <v>42058.544111829098</v>
      </c>
      <c r="BN90" s="8">
        <f>+MINVU_Mes_Corriente!BN90*MINVU_Mes_Constante!$BC$1</f>
        <v>42058.544111829098</v>
      </c>
      <c r="BO90" s="9">
        <f t="shared" si="61"/>
        <v>42058.544111829098</v>
      </c>
      <c r="BP90" s="8">
        <f>+MINVU_Mes_Corriente!BP90*MINVU_Mes_Constante!$BP$1</f>
        <v>31593.067605633805</v>
      </c>
      <c r="BQ90" s="8">
        <f>+MINVU_Mes_Corriente!BQ90*MINVU_Mes_Constante!$BP$1</f>
        <v>31593.067605633805</v>
      </c>
      <c r="BR90" s="8">
        <f>+MINVU_Mes_Corriente!BR90*MINVU_Mes_Constante!$BP$1</f>
        <v>31593.067605633805</v>
      </c>
      <c r="BS90" s="8">
        <f>+MINVU_Mes_Corriente!BS90*MINVU_Mes_Constante!$BP$1</f>
        <v>31593.067605633805</v>
      </c>
      <c r="BT90" s="8">
        <f>+MINVU_Mes_Corriente!BT90*MINVU_Mes_Constante!$BP$1</f>
        <v>31593.067605633805</v>
      </c>
      <c r="BU90" s="8">
        <f>+MINVU_Mes_Corriente!BU90*MINVU_Mes_Constante!$BP$1</f>
        <v>31593.067605633805</v>
      </c>
      <c r="BV90" s="8">
        <f>+MINVU_Mes_Corriente!BV90*MINVU_Mes_Constante!$BP$1</f>
        <v>31593.067605633805</v>
      </c>
      <c r="BW90" s="8">
        <f>+MINVU_Mes_Corriente!BW90*MINVU_Mes_Constante!$BP$1</f>
        <v>31593.067605633805</v>
      </c>
      <c r="BX90" s="8">
        <f>+MINVU_Mes_Corriente!BX90*MINVU_Mes_Constante!$BP$1</f>
        <v>31593.067605633805</v>
      </c>
      <c r="BY90" s="8">
        <f>+MINVU_Mes_Corriente!BY90*MINVU_Mes_Constante!$BP$1</f>
        <v>31593.067605633805</v>
      </c>
      <c r="BZ90" s="8">
        <f>+MINVU_Mes_Corriente!BZ90*MINVU_Mes_Constante!$BP$1</f>
        <v>31593.067605633805</v>
      </c>
      <c r="CA90" s="8">
        <f>+MINVU_Mes_Corriente!CA90*MINVU_Mes_Constante!$BP$1</f>
        <v>31593.067605633805</v>
      </c>
      <c r="CB90" s="9">
        <f t="shared" si="62"/>
        <v>31593.067605633805</v>
      </c>
      <c r="CC90" s="8">
        <f>+MINVU_Mes_Corriente!CC90*MINVU_Mes_Constante!$CC$1</f>
        <v>31476.606490115631</v>
      </c>
      <c r="CD90" s="8">
        <f>+MINVU_Mes_Corriente!CD90*MINVU_Mes_Constante!$CC$1</f>
        <v>31476.606490115631</v>
      </c>
      <c r="CE90" s="8">
        <f>+MINVU_Mes_Corriente!CE90*MINVU_Mes_Constante!$CC$1</f>
        <v>31476.606490115631</v>
      </c>
      <c r="CF90" s="8">
        <f>+MINVU_Mes_Corriente!CF90*MINVU_Mes_Constante!$CC$1</f>
        <v>31476.606490115631</v>
      </c>
      <c r="CG90" s="8">
        <f>+MINVU_Mes_Corriente!CG90*MINVU_Mes_Constante!$CC$1</f>
        <v>31476.606490115631</v>
      </c>
      <c r="CH90" s="8">
        <f>+MINVU_Mes_Corriente!CH90*MINVU_Mes_Constante!$CC$1</f>
        <v>31476.606490115631</v>
      </c>
      <c r="CI90" s="8">
        <f>+MINVU_Mes_Corriente!CI90*MINVU_Mes_Constante!$CC$1</f>
        <v>31476.606490115631</v>
      </c>
      <c r="CJ90" s="8">
        <f>+MINVU_Mes_Corriente!CJ90*MINVU_Mes_Constante!$CC$1</f>
        <v>31476.606490115631</v>
      </c>
      <c r="CK90" s="8">
        <f>+MINVU_Mes_Corriente!CK90*MINVU_Mes_Constante!$CC$1</f>
        <v>31476.606490115631</v>
      </c>
      <c r="CL90" s="8">
        <f>+MINVU_Mes_Corriente!CL90*MINVU_Mes_Constante!$CC$1</f>
        <v>31476.606490115631</v>
      </c>
      <c r="CM90" s="8">
        <f>+MINVU_Mes_Corriente!CM90*MINVU_Mes_Constante!$CC$1</f>
        <v>31476.606490115631</v>
      </c>
      <c r="CN90" s="8">
        <f>+MINVU_Mes_Corriente!CN90*MINVU_Mes_Constante!$CC$1</f>
        <v>31476.606490115631</v>
      </c>
      <c r="CO90" s="9">
        <f t="shared" si="63"/>
        <v>31476.606490115631</v>
      </c>
      <c r="CP90" s="8">
        <f>+MINVU_Mes_Corriente!CP90*MINVU_Mes_Constante!$CP$1</f>
        <v>23522.587935034797</v>
      </c>
      <c r="CQ90" s="8">
        <f>+MINVU_Mes_Corriente!CQ90*MINVU_Mes_Constante!$CP$1</f>
        <v>23522.587935034797</v>
      </c>
      <c r="CR90" s="8">
        <f>+MINVU_Mes_Corriente!CR90*MINVU_Mes_Constante!$CP$1</f>
        <v>23522.587935034797</v>
      </c>
      <c r="CS90" s="8">
        <f>+MINVU_Mes_Corriente!CS90*MINVU_Mes_Constante!$CP$1</f>
        <v>23522.587935034797</v>
      </c>
      <c r="CT90" s="8">
        <f>+MINVU_Mes_Corriente!CT90*MINVU_Mes_Constante!$CP$1</f>
        <v>23522.587935034797</v>
      </c>
      <c r="CU90" s="8">
        <f>+MINVU_Mes_Corriente!CU90*MINVU_Mes_Constante!$CP$1</f>
        <v>23522.587935034797</v>
      </c>
      <c r="CV90" s="8">
        <f>+MINVU_Mes_Corriente!CV90*MINVU_Mes_Constante!$CP$1</f>
        <v>23522.587935034797</v>
      </c>
      <c r="CW90" s="8">
        <f>+MINVU_Mes_Corriente!CW90*MINVU_Mes_Constante!$CP$1</f>
        <v>23522.587935034797</v>
      </c>
      <c r="CX90" s="8">
        <f>+MINVU_Mes_Corriente!CX90*MINVU_Mes_Constante!$CP$1</f>
        <v>23522.587935034797</v>
      </c>
      <c r="CY90" s="8">
        <f>+MINVU_Mes_Corriente!CY90*MINVU_Mes_Constante!$CP$1</f>
        <v>23522.587935034797</v>
      </c>
      <c r="CZ90" s="8">
        <f>+MINVU_Mes_Corriente!CZ90*MINVU_Mes_Constante!$CP$1</f>
        <v>23522.587935034797</v>
      </c>
      <c r="DA90" s="8">
        <f>+MINVU_Mes_Corriente!DA90*MINVU_Mes_Constante!$CP$1</f>
        <v>23522.587935034797</v>
      </c>
      <c r="DB90" s="9">
        <f t="shared" si="64"/>
        <v>23522.587935034797</v>
      </c>
      <c r="DC90" s="8">
        <f>+MINVU_Mes_Corriente!DC90*MINVU_Mes_Constante!$DC$1</f>
        <v>0</v>
      </c>
      <c r="DD90" s="8">
        <f>+MINVU_Mes_Corriente!DD90*MINVU_Mes_Constante!$DC$1</f>
        <v>0</v>
      </c>
      <c r="DE90" s="8">
        <f>+MINVU_Mes_Corriente!DE90*MINVU_Mes_Constante!$DC$1</f>
        <v>0</v>
      </c>
      <c r="DF90" s="8">
        <f>+MINVU_Mes_Corriente!DF90*MINVU_Mes_Constante!$DC$1</f>
        <v>0</v>
      </c>
      <c r="DG90" s="8">
        <f>+MINVU_Mes_Corriente!DG90*MINVU_Mes_Constante!$DC$1</f>
        <v>0</v>
      </c>
      <c r="DH90" s="8">
        <f>+MINVU_Mes_Corriente!DH90*MINVU_Mes_Constante!$DC$1</f>
        <v>0</v>
      </c>
      <c r="DI90" s="8">
        <f>+MINVU_Mes_Corriente!DI90*MINVU_Mes_Constante!$DC$1</f>
        <v>0</v>
      </c>
      <c r="DJ90" s="8">
        <f>+MINVU_Mes_Corriente!DJ90*MINVU_Mes_Constante!$DC$1</f>
        <v>0</v>
      </c>
      <c r="DK90" s="8">
        <f>+MINVU_Mes_Corriente!DK90*MINVU_Mes_Constante!$DC$1</f>
        <v>0</v>
      </c>
      <c r="DL90" s="8">
        <f>+MINVU_Mes_Corriente!DL90*MINVU_Mes_Constante!$DC$1</f>
        <v>0</v>
      </c>
      <c r="DM90" s="8">
        <f>+MINVU_Mes_Corriente!DM90*MINVU_Mes_Constante!$DC$1</f>
        <v>0</v>
      </c>
      <c r="DN90" s="8">
        <f>+MINVU_Mes_Corriente!DN90*MINVU_Mes_Constante!$DC$1</f>
        <v>0</v>
      </c>
      <c r="DO90" s="9">
        <f t="shared" si="65"/>
        <v>0</v>
      </c>
      <c r="DP90" s="8">
        <f>+MINVU_Mes_Corriente!DP90*MINVU_Mes_Constante!$DP$1</f>
        <v>0</v>
      </c>
      <c r="DQ90" s="8">
        <f>+MINVU_Mes_Corriente!DQ90*MINVU_Mes_Constante!$DP$1</f>
        <v>0</v>
      </c>
      <c r="DR90" s="8">
        <f>+MINVU_Mes_Corriente!DR90*MINVU_Mes_Constante!$DP$1</f>
        <v>0</v>
      </c>
      <c r="DS90" s="8">
        <f>+MINVU_Mes_Corriente!DS90*MINVU_Mes_Constante!$DP$1</f>
        <v>0</v>
      </c>
      <c r="DT90" s="8">
        <f>+MINVU_Mes_Corriente!DT90*MINVU_Mes_Constante!$DP$1</f>
        <v>0</v>
      </c>
      <c r="DU90" s="8">
        <f>+MINVU_Mes_Corriente!DU90*MINVU_Mes_Constante!$DP$1</f>
        <v>0</v>
      </c>
      <c r="DV90" s="8">
        <f>+MINVU_Mes_Corriente!DV90*MINVU_Mes_Constante!$DP$1</f>
        <v>0</v>
      </c>
      <c r="DW90" s="8">
        <f>+MINVU_Mes_Corriente!DW90*MINVU_Mes_Constante!$DP$1</f>
        <v>0</v>
      </c>
      <c r="DX90" s="8">
        <f>+MINVU_Mes_Corriente!DX90*MINVU_Mes_Constante!$DP$1</f>
        <v>0</v>
      </c>
      <c r="DY90" s="8">
        <f>+MINVU_Mes_Corriente!DY90*MINVU_Mes_Constante!$DP$1</f>
        <v>0</v>
      </c>
      <c r="DZ90" s="8">
        <f>+MINVU_Mes_Corriente!DZ90*MINVU_Mes_Constante!$DP$1</f>
        <v>0</v>
      </c>
      <c r="EA90" s="8">
        <f>+MINVU_Mes_Corriente!EA90*MINVU_Mes_Constante!$DP$1</f>
        <v>0</v>
      </c>
      <c r="EB90" s="9">
        <f t="shared" si="66"/>
        <v>0</v>
      </c>
      <c r="EC90" s="8">
        <f>+MINVU_Mes_Corriente!EC90*MINVU_Mes_Constante!$EC$1</f>
        <v>0</v>
      </c>
      <c r="ED90" s="8">
        <f>+MINVU_Mes_Corriente!ED90*MINVU_Mes_Constante!$EC$1</f>
        <v>0</v>
      </c>
      <c r="EE90" s="8">
        <f>+MINVU_Mes_Corriente!EE90*MINVU_Mes_Constante!$EC$1</f>
        <v>0</v>
      </c>
      <c r="EF90" s="8">
        <f>+MINVU_Mes_Corriente!EF90*MINVU_Mes_Constante!$EC$1</f>
        <v>0</v>
      </c>
      <c r="EG90" s="8">
        <f>+MINVU_Mes_Corriente!EG90*MINVU_Mes_Constante!$EC$1</f>
        <v>0</v>
      </c>
      <c r="EH90" s="8">
        <f>+MINVU_Mes_Corriente!EH90*MINVU_Mes_Constante!$EC$1</f>
        <v>0</v>
      </c>
      <c r="EI90" s="8">
        <f>+MINVU_Mes_Corriente!EI90*MINVU_Mes_Constante!$EC$1</f>
        <v>0</v>
      </c>
      <c r="EJ90" s="8">
        <f>+MINVU_Mes_Corriente!EJ90*MINVU_Mes_Constante!$EC$1</f>
        <v>0</v>
      </c>
      <c r="EK90" s="8">
        <f>+MINVU_Mes_Corriente!EK90*MINVU_Mes_Constante!$EC$1</f>
        <v>0</v>
      </c>
      <c r="EL90" s="8">
        <f>+MINVU_Mes_Corriente!EL90*MINVU_Mes_Constante!$EC$1</f>
        <v>0</v>
      </c>
      <c r="EM90" s="8">
        <f>+MINVU_Mes_Corriente!EM90*MINVU_Mes_Constante!$EC$1</f>
        <v>0</v>
      </c>
      <c r="EN90" s="8">
        <f>+MINVU_Mes_Corriente!EN90*MINVU_Mes_Constante!$EC$1</f>
        <v>0</v>
      </c>
      <c r="EO90" s="9">
        <f t="shared" si="67"/>
        <v>0</v>
      </c>
      <c r="EP90" s="8">
        <f>+MINVU_Mes_Corriente!EP90*MINVU_Mes_Constante!$EP$1</f>
        <v>7294</v>
      </c>
      <c r="EQ90" s="8">
        <f>+MINVU_Mes_Corriente!EQ90*MINVU_Mes_Constante!$EP$1</f>
        <v>7294</v>
      </c>
      <c r="ER90" s="8">
        <f>+MINVU_Mes_Corriente!ER90*MINVU_Mes_Constante!$EP$1</f>
        <v>7294</v>
      </c>
      <c r="ES90" s="8">
        <f>+MINVU_Mes_Corriente!ES90*MINVU_Mes_Constante!$EP$1</f>
        <v>7294</v>
      </c>
      <c r="ET90" s="8">
        <f>+MINVU_Mes_Corriente!ET90*MINVU_Mes_Constante!$EP$1</f>
        <v>7294</v>
      </c>
      <c r="EU90" s="8">
        <f>+MINVU_Mes_Corriente!EU90*MINVU_Mes_Constante!$EP$1</f>
        <v>7294</v>
      </c>
      <c r="EV90" s="8">
        <f>+MINVU_Mes_Corriente!EV90*MINVU_Mes_Constante!$EP$1</f>
        <v>7294</v>
      </c>
      <c r="EW90" s="8">
        <f>+MINVU_Mes_Corriente!EW90*MINVU_Mes_Constante!$EP$1</f>
        <v>7294</v>
      </c>
      <c r="EX90" s="8">
        <f>+MINVU_Mes_Corriente!EX90*MINVU_Mes_Constante!$EP$1</f>
        <v>7294</v>
      </c>
      <c r="EY90" s="8">
        <f>+MINVU_Mes_Corriente!EY90*MINVU_Mes_Constante!$EP$1</f>
        <v>7294</v>
      </c>
      <c r="EZ90" s="8">
        <f>+MINVU_Mes_Corriente!EZ90*MINVU_Mes_Constante!$EP$1</f>
        <v>7294</v>
      </c>
      <c r="FA90" s="8">
        <f>+MINVU_Mes_Corriente!FA90*MINVU_Mes_Constante!$EP$1</f>
        <v>7294</v>
      </c>
      <c r="FB90" s="9">
        <f t="shared" si="68"/>
        <v>7294</v>
      </c>
      <c r="FC90" s="8">
        <f>+MINVU_Mes_Corriente!FC90*MINVU_Mes_Constante!$FC$1</f>
        <v>10</v>
      </c>
      <c r="FD90" s="8">
        <f>+MINVU_Mes_Corriente!FD90*MINVU_Mes_Constante!$FC$1</f>
        <v>10</v>
      </c>
      <c r="FE90" s="8">
        <f>+MINVU_Mes_Corriente!FE90*MINVU_Mes_Constante!$FC$1</f>
        <v>10</v>
      </c>
      <c r="FF90" s="8">
        <f>+MINVU_Mes_Corriente!FF90*MINVU_Mes_Constante!$FC$1</f>
        <v>10</v>
      </c>
      <c r="FG90" s="8">
        <f>+MINVU_Mes_Corriente!FG90*MINVU_Mes_Constante!$FC$1</f>
        <v>10</v>
      </c>
      <c r="FH90" s="8">
        <f>+MINVU_Mes_Corriente!FH90*MINVU_Mes_Constante!$FC$1</f>
        <v>10</v>
      </c>
      <c r="FI90" s="8">
        <f>+MINVU_Mes_Corriente!FI90*MINVU_Mes_Constante!$FC$1</f>
        <v>10</v>
      </c>
      <c r="FJ90" s="8"/>
      <c r="FK90" s="8"/>
      <c r="FL90" s="8"/>
      <c r="FM90" s="8"/>
      <c r="FN90" s="8"/>
      <c r="FO90" s="9">
        <f t="shared" si="69"/>
        <v>10</v>
      </c>
    </row>
    <row r="91" spans="2:171" ht="14.25" customHeight="1" x14ac:dyDescent="0.3">
      <c r="B91" s="7" t="s">
        <v>57</v>
      </c>
      <c r="C91" s="8">
        <f>+MINVU_Mes_Corriente!C91*MINVU_Mes_Constante!$C$1</f>
        <v>17507.84962183005</v>
      </c>
      <c r="D91" s="8">
        <f>+MINVU_Mes_Corriente!D91*MINVU_Mes_Constante!$C$1</f>
        <v>17507.84962183005</v>
      </c>
      <c r="E91" s="8">
        <f>+MINVU_Mes_Corriente!E91*MINVU_Mes_Constante!$C$1</f>
        <v>17507.84962183005</v>
      </c>
      <c r="F91" s="8">
        <f>+MINVU_Mes_Corriente!F91*MINVU_Mes_Constante!$C$1</f>
        <v>17507.84962183005</v>
      </c>
      <c r="G91" s="8">
        <f>+MINVU_Mes_Corriente!G91*MINVU_Mes_Constante!$C$1</f>
        <v>17507.84962183005</v>
      </c>
      <c r="H91" s="8">
        <f>+MINVU_Mes_Corriente!H91*MINVU_Mes_Constante!$C$1</f>
        <v>17507.84962183005</v>
      </c>
      <c r="I91" s="8">
        <f>+MINVU_Mes_Corriente!I91*MINVU_Mes_Constante!$C$1</f>
        <v>17507.84962183005</v>
      </c>
      <c r="J91" s="8">
        <f>+MINVU_Mes_Corriente!J91*MINVU_Mes_Constante!$C$1</f>
        <v>17507.84962183005</v>
      </c>
      <c r="K91" s="8">
        <f>+MINVU_Mes_Corriente!K91*MINVU_Mes_Constante!$C$1</f>
        <v>17507.84962183005</v>
      </c>
      <c r="L91" s="8">
        <f>+MINVU_Mes_Corriente!L91*MINVU_Mes_Constante!$C$1</f>
        <v>17507.84962183005</v>
      </c>
      <c r="M91" s="8">
        <f>+MINVU_Mes_Corriente!M91*MINVU_Mes_Constante!$C$1</f>
        <v>17507.84962183005</v>
      </c>
      <c r="N91" s="8">
        <f>+MINVU_Mes_Corriente!N91*MINVU_Mes_Constante!$C$1</f>
        <v>17507.84962183005</v>
      </c>
      <c r="O91" s="9">
        <f t="shared" si="57"/>
        <v>17507.84962183005</v>
      </c>
      <c r="P91" s="8">
        <f>+MINVU_Mes_Corriente!P91*MINVU_Mes_Constante!$P$1</f>
        <v>18058.400909220054</v>
      </c>
      <c r="Q91" s="8">
        <f>+MINVU_Mes_Corriente!Q91*MINVU_Mes_Constante!$P$1</f>
        <v>18058.400909220054</v>
      </c>
      <c r="R91" s="8">
        <f>+MINVU_Mes_Corriente!R91*MINVU_Mes_Constante!$P$1</f>
        <v>18058.400909220054</v>
      </c>
      <c r="S91" s="8">
        <f>+MINVU_Mes_Corriente!S91*MINVU_Mes_Constante!$P$1</f>
        <v>18058.400909220054</v>
      </c>
      <c r="T91" s="8">
        <f>+MINVU_Mes_Corriente!T91*MINVU_Mes_Constante!$P$1</f>
        <v>18058.400909220054</v>
      </c>
      <c r="U91" s="8">
        <f>+MINVU_Mes_Corriente!U91*MINVU_Mes_Constante!$P$1</f>
        <v>18058.400909220054</v>
      </c>
      <c r="V91" s="8">
        <f>+MINVU_Mes_Corriente!V91*MINVU_Mes_Constante!$P$1</f>
        <v>18058.400909220054</v>
      </c>
      <c r="W91" s="8">
        <f>+MINVU_Mes_Corriente!W91*MINVU_Mes_Constante!$P$1</f>
        <v>18058.400909220054</v>
      </c>
      <c r="X91" s="8">
        <f>+MINVU_Mes_Corriente!X91*MINVU_Mes_Constante!$P$1</f>
        <v>18058.400909220054</v>
      </c>
      <c r="Y91" s="8">
        <f>+MINVU_Mes_Corriente!Y91*MINVU_Mes_Constante!$P$1</f>
        <v>18058.400909220054</v>
      </c>
      <c r="Z91" s="8">
        <f>+MINVU_Mes_Corriente!Z91*MINVU_Mes_Constante!$P$1</f>
        <v>18058.400909220054</v>
      </c>
      <c r="AA91" s="8">
        <f>+MINVU_Mes_Corriente!AA91*MINVU_Mes_Constante!$P$1</f>
        <v>18058.400909220054</v>
      </c>
      <c r="AB91" s="9">
        <f t="shared" si="58"/>
        <v>18058.400909220054</v>
      </c>
      <c r="AC91" s="8">
        <f>+MINVU_Mes_Corriente!AC91*MINVU_Mes_Constante!$AC$1</f>
        <v>961178.16046479461</v>
      </c>
      <c r="AD91" s="8">
        <f>+MINVU_Mes_Corriente!AD91*MINVU_Mes_Constante!$AC$1</f>
        <v>961178.16046479461</v>
      </c>
      <c r="AE91" s="8">
        <f>+MINVU_Mes_Corriente!AE91*MINVU_Mes_Constante!$AC$1</f>
        <v>961178.16046479461</v>
      </c>
      <c r="AF91" s="8">
        <f>+MINVU_Mes_Corriente!AF91*MINVU_Mes_Constante!$AC$1</f>
        <v>961178.16046479461</v>
      </c>
      <c r="AG91" s="8">
        <f>+MINVU_Mes_Corriente!AG91*MINVU_Mes_Constante!$AC$1</f>
        <v>961178.16046479461</v>
      </c>
      <c r="AH91" s="8">
        <f>+MINVU_Mes_Corriente!AH91*MINVU_Mes_Constante!$AC$1</f>
        <v>961178.16046479461</v>
      </c>
      <c r="AI91" s="8">
        <f>+MINVU_Mes_Corriente!AI91*MINVU_Mes_Constante!$AC$1</f>
        <v>961178.16046479461</v>
      </c>
      <c r="AJ91" s="8">
        <f>+MINVU_Mes_Corriente!AJ91*MINVU_Mes_Constante!$AC$1</f>
        <v>961178.16046479461</v>
      </c>
      <c r="AK91" s="8">
        <f>+MINVU_Mes_Corriente!AK91*MINVU_Mes_Constante!$AC$1</f>
        <v>961178.16046479461</v>
      </c>
      <c r="AL91" s="8">
        <f>+MINVU_Mes_Corriente!AL91*MINVU_Mes_Constante!$AC$1</f>
        <v>961178.16046479461</v>
      </c>
      <c r="AM91" s="8">
        <f>+MINVU_Mes_Corriente!AM91*MINVU_Mes_Constante!$AC$1</f>
        <v>961178.16046479461</v>
      </c>
      <c r="AN91" s="8">
        <f>+MINVU_Mes_Corriente!AN91*MINVU_Mes_Constante!$AC$1</f>
        <v>961178.16046479461</v>
      </c>
      <c r="AO91" s="9">
        <f t="shared" si="59"/>
        <v>961178.16046479461</v>
      </c>
      <c r="AP91" s="8">
        <f>+MINVU_Mes_Corriente!AP91*MINVU_Mes_Constante!$AP$1</f>
        <v>21311.094278371431</v>
      </c>
      <c r="AQ91" s="8">
        <f>+MINVU_Mes_Corriente!AQ91*MINVU_Mes_Constante!$AP$1</f>
        <v>21311.094278371431</v>
      </c>
      <c r="AR91" s="8">
        <f>+MINVU_Mes_Corriente!AR91*MINVU_Mes_Constante!$AP$1</f>
        <v>21311.094278371431</v>
      </c>
      <c r="AS91" s="8">
        <f>+MINVU_Mes_Corriente!AS91*MINVU_Mes_Constante!$AP$1</f>
        <v>21311.094278371431</v>
      </c>
      <c r="AT91" s="8">
        <f>+MINVU_Mes_Corriente!AT91*MINVU_Mes_Constante!$AP$1</f>
        <v>21311.094278371431</v>
      </c>
      <c r="AU91" s="8">
        <f>+MINVU_Mes_Corriente!AU91*MINVU_Mes_Constante!$AP$1</f>
        <v>21311.094278371431</v>
      </c>
      <c r="AV91" s="8">
        <f>+MINVU_Mes_Corriente!AV91*MINVU_Mes_Constante!$AP$1</f>
        <v>21311.094278371431</v>
      </c>
      <c r="AW91" s="8">
        <f>+MINVU_Mes_Corriente!AW91*MINVU_Mes_Constante!$AP$1</f>
        <v>21311.094278371431</v>
      </c>
      <c r="AX91" s="8">
        <f>+MINVU_Mes_Corriente!AX91*MINVU_Mes_Constante!$AP$1</f>
        <v>21311.094278371431</v>
      </c>
      <c r="AY91" s="8">
        <f>+MINVU_Mes_Corriente!AY91*MINVU_Mes_Constante!$AP$1</f>
        <v>21311.094278371431</v>
      </c>
      <c r="AZ91" s="8">
        <f>+MINVU_Mes_Corriente!AZ91*MINVU_Mes_Constante!$AP$1</f>
        <v>21311.094278371431</v>
      </c>
      <c r="BA91" s="8">
        <f>+MINVU_Mes_Corriente!BA91*MINVU_Mes_Constante!$AP$1</f>
        <v>21311.094278371431</v>
      </c>
      <c r="BB91" s="9">
        <f t="shared" si="60"/>
        <v>21311.094278371431</v>
      </c>
      <c r="BC91" s="8">
        <f>+MINVU_Mes_Corriente!BC91*MINVU_Mes_Constante!$BC$1</f>
        <v>24395.108268495325</v>
      </c>
      <c r="BD91" s="8">
        <f>+MINVU_Mes_Corriente!BD91*MINVU_Mes_Constante!$BC$1</f>
        <v>24395.108268495325</v>
      </c>
      <c r="BE91" s="8">
        <f>+MINVU_Mes_Corriente!BE91*MINVU_Mes_Constante!$BC$1</f>
        <v>24395.108268495325</v>
      </c>
      <c r="BF91" s="8">
        <f>+MINVU_Mes_Corriente!BF91*MINVU_Mes_Constante!$BC$1</f>
        <v>24395.108268495325</v>
      </c>
      <c r="BG91" s="8">
        <f>+MINVU_Mes_Corriente!BG91*MINVU_Mes_Constante!$BC$1</f>
        <v>24395.108268495325</v>
      </c>
      <c r="BH91" s="8">
        <f>+MINVU_Mes_Corriente!BH91*MINVU_Mes_Constante!$BC$1</f>
        <v>24395.108268495325</v>
      </c>
      <c r="BI91" s="8">
        <f>+MINVU_Mes_Corriente!BI91*MINVU_Mes_Constante!$BC$1</f>
        <v>24395.108268495325</v>
      </c>
      <c r="BJ91" s="8">
        <f>+MINVU_Mes_Corriente!BJ91*MINVU_Mes_Constante!$BC$1</f>
        <v>24395.108268495325</v>
      </c>
      <c r="BK91" s="8">
        <f>+MINVU_Mes_Corriente!BK91*MINVU_Mes_Constante!$BC$1</f>
        <v>24395.108268495325</v>
      </c>
      <c r="BL91" s="8">
        <f>+MINVU_Mes_Corriente!BL91*MINVU_Mes_Constante!$BC$1</f>
        <v>24395.108268495325</v>
      </c>
      <c r="BM91" s="8">
        <f>+MINVU_Mes_Corriente!BM91*MINVU_Mes_Constante!$BC$1</f>
        <v>24395.108268495325</v>
      </c>
      <c r="BN91" s="8">
        <f>+MINVU_Mes_Corriente!BN91*MINVU_Mes_Constante!$BC$1</f>
        <v>24395.108268495325</v>
      </c>
      <c r="BO91" s="9">
        <f t="shared" si="61"/>
        <v>24395.108268495325</v>
      </c>
      <c r="BP91" s="8">
        <f>+MINVU_Mes_Corriente!BP91*MINVU_Mes_Constante!$BP$1</f>
        <v>19228.920614596675</v>
      </c>
      <c r="BQ91" s="8">
        <f>+MINVU_Mes_Corriente!BQ91*MINVU_Mes_Constante!$BP$1</f>
        <v>19228.920614596675</v>
      </c>
      <c r="BR91" s="8">
        <f>+MINVU_Mes_Corriente!BR91*MINVU_Mes_Constante!$BP$1</f>
        <v>19228.920614596675</v>
      </c>
      <c r="BS91" s="8">
        <f>+MINVU_Mes_Corriente!BS91*MINVU_Mes_Constante!$BP$1</f>
        <v>19228.920614596675</v>
      </c>
      <c r="BT91" s="8">
        <f>+MINVU_Mes_Corriente!BT91*MINVU_Mes_Constante!$BP$1</f>
        <v>19228.920614596675</v>
      </c>
      <c r="BU91" s="8">
        <f>+MINVU_Mes_Corriente!BU91*MINVU_Mes_Constante!$BP$1</f>
        <v>19228.920614596675</v>
      </c>
      <c r="BV91" s="8">
        <f>+MINVU_Mes_Corriente!BV91*MINVU_Mes_Constante!$BP$1</f>
        <v>19228.920614596675</v>
      </c>
      <c r="BW91" s="8">
        <f>+MINVU_Mes_Corriente!BW91*MINVU_Mes_Constante!$BP$1</f>
        <v>19228.920614596675</v>
      </c>
      <c r="BX91" s="8">
        <f>+MINVU_Mes_Corriente!BX91*MINVU_Mes_Constante!$BP$1</f>
        <v>19228.920614596675</v>
      </c>
      <c r="BY91" s="8">
        <f>+MINVU_Mes_Corriente!BY91*MINVU_Mes_Constante!$BP$1</f>
        <v>19228.920614596675</v>
      </c>
      <c r="BZ91" s="8">
        <f>+MINVU_Mes_Corriente!BZ91*MINVU_Mes_Constante!$BP$1</f>
        <v>19228.920614596675</v>
      </c>
      <c r="CA91" s="8">
        <f>+MINVU_Mes_Corriente!CA91*MINVU_Mes_Constante!$BP$1</f>
        <v>19228.920614596675</v>
      </c>
      <c r="CB91" s="9">
        <f t="shared" si="62"/>
        <v>19228.920614596675</v>
      </c>
      <c r="CC91" s="8">
        <f>+MINVU_Mes_Corriente!CC91*MINVU_Mes_Constante!$CC$1</f>
        <v>425524.43342036556</v>
      </c>
      <c r="CD91" s="8">
        <f>+MINVU_Mes_Corriente!CD91*MINVU_Mes_Constante!$CC$1</f>
        <v>425524.43342036556</v>
      </c>
      <c r="CE91" s="8">
        <f>+MINVU_Mes_Corriente!CE91*MINVU_Mes_Constante!$CC$1</f>
        <v>425524.43342036556</v>
      </c>
      <c r="CF91" s="8">
        <f>+MINVU_Mes_Corriente!CF91*MINVU_Mes_Constante!$CC$1</f>
        <v>425524.43342036556</v>
      </c>
      <c r="CG91" s="8">
        <f>+MINVU_Mes_Corriente!CG91*MINVU_Mes_Constante!$CC$1</f>
        <v>425524.43342036556</v>
      </c>
      <c r="CH91" s="8">
        <f>+MINVU_Mes_Corriente!CH91*MINVU_Mes_Constante!$CC$1</f>
        <v>425524.43342036556</v>
      </c>
      <c r="CI91" s="8">
        <f>+MINVU_Mes_Corriente!CI91*MINVU_Mes_Constante!$CC$1</f>
        <v>425524.43342036556</v>
      </c>
      <c r="CJ91" s="8">
        <f>+MINVU_Mes_Corriente!CJ91*MINVU_Mes_Constante!$CC$1</f>
        <v>425524.43342036556</v>
      </c>
      <c r="CK91" s="8">
        <f>+MINVU_Mes_Corriente!CK91*MINVU_Mes_Constante!$CC$1</f>
        <v>425524.43342036556</v>
      </c>
      <c r="CL91" s="8">
        <f>+MINVU_Mes_Corriente!CL91*MINVU_Mes_Constante!$CC$1</f>
        <v>425524.43342036556</v>
      </c>
      <c r="CM91" s="8">
        <f>+MINVU_Mes_Corriente!CM91*MINVU_Mes_Constante!$CC$1</f>
        <v>425524.43342036556</v>
      </c>
      <c r="CN91" s="8">
        <f>+MINVU_Mes_Corriente!CN91*MINVU_Mes_Constante!$CC$1</f>
        <v>425524.43342036556</v>
      </c>
      <c r="CO91" s="9">
        <f t="shared" si="63"/>
        <v>425524.43342036556</v>
      </c>
      <c r="CP91" s="8">
        <f>+MINVU_Mes_Corriente!CP91*MINVU_Mes_Constante!$CP$1</f>
        <v>17473.994895591644</v>
      </c>
      <c r="CQ91" s="8">
        <f>+MINVU_Mes_Corriente!CQ91*MINVU_Mes_Constante!$CP$1</f>
        <v>17473.994895591644</v>
      </c>
      <c r="CR91" s="8">
        <f>+MINVU_Mes_Corriente!CR91*MINVU_Mes_Constante!$CP$1</f>
        <v>17473.994895591644</v>
      </c>
      <c r="CS91" s="8">
        <f>+MINVU_Mes_Corriente!CS91*MINVU_Mes_Constante!$CP$1</f>
        <v>17473.994895591644</v>
      </c>
      <c r="CT91" s="8">
        <f>+MINVU_Mes_Corriente!CT91*MINVU_Mes_Constante!$CP$1</f>
        <v>17473.994895591644</v>
      </c>
      <c r="CU91" s="8">
        <f>+MINVU_Mes_Corriente!CU91*MINVU_Mes_Constante!$CP$1</f>
        <v>17473.994895591644</v>
      </c>
      <c r="CV91" s="8">
        <f>+MINVU_Mes_Corriente!CV91*MINVU_Mes_Constante!$CP$1</f>
        <v>17473.994895591644</v>
      </c>
      <c r="CW91" s="8">
        <f>+MINVU_Mes_Corriente!CW91*MINVU_Mes_Constante!$CP$1</f>
        <v>17473.994895591644</v>
      </c>
      <c r="CX91" s="8">
        <f>+MINVU_Mes_Corriente!CX91*MINVU_Mes_Constante!$CP$1</f>
        <v>17473.994895591644</v>
      </c>
      <c r="CY91" s="8">
        <f>+MINVU_Mes_Corriente!CY91*MINVU_Mes_Constante!$CP$1</f>
        <v>17473.994895591644</v>
      </c>
      <c r="CZ91" s="8">
        <f>+MINVU_Mes_Corriente!CZ91*MINVU_Mes_Constante!$CP$1</f>
        <v>17473.994895591644</v>
      </c>
      <c r="DA91" s="8">
        <f>+MINVU_Mes_Corriente!DA91*MINVU_Mes_Constante!$CP$1</f>
        <v>17473.994895591644</v>
      </c>
      <c r="DB91" s="9">
        <f t="shared" si="64"/>
        <v>17473.994895591644</v>
      </c>
      <c r="DC91" s="8">
        <f>+MINVU_Mes_Corriente!DC91*MINVU_Mes_Constante!$DC$1</f>
        <v>0</v>
      </c>
      <c r="DD91" s="8">
        <f>+MINVU_Mes_Corriente!DD91*MINVU_Mes_Constante!$DC$1</f>
        <v>0</v>
      </c>
      <c r="DE91" s="8">
        <f>+MINVU_Mes_Corriente!DE91*MINVU_Mes_Constante!$DC$1</f>
        <v>0</v>
      </c>
      <c r="DF91" s="8">
        <f>+MINVU_Mes_Corriente!DF91*MINVU_Mes_Constante!$DC$1</f>
        <v>0</v>
      </c>
      <c r="DG91" s="8">
        <f>+MINVU_Mes_Corriente!DG91*MINVU_Mes_Constante!$DC$1</f>
        <v>0</v>
      </c>
      <c r="DH91" s="8">
        <f>+MINVU_Mes_Corriente!DH91*MINVU_Mes_Constante!$DC$1</f>
        <v>0</v>
      </c>
      <c r="DI91" s="8">
        <f>+MINVU_Mes_Corriente!DI91*MINVU_Mes_Constante!$DC$1</f>
        <v>0</v>
      </c>
      <c r="DJ91" s="8">
        <f>+MINVU_Mes_Corriente!DJ91*MINVU_Mes_Constante!$DC$1</f>
        <v>0</v>
      </c>
      <c r="DK91" s="8">
        <f>+MINVU_Mes_Corriente!DK91*MINVU_Mes_Constante!$DC$1</f>
        <v>0</v>
      </c>
      <c r="DL91" s="8">
        <f>+MINVU_Mes_Corriente!DL91*MINVU_Mes_Constante!$DC$1</f>
        <v>0</v>
      </c>
      <c r="DM91" s="8">
        <f>+MINVU_Mes_Corriente!DM91*MINVU_Mes_Constante!$DC$1</f>
        <v>0</v>
      </c>
      <c r="DN91" s="8">
        <f>+MINVU_Mes_Corriente!DN91*MINVU_Mes_Constante!$DC$1</f>
        <v>0</v>
      </c>
      <c r="DO91" s="9">
        <f t="shared" si="65"/>
        <v>0</v>
      </c>
      <c r="DP91" s="8">
        <f>+MINVU_Mes_Corriente!DP91*MINVU_Mes_Constante!$DP$1</f>
        <v>0</v>
      </c>
      <c r="DQ91" s="8">
        <f>+MINVU_Mes_Corriente!DQ91*MINVU_Mes_Constante!$DP$1</f>
        <v>0</v>
      </c>
      <c r="DR91" s="8">
        <f>+MINVU_Mes_Corriente!DR91*MINVU_Mes_Constante!$DP$1</f>
        <v>0</v>
      </c>
      <c r="DS91" s="8">
        <f>+MINVU_Mes_Corriente!DS91*MINVU_Mes_Constante!$DP$1</f>
        <v>0</v>
      </c>
      <c r="DT91" s="8">
        <f>+MINVU_Mes_Corriente!DT91*MINVU_Mes_Constante!$DP$1</f>
        <v>0</v>
      </c>
      <c r="DU91" s="8">
        <f>+MINVU_Mes_Corriente!DU91*MINVU_Mes_Constante!$DP$1</f>
        <v>0</v>
      </c>
      <c r="DV91" s="8">
        <f>+MINVU_Mes_Corriente!DV91*MINVU_Mes_Constante!$DP$1</f>
        <v>0</v>
      </c>
      <c r="DW91" s="8">
        <f>+MINVU_Mes_Corriente!DW91*MINVU_Mes_Constante!$DP$1</f>
        <v>0</v>
      </c>
      <c r="DX91" s="8">
        <f>+MINVU_Mes_Corriente!DX91*MINVU_Mes_Constante!$DP$1</f>
        <v>0</v>
      </c>
      <c r="DY91" s="8">
        <f>+MINVU_Mes_Corriente!DY91*MINVU_Mes_Constante!$DP$1</f>
        <v>0</v>
      </c>
      <c r="DZ91" s="8">
        <f>+MINVU_Mes_Corriente!DZ91*MINVU_Mes_Constante!$DP$1</f>
        <v>0</v>
      </c>
      <c r="EA91" s="8">
        <f>+MINVU_Mes_Corriente!EA91*MINVU_Mes_Constante!$DP$1</f>
        <v>0</v>
      </c>
      <c r="EB91" s="9">
        <f t="shared" si="66"/>
        <v>0</v>
      </c>
      <c r="EC91" s="8">
        <f>+MINVU_Mes_Corriente!EC91*MINVU_Mes_Constante!$EC$1</f>
        <v>0</v>
      </c>
      <c r="ED91" s="8">
        <f>+MINVU_Mes_Corriente!ED91*MINVU_Mes_Constante!$EC$1</f>
        <v>0</v>
      </c>
      <c r="EE91" s="8">
        <f>+MINVU_Mes_Corriente!EE91*MINVU_Mes_Constante!$EC$1</f>
        <v>0</v>
      </c>
      <c r="EF91" s="8">
        <f>+MINVU_Mes_Corriente!EF91*MINVU_Mes_Constante!$EC$1</f>
        <v>0</v>
      </c>
      <c r="EG91" s="8">
        <f>+MINVU_Mes_Corriente!EG91*MINVU_Mes_Constante!$EC$1</f>
        <v>0</v>
      </c>
      <c r="EH91" s="8">
        <f>+MINVU_Mes_Corriente!EH91*MINVU_Mes_Constante!$EC$1</f>
        <v>0</v>
      </c>
      <c r="EI91" s="8">
        <f>+MINVU_Mes_Corriente!EI91*MINVU_Mes_Constante!$EC$1</f>
        <v>0</v>
      </c>
      <c r="EJ91" s="8">
        <f>+MINVU_Mes_Corriente!EJ91*MINVU_Mes_Constante!$EC$1</f>
        <v>0</v>
      </c>
      <c r="EK91" s="8">
        <f>+MINVU_Mes_Corriente!EK91*MINVU_Mes_Constante!$EC$1</f>
        <v>0</v>
      </c>
      <c r="EL91" s="8">
        <f>+MINVU_Mes_Corriente!EL91*MINVU_Mes_Constante!$EC$1</f>
        <v>0</v>
      </c>
      <c r="EM91" s="8">
        <f>+MINVU_Mes_Corriente!EM91*MINVU_Mes_Constante!$EC$1</f>
        <v>0</v>
      </c>
      <c r="EN91" s="8">
        <f>+MINVU_Mes_Corriente!EN91*MINVU_Mes_Constante!$EC$1</f>
        <v>0</v>
      </c>
      <c r="EO91" s="9">
        <f t="shared" si="67"/>
        <v>0</v>
      </c>
      <c r="EP91" s="8">
        <f>+MINVU_Mes_Corriente!EP91*MINVU_Mes_Constante!$EP$1</f>
        <v>6200</v>
      </c>
      <c r="EQ91" s="8">
        <f>+MINVU_Mes_Corriente!EQ91*MINVU_Mes_Constante!$EP$1</f>
        <v>6200</v>
      </c>
      <c r="ER91" s="8">
        <f>+MINVU_Mes_Corriente!ER91*MINVU_Mes_Constante!$EP$1</f>
        <v>6200</v>
      </c>
      <c r="ES91" s="8">
        <f>+MINVU_Mes_Corriente!ES91*MINVU_Mes_Constante!$EP$1</f>
        <v>6200</v>
      </c>
      <c r="ET91" s="8">
        <f>+MINVU_Mes_Corriente!ET91*MINVU_Mes_Constante!$EP$1</f>
        <v>6200</v>
      </c>
      <c r="EU91" s="8">
        <f>+MINVU_Mes_Corriente!EU91*MINVU_Mes_Constante!$EP$1</f>
        <v>6200</v>
      </c>
      <c r="EV91" s="8">
        <f>+MINVU_Mes_Corriente!EV91*MINVU_Mes_Constante!$EP$1</f>
        <v>6200</v>
      </c>
      <c r="EW91" s="8">
        <f>+MINVU_Mes_Corriente!EW91*MINVU_Mes_Constante!$EP$1</f>
        <v>6200</v>
      </c>
      <c r="EX91" s="8">
        <f>+MINVU_Mes_Corriente!EX91*MINVU_Mes_Constante!$EP$1</f>
        <v>6200</v>
      </c>
      <c r="EY91" s="8">
        <f>+MINVU_Mes_Corriente!EY91*MINVU_Mes_Constante!$EP$1</f>
        <v>6200</v>
      </c>
      <c r="EZ91" s="8">
        <f>+MINVU_Mes_Corriente!EZ91*MINVU_Mes_Constante!$EP$1</f>
        <v>6200</v>
      </c>
      <c r="FA91" s="8">
        <f>+MINVU_Mes_Corriente!FA91*MINVU_Mes_Constante!$EP$1</f>
        <v>6200</v>
      </c>
      <c r="FB91" s="9">
        <f t="shared" si="68"/>
        <v>6200</v>
      </c>
      <c r="FC91" s="8">
        <f>+MINVU_Mes_Corriente!FC91*MINVU_Mes_Constante!$FC$1</f>
        <v>10</v>
      </c>
      <c r="FD91" s="8">
        <f>+MINVU_Mes_Corriente!FD91*MINVU_Mes_Constante!$FC$1</f>
        <v>10</v>
      </c>
      <c r="FE91" s="8">
        <f>+MINVU_Mes_Corriente!FE91*MINVU_Mes_Constante!$FC$1</f>
        <v>10</v>
      </c>
      <c r="FF91" s="8">
        <f>+MINVU_Mes_Corriente!FF91*MINVU_Mes_Constante!$FC$1</f>
        <v>10</v>
      </c>
      <c r="FG91" s="8">
        <f>+MINVU_Mes_Corriente!FG91*MINVU_Mes_Constante!$FC$1</f>
        <v>10</v>
      </c>
      <c r="FH91" s="8">
        <f>+MINVU_Mes_Corriente!FH91*MINVU_Mes_Constante!$FC$1</f>
        <v>10</v>
      </c>
      <c r="FI91" s="8">
        <f>+MINVU_Mes_Corriente!FI91*MINVU_Mes_Constante!$FC$1</f>
        <v>10</v>
      </c>
      <c r="FJ91" s="8"/>
      <c r="FK91" s="8"/>
      <c r="FL91" s="8"/>
      <c r="FM91" s="8"/>
      <c r="FN91" s="8"/>
      <c r="FO91" s="9">
        <f t="shared" si="69"/>
        <v>10</v>
      </c>
    </row>
    <row r="92" spans="2:171" ht="14.25" customHeight="1" x14ac:dyDescent="0.3">
      <c r="B92" s="7" t="s">
        <v>58</v>
      </c>
      <c r="C92" s="8">
        <f>+MINVU_Mes_Corriente!C92*MINVU_Mes_Constante!$C$1</f>
        <v>17540.25656236097</v>
      </c>
      <c r="D92" s="8">
        <f>+MINVU_Mes_Corriente!D92*MINVU_Mes_Constante!$C$1</f>
        <v>17540.25656236097</v>
      </c>
      <c r="E92" s="8">
        <f>+MINVU_Mes_Corriente!E92*MINVU_Mes_Constante!$C$1</f>
        <v>17540.25656236097</v>
      </c>
      <c r="F92" s="8">
        <f>+MINVU_Mes_Corriente!F92*MINVU_Mes_Constante!$C$1</f>
        <v>17540.25656236097</v>
      </c>
      <c r="G92" s="8">
        <f>+MINVU_Mes_Corriente!G92*MINVU_Mes_Constante!$C$1</f>
        <v>17540.25656236097</v>
      </c>
      <c r="H92" s="8">
        <f>+MINVU_Mes_Corriente!H92*MINVU_Mes_Constante!$C$1</f>
        <v>17540.25656236097</v>
      </c>
      <c r="I92" s="8">
        <f>+MINVU_Mes_Corriente!I92*MINVU_Mes_Constante!$C$1</f>
        <v>17540.25656236097</v>
      </c>
      <c r="J92" s="8">
        <f>+MINVU_Mes_Corriente!J92*MINVU_Mes_Constante!$C$1</f>
        <v>17540.25656236097</v>
      </c>
      <c r="K92" s="8">
        <f>+MINVU_Mes_Corriente!K92*MINVU_Mes_Constante!$C$1</f>
        <v>17540.25656236097</v>
      </c>
      <c r="L92" s="8">
        <f>+MINVU_Mes_Corriente!L92*MINVU_Mes_Constante!$C$1</f>
        <v>17540.25656236097</v>
      </c>
      <c r="M92" s="8">
        <f>+MINVU_Mes_Corriente!M92*MINVU_Mes_Constante!$C$1</f>
        <v>17540.25656236097</v>
      </c>
      <c r="N92" s="8">
        <f>+MINVU_Mes_Corriente!N92*MINVU_Mes_Constante!$C$1</f>
        <v>17540.25656236097</v>
      </c>
      <c r="O92" s="9">
        <f t="shared" si="57"/>
        <v>17540.25656236097</v>
      </c>
      <c r="P92" s="8">
        <f>+MINVU_Mes_Corriente!P92*MINVU_Mes_Constante!$P$1</f>
        <v>18693.254439551067</v>
      </c>
      <c r="Q92" s="8">
        <f>+MINVU_Mes_Corriente!Q92*MINVU_Mes_Constante!$P$1</f>
        <v>18693.254439551067</v>
      </c>
      <c r="R92" s="8">
        <f>+MINVU_Mes_Corriente!R92*MINVU_Mes_Constante!$P$1</f>
        <v>18693.254439551067</v>
      </c>
      <c r="S92" s="8">
        <f>+MINVU_Mes_Corriente!S92*MINVU_Mes_Constante!$P$1</f>
        <v>18693.254439551067</v>
      </c>
      <c r="T92" s="8">
        <f>+MINVU_Mes_Corriente!T92*MINVU_Mes_Constante!$P$1</f>
        <v>18693.254439551067</v>
      </c>
      <c r="U92" s="8">
        <f>+MINVU_Mes_Corriente!U92*MINVU_Mes_Constante!$P$1</f>
        <v>18693.254439551067</v>
      </c>
      <c r="V92" s="8">
        <f>+MINVU_Mes_Corriente!V92*MINVU_Mes_Constante!$P$1</f>
        <v>18693.254439551067</v>
      </c>
      <c r="W92" s="8">
        <f>+MINVU_Mes_Corriente!W92*MINVU_Mes_Constante!$P$1</f>
        <v>18693.254439551067</v>
      </c>
      <c r="X92" s="8">
        <f>+MINVU_Mes_Corriente!X92*MINVU_Mes_Constante!$P$1</f>
        <v>18693.254439551067</v>
      </c>
      <c r="Y92" s="8">
        <f>+MINVU_Mes_Corriente!Y92*MINVU_Mes_Constante!$P$1</f>
        <v>18693.254439551067</v>
      </c>
      <c r="Z92" s="8">
        <f>+MINVU_Mes_Corriente!Z92*MINVU_Mes_Constante!$P$1</f>
        <v>18693.254439551067</v>
      </c>
      <c r="AA92" s="8">
        <f>+MINVU_Mes_Corriente!AA92*MINVU_Mes_Constante!$P$1</f>
        <v>18693.254439551067</v>
      </c>
      <c r="AB92" s="9">
        <f t="shared" si="58"/>
        <v>18693.254439551067</v>
      </c>
      <c r="AC92" s="8">
        <f>+MINVU_Mes_Corriente!AC92*MINVU_Mes_Constante!$AC$1</f>
        <v>21235.343754322865</v>
      </c>
      <c r="AD92" s="8">
        <f>+MINVU_Mes_Corriente!AD92*MINVU_Mes_Constante!$AC$1</f>
        <v>21235.343754322865</v>
      </c>
      <c r="AE92" s="8">
        <f>+MINVU_Mes_Corriente!AE92*MINVU_Mes_Constante!$AC$1</f>
        <v>21235.343754322865</v>
      </c>
      <c r="AF92" s="8">
        <f>+MINVU_Mes_Corriente!AF92*MINVU_Mes_Constante!$AC$1</f>
        <v>21235.343754322865</v>
      </c>
      <c r="AG92" s="8">
        <f>+MINVU_Mes_Corriente!AG92*MINVU_Mes_Constante!$AC$1</f>
        <v>21235.343754322865</v>
      </c>
      <c r="AH92" s="8">
        <f>+MINVU_Mes_Corriente!AH92*MINVU_Mes_Constante!$AC$1</f>
        <v>21235.343754322865</v>
      </c>
      <c r="AI92" s="8">
        <f>+MINVU_Mes_Corriente!AI92*MINVU_Mes_Constante!$AC$1</f>
        <v>21235.343754322865</v>
      </c>
      <c r="AJ92" s="8">
        <f>+MINVU_Mes_Corriente!AJ92*MINVU_Mes_Constante!$AC$1</f>
        <v>21235.343754322865</v>
      </c>
      <c r="AK92" s="8">
        <f>+MINVU_Mes_Corriente!AK92*MINVU_Mes_Constante!$AC$1</f>
        <v>21235.343754322865</v>
      </c>
      <c r="AL92" s="8">
        <f>+MINVU_Mes_Corriente!AL92*MINVU_Mes_Constante!$AC$1</f>
        <v>21235.343754322865</v>
      </c>
      <c r="AM92" s="8">
        <f>+MINVU_Mes_Corriente!AM92*MINVU_Mes_Constante!$AC$1</f>
        <v>21235.343754322865</v>
      </c>
      <c r="AN92" s="8">
        <f>+MINVU_Mes_Corriente!AN92*MINVU_Mes_Constante!$AC$1</f>
        <v>21235.343754322865</v>
      </c>
      <c r="AO92" s="9">
        <f t="shared" si="59"/>
        <v>21235.343754322865</v>
      </c>
      <c r="AP92" s="8">
        <f>+MINVU_Mes_Corriente!AP92*MINVU_Mes_Constante!$AP$1</f>
        <v>19788.873258487758</v>
      </c>
      <c r="AQ92" s="8">
        <f>+MINVU_Mes_Corriente!AQ92*MINVU_Mes_Constante!$AP$1</f>
        <v>19788.873258487758</v>
      </c>
      <c r="AR92" s="8">
        <f>+MINVU_Mes_Corriente!AR92*MINVU_Mes_Constante!$AP$1</f>
        <v>19788.873258487758</v>
      </c>
      <c r="AS92" s="8">
        <f>+MINVU_Mes_Corriente!AS92*MINVU_Mes_Constante!$AP$1</f>
        <v>19788.873258487758</v>
      </c>
      <c r="AT92" s="8">
        <f>+MINVU_Mes_Corriente!AT92*MINVU_Mes_Constante!$AP$1</f>
        <v>19788.873258487758</v>
      </c>
      <c r="AU92" s="8">
        <f>+MINVU_Mes_Corriente!AU92*MINVU_Mes_Constante!$AP$1</f>
        <v>19788.873258487758</v>
      </c>
      <c r="AV92" s="8">
        <f>+MINVU_Mes_Corriente!AV92*MINVU_Mes_Constante!$AP$1</f>
        <v>19788.873258487758</v>
      </c>
      <c r="AW92" s="8">
        <f>+MINVU_Mes_Corriente!AW92*MINVU_Mes_Constante!$AP$1</f>
        <v>19788.873258487758</v>
      </c>
      <c r="AX92" s="8">
        <f>+MINVU_Mes_Corriente!AX92*MINVU_Mes_Constante!$AP$1</f>
        <v>19788.873258487758</v>
      </c>
      <c r="AY92" s="8">
        <f>+MINVU_Mes_Corriente!AY92*MINVU_Mes_Constante!$AP$1</f>
        <v>19788.873258487758</v>
      </c>
      <c r="AZ92" s="8">
        <f>+MINVU_Mes_Corriente!AZ92*MINVU_Mes_Constante!$AP$1</f>
        <v>19788.873258487758</v>
      </c>
      <c r="BA92" s="8">
        <f>+MINVU_Mes_Corriente!BA92*MINVU_Mes_Constante!$AP$1</f>
        <v>19788.873258487758</v>
      </c>
      <c r="BB92" s="9">
        <f t="shared" si="60"/>
        <v>19788.873258487758</v>
      </c>
      <c r="BC92" s="8">
        <f>+MINVU_Mes_Corriente!BC92*MINVU_Mes_Constante!$BC$1</f>
        <v>21027.831201371493</v>
      </c>
      <c r="BD92" s="8">
        <f>+MINVU_Mes_Corriente!BD92*MINVU_Mes_Constante!$BC$1</f>
        <v>21027.831201371493</v>
      </c>
      <c r="BE92" s="8">
        <f>+MINVU_Mes_Corriente!BE92*MINVU_Mes_Constante!$BC$1</f>
        <v>21027.831201371493</v>
      </c>
      <c r="BF92" s="8">
        <f>+MINVU_Mes_Corriente!BF92*MINVU_Mes_Constante!$BC$1</f>
        <v>21027.831201371493</v>
      </c>
      <c r="BG92" s="8">
        <f>+MINVU_Mes_Corriente!BG92*MINVU_Mes_Constante!$BC$1</f>
        <v>21027.831201371493</v>
      </c>
      <c r="BH92" s="8">
        <f>+MINVU_Mes_Corriente!BH92*MINVU_Mes_Constante!$BC$1</f>
        <v>21027.831201371493</v>
      </c>
      <c r="BI92" s="8">
        <f>+MINVU_Mes_Corriente!BI92*MINVU_Mes_Constante!$BC$1</f>
        <v>21027.831201371493</v>
      </c>
      <c r="BJ92" s="8">
        <f>+MINVU_Mes_Corriente!BJ92*MINVU_Mes_Constante!$BC$1</f>
        <v>21027.831201371493</v>
      </c>
      <c r="BK92" s="8">
        <f>+MINVU_Mes_Corriente!BK92*MINVU_Mes_Constante!$BC$1</f>
        <v>21027.831201371493</v>
      </c>
      <c r="BL92" s="8">
        <f>+MINVU_Mes_Corriente!BL92*MINVU_Mes_Constante!$BC$1</f>
        <v>21027.831201371493</v>
      </c>
      <c r="BM92" s="8">
        <f>+MINVU_Mes_Corriente!BM92*MINVU_Mes_Constante!$BC$1</f>
        <v>21027.831201371493</v>
      </c>
      <c r="BN92" s="8">
        <f>+MINVU_Mes_Corriente!BN92*MINVU_Mes_Constante!$BC$1</f>
        <v>21027.831201371493</v>
      </c>
      <c r="BO92" s="9">
        <f t="shared" si="61"/>
        <v>21027.831201371493</v>
      </c>
      <c r="BP92" s="8">
        <f>+MINVU_Mes_Corriente!BP92*MINVU_Mes_Constante!$BP$1</f>
        <v>9340.9605633802821</v>
      </c>
      <c r="BQ92" s="8">
        <f>+MINVU_Mes_Corriente!BQ92*MINVU_Mes_Constante!$BP$1</f>
        <v>9340.9605633802821</v>
      </c>
      <c r="BR92" s="8">
        <f>+MINVU_Mes_Corriente!BR92*MINVU_Mes_Constante!$BP$1</f>
        <v>9340.9605633802821</v>
      </c>
      <c r="BS92" s="8">
        <f>+MINVU_Mes_Corriente!BS92*MINVU_Mes_Constante!$BP$1</f>
        <v>9340.9605633802821</v>
      </c>
      <c r="BT92" s="8">
        <f>+MINVU_Mes_Corriente!BT92*MINVU_Mes_Constante!$BP$1</f>
        <v>9340.9605633802821</v>
      </c>
      <c r="BU92" s="8">
        <f>+MINVU_Mes_Corriente!BU92*MINVU_Mes_Constante!$BP$1</f>
        <v>9340.9605633802821</v>
      </c>
      <c r="BV92" s="8">
        <f>+MINVU_Mes_Corriente!BV92*MINVU_Mes_Constante!$BP$1</f>
        <v>9340.9605633802821</v>
      </c>
      <c r="BW92" s="8">
        <f>+MINVU_Mes_Corriente!BW92*MINVU_Mes_Constante!$BP$1</f>
        <v>9340.9605633802821</v>
      </c>
      <c r="BX92" s="8">
        <f>+MINVU_Mes_Corriente!BX92*MINVU_Mes_Constante!$BP$1</f>
        <v>9340.9605633802821</v>
      </c>
      <c r="BY92" s="8">
        <f>+MINVU_Mes_Corriente!BY92*MINVU_Mes_Constante!$BP$1</f>
        <v>9340.9605633802821</v>
      </c>
      <c r="BZ92" s="8">
        <f>+MINVU_Mes_Corriente!BZ92*MINVU_Mes_Constante!$BP$1</f>
        <v>9340.9605633802821</v>
      </c>
      <c r="CA92" s="8">
        <f>+MINVU_Mes_Corriente!CA92*MINVU_Mes_Constante!$BP$1</f>
        <v>9340.9605633802821</v>
      </c>
      <c r="CB92" s="9">
        <f t="shared" si="62"/>
        <v>9340.9605633802821</v>
      </c>
      <c r="CC92" s="8">
        <f>+MINVU_Mes_Corriente!CC92*MINVU_Mes_Constante!$CC$1</f>
        <v>9306.7295785154802</v>
      </c>
      <c r="CD92" s="8">
        <f>+MINVU_Mes_Corriente!CD92*MINVU_Mes_Constante!$CC$1</f>
        <v>9306.7295785154802</v>
      </c>
      <c r="CE92" s="8">
        <f>+MINVU_Mes_Corriente!CE92*MINVU_Mes_Constante!$CC$1</f>
        <v>9306.7295785154802</v>
      </c>
      <c r="CF92" s="8">
        <f>+MINVU_Mes_Corriente!CF92*MINVU_Mes_Constante!$CC$1</f>
        <v>9306.7295785154802</v>
      </c>
      <c r="CG92" s="8">
        <f>+MINVU_Mes_Corriente!CG92*MINVU_Mes_Constante!$CC$1</f>
        <v>9306.7295785154802</v>
      </c>
      <c r="CH92" s="8">
        <f>+MINVU_Mes_Corriente!CH92*MINVU_Mes_Constante!$CC$1</f>
        <v>9306.7295785154802</v>
      </c>
      <c r="CI92" s="8">
        <f>+MINVU_Mes_Corriente!CI92*MINVU_Mes_Constante!$CC$1</f>
        <v>9306.7295785154802</v>
      </c>
      <c r="CJ92" s="8">
        <f>+MINVU_Mes_Corriente!CJ92*MINVU_Mes_Constante!$CC$1</f>
        <v>9306.7295785154802</v>
      </c>
      <c r="CK92" s="8">
        <f>+MINVU_Mes_Corriente!CK92*MINVU_Mes_Constante!$CC$1</f>
        <v>9306.7295785154802</v>
      </c>
      <c r="CL92" s="8">
        <f>+MINVU_Mes_Corriente!CL92*MINVU_Mes_Constante!$CC$1</f>
        <v>9306.7295785154802</v>
      </c>
      <c r="CM92" s="8">
        <f>+MINVU_Mes_Corriente!CM92*MINVU_Mes_Constante!$CC$1</f>
        <v>9306.7295785154802</v>
      </c>
      <c r="CN92" s="8">
        <f>+MINVU_Mes_Corriente!CN92*MINVU_Mes_Constante!$CC$1</f>
        <v>9306.7295785154802</v>
      </c>
      <c r="CO92" s="9">
        <f t="shared" si="63"/>
        <v>9306.7295785154802</v>
      </c>
      <c r="CP92" s="8">
        <f>+MINVU_Mes_Corriente!CP92*MINVU_Mes_Constante!$CP$1</f>
        <v>12014.797447795821</v>
      </c>
      <c r="CQ92" s="8">
        <f>+MINVU_Mes_Corriente!CQ92*MINVU_Mes_Constante!$CP$1</f>
        <v>12014.797447795821</v>
      </c>
      <c r="CR92" s="8">
        <f>+MINVU_Mes_Corriente!CR92*MINVU_Mes_Constante!$CP$1</f>
        <v>12014.797447795821</v>
      </c>
      <c r="CS92" s="8">
        <f>+MINVU_Mes_Corriente!CS92*MINVU_Mes_Constante!$CP$1</f>
        <v>12014.797447795821</v>
      </c>
      <c r="CT92" s="8">
        <f>+MINVU_Mes_Corriente!CT92*MINVU_Mes_Constante!$CP$1</f>
        <v>12014.797447795821</v>
      </c>
      <c r="CU92" s="8">
        <f>+MINVU_Mes_Corriente!CU92*MINVU_Mes_Constante!$CP$1</f>
        <v>12014.797447795821</v>
      </c>
      <c r="CV92" s="8">
        <f>+MINVU_Mes_Corriente!CV92*MINVU_Mes_Constante!$CP$1</f>
        <v>12014.797447795821</v>
      </c>
      <c r="CW92" s="8">
        <f>+MINVU_Mes_Corriente!CW92*MINVU_Mes_Constante!$CP$1</f>
        <v>12014.797447795821</v>
      </c>
      <c r="CX92" s="8">
        <f>+MINVU_Mes_Corriente!CX92*MINVU_Mes_Constante!$CP$1</f>
        <v>12014.797447795821</v>
      </c>
      <c r="CY92" s="8">
        <f>+MINVU_Mes_Corriente!CY92*MINVU_Mes_Constante!$CP$1</f>
        <v>12014.797447795821</v>
      </c>
      <c r="CZ92" s="8">
        <f>+MINVU_Mes_Corriente!CZ92*MINVU_Mes_Constante!$CP$1</f>
        <v>12014.797447795821</v>
      </c>
      <c r="DA92" s="8">
        <f>+MINVU_Mes_Corriente!DA92*MINVU_Mes_Constante!$CP$1</f>
        <v>12014.797447795821</v>
      </c>
      <c r="DB92" s="9">
        <f t="shared" si="64"/>
        <v>12014.797447795821</v>
      </c>
      <c r="DC92" s="8">
        <f>+MINVU_Mes_Corriente!DC92*MINVU_Mes_Constante!$DC$1</f>
        <v>0</v>
      </c>
      <c r="DD92" s="8">
        <f>+MINVU_Mes_Corriente!DD92*MINVU_Mes_Constante!$DC$1</f>
        <v>0</v>
      </c>
      <c r="DE92" s="8">
        <f>+MINVU_Mes_Corriente!DE92*MINVU_Mes_Constante!$DC$1</f>
        <v>0</v>
      </c>
      <c r="DF92" s="8">
        <f>+MINVU_Mes_Corriente!DF92*MINVU_Mes_Constante!$DC$1</f>
        <v>0</v>
      </c>
      <c r="DG92" s="8">
        <f>+MINVU_Mes_Corriente!DG92*MINVU_Mes_Constante!$DC$1</f>
        <v>0</v>
      </c>
      <c r="DH92" s="8">
        <f>+MINVU_Mes_Corriente!DH92*MINVU_Mes_Constante!$DC$1</f>
        <v>0</v>
      </c>
      <c r="DI92" s="8">
        <f>+MINVU_Mes_Corriente!DI92*MINVU_Mes_Constante!$DC$1</f>
        <v>0</v>
      </c>
      <c r="DJ92" s="8">
        <f>+MINVU_Mes_Corriente!DJ92*MINVU_Mes_Constante!$DC$1</f>
        <v>0</v>
      </c>
      <c r="DK92" s="8">
        <f>+MINVU_Mes_Corriente!DK92*MINVU_Mes_Constante!$DC$1</f>
        <v>0</v>
      </c>
      <c r="DL92" s="8">
        <f>+MINVU_Mes_Corriente!DL92*MINVU_Mes_Constante!$DC$1</f>
        <v>0</v>
      </c>
      <c r="DM92" s="8">
        <f>+MINVU_Mes_Corriente!DM92*MINVU_Mes_Constante!$DC$1</f>
        <v>0</v>
      </c>
      <c r="DN92" s="8">
        <f>+MINVU_Mes_Corriente!DN92*MINVU_Mes_Constante!$DC$1</f>
        <v>0</v>
      </c>
      <c r="DO92" s="9">
        <f t="shared" si="65"/>
        <v>0</v>
      </c>
      <c r="DP92" s="8">
        <f>+MINVU_Mes_Corriente!DP92*MINVU_Mes_Constante!$DP$1</f>
        <v>0</v>
      </c>
      <c r="DQ92" s="8">
        <f>+MINVU_Mes_Corriente!DQ92*MINVU_Mes_Constante!$DP$1</f>
        <v>0</v>
      </c>
      <c r="DR92" s="8">
        <f>+MINVU_Mes_Corriente!DR92*MINVU_Mes_Constante!$DP$1</f>
        <v>0</v>
      </c>
      <c r="DS92" s="8">
        <f>+MINVU_Mes_Corriente!DS92*MINVU_Mes_Constante!$DP$1</f>
        <v>0</v>
      </c>
      <c r="DT92" s="8">
        <f>+MINVU_Mes_Corriente!DT92*MINVU_Mes_Constante!$DP$1</f>
        <v>0</v>
      </c>
      <c r="DU92" s="8">
        <f>+MINVU_Mes_Corriente!DU92*MINVU_Mes_Constante!$DP$1</f>
        <v>0</v>
      </c>
      <c r="DV92" s="8">
        <f>+MINVU_Mes_Corriente!DV92*MINVU_Mes_Constante!$DP$1</f>
        <v>0</v>
      </c>
      <c r="DW92" s="8">
        <f>+MINVU_Mes_Corriente!DW92*MINVU_Mes_Constante!$DP$1</f>
        <v>0</v>
      </c>
      <c r="DX92" s="8">
        <f>+MINVU_Mes_Corriente!DX92*MINVU_Mes_Constante!$DP$1</f>
        <v>0</v>
      </c>
      <c r="DY92" s="8">
        <f>+MINVU_Mes_Corriente!DY92*MINVU_Mes_Constante!$DP$1</f>
        <v>0</v>
      </c>
      <c r="DZ92" s="8">
        <f>+MINVU_Mes_Corriente!DZ92*MINVU_Mes_Constante!$DP$1</f>
        <v>0</v>
      </c>
      <c r="EA92" s="8">
        <f>+MINVU_Mes_Corriente!EA92*MINVU_Mes_Constante!$DP$1</f>
        <v>0</v>
      </c>
      <c r="EB92" s="9">
        <f t="shared" si="66"/>
        <v>0</v>
      </c>
      <c r="EC92" s="8">
        <f>+MINVU_Mes_Corriente!EC92*MINVU_Mes_Constante!$EC$1</f>
        <v>0</v>
      </c>
      <c r="ED92" s="8">
        <f>+MINVU_Mes_Corriente!ED92*MINVU_Mes_Constante!$EC$1</f>
        <v>0</v>
      </c>
      <c r="EE92" s="8">
        <f>+MINVU_Mes_Corriente!EE92*MINVU_Mes_Constante!$EC$1</f>
        <v>0</v>
      </c>
      <c r="EF92" s="8">
        <f>+MINVU_Mes_Corriente!EF92*MINVU_Mes_Constante!$EC$1</f>
        <v>0</v>
      </c>
      <c r="EG92" s="8">
        <f>+MINVU_Mes_Corriente!EG92*MINVU_Mes_Constante!$EC$1</f>
        <v>0</v>
      </c>
      <c r="EH92" s="8">
        <f>+MINVU_Mes_Corriente!EH92*MINVU_Mes_Constante!$EC$1</f>
        <v>0</v>
      </c>
      <c r="EI92" s="8">
        <f>+MINVU_Mes_Corriente!EI92*MINVU_Mes_Constante!$EC$1</f>
        <v>0</v>
      </c>
      <c r="EJ92" s="8">
        <f>+MINVU_Mes_Corriente!EJ92*MINVU_Mes_Constante!$EC$1</f>
        <v>0</v>
      </c>
      <c r="EK92" s="8">
        <f>+MINVU_Mes_Corriente!EK92*MINVU_Mes_Constante!$EC$1</f>
        <v>0</v>
      </c>
      <c r="EL92" s="8">
        <f>+MINVU_Mes_Corriente!EL92*MINVU_Mes_Constante!$EC$1</f>
        <v>0</v>
      </c>
      <c r="EM92" s="8">
        <f>+MINVU_Mes_Corriente!EM92*MINVU_Mes_Constante!$EC$1</f>
        <v>0</v>
      </c>
      <c r="EN92" s="8">
        <f>+MINVU_Mes_Corriente!EN92*MINVU_Mes_Constante!$EC$1</f>
        <v>0</v>
      </c>
      <c r="EO92" s="9">
        <f t="shared" si="67"/>
        <v>0</v>
      </c>
      <c r="EP92" s="8">
        <f>+MINVU_Mes_Corriente!EP92*MINVU_Mes_Constante!$EP$1</f>
        <v>2084</v>
      </c>
      <c r="EQ92" s="8">
        <f>+MINVU_Mes_Corriente!EQ92*MINVU_Mes_Constante!$EP$1</f>
        <v>2084</v>
      </c>
      <c r="ER92" s="8">
        <f>+MINVU_Mes_Corriente!ER92*MINVU_Mes_Constante!$EP$1</f>
        <v>2084</v>
      </c>
      <c r="ES92" s="8">
        <f>+MINVU_Mes_Corriente!ES92*MINVU_Mes_Constante!$EP$1</f>
        <v>2084</v>
      </c>
      <c r="ET92" s="8">
        <f>+MINVU_Mes_Corriente!ET92*MINVU_Mes_Constante!$EP$1</f>
        <v>2084</v>
      </c>
      <c r="EU92" s="8">
        <f>+MINVU_Mes_Corriente!EU92*MINVU_Mes_Constante!$EP$1</f>
        <v>2084</v>
      </c>
      <c r="EV92" s="8">
        <f>+MINVU_Mes_Corriente!EV92*MINVU_Mes_Constante!$EP$1</f>
        <v>2084</v>
      </c>
      <c r="EW92" s="8">
        <f>+MINVU_Mes_Corriente!EW92*MINVU_Mes_Constante!$EP$1</f>
        <v>2084</v>
      </c>
      <c r="EX92" s="8">
        <f>+MINVU_Mes_Corriente!EX92*MINVU_Mes_Constante!$EP$1</f>
        <v>2084</v>
      </c>
      <c r="EY92" s="8">
        <f>+MINVU_Mes_Corriente!EY92*MINVU_Mes_Constante!$EP$1</f>
        <v>2084</v>
      </c>
      <c r="EZ92" s="8">
        <f>+MINVU_Mes_Corriente!EZ92*MINVU_Mes_Constante!$EP$1</f>
        <v>2084</v>
      </c>
      <c r="FA92" s="8">
        <f>+MINVU_Mes_Corriente!FA92*MINVU_Mes_Constante!$EP$1</f>
        <v>2084</v>
      </c>
      <c r="FB92" s="9">
        <f t="shared" si="68"/>
        <v>2084</v>
      </c>
      <c r="FC92" s="8">
        <f>+MINVU_Mes_Corriente!FC92*MINVU_Mes_Constante!$FC$1</f>
        <v>10</v>
      </c>
      <c r="FD92" s="8">
        <f>+MINVU_Mes_Corriente!FD92*MINVU_Mes_Constante!$FC$1</f>
        <v>10</v>
      </c>
      <c r="FE92" s="8">
        <f>+MINVU_Mes_Corriente!FE92*MINVU_Mes_Constante!$FC$1</f>
        <v>10</v>
      </c>
      <c r="FF92" s="8">
        <f>+MINVU_Mes_Corriente!FF92*MINVU_Mes_Constante!$FC$1</f>
        <v>10</v>
      </c>
      <c r="FG92" s="8">
        <f>+MINVU_Mes_Corriente!FG92*MINVU_Mes_Constante!$FC$1</f>
        <v>10</v>
      </c>
      <c r="FH92" s="8">
        <f>+MINVU_Mes_Corriente!FH92*MINVU_Mes_Constante!$FC$1</f>
        <v>10</v>
      </c>
      <c r="FI92" s="8">
        <f>+MINVU_Mes_Corriente!FI92*MINVU_Mes_Constante!$FC$1</f>
        <v>10</v>
      </c>
      <c r="FJ92" s="8"/>
      <c r="FK92" s="8"/>
      <c r="FL92" s="8"/>
      <c r="FM92" s="8"/>
      <c r="FN92" s="8"/>
      <c r="FO92" s="9">
        <f t="shared" si="69"/>
        <v>10</v>
      </c>
    </row>
    <row r="93" spans="2:171" ht="14.25" customHeight="1" x14ac:dyDescent="0.3">
      <c r="B93" s="7" t="s">
        <v>59</v>
      </c>
      <c r="C93" s="8">
        <f>+MINVU_Mes_Corriente!C93*MINVU_Mes_Constante!$C$1</f>
        <v>13871.790894260717</v>
      </c>
      <c r="D93" s="8">
        <f>+MINVU_Mes_Corriente!D93*MINVU_Mes_Constante!$C$1</f>
        <v>13871.790894260717</v>
      </c>
      <c r="E93" s="8">
        <f>+MINVU_Mes_Corriente!E93*MINVU_Mes_Constante!$C$1</f>
        <v>13871.790894260717</v>
      </c>
      <c r="F93" s="8">
        <f>+MINVU_Mes_Corriente!F93*MINVU_Mes_Constante!$C$1</f>
        <v>13871.790894260717</v>
      </c>
      <c r="G93" s="8">
        <f>+MINVU_Mes_Corriente!G93*MINVU_Mes_Constante!$C$1</f>
        <v>13871.790894260717</v>
      </c>
      <c r="H93" s="8">
        <f>+MINVU_Mes_Corriente!H93*MINVU_Mes_Constante!$C$1</f>
        <v>13871.790894260717</v>
      </c>
      <c r="I93" s="8">
        <f>+MINVU_Mes_Corriente!I93*MINVU_Mes_Constante!$C$1</f>
        <v>13871.790894260717</v>
      </c>
      <c r="J93" s="8">
        <f>+MINVU_Mes_Corriente!J93*MINVU_Mes_Constante!$C$1</f>
        <v>13871.790894260717</v>
      </c>
      <c r="K93" s="8">
        <f>+MINVU_Mes_Corriente!K93*MINVU_Mes_Constante!$C$1</f>
        <v>13871.790894260717</v>
      </c>
      <c r="L93" s="8">
        <f>+MINVU_Mes_Corriente!L93*MINVU_Mes_Constante!$C$1</f>
        <v>13871.790894260717</v>
      </c>
      <c r="M93" s="8">
        <f>+MINVU_Mes_Corriente!M93*MINVU_Mes_Constante!$C$1</f>
        <v>13871.790894260717</v>
      </c>
      <c r="N93" s="8">
        <f>+MINVU_Mes_Corriente!N93*MINVU_Mes_Constante!$C$1</f>
        <v>13871.790894260717</v>
      </c>
      <c r="O93" s="9">
        <f t="shared" si="57"/>
        <v>13871.790894260717</v>
      </c>
      <c r="P93" s="8">
        <f>+MINVU_Mes_Corriente!P93*MINVU_Mes_Constante!$P$1</f>
        <v>24815.167211251588</v>
      </c>
      <c r="Q93" s="8">
        <f>+MINVU_Mes_Corriente!Q93*MINVU_Mes_Constante!$P$1</f>
        <v>24815.167211251588</v>
      </c>
      <c r="R93" s="8">
        <f>+MINVU_Mes_Corriente!R93*MINVU_Mes_Constante!$P$1</f>
        <v>24815.167211251588</v>
      </c>
      <c r="S93" s="8">
        <f>+MINVU_Mes_Corriente!S93*MINVU_Mes_Constante!$P$1</f>
        <v>24815.167211251588</v>
      </c>
      <c r="T93" s="8">
        <f>+MINVU_Mes_Corriente!T93*MINVU_Mes_Constante!$P$1</f>
        <v>24815.167211251588</v>
      </c>
      <c r="U93" s="8">
        <f>+MINVU_Mes_Corriente!U93*MINVU_Mes_Constante!$P$1</f>
        <v>24815.167211251588</v>
      </c>
      <c r="V93" s="8">
        <f>+MINVU_Mes_Corriente!V93*MINVU_Mes_Constante!$P$1</f>
        <v>24815.167211251588</v>
      </c>
      <c r="W93" s="8">
        <f>+MINVU_Mes_Corriente!W93*MINVU_Mes_Constante!$P$1</f>
        <v>24815.167211251588</v>
      </c>
      <c r="X93" s="8">
        <f>+MINVU_Mes_Corriente!X93*MINVU_Mes_Constante!$P$1</f>
        <v>24815.167211251588</v>
      </c>
      <c r="Y93" s="8">
        <f>+MINVU_Mes_Corriente!Y93*MINVU_Mes_Constante!$P$1</f>
        <v>24815.167211251588</v>
      </c>
      <c r="Z93" s="8">
        <f>+MINVU_Mes_Corriente!Z93*MINVU_Mes_Constante!$P$1</f>
        <v>24815.167211251588</v>
      </c>
      <c r="AA93" s="8">
        <f>+MINVU_Mes_Corriente!AA93*MINVU_Mes_Constante!$P$1</f>
        <v>24815.167211251588</v>
      </c>
      <c r="AB93" s="9">
        <f t="shared" si="58"/>
        <v>24815.167211251588</v>
      </c>
      <c r="AC93" s="8">
        <f>+MINVU_Mes_Corriente!AC93*MINVU_Mes_Constante!$AC$1</f>
        <v>26892.560243463828</v>
      </c>
      <c r="AD93" s="8">
        <f>+MINVU_Mes_Corriente!AD93*MINVU_Mes_Constante!$AC$1</f>
        <v>26892.560243463828</v>
      </c>
      <c r="AE93" s="8">
        <f>+MINVU_Mes_Corriente!AE93*MINVU_Mes_Constante!$AC$1</f>
        <v>26892.560243463828</v>
      </c>
      <c r="AF93" s="8">
        <f>+MINVU_Mes_Corriente!AF93*MINVU_Mes_Constante!$AC$1</f>
        <v>26892.560243463828</v>
      </c>
      <c r="AG93" s="8">
        <f>+MINVU_Mes_Corriente!AG93*MINVU_Mes_Constante!$AC$1</f>
        <v>26892.560243463828</v>
      </c>
      <c r="AH93" s="8">
        <f>+MINVU_Mes_Corriente!AH93*MINVU_Mes_Constante!$AC$1</f>
        <v>26892.560243463828</v>
      </c>
      <c r="AI93" s="8">
        <f>+MINVU_Mes_Corriente!AI93*MINVU_Mes_Constante!$AC$1</f>
        <v>26892.560243463828</v>
      </c>
      <c r="AJ93" s="8">
        <f>+MINVU_Mes_Corriente!AJ93*MINVU_Mes_Constante!$AC$1</f>
        <v>26892.560243463828</v>
      </c>
      <c r="AK93" s="8">
        <f>+MINVU_Mes_Corriente!AK93*MINVU_Mes_Constante!$AC$1</f>
        <v>26892.560243463828</v>
      </c>
      <c r="AL93" s="8">
        <f>+MINVU_Mes_Corriente!AL93*MINVU_Mes_Constante!$AC$1</f>
        <v>26892.560243463828</v>
      </c>
      <c r="AM93" s="8">
        <f>+MINVU_Mes_Corriente!AM93*MINVU_Mes_Constante!$AC$1</f>
        <v>26892.560243463828</v>
      </c>
      <c r="AN93" s="8">
        <f>+MINVU_Mes_Corriente!AN93*MINVU_Mes_Constante!$AC$1</f>
        <v>26892.560243463828</v>
      </c>
      <c r="AO93" s="9">
        <f t="shared" si="59"/>
        <v>26892.560243463828</v>
      </c>
      <c r="AP93" s="8">
        <f>+MINVU_Mes_Corriente!AP93*MINVU_Mes_Constante!$AP$1</f>
        <v>18266.652238604085</v>
      </c>
      <c r="AQ93" s="8">
        <f>+MINVU_Mes_Corriente!AQ93*MINVU_Mes_Constante!$AP$1</f>
        <v>18266.652238604085</v>
      </c>
      <c r="AR93" s="8">
        <f>+MINVU_Mes_Corriente!AR93*MINVU_Mes_Constante!$AP$1</f>
        <v>18266.652238604085</v>
      </c>
      <c r="AS93" s="8">
        <f>+MINVU_Mes_Corriente!AS93*MINVU_Mes_Constante!$AP$1</f>
        <v>18266.652238604085</v>
      </c>
      <c r="AT93" s="8">
        <f>+MINVU_Mes_Corriente!AT93*MINVU_Mes_Constante!$AP$1</f>
        <v>18266.652238604085</v>
      </c>
      <c r="AU93" s="8">
        <f>+MINVU_Mes_Corriente!AU93*MINVU_Mes_Constante!$AP$1</f>
        <v>18266.652238604085</v>
      </c>
      <c r="AV93" s="8">
        <f>+MINVU_Mes_Corriente!AV93*MINVU_Mes_Constante!$AP$1</f>
        <v>18266.652238604085</v>
      </c>
      <c r="AW93" s="8">
        <f>+MINVU_Mes_Corriente!AW93*MINVU_Mes_Constante!$AP$1</f>
        <v>18266.652238604085</v>
      </c>
      <c r="AX93" s="8">
        <f>+MINVU_Mes_Corriente!AX93*MINVU_Mes_Constante!$AP$1</f>
        <v>18266.652238604085</v>
      </c>
      <c r="AY93" s="8">
        <f>+MINVU_Mes_Corriente!AY93*MINVU_Mes_Constante!$AP$1</f>
        <v>18266.652238604085</v>
      </c>
      <c r="AZ93" s="8">
        <f>+MINVU_Mes_Corriente!AZ93*MINVU_Mes_Constante!$AP$1</f>
        <v>18266.652238604085</v>
      </c>
      <c r="BA93" s="8">
        <f>+MINVU_Mes_Corriente!BA93*MINVU_Mes_Constante!$AP$1</f>
        <v>18266.652238604085</v>
      </c>
      <c r="BB93" s="9">
        <f t="shared" si="60"/>
        <v>18266.652238604085</v>
      </c>
      <c r="BC93" s="8">
        <f>+MINVU_Mes_Corriente!BC93*MINVU_Mes_Constante!$BC$1</f>
        <v>18271.476460503764</v>
      </c>
      <c r="BD93" s="8">
        <f>+MINVU_Mes_Corriente!BD93*MINVU_Mes_Constante!$BC$1</f>
        <v>18271.476460503764</v>
      </c>
      <c r="BE93" s="8">
        <f>+MINVU_Mes_Corriente!BE93*MINVU_Mes_Constante!$BC$1</f>
        <v>18271.476460503764</v>
      </c>
      <c r="BF93" s="8">
        <f>+MINVU_Mes_Corriente!BF93*MINVU_Mes_Constante!$BC$1</f>
        <v>18271.476460503764</v>
      </c>
      <c r="BG93" s="8">
        <f>+MINVU_Mes_Corriente!BG93*MINVU_Mes_Constante!$BC$1</f>
        <v>18271.476460503764</v>
      </c>
      <c r="BH93" s="8">
        <f>+MINVU_Mes_Corriente!BH93*MINVU_Mes_Constante!$BC$1</f>
        <v>18271.476460503764</v>
      </c>
      <c r="BI93" s="8">
        <f>+MINVU_Mes_Corriente!BI93*MINVU_Mes_Constante!$BC$1</f>
        <v>18271.476460503764</v>
      </c>
      <c r="BJ93" s="8">
        <f>+MINVU_Mes_Corriente!BJ93*MINVU_Mes_Constante!$BC$1</f>
        <v>18271.476460503764</v>
      </c>
      <c r="BK93" s="8">
        <f>+MINVU_Mes_Corriente!BK93*MINVU_Mes_Constante!$BC$1</f>
        <v>18271.476460503764</v>
      </c>
      <c r="BL93" s="8">
        <f>+MINVU_Mes_Corriente!BL93*MINVU_Mes_Constante!$BC$1</f>
        <v>18271.476460503764</v>
      </c>
      <c r="BM93" s="8">
        <f>+MINVU_Mes_Corriente!BM93*MINVU_Mes_Constante!$BC$1</f>
        <v>18271.476460503764</v>
      </c>
      <c r="BN93" s="8">
        <f>+MINVU_Mes_Corriente!BN93*MINVU_Mes_Constante!$BC$1</f>
        <v>18271.476460503764</v>
      </c>
      <c r="BO93" s="9">
        <f t="shared" si="61"/>
        <v>18271.476460503764</v>
      </c>
      <c r="BP93" s="8">
        <f>+MINVU_Mes_Corriente!BP93*MINVU_Mes_Constante!$BP$1</f>
        <v>11001.544686299618</v>
      </c>
      <c r="BQ93" s="8">
        <f>+MINVU_Mes_Corriente!BQ93*MINVU_Mes_Constante!$BP$1</f>
        <v>11001.544686299618</v>
      </c>
      <c r="BR93" s="8">
        <f>+MINVU_Mes_Corriente!BR93*MINVU_Mes_Constante!$BP$1</f>
        <v>11001.544686299618</v>
      </c>
      <c r="BS93" s="8">
        <f>+MINVU_Mes_Corriente!BS93*MINVU_Mes_Constante!$BP$1</f>
        <v>11001.544686299618</v>
      </c>
      <c r="BT93" s="8">
        <f>+MINVU_Mes_Corriente!BT93*MINVU_Mes_Constante!$BP$1</f>
        <v>11001.544686299618</v>
      </c>
      <c r="BU93" s="8">
        <f>+MINVU_Mes_Corriente!BU93*MINVU_Mes_Constante!$BP$1</f>
        <v>11001.544686299618</v>
      </c>
      <c r="BV93" s="8">
        <f>+MINVU_Mes_Corriente!BV93*MINVU_Mes_Constante!$BP$1</f>
        <v>11001.544686299618</v>
      </c>
      <c r="BW93" s="8">
        <f>+MINVU_Mes_Corriente!BW93*MINVU_Mes_Constante!$BP$1</f>
        <v>11001.544686299618</v>
      </c>
      <c r="BX93" s="8">
        <f>+MINVU_Mes_Corriente!BX93*MINVU_Mes_Constante!$BP$1</f>
        <v>11001.544686299618</v>
      </c>
      <c r="BY93" s="8">
        <f>+MINVU_Mes_Corriente!BY93*MINVU_Mes_Constante!$BP$1</f>
        <v>11001.544686299618</v>
      </c>
      <c r="BZ93" s="8">
        <f>+MINVU_Mes_Corriente!BZ93*MINVU_Mes_Constante!$BP$1</f>
        <v>11001.544686299618</v>
      </c>
      <c r="CA93" s="8">
        <f>+MINVU_Mes_Corriente!CA93*MINVU_Mes_Constante!$BP$1</f>
        <v>11001.544686299618</v>
      </c>
      <c r="CB93" s="9">
        <f t="shared" si="62"/>
        <v>11001.544686299618</v>
      </c>
      <c r="CC93" s="8">
        <f>+MINVU_Mes_Corriente!CC93*MINVU_Mes_Constante!$CC$1</f>
        <v>10959.96120850429</v>
      </c>
      <c r="CD93" s="8">
        <f>+MINVU_Mes_Corriente!CD93*MINVU_Mes_Constante!$CC$1</f>
        <v>10959.96120850429</v>
      </c>
      <c r="CE93" s="8">
        <f>+MINVU_Mes_Corriente!CE93*MINVU_Mes_Constante!$CC$1</f>
        <v>10959.96120850429</v>
      </c>
      <c r="CF93" s="8">
        <f>+MINVU_Mes_Corriente!CF93*MINVU_Mes_Constante!$CC$1</f>
        <v>10959.96120850429</v>
      </c>
      <c r="CG93" s="8">
        <f>+MINVU_Mes_Corriente!CG93*MINVU_Mes_Constante!$CC$1</f>
        <v>10959.96120850429</v>
      </c>
      <c r="CH93" s="8">
        <f>+MINVU_Mes_Corriente!CH93*MINVU_Mes_Constante!$CC$1</f>
        <v>10959.96120850429</v>
      </c>
      <c r="CI93" s="8">
        <f>+MINVU_Mes_Corriente!CI93*MINVU_Mes_Constante!$CC$1</f>
        <v>10959.96120850429</v>
      </c>
      <c r="CJ93" s="8">
        <f>+MINVU_Mes_Corriente!CJ93*MINVU_Mes_Constante!$CC$1</f>
        <v>10959.96120850429</v>
      </c>
      <c r="CK93" s="8">
        <f>+MINVU_Mes_Corriente!CK93*MINVU_Mes_Constante!$CC$1</f>
        <v>10959.96120850429</v>
      </c>
      <c r="CL93" s="8">
        <f>+MINVU_Mes_Corriente!CL93*MINVU_Mes_Constante!$CC$1</f>
        <v>10959.96120850429</v>
      </c>
      <c r="CM93" s="8">
        <f>+MINVU_Mes_Corriente!CM93*MINVU_Mes_Constante!$CC$1</f>
        <v>10959.96120850429</v>
      </c>
      <c r="CN93" s="8">
        <f>+MINVU_Mes_Corriente!CN93*MINVU_Mes_Constante!$CC$1</f>
        <v>10959.96120850429</v>
      </c>
      <c r="CO93" s="9">
        <f t="shared" si="63"/>
        <v>10959.96120850429</v>
      </c>
      <c r="CP93" s="8">
        <f>+MINVU_Mes_Corriente!CP93*MINVU_Mes_Constante!$CP$1</f>
        <v>8036.060324825984</v>
      </c>
      <c r="CQ93" s="8">
        <f>+MINVU_Mes_Corriente!CQ93*MINVU_Mes_Constante!$CP$1</f>
        <v>8036.060324825984</v>
      </c>
      <c r="CR93" s="8">
        <f>+MINVU_Mes_Corriente!CR93*MINVU_Mes_Constante!$CP$1</f>
        <v>8036.060324825984</v>
      </c>
      <c r="CS93" s="8">
        <f>+MINVU_Mes_Corriente!CS93*MINVU_Mes_Constante!$CP$1</f>
        <v>8036.060324825984</v>
      </c>
      <c r="CT93" s="8">
        <f>+MINVU_Mes_Corriente!CT93*MINVU_Mes_Constante!$CP$1</f>
        <v>8036.060324825984</v>
      </c>
      <c r="CU93" s="8">
        <f>+MINVU_Mes_Corriente!CU93*MINVU_Mes_Constante!$CP$1</f>
        <v>8036.060324825984</v>
      </c>
      <c r="CV93" s="8">
        <f>+MINVU_Mes_Corriente!CV93*MINVU_Mes_Constante!$CP$1</f>
        <v>8036.060324825984</v>
      </c>
      <c r="CW93" s="8">
        <f>+MINVU_Mes_Corriente!CW93*MINVU_Mes_Constante!$CP$1</f>
        <v>8036.060324825984</v>
      </c>
      <c r="CX93" s="8">
        <f>+MINVU_Mes_Corriente!CX93*MINVU_Mes_Constante!$CP$1</f>
        <v>8036.060324825984</v>
      </c>
      <c r="CY93" s="8">
        <f>+MINVU_Mes_Corriente!CY93*MINVU_Mes_Constante!$CP$1</f>
        <v>8036.060324825984</v>
      </c>
      <c r="CZ93" s="8">
        <f>+MINVU_Mes_Corriente!CZ93*MINVU_Mes_Constante!$CP$1</f>
        <v>8036.060324825984</v>
      </c>
      <c r="DA93" s="8">
        <f>+MINVU_Mes_Corriente!DA93*MINVU_Mes_Constante!$CP$1</f>
        <v>8036.060324825984</v>
      </c>
      <c r="DB93" s="9">
        <f t="shared" si="64"/>
        <v>8036.060324825984</v>
      </c>
      <c r="DC93" s="8">
        <f>+MINVU_Mes_Corriente!DC93*MINVU_Mes_Constante!$DC$1</f>
        <v>0</v>
      </c>
      <c r="DD93" s="8">
        <f>+MINVU_Mes_Corriente!DD93*MINVU_Mes_Constante!$DC$1</f>
        <v>0</v>
      </c>
      <c r="DE93" s="8">
        <f>+MINVU_Mes_Corriente!DE93*MINVU_Mes_Constante!$DC$1</f>
        <v>0</v>
      </c>
      <c r="DF93" s="8">
        <f>+MINVU_Mes_Corriente!DF93*MINVU_Mes_Constante!$DC$1</f>
        <v>0</v>
      </c>
      <c r="DG93" s="8">
        <f>+MINVU_Mes_Corriente!DG93*MINVU_Mes_Constante!$DC$1</f>
        <v>0</v>
      </c>
      <c r="DH93" s="8">
        <f>+MINVU_Mes_Corriente!DH93*MINVU_Mes_Constante!$DC$1</f>
        <v>0</v>
      </c>
      <c r="DI93" s="8">
        <f>+MINVU_Mes_Corriente!DI93*MINVU_Mes_Constante!$DC$1</f>
        <v>0</v>
      </c>
      <c r="DJ93" s="8">
        <f>+MINVU_Mes_Corriente!DJ93*MINVU_Mes_Constante!$DC$1</f>
        <v>0</v>
      </c>
      <c r="DK93" s="8">
        <f>+MINVU_Mes_Corriente!DK93*MINVU_Mes_Constante!$DC$1</f>
        <v>0</v>
      </c>
      <c r="DL93" s="8">
        <f>+MINVU_Mes_Corriente!DL93*MINVU_Mes_Constante!$DC$1</f>
        <v>0</v>
      </c>
      <c r="DM93" s="8">
        <f>+MINVU_Mes_Corriente!DM93*MINVU_Mes_Constante!$DC$1</f>
        <v>0</v>
      </c>
      <c r="DN93" s="8">
        <f>+MINVU_Mes_Corriente!DN93*MINVU_Mes_Constante!$DC$1</f>
        <v>0</v>
      </c>
      <c r="DO93" s="9">
        <f t="shared" si="65"/>
        <v>0</v>
      </c>
      <c r="DP93" s="8">
        <f>+MINVU_Mes_Corriente!DP93*MINVU_Mes_Constante!$DP$1</f>
        <v>0</v>
      </c>
      <c r="DQ93" s="8">
        <f>+MINVU_Mes_Corriente!DQ93*MINVU_Mes_Constante!$DP$1</f>
        <v>0</v>
      </c>
      <c r="DR93" s="8">
        <f>+MINVU_Mes_Corriente!DR93*MINVU_Mes_Constante!$DP$1</f>
        <v>0</v>
      </c>
      <c r="DS93" s="8">
        <f>+MINVU_Mes_Corriente!DS93*MINVU_Mes_Constante!$DP$1</f>
        <v>0</v>
      </c>
      <c r="DT93" s="8">
        <f>+MINVU_Mes_Corriente!DT93*MINVU_Mes_Constante!$DP$1</f>
        <v>0</v>
      </c>
      <c r="DU93" s="8">
        <f>+MINVU_Mes_Corriente!DU93*MINVU_Mes_Constante!$DP$1</f>
        <v>0</v>
      </c>
      <c r="DV93" s="8">
        <f>+MINVU_Mes_Corriente!DV93*MINVU_Mes_Constante!$DP$1</f>
        <v>0</v>
      </c>
      <c r="DW93" s="8">
        <f>+MINVU_Mes_Corriente!DW93*MINVU_Mes_Constante!$DP$1</f>
        <v>0</v>
      </c>
      <c r="DX93" s="8">
        <f>+MINVU_Mes_Corriente!DX93*MINVU_Mes_Constante!$DP$1</f>
        <v>0</v>
      </c>
      <c r="DY93" s="8">
        <f>+MINVU_Mes_Corriente!DY93*MINVU_Mes_Constante!$DP$1</f>
        <v>0</v>
      </c>
      <c r="DZ93" s="8">
        <f>+MINVU_Mes_Corriente!DZ93*MINVU_Mes_Constante!$DP$1</f>
        <v>0</v>
      </c>
      <c r="EA93" s="8">
        <f>+MINVU_Mes_Corriente!EA93*MINVU_Mes_Constante!$DP$1</f>
        <v>0</v>
      </c>
      <c r="EB93" s="9">
        <f t="shared" si="66"/>
        <v>0</v>
      </c>
      <c r="EC93" s="8">
        <f>+MINVU_Mes_Corriente!EC93*MINVU_Mes_Constante!$EC$1</f>
        <v>0</v>
      </c>
      <c r="ED93" s="8">
        <f>+MINVU_Mes_Corriente!ED93*MINVU_Mes_Constante!$EC$1</f>
        <v>0</v>
      </c>
      <c r="EE93" s="8">
        <f>+MINVU_Mes_Corriente!EE93*MINVU_Mes_Constante!$EC$1</f>
        <v>0</v>
      </c>
      <c r="EF93" s="8">
        <f>+MINVU_Mes_Corriente!EF93*MINVU_Mes_Constante!$EC$1</f>
        <v>0</v>
      </c>
      <c r="EG93" s="8">
        <f>+MINVU_Mes_Corriente!EG93*MINVU_Mes_Constante!$EC$1</f>
        <v>0</v>
      </c>
      <c r="EH93" s="8">
        <f>+MINVU_Mes_Corriente!EH93*MINVU_Mes_Constante!$EC$1</f>
        <v>0</v>
      </c>
      <c r="EI93" s="8">
        <f>+MINVU_Mes_Corriente!EI93*MINVU_Mes_Constante!$EC$1</f>
        <v>0</v>
      </c>
      <c r="EJ93" s="8">
        <f>+MINVU_Mes_Corriente!EJ93*MINVU_Mes_Constante!$EC$1</f>
        <v>0</v>
      </c>
      <c r="EK93" s="8">
        <f>+MINVU_Mes_Corriente!EK93*MINVU_Mes_Constante!$EC$1</f>
        <v>0</v>
      </c>
      <c r="EL93" s="8">
        <f>+MINVU_Mes_Corriente!EL93*MINVU_Mes_Constante!$EC$1</f>
        <v>0</v>
      </c>
      <c r="EM93" s="8">
        <f>+MINVU_Mes_Corriente!EM93*MINVU_Mes_Constante!$EC$1</f>
        <v>0</v>
      </c>
      <c r="EN93" s="8">
        <f>+MINVU_Mes_Corriente!EN93*MINVU_Mes_Constante!$EC$1</f>
        <v>0</v>
      </c>
      <c r="EO93" s="9">
        <f t="shared" si="67"/>
        <v>0</v>
      </c>
      <c r="EP93" s="8">
        <f>+MINVU_Mes_Corriente!EP93*MINVU_Mes_Constante!$EP$1</f>
        <v>4168</v>
      </c>
      <c r="EQ93" s="8">
        <f>+MINVU_Mes_Corriente!EQ93*MINVU_Mes_Constante!$EP$1</f>
        <v>4168</v>
      </c>
      <c r="ER93" s="8">
        <f>+MINVU_Mes_Corriente!ER93*MINVU_Mes_Constante!$EP$1</f>
        <v>4168</v>
      </c>
      <c r="ES93" s="8">
        <f>+MINVU_Mes_Corriente!ES93*MINVU_Mes_Constante!$EP$1</f>
        <v>4168</v>
      </c>
      <c r="ET93" s="8">
        <f>+MINVU_Mes_Corriente!ET93*MINVU_Mes_Constante!$EP$1</f>
        <v>4168</v>
      </c>
      <c r="EU93" s="8">
        <f>+MINVU_Mes_Corriente!EU93*MINVU_Mes_Constante!$EP$1</f>
        <v>4168</v>
      </c>
      <c r="EV93" s="8">
        <f>+MINVU_Mes_Corriente!EV93*MINVU_Mes_Constante!$EP$1</f>
        <v>4168</v>
      </c>
      <c r="EW93" s="8">
        <f>+MINVU_Mes_Corriente!EW93*MINVU_Mes_Constante!$EP$1</f>
        <v>4168</v>
      </c>
      <c r="EX93" s="8">
        <f>+MINVU_Mes_Corriente!EX93*MINVU_Mes_Constante!$EP$1</f>
        <v>4168</v>
      </c>
      <c r="EY93" s="8">
        <f>+MINVU_Mes_Corriente!EY93*MINVU_Mes_Constante!$EP$1</f>
        <v>4168</v>
      </c>
      <c r="EZ93" s="8">
        <f>+MINVU_Mes_Corriente!EZ93*MINVU_Mes_Constante!$EP$1</f>
        <v>4168</v>
      </c>
      <c r="FA93" s="8">
        <f>+MINVU_Mes_Corriente!FA93*MINVU_Mes_Constante!$EP$1</f>
        <v>4168</v>
      </c>
      <c r="FB93" s="9">
        <f t="shared" si="68"/>
        <v>4168</v>
      </c>
      <c r="FC93" s="8">
        <f>+MINVU_Mes_Corriente!FC93*MINVU_Mes_Constante!$FC$1</f>
        <v>10</v>
      </c>
      <c r="FD93" s="8">
        <f>+MINVU_Mes_Corriente!FD93*MINVU_Mes_Constante!$FC$1</f>
        <v>10</v>
      </c>
      <c r="FE93" s="8">
        <f>+MINVU_Mes_Corriente!FE93*MINVU_Mes_Constante!$FC$1</f>
        <v>10</v>
      </c>
      <c r="FF93" s="8">
        <f>+MINVU_Mes_Corriente!FF93*MINVU_Mes_Constante!$FC$1</f>
        <v>10</v>
      </c>
      <c r="FG93" s="8">
        <f>+MINVU_Mes_Corriente!FG93*MINVU_Mes_Constante!$FC$1</f>
        <v>10</v>
      </c>
      <c r="FH93" s="8">
        <f>+MINVU_Mes_Corriente!FH93*MINVU_Mes_Constante!$FC$1</f>
        <v>10</v>
      </c>
      <c r="FI93" s="8">
        <f>+MINVU_Mes_Corriente!FI93*MINVU_Mes_Constante!$FC$1</f>
        <v>10</v>
      </c>
      <c r="FJ93" s="8"/>
      <c r="FK93" s="8"/>
      <c r="FL93" s="8"/>
      <c r="FM93" s="8"/>
      <c r="FN93" s="8"/>
      <c r="FO93" s="9">
        <f t="shared" si="69"/>
        <v>10</v>
      </c>
    </row>
    <row r="94" spans="2:171" ht="14.25" customHeight="1" x14ac:dyDescent="0.3">
      <c r="B94" s="7" t="s">
        <v>60</v>
      </c>
      <c r="C94" s="8">
        <f>+MINVU_Mes_Corriente!C94*MINVU_Mes_Constante!$C$1</f>
        <v>12645.18819516536</v>
      </c>
      <c r="D94" s="8">
        <f>+MINVU_Mes_Corriente!D94*MINVU_Mes_Constante!$C$1</f>
        <v>12645.18819516536</v>
      </c>
      <c r="E94" s="8">
        <f>+MINVU_Mes_Corriente!E94*MINVU_Mes_Constante!$C$1</f>
        <v>12645.18819516536</v>
      </c>
      <c r="F94" s="8">
        <f>+MINVU_Mes_Corriente!F94*MINVU_Mes_Constante!$C$1</f>
        <v>12645.18819516536</v>
      </c>
      <c r="G94" s="8">
        <f>+MINVU_Mes_Corriente!G94*MINVU_Mes_Constante!$C$1</f>
        <v>12645.18819516536</v>
      </c>
      <c r="H94" s="8">
        <f>+MINVU_Mes_Corriente!H94*MINVU_Mes_Constante!$C$1</f>
        <v>12645.18819516536</v>
      </c>
      <c r="I94" s="8">
        <f>+MINVU_Mes_Corriente!I94*MINVU_Mes_Constante!$C$1</f>
        <v>12645.18819516536</v>
      </c>
      <c r="J94" s="8">
        <f>+MINVU_Mes_Corriente!J94*MINVU_Mes_Constante!$C$1</f>
        <v>12645.18819516536</v>
      </c>
      <c r="K94" s="8">
        <f>+MINVU_Mes_Corriente!K94*MINVU_Mes_Constante!$C$1</f>
        <v>12645.18819516536</v>
      </c>
      <c r="L94" s="8">
        <f>+MINVU_Mes_Corriente!L94*MINVU_Mes_Constante!$C$1</f>
        <v>12645.18819516536</v>
      </c>
      <c r="M94" s="8">
        <f>+MINVU_Mes_Corriente!M94*MINVU_Mes_Constante!$C$1</f>
        <v>12645.18819516536</v>
      </c>
      <c r="N94" s="8">
        <f>+MINVU_Mes_Corriente!N94*MINVU_Mes_Constante!$C$1</f>
        <v>12645.18819516536</v>
      </c>
      <c r="O94" s="9">
        <f t="shared" si="57"/>
        <v>12645.18819516536</v>
      </c>
      <c r="P94" s="8">
        <f>+MINVU_Mes_Corriente!P94*MINVU_Mes_Constante!$P$1</f>
        <v>21813.19477198465</v>
      </c>
      <c r="Q94" s="8">
        <f>+MINVU_Mes_Corriente!Q94*MINVU_Mes_Constante!$P$1</f>
        <v>21813.19477198465</v>
      </c>
      <c r="R94" s="8">
        <f>+MINVU_Mes_Corriente!R94*MINVU_Mes_Constante!$P$1</f>
        <v>21813.19477198465</v>
      </c>
      <c r="S94" s="8">
        <f>+MINVU_Mes_Corriente!S94*MINVU_Mes_Constante!$P$1</f>
        <v>21813.19477198465</v>
      </c>
      <c r="T94" s="8">
        <f>+MINVU_Mes_Corriente!T94*MINVU_Mes_Constante!$P$1</f>
        <v>21813.19477198465</v>
      </c>
      <c r="U94" s="8">
        <f>+MINVU_Mes_Corriente!U94*MINVU_Mes_Constante!$P$1</f>
        <v>21813.19477198465</v>
      </c>
      <c r="V94" s="8">
        <f>+MINVU_Mes_Corriente!V94*MINVU_Mes_Constante!$P$1</f>
        <v>21813.19477198465</v>
      </c>
      <c r="W94" s="8">
        <f>+MINVU_Mes_Corriente!W94*MINVU_Mes_Constante!$P$1</f>
        <v>21813.19477198465</v>
      </c>
      <c r="X94" s="8">
        <f>+MINVU_Mes_Corriente!X94*MINVU_Mes_Constante!$P$1</f>
        <v>21813.19477198465</v>
      </c>
      <c r="Y94" s="8">
        <f>+MINVU_Mes_Corriente!Y94*MINVU_Mes_Constante!$P$1</f>
        <v>21813.19477198465</v>
      </c>
      <c r="Z94" s="8">
        <f>+MINVU_Mes_Corriente!Z94*MINVU_Mes_Constante!$P$1</f>
        <v>21813.19477198465</v>
      </c>
      <c r="AA94" s="8">
        <f>+MINVU_Mes_Corriente!AA94*MINVU_Mes_Constante!$P$1</f>
        <v>21813.19477198465</v>
      </c>
      <c r="AB94" s="9">
        <f t="shared" si="58"/>
        <v>21813.19477198465</v>
      </c>
      <c r="AC94" s="8">
        <f>+MINVU_Mes_Corriente!AC94*MINVU_Mes_Constante!$AC$1</f>
        <v>24394.19560105132</v>
      </c>
      <c r="AD94" s="8">
        <f>+MINVU_Mes_Corriente!AD94*MINVU_Mes_Constante!$AC$1</f>
        <v>24394.19560105132</v>
      </c>
      <c r="AE94" s="8">
        <f>+MINVU_Mes_Corriente!AE94*MINVU_Mes_Constante!$AC$1</f>
        <v>24394.19560105132</v>
      </c>
      <c r="AF94" s="8">
        <f>+MINVU_Mes_Corriente!AF94*MINVU_Mes_Constante!$AC$1</f>
        <v>24394.19560105132</v>
      </c>
      <c r="AG94" s="8">
        <f>+MINVU_Mes_Corriente!AG94*MINVU_Mes_Constante!$AC$1</f>
        <v>24394.19560105132</v>
      </c>
      <c r="AH94" s="8">
        <f>+MINVU_Mes_Corriente!AH94*MINVU_Mes_Constante!$AC$1</f>
        <v>24394.19560105132</v>
      </c>
      <c r="AI94" s="8">
        <f>+MINVU_Mes_Corriente!AI94*MINVU_Mes_Constante!$AC$1</f>
        <v>24394.19560105132</v>
      </c>
      <c r="AJ94" s="8">
        <f>+MINVU_Mes_Corriente!AJ94*MINVU_Mes_Constante!$AC$1</f>
        <v>24394.19560105132</v>
      </c>
      <c r="AK94" s="8">
        <f>+MINVU_Mes_Corriente!AK94*MINVU_Mes_Constante!$AC$1</f>
        <v>24394.19560105132</v>
      </c>
      <c r="AL94" s="8">
        <f>+MINVU_Mes_Corriente!AL94*MINVU_Mes_Constante!$AC$1</f>
        <v>24394.19560105132</v>
      </c>
      <c r="AM94" s="8">
        <f>+MINVU_Mes_Corriente!AM94*MINVU_Mes_Constante!$AC$1</f>
        <v>24394.19560105132</v>
      </c>
      <c r="AN94" s="8">
        <f>+MINVU_Mes_Corriente!AN94*MINVU_Mes_Constante!$AC$1</f>
        <v>24394.19560105132</v>
      </c>
      <c r="AO94" s="9">
        <f t="shared" si="59"/>
        <v>24394.19560105132</v>
      </c>
      <c r="AP94" s="8">
        <f>+MINVU_Mes_Corriente!AP94*MINVU_Mes_Constante!$AP$1</f>
        <v>24355.53631813878</v>
      </c>
      <c r="AQ94" s="8">
        <f>+MINVU_Mes_Corriente!AQ94*MINVU_Mes_Constante!$AP$1</f>
        <v>24355.53631813878</v>
      </c>
      <c r="AR94" s="8">
        <f>+MINVU_Mes_Corriente!AR94*MINVU_Mes_Constante!$AP$1</f>
        <v>24355.53631813878</v>
      </c>
      <c r="AS94" s="8">
        <f>+MINVU_Mes_Corriente!AS94*MINVU_Mes_Constante!$AP$1</f>
        <v>24355.53631813878</v>
      </c>
      <c r="AT94" s="8">
        <f>+MINVU_Mes_Corriente!AT94*MINVU_Mes_Constante!$AP$1</f>
        <v>24355.53631813878</v>
      </c>
      <c r="AU94" s="8">
        <f>+MINVU_Mes_Corriente!AU94*MINVU_Mes_Constante!$AP$1</f>
        <v>24355.53631813878</v>
      </c>
      <c r="AV94" s="8">
        <f>+MINVU_Mes_Corriente!AV94*MINVU_Mes_Constante!$AP$1</f>
        <v>24355.53631813878</v>
      </c>
      <c r="AW94" s="8">
        <f>+MINVU_Mes_Corriente!AW94*MINVU_Mes_Constante!$AP$1</f>
        <v>24355.53631813878</v>
      </c>
      <c r="AX94" s="8">
        <f>+MINVU_Mes_Corriente!AX94*MINVU_Mes_Constante!$AP$1</f>
        <v>24355.53631813878</v>
      </c>
      <c r="AY94" s="8">
        <f>+MINVU_Mes_Corriente!AY94*MINVU_Mes_Constante!$AP$1</f>
        <v>24355.53631813878</v>
      </c>
      <c r="AZ94" s="8">
        <f>+MINVU_Mes_Corriente!AZ94*MINVU_Mes_Constante!$AP$1</f>
        <v>24355.53631813878</v>
      </c>
      <c r="BA94" s="8">
        <f>+MINVU_Mes_Corriente!BA94*MINVU_Mes_Constante!$AP$1</f>
        <v>24355.53631813878</v>
      </c>
      <c r="BB94" s="9">
        <f t="shared" si="60"/>
        <v>24355.53631813878</v>
      </c>
      <c r="BC94" s="8">
        <f>+MINVU_Mes_Corriente!BC94*MINVU_Mes_Constante!$BC$1</f>
        <v>35620.806013451147</v>
      </c>
      <c r="BD94" s="8">
        <f>+MINVU_Mes_Corriente!BD94*MINVU_Mes_Constante!$BC$1</f>
        <v>35620.806013451147</v>
      </c>
      <c r="BE94" s="8">
        <f>+MINVU_Mes_Corriente!BE94*MINVU_Mes_Constante!$BC$1</f>
        <v>35620.806013451147</v>
      </c>
      <c r="BF94" s="8">
        <f>+MINVU_Mes_Corriente!BF94*MINVU_Mes_Constante!$BC$1</f>
        <v>35620.806013451147</v>
      </c>
      <c r="BG94" s="8">
        <f>+MINVU_Mes_Corriente!BG94*MINVU_Mes_Constante!$BC$1</f>
        <v>35620.806013451147</v>
      </c>
      <c r="BH94" s="8">
        <f>+MINVU_Mes_Corriente!BH94*MINVU_Mes_Constante!$BC$1</f>
        <v>35620.806013451147</v>
      </c>
      <c r="BI94" s="8">
        <f>+MINVU_Mes_Corriente!BI94*MINVU_Mes_Constante!$BC$1</f>
        <v>35620.806013451147</v>
      </c>
      <c r="BJ94" s="8">
        <f>+MINVU_Mes_Corriente!BJ94*MINVU_Mes_Constante!$BC$1</f>
        <v>35620.806013451147</v>
      </c>
      <c r="BK94" s="8">
        <f>+MINVU_Mes_Corriente!BK94*MINVU_Mes_Constante!$BC$1</f>
        <v>35620.806013451147</v>
      </c>
      <c r="BL94" s="8">
        <f>+MINVU_Mes_Corriente!BL94*MINVU_Mes_Constante!$BC$1</f>
        <v>35620.806013451147</v>
      </c>
      <c r="BM94" s="8">
        <f>+MINVU_Mes_Corriente!BM94*MINVU_Mes_Constante!$BC$1</f>
        <v>35620.806013451147</v>
      </c>
      <c r="BN94" s="8">
        <f>+MINVU_Mes_Corriente!BN94*MINVU_Mes_Constante!$BC$1</f>
        <v>35620.806013451147</v>
      </c>
      <c r="BO94" s="9">
        <f t="shared" si="61"/>
        <v>35620.806013451147</v>
      </c>
      <c r="BP94" s="8">
        <f>+MINVU_Mes_Corriente!BP94*MINVU_Mes_Constante!$BP$1</f>
        <v>17296.935211267606</v>
      </c>
      <c r="BQ94" s="8">
        <f>+MINVU_Mes_Corriente!BQ94*MINVU_Mes_Constante!$BP$1</f>
        <v>17296.935211267606</v>
      </c>
      <c r="BR94" s="8">
        <f>+MINVU_Mes_Corriente!BR94*MINVU_Mes_Constante!$BP$1</f>
        <v>17296.935211267606</v>
      </c>
      <c r="BS94" s="8">
        <f>+MINVU_Mes_Corriente!BS94*MINVU_Mes_Constante!$BP$1</f>
        <v>17296.935211267606</v>
      </c>
      <c r="BT94" s="8">
        <f>+MINVU_Mes_Corriente!BT94*MINVU_Mes_Constante!$BP$1</f>
        <v>17296.935211267606</v>
      </c>
      <c r="BU94" s="8">
        <f>+MINVU_Mes_Corriente!BU94*MINVU_Mes_Constante!$BP$1</f>
        <v>17296.935211267606</v>
      </c>
      <c r="BV94" s="8">
        <f>+MINVU_Mes_Corriente!BV94*MINVU_Mes_Constante!$BP$1</f>
        <v>17296.935211267606</v>
      </c>
      <c r="BW94" s="8">
        <f>+MINVU_Mes_Corriente!BW94*MINVU_Mes_Constante!$BP$1</f>
        <v>17296.935211267606</v>
      </c>
      <c r="BX94" s="8">
        <f>+MINVU_Mes_Corriente!BX94*MINVU_Mes_Constante!$BP$1</f>
        <v>17296.935211267606</v>
      </c>
      <c r="BY94" s="8">
        <f>+MINVU_Mes_Corriente!BY94*MINVU_Mes_Constante!$BP$1</f>
        <v>17296.935211267606</v>
      </c>
      <c r="BZ94" s="8">
        <f>+MINVU_Mes_Corriente!BZ94*MINVU_Mes_Constante!$BP$1</f>
        <v>17296.935211267606</v>
      </c>
      <c r="CA94" s="8">
        <f>+MINVU_Mes_Corriente!CA94*MINVU_Mes_Constante!$BP$1</f>
        <v>17296.935211267606</v>
      </c>
      <c r="CB94" s="9">
        <f t="shared" si="62"/>
        <v>17296.935211267606</v>
      </c>
      <c r="CC94" s="8">
        <f>+MINVU_Mes_Corriente!CC94*MINVU_Mes_Constante!$CC$1</f>
        <v>17231.917195076465</v>
      </c>
      <c r="CD94" s="8">
        <f>+MINVU_Mes_Corriente!CD94*MINVU_Mes_Constante!$CC$1</f>
        <v>17231.917195076465</v>
      </c>
      <c r="CE94" s="8">
        <f>+MINVU_Mes_Corriente!CE94*MINVU_Mes_Constante!$CC$1</f>
        <v>17231.917195076465</v>
      </c>
      <c r="CF94" s="8">
        <f>+MINVU_Mes_Corriente!CF94*MINVU_Mes_Constante!$CC$1</f>
        <v>17231.917195076465</v>
      </c>
      <c r="CG94" s="8">
        <f>+MINVU_Mes_Corriente!CG94*MINVU_Mes_Constante!$CC$1</f>
        <v>17231.917195076465</v>
      </c>
      <c r="CH94" s="8">
        <f>+MINVU_Mes_Corriente!CH94*MINVU_Mes_Constante!$CC$1</f>
        <v>17231.917195076465</v>
      </c>
      <c r="CI94" s="8">
        <f>+MINVU_Mes_Corriente!CI94*MINVU_Mes_Constante!$CC$1</f>
        <v>17231.917195076465</v>
      </c>
      <c r="CJ94" s="8">
        <f>+MINVU_Mes_Corriente!CJ94*MINVU_Mes_Constante!$CC$1</f>
        <v>17231.917195076465</v>
      </c>
      <c r="CK94" s="8">
        <f>+MINVU_Mes_Corriente!CK94*MINVU_Mes_Constante!$CC$1</f>
        <v>17231.917195076465</v>
      </c>
      <c r="CL94" s="8">
        <f>+MINVU_Mes_Corriente!CL94*MINVU_Mes_Constante!$CC$1</f>
        <v>17231.917195076465</v>
      </c>
      <c r="CM94" s="8">
        <f>+MINVU_Mes_Corriente!CM94*MINVU_Mes_Constante!$CC$1</f>
        <v>17231.917195076465</v>
      </c>
      <c r="CN94" s="8">
        <f>+MINVU_Mes_Corriente!CN94*MINVU_Mes_Constante!$CC$1</f>
        <v>17231.917195076465</v>
      </c>
      <c r="CO94" s="9">
        <f t="shared" si="63"/>
        <v>17231.917195076465</v>
      </c>
      <c r="CP94" s="8">
        <f>+MINVU_Mes_Corriente!CP94*MINVU_Mes_Constante!$CP$1</f>
        <v>11090.777262180973</v>
      </c>
      <c r="CQ94" s="8">
        <f>+MINVU_Mes_Corriente!CQ94*MINVU_Mes_Constante!$CP$1</f>
        <v>11090.777262180973</v>
      </c>
      <c r="CR94" s="8">
        <f>+MINVU_Mes_Corriente!CR94*MINVU_Mes_Constante!$CP$1</f>
        <v>11090.777262180973</v>
      </c>
      <c r="CS94" s="8">
        <f>+MINVU_Mes_Corriente!CS94*MINVU_Mes_Constante!$CP$1</f>
        <v>11090.777262180973</v>
      </c>
      <c r="CT94" s="8">
        <f>+MINVU_Mes_Corriente!CT94*MINVU_Mes_Constante!$CP$1</f>
        <v>11090.777262180973</v>
      </c>
      <c r="CU94" s="8">
        <f>+MINVU_Mes_Corriente!CU94*MINVU_Mes_Constante!$CP$1</f>
        <v>11090.777262180973</v>
      </c>
      <c r="CV94" s="8">
        <f>+MINVU_Mes_Corriente!CV94*MINVU_Mes_Constante!$CP$1</f>
        <v>11090.777262180973</v>
      </c>
      <c r="CW94" s="8">
        <f>+MINVU_Mes_Corriente!CW94*MINVU_Mes_Constante!$CP$1</f>
        <v>11090.777262180973</v>
      </c>
      <c r="CX94" s="8">
        <f>+MINVU_Mes_Corriente!CX94*MINVU_Mes_Constante!$CP$1</f>
        <v>11090.777262180973</v>
      </c>
      <c r="CY94" s="8">
        <f>+MINVU_Mes_Corriente!CY94*MINVU_Mes_Constante!$CP$1</f>
        <v>11090.777262180973</v>
      </c>
      <c r="CZ94" s="8">
        <f>+MINVU_Mes_Corriente!CZ94*MINVU_Mes_Constante!$CP$1</f>
        <v>11090.777262180973</v>
      </c>
      <c r="DA94" s="8">
        <f>+MINVU_Mes_Corriente!DA94*MINVU_Mes_Constante!$CP$1</f>
        <v>11090.777262180973</v>
      </c>
      <c r="DB94" s="9">
        <f t="shared" si="64"/>
        <v>11090.777262180973</v>
      </c>
      <c r="DC94" s="8">
        <f>+MINVU_Mes_Corriente!DC94*MINVU_Mes_Constante!$DC$1</f>
        <v>0</v>
      </c>
      <c r="DD94" s="8">
        <f>+MINVU_Mes_Corriente!DD94*MINVU_Mes_Constante!$DC$1</f>
        <v>0</v>
      </c>
      <c r="DE94" s="8">
        <f>+MINVU_Mes_Corriente!DE94*MINVU_Mes_Constante!$DC$1</f>
        <v>0</v>
      </c>
      <c r="DF94" s="8">
        <f>+MINVU_Mes_Corriente!DF94*MINVU_Mes_Constante!$DC$1</f>
        <v>0</v>
      </c>
      <c r="DG94" s="8">
        <f>+MINVU_Mes_Corriente!DG94*MINVU_Mes_Constante!$DC$1</f>
        <v>0</v>
      </c>
      <c r="DH94" s="8">
        <f>+MINVU_Mes_Corriente!DH94*MINVU_Mes_Constante!$DC$1</f>
        <v>0</v>
      </c>
      <c r="DI94" s="8">
        <f>+MINVU_Mes_Corriente!DI94*MINVU_Mes_Constante!$DC$1</f>
        <v>0</v>
      </c>
      <c r="DJ94" s="8">
        <f>+MINVU_Mes_Corriente!DJ94*MINVU_Mes_Constante!$DC$1</f>
        <v>0</v>
      </c>
      <c r="DK94" s="8">
        <f>+MINVU_Mes_Corriente!DK94*MINVU_Mes_Constante!$DC$1</f>
        <v>0</v>
      </c>
      <c r="DL94" s="8">
        <f>+MINVU_Mes_Corriente!DL94*MINVU_Mes_Constante!$DC$1</f>
        <v>0</v>
      </c>
      <c r="DM94" s="8">
        <f>+MINVU_Mes_Corriente!DM94*MINVU_Mes_Constante!$DC$1</f>
        <v>0</v>
      </c>
      <c r="DN94" s="8">
        <f>+MINVU_Mes_Corriente!DN94*MINVU_Mes_Constante!$DC$1</f>
        <v>0</v>
      </c>
      <c r="DO94" s="9">
        <f t="shared" si="65"/>
        <v>0</v>
      </c>
      <c r="DP94" s="8">
        <f>+MINVU_Mes_Corriente!DP94*MINVU_Mes_Constante!$DP$1</f>
        <v>0</v>
      </c>
      <c r="DQ94" s="8">
        <f>+MINVU_Mes_Corriente!DQ94*MINVU_Mes_Constante!$DP$1</f>
        <v>0</v>
      </c>
      <c r="DR94" s="8">
        <f>+MINVU_Mes_Corriente!DR94*MINVU_Mes_Constante!$DP$1</f>
        <v>0</v>
      </c>
      <c r="DS94" s="8">
        <f>+MINVU_Mes_Corriente!DS94*MINVU_Mes_Constante!$DP$1</f>
        <v>0</v>
      </c>
      <c r="DT94" s="8">
        <f>+MINVU_Mes_Corriente!DT94*MINVU_Mes_Constante!$DP$1</f>
        <v>0</v>
      </c>
      <c r="DU94" s="8">
        <f>+MINVU_Mes_Corriente!DU94*MINVU_Mes_Constante!$DP$1</f>
        <v>0</v>
      </c>
      <c r="DV94" s="8">
        <f>+MINVU_Mes_Corriente!DV94*MINVU_Mes_Constante!$DP$1</f>
        <v>0</v>
      </c>
      <c r="DW94" s="8">
        <f>+MINVU_Mes_Corriente!DW94*MINVU_Mes_Constante!$DP$1</f>
        <v>0</v>
      </c>
      <c r="DX94" s="8">
        <f>+MINVU_Mes_Corriente!DX94*MINVU_Mes_Constante!$DP$1</f>
        <v>0</v>
      </c>
      <c r="DY94" s="8">
        <f>+MINVU_Mes_Corriente!DY94*MINVU_Mes_Constante!$DP$1</f>
        <v>0</v>
      </c>
      <c r="DZ94" s="8">
        <f>+MINVU_Mes_Corriente!DZ94*MINVU_Mes_Constante!$DP$1</f>
        <v>0</v>
      </c>
      <c r="EA94" s="8">
        <f>+MINVU_Mes_Corriente!EA94*MINVU_Mes_Constante!$DP$1</f>
        <v>0</v>
      </c>
      <c r="EB94" s="9">
        <f t="shared" si="66"/>
        <v>0</v>
      </c>
      <c r="EC94" s="8">
        <f>+MINVU_Mes_Corriente!EC94*MINVU_Mes_Constante!$EC$1</f>
        <v>0</v>
      </c>
      <c r="ED94" s="8">
        <f>+MINVU_Mes_Corriente!ED94*MINVU_Mes_Constante!$EC$1</f>
        <v>0</v>
      </c>
      <c r="EE94" s="8">
        <f>+MINVU_Mes_Corriente!EE94*MINVU_Mes_Constante!$EC$1</f>
        <v>0</v>
      </c>
      <c r="EF94" s="8">
        <f>+MINVU_Mes_Corriente!EF94*MINVU_Mes_Constante!$EC$1</f>
        <v>0</v>
      </c>
      <c r="EG94" s="8">
        <f>+MINVU_Mes_Corriente!EG94*MINVU_Mes_Constante!$EC$1</f>
        <v>0</v>
      </c>
      <c r="EH94" s="8">
        <f>+MINVU_Mes_Corriente!EH94*MINVU_Mes_Constante!$EC$1</f>
        <v>0</v>
      </c>
      <c r="EI94" s="8">
        <f>+MINVU_Mes_Corriente!EI94*MINVU_Mes_Constante!$EC$1</f>
        <v>0</v>
      </c>
      <c r="EJ94" s="8">
        <f>+MINVU_Mes_Corriente!EJ94*MINVU_Mes_Constante!$EC$1</f>
        <v>0</v>
      </c>
      <c r="EK94" s="8">
        <f>+MINVU_Mes_Corriente!EK94*MINVU_Mes_Constante!$EC$1</f>
        <v>0</v>
      </c>
      <c r="EL94" s="8">
        <f>+MINVU_Mes_Corriente!EL94*MINVU_Mes_Constante!$EC$1</f>
        <v>0</v>
      </c>
      <c r="EM94" s="8">
        <f>+MINVU_Mes_Corriente!EM94*MINVU_Mes_Constante!$EC$1</f>
        <v>0</v>
      </c>
      <c r="EN94" s="8">
        <f>+MINVU_Mes_Corriente!EN94*MINVU_Mes_Constante!$EC$1</f>
        <v>0</v>
      </c>
      <c r="EO94" s="9">
        <f t="shared" si="67"/>
        <v>0</v>
      </c>
      <c r="EP94" s="8">
        <f>+MINVU_Mes_Corriente!EP94*MINVU_Mes_Constante!$EP$1</f>
        <v>4168</v>
      </c>
      <c r="EQ94" s="8">
        <f>+MINVU_Mes_Corriente!EQ94*MINVU_Mes_Constante!$EP$1</f>
        <v>4168</v>
      </c>
      <c r="ER94" s="8">
        <f>+MINVU_Mes_Corriente!ER94*MINVU_Mes_Constante!$EP$1</f>
        <v>4168</v>
      </c>
      <c r="ES94" s="8">
        <f>+MINVU_Mes_Corriente!ES94*MINVU_Mes_Constante!$EP$1</f>
        <v>4168</v>
      </c>
      <c r="ET94" s="8">
        <f>+MINVU_Mes_Corriente!ET94*MINVU_Mes_Constante!$EP$1</f>
        <v>4168</v>
      </c>
      <c r="EU94" s="8">
        <f>+MINVU_Mes_Corriente!EU94*MINVU_Mes_Constante!$EP$1</f>
        <v>4168</v>
      </c>
      <c r="EV94" s="8">
        <f>+MINVU_Mes_Corriente!EV94*MINVU_Mes_Constante!$EP$1</f>
        <v>4168</v>
      </c>
      <c r="EW94" s="8">
        <f>+MINVU_Mes_Corriente!EW94*MINVU_Mes_Constante!$EP$1</f>
        <v>4168</v>
      </c>
      <c r="EX94" s="8">
        <f>+MINVU_Mes_Corriente!EX94*MINVU_Mes_Constante!$EP$1</f>
        <v>4168</v>
      </c>
      <c r="EY94" s="8">
        <f>+MINVU_Mes_Corriente!EY94*MINVU_Mes_Constante!$EP$1</f>
        <v>4168</v>
      </c>
      <c r="EZ94" s="8">
        <f>+MINVU_Mes_Corriente!EZ94*MINVU_Mes_Constante!$EP$1</f>
        <v>4168</v>
      </c>
      <c r="FA94" s="8">
        <f>+MINVU_Mes_Corriente!FA94*MINVU_Mes_Constante!$EP$1</f>
        <v>4168</v>
      </c>
      <c r="FB94" s="9">
        <f t="shared" si="68"/>
        <v>4168</v>
      </c>
      <c r="FC94" s="8">
        <f>+MINVU_Mes_Corriente!FC94*MINVU_Mes_Constante!$FC$1</f>
        <v>10</v>
      </c>
      <c r="FD94" s="8">
        <f>+MINVU_Mes_Corriente!FD94*MINVU_Mes_Constante!$FC$1</f>
        <v>10</v>
      </c>
      <c r="FE94" s="8">
        <f>+MINVU_Mes_Corriente!FE94*MINVU_Mes_Constante!$FC$1</f>
        <v>10</v>
      </c>
      <c r="FF94" s="8">
        <f>+MINVU_Mes_Corriente!FF94*MINVU_Mes_Constante!$FC$1</f>
        <v>10</v>
      </c>
      <c r="FG94" s="8">
        <f>+MINVU_Mes_Corriente!FG94*MINVU_Mes_Constante!$FC$1</f>
        <v>10</v>
      </c>
      <c r="FH94" s="8">
        <f>+MINVU_Mes_Corriente!FH94*MINVU_Mes_Constante!$FC$1</f>
        <v>10</v>
      </c>
      <c r="FI94" s="8">
        <f>+MINVU_Mes_Corriente!FI94*MINVU_Mes_Constante!$FC$1</f>
        <v>10</v>
      </c>
      <c r="FJ94" s="8"/>
      <c r="FK94" s="8"/>
      <c r="FL94" s="8"/>
      <c r="FM94" s="8"/>
      <c r="FN94" s="8"/>
      <c r="FO94" s="9">
        <f t="shared" si="69"/>
        <v>10</v>
      </c>
    </row>
    <row r="95" spans="2:171" ht="14.25" customHeight="1" thickBot="1" x14ac:dyDescent="0.35">
      <c r="B95" s="14" t="s">
        <v>68</v>
      </c>
      <c r="C95" s="16">
        <f t="shared" ref="C95:AH95" si="70">SUM(C77:C94)</f>
        <v>7213237.2848880338</v>
      </c>
      <c r="D95" s="16">
        <f t="shared" si="70"/>
        <v>7213237.2848880338</v>
      </c>
      <c r="E95" s="16">
        <f t="shared" si="70"/>
        <v>26282744.963962629</v>
      </c>
      <c r="F95" s="16">
        <f t="shared" si="70"/>
        <v>26282744.963962629</v>
      </c>
      <c r="G95" s="16">
        <f t="shared" si="70"/>
        <v>26282744.963962629</v>
      </c>
      <c r="H95" s="16">
        <f t="shared" si="70"/>
        <v>26282744.963962629</v>
      </c>
      <c r="I95" s="16">
        <f t="shared" si="70"/>
        <v>26282744.963962629</v>
      </c>
      <c r="J95" s="16">
        <f t="shared" si="70"/>
        <v>26282744.963962629</v>
      </c>
      <c r="K95" s="16">
        <f t="shared" si="70"/>
        <v>26282744.963962629</v>
      </c>
      <c r="L95" s="16">
        <f t="shared" si="70"/>
        <v>26282744.963962629</v>
      </c>
      <c r="M95" s="16">
        <f t="shared" si="70"/>
        <v>26282744.963962629</v>
      </c>
      <c r="N95" s="16">
        <f t="shared" si="70"/>
        <v>26282744.963962629</v>
      </c>
      <c r="O95" s="16">
        <f t="shared" si="70"/>
        <v>26282744.963962629</v>
      </c>
      <c r="P95" s="16">
        <f t="shared" si="70"/>
        <v>18504172.085523508</v>
      </c>
      <c r="Q95" s="16">
        <f t="shared" si="70"/>
        <v>18504172.085523508</v>
      </c>
      <c r="R95" s="16">
        <f t="shared" si="70"/>
        <v>18504172.085523508</v>
      </c>
      <c r="S95" s="16">
        <f t="shared" si="70"/>
        <v>18504172.085523508</v>
      </c>
      <c r="T95" s="16">
        <f t="shared" si="70"/>
        <v>18504172.085523508</v>
      </c>
      <c r="U95" s="16">
        <f t="shared" si="70"/>
        <v>18504172.085523508</v>
      </c>
      <c r="V95" s="16">
        <f t="shared" si="70"/>
        <v>18504172.085523508</v>
      </c>
      <c r="W95" s="16">
        <f t="shared" si="70"/>
        <v>18504172.085523508</v>
      </c>
      <c r="X95" s="16">
        <f t="shared" si="70"/>
        <v>18504172.085523508</v>
      </c>
      <c r="Y95" s="16">
        <f t="shared" si="70"/>
        <v>18504172.085523508</v>
      </c>
      <c r="Z95" s="16">
        <f t="shared" si="70"/>
        <v>18504172.085523508</v>
      </c>
      <c r="AA95" s="16">
        <f t="shared" si="70"/>
        <v>18504172.085523508</v>
      </c>
      <c r="AB95" s="16">
        <f t="shared" si="70"/>
        <v>18504172.085523508</v>
      </c>
      <c r="AC95" s="16">
        <f t="shared" si="70"/>
        <v>9734269.4856826682</v>
      </c>
      <c r="AD95" s="16">
        <f t="shared" si="70"/>
        <v>9734269.4856826682</v>
      </c>
      <c r="AE95" s="16">
        <f t="shared" si="70"/>
        <v>9734269.4856826682</v>
      </c>
      <c r="AF95" s="16">
        <f t="shared" si="70"/>
        <v>9734269.4856826682</v>
      </c>
      <c r="AG95" s="16">
        <f t="shared" si="70"/>
        <v>9734269.4856826682</v>
      </c>
      <c r="AH95" s="16">
        <f t="shared" si="70"/>
        <v>9734269.4856826682</v>
      </c>
      <c r="AI95" s="16">
        <f t="shared" ref="AI95:BN95" si="71">SUM(AI77:AI94)</f>
        <v>9734269.4856826682</v>
      </c>
      <c r="AJ95" s="16">
        <f t="shared" si="71"/>
        <v>9734269.4856826682</v>
      </c>
      <c r="AK95" s="16">
        <f t="shared" si="71"/>
        <v>9734269.4856826682</v>
      </c>
      <c r="AL95" s="16">
        <f t="shared" si="71"/>
        <v>9734269.4856826682</v>
      </c>
      <c r="AM95" s="16">
        <f t="shared" si="71"/>
        <v>9734269.4856826682</v>
      </c>
      <c r="AN95" s="16">
        <f t="shared" si="71"/>
        <v>9734269.4856826682</v>
      </c>
      <c r="AO95" s="16">
        <f t="shared" si="71"/>
        <v>9734269.4856826682</v>
      </c>
      <c r="AP95" s="16">
        <f t="shared" si="71"/>
        <v>8299376.5946165277</v>
      </c>
      <c r="AQ95" s="16">
        <f t="shared" si="71"/>
        <v>8299376.5946165277</v>
      </c>
      <c r="AR95" s="16">
        <f t="shared" si="71"/>
        <v>8299376.5946165277</v>
      </c>
      <c r="AS95" s="16">
        <f t="shared" si="71"/>
        <v>8299376.5946165277</v>
      </c>
      <c r="AT95" s="16">
        <f t="shared" si="71"/>
        <v>8299376.5946165277</v>
      </c>
      <c r="AU95" s="16">
        <f t="shared" si="71"/>
        <v>8299376.5946165277</v>
      </c>
      <c r="AV95" s="16">
        <f t="shared" si="71"/>
        <v>8299376.5946165277</v>
      </c>
      <c r="AW95" s="16">
        <f t="shared" si="71"/>
        <v>8299376.5946165277</v>
      </c>
      <c r="AX95" s="16">
        <f t="shared" si="71"/>
        <v>8299376.5946165277</v>
      </c>
      <c r="AY95" s="16">
        <f t="shared" si="71"/>
        <v>8299376.5946165277</v>
      </c>
      <c r="AZ95" s="16">
        <f t="shared" si="71"/>
        <v>8299376.5946165277</v>
      </c>
      <c r="BA95" s="16">
        <f t="shared" si="71"/>
        <v>8299376.5946165277</v>
      </c>
      <c r="BB95" s="16">
        <f t="shared" si="71"/>
        <v>8299376.5946165277</v>
      </c>
      <c r="BC95" s="16">
        <f t="shared" si="71"/>
        <v>11473606.855070556</v>
      </c>
      <c r="BD95" s="16">
        <f t="shared" si="71"/>
        <v>11473606.855070556</v>
      </c>
      <c r="BE95" s="16">
        <f t="shared" si="71"/>
        <v>11473606.855070556</v>
      </c>
      <c r="BF95" s="16">
        <f t="shared" si="71"/>
        <v>11473606.855070556</v>
      </c>
      <c r="BG95" s="16">
        <f t="shared" si="71"/>
        <v>11473606.855070556</v>
      </c>
      <c r="BH95" s="16">
        <f t="shared" si="71"/>
        <v>11473606.855070556</v>
      </c>
      <c r="BI95" s="16">
        <f t="shared" si="71"/>
        <v>11473606.855070556</v>
      </c>
      <c r="BJ95" s="16">
        <f t="shared" si="71"/>
        <v>11473606.855070556</v>
      </c>
      <c r="BK95" s="16">
        <f t="shared" si="71"/>
        <v>11473606.855070556</v>
      </c>
      <c r="BL95" s="16">
        <f t="shared" si="71"/>
        <v>11473606.855070556</v>
      </c>
      <c r="BM95" s="16">
        <f t="shared" si="71"/>
        <v>11473606.855070556</v>
      </c>
      <c r="BN95" s="16">
        <f t="shared" si="71"/>
        <v>11473606.855070556</v>
      </c>
      <c r="BO95" s="16">
        <f t="shared" ref="BO95:CT95" si="72">SUM(BO77:BO94)</f>
        <v>11473606.855070556</v>
      </c>
      <c r="BP95" s="16">
        <f t="shared" si="72"/>
        <v>8582567.4576184377</v>
      </c>
      <c r="BQ95" s="16">
        <f t="shared" si="72"/>
        <v>8582567.4576184377</v>
      </c>
      <c r="BR95" s="16">
        <f t="shared" si="72"/>
        <v>8582567.4576184377</v>
      </c>
      <c r="BS95" s="16">
        <f t="shared" si="72"/>
        <v>8582567.4576184377</v>
      </c>
      <c r="BT95" s="16">
        <f t="shared" si="72"/>
        <v>8582567.4576184377</v>
      </c>
      <c r="BU95" s="16">
        <f t="shared" si="72"/>
        <v>8582567.4576184377</v>
      </c>
      <c r="BV95" s="16">
        <f t="shared" si="72"/>
        <v>8582567.4576184377</v>
      </c>
      <c r="BW95" s="16">
        <f t="shared" si="72"/>
        <v>8582567.4576184377</v>
      </c>
      <c r="BX95" s="16">
        <f t="shared" si="72"/>
        <v>8582567.4576184377</v>
      </c>
      <c r="BY95" s="16">
        <f t="shared" si="72"/>
        <v>8582567.4576184377</v>
      </c>
      <c r="BZ95" s="16">
        <f t="shared" si="72"/>
        <v>8582567.4576184377</v>
      </c>
      <c r="CA95" s="16">
        <f t="shared" si="72"/>
        <v>8582567.4576184377</v>
      </c>
      <c r="CB95" s="16">
        <f t="shared" si="72"/>
        <v>8582567.4576184377</v>
      </c>
      <c r="CC95" s="16">
        <f t="shared" si="72"/>
        <v>12085244.117120476</v>
      </c>
      <c r="CD95" s="16">
        <f t="shared" si="72"/>
        <v>12085244.117120476</v>
      </c>
      <c r="CE95" s="16">
        <f t="shared" si="72"/>
        <v>12085244.117120476</v>
      </c>
      <c r="CF95" s="16">
        <f t="shared" si="72"/>
        <v>12085244.117120476</v>
      </c>
      <c r="CG95" s="16">
        <f t="shared" si="72"/>
        <v>12085244.117120476</v>
      </c>
      <c r="CH95" s="16">
        <f t="shared" si="72"/>
        <v>12085244.117120476</v>
      </c>
      <c r="CI95" s="16">
        <f t="shared" si="72"/>
        <v>12085244.117120476</v>
      </c>
      <c r="CJ95" s="16">
        <f t="shared" si="72"/>
        <v>12085244.117120476</v>
      </c>
      <c r="CK95" s="16">
        <f t="shared" si="72"/>
        <v>12085244.117120476</v>
      </c>
      <c r="CL95" s="16">
        <f t="shared" si="72"/>
        <v>12085244.117120476</v>
      </c>
      <c r="CM95" s="16">
        <f t="shared" si="72"/>
        <v>12085244.117120476</v>
      </c>
      <c r="CN95" s="16">
        <f t="shared" si="72"/>
        <v>12085244.117120476</v>
      </c>
      <c r="CO95" s="16">
        <f t="shared" si="72"/>
        <v>12085244.117120476</v>
      </c>
      <c r="CP95" s="16">
        <f t="shared" si="72"/>
        <v>5269183.9141531307</v>
      </c>
      <c r="CQ95" s="16">
        <f t="shared" si="72"/>
        <v>5269183.9141531307</v>
      </c>
      <c r="CR95" s="16">
        <f t="shared" si="72"/>
        <v>5269183.9141531307</v>
      </c>
      <c r="CS95" s="16">
        <f t="shared" si="72"/>
        <v>5269183.9141531307</v>
      </c>
      <c r="CT95" s="16">
        <f t="shared" si="72"/>
        <v>5269183.9141531307</v>
      </c>
      <c r="CU95" s="16">
        <f t="shared" ref="CU95:DZ95" si="73">SUM(CU77:CU94)</f>
        <v>5269183.9141531307</v>
      </c>
      <c r="CV95" s="16">
        <f t="shared" si="73"/>
        <v>5269183.9141531307</v>
      </c>
      <c r="CW95" s="16">
        <f t="shared" si="73"/>
        <v>5269183.9141531307</v>
      </c>
      <c r="CX95" s="16">
        <f t="shared" si="73"/>
        <v>5269183.9141531307</v>
      </c>
      <c r="CY95" s="16">
        <f t="shared" si="73"/>
        <v>5269183.9141531307</v>
      </c>
      <c r="CZ95" s="16">
        <f t="shared" si="73"/>
        <v>5269183.9141531307</v>
      </c>
      <c r="DA95" s="16">
        <f t="shared" si="73"/>
        <v>5269183.9141531307</v>
      </c>
      <c r="DB95" s="16">
        <f t="shared" si="73"/>
        <v>5269183.9141531307</v>
      </c>
      <c r="DC95" s="16">
        <f t="shared" si="73"/>
        <v>4170798.4684703243</v>
      </c>
      <c r="DD95" s="16">
        <f t="shared" si="73"/>
        <v>4170798.4684703243</v>
      </c>
      <c r="DE95" s="16">
        <f t="shared" si="73"/>
        <v>4170798.4684703243</v>
      </c>
      <c r="DF95" s="16">
        <f t="shared" si="73"/>
        <v>4170798.4684703243</v>
      </c>
      <c r="DG95" s="16">
        <f t="shared" si="73"/>
        <v>4170798.4684703243</v>
      </c>
      <c r="DH95" s="16">
        <f t="shared" si="73"/>
        <v>4170798.4684703243</v>
      </c>
      <c r="DI95" s="16">
        <f t="shared" si="73"/>
        <v>4170798.4684703243</v>
      </c>
      <c r="DJ95" s="16">
        <f t="shared" si="73"/>
        <v>4170798.4684703243</v>
      </c>
      <c r="DK95" s="16">
        <f t="shared" si="73"/>
        <v>4170798.4684703243</v>
      </c>
      <c r="DL95" s="16">
        <f t="shared" si="73"/>
        <v>4170798.4684703243</v>
      </c>
      <c r="DM95" s="16">
        <f t="shared" si="73"/>
        <v>4170798.4684703243</v>
      </c>
      <c r="DN95" s="16">
        <f t="shared" si="73"/>
        <v>4170798.4684703243</v>
      </c>
      <c r="DO95" s="16">
        <f t="shared" si="73"/>
        <v>4170798.4684703243</v>
      </c>
      <c r="DP95" s="16">
        <f t="shared" si="73"/>
        <v>33200296.820665088</v>
      </c>
      <c r="DQ95" s="16">
        <f t="shared" si="73"/>
        <v>33200296.820665088</v>
      </c>
      <c r="DR95" s="16">
        <f t="shared" si="73"/>
        <v>33200296.820665088</v>
      </c>
      <c r="DS95" s="16">
        <f t="shared" si="73"/>
        <v>33200296.820665088</v>
      </c>
      <c r="DT95" s="16">
        <f t="shared" si="73"/>
        <v>33200296.820665088</v>
      </c>
      <c r="DU95" s="16">
        <f t="shared" si="73"/>
        <v>33200296.820665088</v>
      </c>
      <c r="DV95" s="16">
        <f t="shared" si="73"/>
        <v>33200296.820665088</v>
      </c>
      <c r="DW95" s="16">
        <f t="shared" si="73"/>
        <v>33200296.820665088</v>
      </c>
      <c r="DX95" s="16">
        <f t="shared" si="73"/>
        <v>33200296.820665088</v>
      </c>
      <c r="DY95" s="16">
        <f t="shared" si="73"/>
        <v>33200296.820665088</v>
      </c>
      <c r="DZ95" s="16">
        <f t="shared" si="73"/>
        <v>33200296.820665088</v>
      </c>
      <c r="EA95" s="16">
        <f t="shared" ref="EA95:FF95" si="74">SUM(EA77:EA94)</f>
        <v>33200296.820665088</v>
      </c>
      <c r="EB95" s="16">
        <f t="shared" si="74"/>
        <v>33200296.820665088</v>
      </c>
      <c r="EC95" s="16">
        <f t="shared" si="74"/>
        <v>31731903.257337615</v>
      </c>
      <c r="ED95" s="16">
        <f t="shared" si="74"/>
        <v>31731903.257337615</v>
      </c>
      <c r="EE95" s="16">
        <f t="shared" si="74"/>
        <v>31731903.257337615</v>
      </c>
      <c r="EF95" s="16">
        <f t="shared" si="74"/>
        <v>31731903.257337615</v>
      </c>
      <c r="EG95" s="16">
        <f t="shared" si="74"/>
        <v>31731903.257337615</v>
      </c>
      <c r="EH95" s="16">
        <f t="shared" si="74"/>
        <v>31731903.257337615</v>
      </c>
      <c r="EI95" s="16">
        <f t="shared" si="74"/>
        <v>31731903.257337615</v>
      </c>
      <c r="EJ95" s="16">
        <f t="shared" si="74"/>
        <v>31731903.257337615</v>
      </c>
      <c r="EK95" s="16">
        <f t="shared" si="74"/>
        <v>31731903.257337615</v>
      </c>
      <c r="EL95" s="16">
        <f t="shared" si="74"/>
        <v>31731903.257337615</v>
      </c>
      <c r="EM95" s="16">
        <f t="shared" si="74"/>
        <v>31731903.257337615</v>
      </c>
      <c r="EN95" s="16">
        <f t="shared" si="74"/>
        <v>31731903.257337615</v>
      </c>
      <c r="EO95" s="16">
        <f t="shared" si="74"/>
        <v>31731903.257337615</v>
      </c>
      <c r="EP95" s="16">
        <f t="shared" si="74"/>
        <v>4782867</v>
      </c>
      <c r="EQ95" s="16">
        <f t="shared" si="74"/>
        <v>4782867</v>
      </c>
      <c r="ER95" s="16">
        <f t="shared" si="74"/>
        <v>4782867</v>
      </c>
      <c r="ES95" s="16">
        <f t="shared" si="74"/>
        <v>4782867</v>
      </c>
      <c r="ET95" s="16">
        <f t="shared" si="74"/>
        <v>4782867</v>
      </c>
      <c r="EU95" s="16">
        <f t="shared" si="74"/>
        <v>4782867</v>
      </c>
      <c r="EV95" s="16">
        <f t="shared" si="74"/>
        <v>4782867</v>
      </c>
      <c r="EW95" s="16">
        <f t="shared" si="74"/>
        <v>4782867</v>
      </c>
      <c r="EX95" s="16">
        <f t="shared" si="74"/>
        <v>4782867</v>
      </c>
      <c r="EY95" s="16">
        <f t="shared" si="74"/>
        <v>4782867</v>
      </c>
      <c r="EZ95" s="16">
        <f t="shared" si="74"/>
        <v>4782867</v>
      </c>
      <c r="FA95" s="16">
        <f t="shared" si="74"/>
        <v>4782867</v>
      </c>
      <c r="FB95" s="16">
        <f t="shared" si="74"/>
        <v>4782867</v>
      </c>
      <c r="FC95" s="16">
        <f t="shared" si="74"/>
        <v>4182864</v>
      </c>
      <c r="FD95" s="16">
        <f t="shared" si="74"/>
        <v>4182864</v>
      </c>
      <c r="FE95" s="16">
        <f t="shared" si="74"/>
        <v>4182864</v>
      </c>
      <c r="FF95" s="16">
        <f t="shared" si="74"/>
        <v>4182864</v>
      </c>
      <c r="FG95" s="16">
        <f t="shared" ref="FG95:GL95" si="75">SUM(FG77:FG94)</f>
        <v>4182864</v>
      </c>
      <c r="FH95" s="16">
        <f t="shared" si="75"/>
        <v>4182864</v>
      </c>
      <c r="FI95" s="16">
        <f t="shared" si="75"/>
        <v>4182864</v>
      </c>
      <c r="FJ95" s="16">
        <f t="shared" si="75"/>
        <v>0</v>
      </c>
      <c r="FK95" s="16">
        <f t="shared" si="75"/>
        <v>0</v>
      </c>
      <c r="FL95" s="16">
        <f t="shared" si="75"/>
        <v>0</v>
      </c>
      <c r="FM95" s="16">
        <f t="shared" si="75"/>
        <v>0</v>
      </c>
      <c r="FN95" s="16">
        <f t="shared" si="75"/>
        <v>0</v>
      </c>
      <c r="FO95" s="16">
        <f t="shared" si="75"/>
        <v>4182864</v>
      </c>
    </row>
    <row r="96" spans="2:171" ht="14.25" customHeight="1" thickTop="1" x14ac:dyDescent="0.3">
      <c r="B96" s="4" t="s">
        <v>69</v>
      </c>
    </row>
    <row r="97" spans="2:171" ht="14.25" customHeight="1" x14ac:dyDescent="0.3">
      <c r="C97" s="33" t="s">
        <v>4</v>
      </c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3" t="s">
        <v>5</v>
      </c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3" t="s">
        <v>6</v>
      </c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3" t="s">
        <v>7</v>
      </c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3" t="s">
        <v>8</v>
      </c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3" t="s">
        <v>9</v>
      </c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3" t="s">
        <v>10</v>
      </c>
      <c r="CD97" s="34"/>
      <c r="CE97" s="34"/>
      <c r="CF97" s="34"/>
      <c r="CG97" s="34"/>
      <c r="CH97" s="34"/>
      <c r="CI97" s="34"/>
      <c r="CJ97" s="34"/>
      <c r="CK97" s="34"/>
      <c r="CL97" s="34"/>
      <c r="CM97" s="34"/>
      <c r="CN97" s="34"/>
      <c r="CO97" s="34"/>
      <c r="CP97" s="33" t="s">
        <v>11</v>
      </c>
      <c r="CQ97" s="34"/>
      <c r="CR97" s="34"/>
      <c r="CS97" s="34"/>
      <c r="CT97" s="34"/>
      <c r="CU97" s="34"/>
      <c r="CV97" s="34"/>
      <c r="CW97" s="34"/>
      <c r="CX97" s="34"/>
      <c r="CY97" s="34"/>
      <c r="CZ97" s="34"/>
      <c r="DA97" s="34"/>
      <c r="DB97" s="34"/>
      <c r="DC97" s="33" t="s">
        <v>12</v>
      </c>
      <c r="DD97" s="34"/>
      <c r="DE97" s="34"/>
      <c r="DF97" s="34"/>
      <c r="DG97" s="34"/>
      <c r="DH97" s="34"/>
      <c r="DI97" s="34"/>
      <c r="DJ97" s="34"/>
      <c r="DK97" s="34"/>
      <c r="DL97" s="34"/>
      <c r="DM97" s="34"/>
      <c r="DN97" s="34"/>
      <c r="DO97" s="34"/>
      <c r="DP97" s="33" t="s">
        <v>13</v>
      </c>
      <c r="DQ97" s="34"/>
      <c r="DR97" s="34"/>
      <c r="DS97" s="34"/>
      <c r="DT97" s="34"/>
      <c r="DU97" s="34"/>
      <c r="DV97" s="34"/>
      <c r="DW97" s="34"/>
      <c r="DX97" s="34"/>
      <c r="DY97" s="34"/>
      <c r="DZ97" s="34"/>
      <c r="EA97" s="34"/>
      <c r="EB97" s="34"/>
      <c r="EC97" s="33" t="s">
        <v>14</v>
      </c>
      <c r="ED97" s="34"/>
      <c r="EE97" s="34"/>
      <c r="EF97" s="34"/>
      <c r="EG97" s="34"/>
      <c r="EH97" s="34"/>
      <c r="EI97" s="34"/>
      <c r="EJ97" s="34"/>
      <c r="EK97" s="34"/>
      <c r="EL97" s="34"/>
      <c r="EM97" s="34"/>
      <c r="EN97" s="34"/>
      <c r="EO97" s="34"/>
      <c r="EP97" s="33" t="s">
        <v>15</v>
      </c>
      <c r="EQ97" s="34"/>
      <c r="ER97" s="34"/>
      <c r="ES97" s="34"/>
      <c r="ET97" s="34"/>
      <c r="EU97" s="34"/>
      <c r="EV97" s="34"/>
      <c r="EW97" s="34"/>
      <c r="EX97" s="34"/>
      <c r="EY97" s="34"/>
      <c r="EZ97" s="34"/>
      <c r="FA97" s="34"/>
      <c r="FB97" s="34"/>
      <c r="FC97" s="33" t="s">
        <v>16</v>
      </c>
      <c r="FD97" s="34"/>
      <c r="FE97" s="34"/>
      <c r="FF97" s="34"/>
      <c r="FG97" s="34"/>
      <c r="FH97" s="34"/>
      <c r="FI97" s="34"/>
      <c r="FJ97" s="34"/>
      <c r="FK97" s="34"/>
      <c r="FL97" s="34"/>
      <c r="FM97" s="34"/>
      <c r="FN97" s="34"/>
      <c r="FO97" s="34"/>
    </row>
    <row r="98" spans="2:171" ht="14.25" customHeight="1" x14ac:dyDescent="0.3">
      <c r="B98" s="5" t="s">
        <v>17</v>
      </c>
      <c r="C98" s="6" t="s">
        <v>18</v>
      </c>
      <c r="D98" s="6" t="s">
        <v>19</v>
      </c>
      <c r="E98" s="6" t="s">
        <v>20</v>
      </c>
      <c r="F98" s="6" t="s">
        <v>21</v>
      </c>
      <c r="G98" s="6" t="s">
        <v>22</v>
      </c>
      <c r="H98" s="6" t="s">
        <v>23</v>
      </c>
      <c r="I98" s="6" t="s">
        <v>24</v>
      </c>
      <c r="J98" s="6" t="s">
        <v>25</v>
      </c>
      <c r="K98" s="6" t="s">
        <v>26</v>
      </c>
      <c r="L98" s="6" t="s">
        <v>27</v>
      </c>
      <c r="M98" s="6" t="s">
        <v>28</v>
      </c>
      <c r="N98" s="6" t="s">
        <v>29</v>
      </c>
      <c r="O98" s="6" t="s">
        <v>30</v>
      </c>
      <c r="P98" s="6" t="s">
        <v>18</v>
      </c>
      <c r="Q98" s="6" t="s">
        <v>19</v>
      </c>
      <c r="R98" s="6" t="s">
        <v>20</v>
      </c>
      <c r="S98" s="6" t="s">
        <v>21</v>
      </c>
      <c r="T98" s="6" t="s">
        <v>22</v>
      </c>
      <c r="U98" s="6" t="s">
        <v>23</v>
      </c>
      <c r="V98" s="6" t="s">
        <v>24</v>
      </c>
      <c r="W98" s="6" t="s">
        <v>25</v>
      </c>
      <c r="X98" s="6" t="s">
        <v>26</v>
      </c>
      <c r="Y98" s="6" t="s">
        <v>27</v>
      </c>
      <c r="Z98" s="6" t="s">
        <v>28</v>
      </c>
      <c r="AA98" s="6" t="s">
        <v>29</v>
      </c>
      <c r="AB98" s="6" t="s">
        <v>31</v>
      </c>
      <c r="AC98" s="6" t="s">
        <v>18</v>
      </c>
      <c r="AD98" s="6" t="s">
        <v>19</v>
      </c>
      <c r="AE98" s="6" t="s">
        <v>20</v>
      </c>
      <c r="AF98" s="6" t="s">
        <v>21</v>
      </c>
      <c r="AG98" s="6" t="s">
        <v>22</v>
      </c>
      <c r="AH98" s="6" t="s">
        <v>23</v>
      </c>
      <c r="AI98" s="6" t="s">
        <v>24</v>
      </c>
      <c r="AJ98" s="6" t="s">
        <v>25</v>
      </c>
      <c r="AK98" s="6" t="s">
        <v>26</v>
      </c>
      <c r="AL98" s="6" t="s">
        <v>27</v>
      </c>
      <c r="AM98" s="6" t="s">
        <v>28</v>
      </c>
      <c r="AN98" s="6" t="s">
        <v>29</v>
      </c>
      <c r="AO98" s="6" t="s">
        <v>32</v>
      </c>
      <c r="AP98" s="6" t="s">
        <v>18</v>
      </c>
      <c r="AQ98" s="6" t="s">
        <v>19</v>
      </c>
      <c r="AR98" s="6" t="s">
        <v>20</v>
      </c>
      <c r="AS98" s="6" t="s">
        <v>21</v>
      </c>
      <c r="AT98" s="6" t="s">
        <v>22</v>
      </c>
      <c r="AU98" s="6" t="s">
        <v>23</v>
      </c>
      <c r="AV98" s="6" t="s">
        <v>24</v>
      </c>
      <c r="AW98" s="6" t="s">
        <v>25</v>
      </c>
      <c r="AX98" s="6" t="s">
        <v>26</v>
      </c>
      <c r="AY98" s="6" t="s">
        <v>27</v>
      </c>
      <c r="AZ98" s="6" t="s">
        <v>28</v>
      </c>
      <c r="BA98" s="6" t="s">
        <v>29</v>
      </c>
      <c r="BB98" s="6" t="s">
        <v>33</v>
      </c>
      <c r="BC98" s="6" t="s">
        <v>18</v>
      </c>
      <c r="BD98" s="6" t="s">
        <v>19</v>
      </c>
      <c r="BE98" s="6" t="s">
        <v>20</v>
      </c>
      <c r="BF98" s="6" t="s">
        <v>21</v>
      </c>
      <c r="BG98" s="6" t="s">
        <v>22</v>
      </c>
      <c r="BH98" s="6" t="s">
        <v>23</v>
      </c>
      <c r="BI98" s="6" t="s">
        <v>24</v>
      </c>
      <c r="BJ98" s="6" t="s">
        <v>25</v>
      </c>
      <c r="BK98" s="6" t="s">
        <v>26</v>
      </c>
      <c r="BL98" s="6" t="s">
        <v>27</v>
      </c>
      <c r="BM98" s="6" t="s">
        <v>28</v>
      </c>
      <c r="BN98" s="6" t="s">
        <v>29</v>
      </c>
      <c r="BO98" s="6" t="s">
        <v>34</v>
      </c>
      <c r="BP98" s="6" t="s">
        <v>18</v>
      </c>
      <c r="BQ98" s="6" t="s">
        <v>19</v>
      </c>
      <c r="BR98" s="6" t="s">
        <v>20</v>
      </c>
      <c r="BS98" s="6" t="s">
        <v>21</v>
      </c>
      <c r="BT98" s="6" t="s">
        <v>22</v>
      </c>
      <c r="BU98" s="6" t="s">
        <v>23</v>
      </c>
      <c r="BV98" s="6" t="s">
        <v>24</v>
      </c>
      <c r="BW98" s="6" t="s">
        <v>25</v>
      </c>
      <c r="BX98" s="6" t="s">
        <v>26</v>
      </c>
      <c r="BY98" s="6" t="s">
        <v>27</v>
      </c>
      <c r="BZ98" s="6" t="s">
        <v>28</v>
      </c>
      <c r="CA98" s="6" t="s">
        <v>29</v>
      </c>
      <c r="CB98" s="6" t="s">
        <v>35</v>
      </c>
      <c r="CC98" s="6" t="s">
        <v>18</v>
      </c>
      <c r="CD98" s="6" t="s">
        <v>19</v>
      </c>
      <c r="CE98" s="6" t="s">
        <v>20</v>
      </c>
      <c r="CF98" s="6" t="s">
        <v>21</v>
      </c>
      <c r="CG98" s="6" t="s">
        <v>22</v>
      </c>
      <c r="CH98" s="6" t="s">
        <v>23</v>
      </c>
      <c r="CI98" s="6" t="s">
        <v>24</v>
      </c>
      <c r="CJ98" s="6" t="s">
        <v>25</v>
      </c>
      <c r="CK98" s="6" t="s">
        <v>26</v>
      </c>
      <c r="CL98" s="6" t="s">
        <v>27</v>
      </c>
      <c r="CM98" s="6" t="s">
        <v>28</v>
      </c>
      <c r="CN98" s="6" t="s">
        <v>29</v>
      </c>
      <c r="CO98" s="6" t="s">
        <v>36</v>
      </c>
      <c r="CP98" s="6" t="s">
        <v>18</v>
      </c>
      <c r="CQ98" s="6" t="s">
        <v>19</v>
      </c>
      <c r="CR98" s="6" t="s">
        <v>20</v>
      </c>
      <c r="CS98" s="6" t="s">
        <v>21</v>
      </c>
      <c r="CT98" s="6" t="s">
        <v>22</v>
      </c>
      <c r="CU98" s="6" t="s">
        <v>23</v>
      </c>
      <c r="CV98" s="6" t="s">
        <v>24</v>
      </c>
      <c r="CW98" s="6" t="s">
        <v>25</v>
      </c>
      <c r="CX98" s="6" t="s">
        <v>26</v>
      </c>
      <c r="CY98" s="6" t="s">
        <v>27</v>
      </c>
      <c r="CZ98" s="6" t="s">
        <v>28</v>
      </c>
      <c r="DA98" s="6" t="s">
        <v>29</v>
      </c>
      <c r="DB98" s="6" t="s">
        <v>37</v>
      </c>
      <c r="DC98" s="6" t="s">
        <v>18</v>
      </c>
      <c r="DD98" s="6" t="s">
        <v>19</v>
      </c>
      <c r="DE98" s="6" t="s">
        <v>20</v>
      </c>
      <c r="DF98" s="6" t="s">
        <v>21</v>
      </c>
      <c r="DG98" s="6" t="s">
        <v>22</v>
      </c>
      <c r="DH98" s="6" t="s">
        <v>23</v>
      </c>
      <c r="DI98" s="6" t="s">
        <v>24</v>
      </c>
      <c r="DJ98" s="6" t="s">
        <v>25</v>
      </c>
      <c r="DK98" s="6" t="s">
        <v>26</v>
      </c>
      <c r="DL98" s="6" t="s">
        <v>27</v>
      </c>
      <c r="DM98" s="6" t="s">
        <v>28</v>
      </c>
      <c r="DN98" s="6" t="s">
        <v>29</v>
      </c>
      <c r="DO98" s="6" t="s">
        <v>38</v>
      </c>
      <c r="DP98" s="6" t="s">
        <v>18</v>
      </c>
      <c r="DQ98" s="6" t="s">
        <v>19</v>
      </c>
      <c r="DR98" s="6" t="s">
        <v>20</v>
      </c>
      <c r="DS98" s="6" t="s">
        <v>21</v>
      </c>
      <c r="DT98" s="6" t="s">
        <v>22</v>
      </c>
      <c r="DU98" s="6" t="s">
        <v>23</v>
      </c>
      <c r="DV98" s="6" t="s">
        <v>24</v>
      </c>
      <c r="DW98" s="6" t="s">
        <v>25</v>
      </c>
      <c r="DX98" s="6" t="s">
        <v>26</v>
      </c>
      <c r="DY98" s="6" t="s">
        <v>27</v>
      </c>
      <c r="DZ98" s="6" t="s">
        <v>28</v>
      </c>
      <c r="EA98" s="6" t="s">
        <v>29</v>
      </c>
      <c r="EB98" s="6" t="s">
        <v>39</v>
      </c>
      <c r="EC98" s="6" t="s">
        <v>18</v>
      </c>
      <c r="ED98" s="6" t="s">
        <v>19</v>
      </c>
      <c r="EE98" s="6" t="s">
        <v>20</v>
      </c>
      <c r="EF98" s="6" t="s">
        <v>21</v>
      </c>
      <c r="EG98" s="6" t="s">
        <v>22</v>
      </c>
      <c r="EH98" s="6" t="s">
        <v>23</v>
      </c>
      <c r="EI98" s="6" t="s">
        <v>24</v>
      </c>
      <c r="EJ98" s="6" t="s">
        <v>25</v>
      </c>
      <c r="EK98" s="6" t="s">
        <v>26</v>
      </c>
      <c r="EL98" s="6" t="s">
        <v>27</v>
      </c>
      <c r="EM98" s="6" t="s">
        <v>28</v>
      </c>
      <c r="EN98" s="6" t="s">
        <v>29</v>
      </c>
      <c r="EO98" s="6" t="s">
        <v>40</v>
      </c>
      <c r="EP98" s="6" t="s">
        <v>18</v>
      </c>
      <c r="EQ98" s="6" t="s">
        <v>19</v>
      </c>
      <c r="ER98" s="6" t="s">
        <v>20</v>
      </c>
      <c r="ES98" s="6" t="s">
        <v>21</v>
      </c>
      <c r="ET98" s="6" t="s">
        <v>22</v>
      </c>
      <c r="EU98" s="6" t="s">
        <v>23</v>
      </c>
      <c r="EV98" s="6" t="s">
        <v>24</v>
      </c>
      <c r="EW98" s="6" t="s">
        <v>25</v>
      </c>
      <c r="EX98" s="6" t="s">
        <v>26</v>
      </c>
      <c r="EY98" s="6" t="s">
        <v>27</v>
      </c>
      <c r="EZ98" s="6" t="s">
        <v>28</v>
      </c>
      <c r="FA98" s="6" t="s">
        <v>29</v>
      </c>
      <c r="FB98" s="6" t="s">
        <v>41</v>
      </c>
      <c r="FC98" s="6" t="s">
        <v>18</v>
      </c>
      <c r="FD98" s="6" t="s">
        <v>19</v>
      </c>
      <c r="FE98" s="6" t="s">
        <v>20</v>
      </c>
      <c r="FF98" s="6" t="s">
        <v>21</v>
      </c>
      <c r="FG98" s="6" t="s">
        <v>22</v>
      </c>
      <c r="FH98" s="6" t="s">
        <v>23</v>
      </c>
      <c r="FI98" s="6" t="s">
        <v>24</v>
      </c>
      <c r="FJ98" s="6" t="s">
        <v>25</v>
      </c>
      <c r="FK98" s="6" t="s">
        <v>26</v>
      </c>
      <c r="FL98" s="6" t="s">
        <v>27</v>
      </c>
      <c r="FM98" s="6" t="s">
        <v>28</v>
      </c>
      <c r="FN98" s="6" t="s">
        <v>29</v>
      </c>
      <c r="FO98" s="6" t="s">
        <v>42</v>
      </c>
    </row>
    <row r="99" spans="2:171" ht="14.25" customHeight="1" x14ac:dyDescent="0.3">
      <c r="B99" s="7" t="s">
        <v>43</v>
      </c>
      <c r="C99" s="8">
        <f>+MINVU_Mes_Corriente!C99*MINVU_Mes_Constante!$C$1</f>
        <v>6690108.2473676419</v>
      </c>
      <c r="D99" s="8">
        <f>+MINVU_Mes_Corriente!D99*MINVU_Mes_Constante!$C$1</f>
        <v>6690108.2473676419</v>
      </c>
      <c r="E99" s="8">
        <f>+MINVU_Mes_Corriente!E99*MINVU_Mes_Constante!$C$1</f>
        <v>25759615.926442239</v>
      </c>
      <c r="F99" s="8">
        <f>+MINVU_Mes_Corriente!F99*MINVU_Mes_Constante!$C$1</f>
        <v>25759615.926442239</v>
      </c>
      <c r="G99" s="8">
        <f>+MINVU_Mes_Corriente!G99*MINVU_Mes_Constante!$C$1</f>
        <v>25759615.926442239</v>
      </c>
      <c r="H99" s="8">
        <f>+MINVU_Mes_Corriente!H99*MINVU_Mes_Constante!$C$1</f>
        <v>25749893.844282962</v>
      </c>
      <c r="I99" s="8">
        <f>+MINVU_Mes_Corriente!I99*MINVU_Mes_Constante!$C$1</f>
        <v>25749893.844282962</v>
      </c>
      <c r="J99" s="8">
        <f>+MINVU_Mes_Corriente!J99*MINVU_Mes_Constante!$C$1</f>
        <v>25545884.051905684</v>
      </c>
      <c r="K99" s="8">
        <f>+MINVU_Mes_Corriente!K99*MINVU_Mes_Constante!$C$1</f>
        <v>6950392.6919768658</v>
      </c>
      <c r="L99" s="8">
        <f>+MINVU_Mes_Corriente!L99*MINVU_Mes_Constante!$C$1</f>
        <v>6950392.6919768658</v>
      </c>
      <c r="M99" s="8">
        <f>+MINVU_Mes_Corriente!M99*MINVU_Mes_Constante!$C$1</f>
        <v>7701204.7919323752</v>
      </c>
      <c r="N99" s="8">
        <f>+MINVU_Mes_Corriente!N99*MINVU_Mes_Constante!$C$1</f>
        <v>7701204.7919323752</v>
      </c>
      <c r="O99" s="9">
        <f t="shared" ref="O99:O116" si="76">N99</f>
        <v>7701204.7919323752</v>
      </c>
      <c r="P99" s="8">
        <f>+MINVU_Mes_Corriente!P99*MINVU_Mes_Constante!$P$1</f>
        <v>7285374.2224747809</v>
      </c>
      <c r="Q99" s="8">
        <f>+MINVU_Mes_Corriente!Q99*MINVU_Mes_Constante!$P$1</f>
        <v>7285374.2224747809</v>
      </c>
      <c r="R99" s="8">
        <f>+MINVU_Mes_Corriente!R99*MINVU_Mes_Constante!$P$1</f>
        <v>7285374.2224747809</v>
      </c>
      <c r="S99" s="8">
        <f>+MINVU_Mes_Corriente!S99*MINVU_Mes_Constante!$P$1</f>
        <v>7285374.2224747809</v>
      </c>
      <c r="T99" s="8">
        <f>+MINVU_Mes_Corriente!T99*MINVU_Mes_Constante!$P$1</f>
        <v>7285374.2224747809</v>
      </c>
      <c r="U99" s="8">
        <f>+MINVU_Mes_Corriente!U99*MINVU_Mes_Constante!$P$1</f>
        <v>7285374.2224747809</v>
      </c>
      <c r="V99" s="8">
        <f>+MINVU_Mes_Corriente!V99*MINVU_Mes_Constante!$P$1</f>
        <v>7285374.2224747809</v>
      </c>
      <c r="W99" s="8">
        <f>+MINVU_Mes_Corriente!W99*MINVU_Mes_Constante!$P$1</f>
        <v>7299431.0282710586</v>
      </c>
      <c r="X99" s="8">
        <f>+MINVU_Mes_Corriente!X99*MINVU_Mes_Constante!$P$1</f>
        <v>7299431.0282710586</v>
      </c>
      <c r="Y99" s="8">
        <f>+MINVU_Mes_Corriente!Y99*MINVU_Mes_Constante!$P$1</f>
        <v>7299431.0282710586</v>
      </c>
      <c r="Z99" s="8">
        <f>+MINVU_Mes_Corriente!Z99*MINVU_Mes_Constante!$P$1</f>
        <v>7299431.0282710586</v>
      </c>
      <c r="AA99" s="8">
        <f>+MINVU_Mes_Corriente!AA99*MINVU_Mes_Constante!$P$1</f>
        <v>7299431.0282710586</v>
      </c>
      <c r="AB99" s="9">
        <f t="shared" ref="AB99:AB116" si="77">AA99</f>
        <v>7299431.0282710586</v>
      </c>
      <c r="AC99" s="8">
        <f>+MINVU_Mes_Corriente!AC99*MINVU_Mes_Constante!$AC$1</f>
        <v>5911173.0634942595</v>
      </c>
      <c r="AD99" s="8">
        <f>+MINVU_Mes_Corriente!AD99*MINVU_Mes_Constante!$AC$1</f>
        <v>5911173.0634942595</v>
      </c>
      <c r="AE99" s="8">
        <f>+MINVU_Mes_Corriente!AE99*MINVU_Mes_Constante!$AC$1</f>
        <v>5911173.0634942595</v>
      </c>
      <c r="AF99" s="8">
        <f>+MINVU_Mes_Corriente!AF99*MINVU_Mes_Constante!$AC$1</f>
        <v>5745204.8714898322</v>
      </c>
      <c r="AG99" s="8">
        <f>+MINVU_Mes_Corriente!AG99*MINVU_Mes_Constante!$AC$1</f>
        <v>5745204.8714898322</v>
      </c>
      <c r="AH99" s="8">
        <f>+MINVU_Mes_Corriente!AH99*MINVU_Mes_Constante!$AC$1</f>
        <v>5677088.5389403794</v>
      </c>
      <c r="AI99" s="8">
        <f>+MINVU_Mes_Corriente!AI99*MINVU_Mes_Constante!$AC$1</f>
        <v>5677088.5389403794</v>
      </c>
      <c r="AJ99" s="8">
        <f>+MINVU_Mes_Corriente!AJ99*MINVU_Mes_Constante!$AC$1</f>
        <v>5677088.5389403794</v>
      </c>
      <c r="AK99" s="8">
        <f>+MINVU_Mes_Corriente!AK99*MINVU_Mes_Constante!$AC$1</f>
        <v>5699759.7244432149</v>
      </c>
      <c r="AL99" s="8">
        <f>+MINVU_Mes_Corriente!AL99*MINVU_Mes_Constante!$AC$1</f>
        <v>5850900.9611287871</v>
      </c>
      <c r="AM99" s="8">
        <f>+MINVU_Mes_Corriente!AM99*MINVU_Mes_Constante!$AC$1</f>
        <v>5850900.9611287871</v>
      </c>
      <c r="AN99" s="8">
        <f>+MINVU_Mes_Corriente!AN99*MINVU_Mes_Constante!$AC$1</f>
        <v>5850900.9611287871</v>
      </c>
      <c r="AO99" s="9">
        <f t="shared" ref="AO99:AO116" si="78">AN99</f>
        <v>5850900.9611287871</v>
      </c>
      <c r="AP99" s="8">
        <f>+MINVU_Mes_Corriente!AP99*MINVU_Mes_Constante!$AP$1</f>
        <v>6487627.6588664949</v>
      </c>
      <c r="AQ99" s="8">
        <f>+MINVU_Mes_Corriente!AQ99*MINVU_Mes_Constante!$AP$1</f>
        <v>6487627.6588664949</v>
      </c>
      <c r="AR99" s="8">
        <f>+MINVU_Mes_Corriente!AR99*MINVU_Mes_Constante!$AP$1</f>
        <v>6487627.6588664949</v>
      </c>
      <c r="AS99" s="8">
        <f>+MINVU_Mes_Corriente!AS99*MINVU_Mes_Constante!$AP$1</f>
        <v>6487627.6588664949</v>
      </c>
      <c r="AT99" s="8">
        <f>+MINVU_Mes_Corriente!AT99*MINVU_Mes_Constante!$AP$1</f>
        <v>6469028.4826186933</v>
      </c>
      <c r="AU99" s="8">
        <f>+MINVU_Mes_Corriente!AU99*MINVU_Mes_Constante!$AP$1</f>
        <v>6469028.4826186933</v>
      </c>
      <c r="AV99" s="8">
        <f>+MINVU_Mes_Corriente!AV99*MINVU_Mes_Constante!$AP$1</f>
        <v>6469028.4826186933</v>
      </c>
      <c r="AW99" s="8">
        <f>+MINVU_Mes_Corriente!AW99*MINVU_Mes_Constante!$AP$1</f>
        <v>6429475.8601379683</v>
      </c>
      <c r="AX99" s="8">
        <f>+MINVU_Mes_Corriente!AX99*MINVU_Mes_Constante!$AP$1</f>
        <v>6433909.5135939401</v>
      </c>
      <c r="AY99" s="8">
        <f>+MINVU_Mes_Corriente!AY99*MINVU_Mes_Constante!$AP$1</f>
        <v>6433909.5135939401</v>
      </c>
      <c r="AZ99" s="8">
        <f>+MINVU_Mes_Corriente!AZ99*MINVU_Mes_Constante!$AP$1</f>
        <v>6433909.5135939401</v>
      </c>
      <c r="BA99" s="8">
        <f>+MINVU_Mes_Corriente!BA99*MINVU_Mes_Constante!$AP$1</f>
        <v>6432461.186798322</v>
      </c>
      <c r="BB99" s="9">
        <f t="shared" ref="BB99:BB116" si="79">BA99</f>
        <v>6432461.186798322</v>
      </c>
      <c r="BC99" s="8">
        <f>+MINVU_Mes_Corriente!BC99*MINVU_Mes_Constante!$BC$1</f>
        <v>6503768.1395226177</v>
      </c>
      <c r="BD99" s="8">
        <f>+MINVU_Mes_Corriente!BD99*MINVU_Mes_Constante!$BC$1</f>
        <v>6503768.1395226177</v>
      </c>
      <c r="BE99" s="8">
        <f>+MINVU_Mes_Corriente!BE99*MINVU_Mes_Constante!$BC$1</f>
        <v>6503768.1395226177</v>
      </c>
      <c r="BF99" s="8">
        <f>+MINVU_Mes_Corriente!BF99*MINVU_Mes_Constante!$BC$1</f>
        <v>6503768.1395226177</v>
      </c>
      <c r="BG99" s="8">
        <f>+MINVU_Mes_Corriente!BG99*MINVU_Mes_Constante!$BC$1</f>
        <v>6503768.1395226177</v>
      </c>
      <c r="BH99" s="8">
        <f>+MINVU_Mes_Corriente!BH99*MINVU_Mes_Constante!$BC$1</f>
        <v>6503768.1395226177</v>
      </c>
      <c r="BI99" s="8">
        <f>+MINVU_Mes_Corriente!BI99*MINVU_Mes_Constante!$BC$1</f>
        <v>5686712.8397731781</v>
      </c>
      <c r="BJ99" s="8">
        <f>+MINVU_Mes_Corriente!BJ99*MINVU_Mes_Constante!$BC$1</f>
        <v>5686712.8397731781</v>
      </c>
      <c r="BK99" s="8">
        <f>+MINVU_Mes_Corriente!BK99*MINVU_Mes_Constante!$BC$1</f>
        <v>5686712.8397731781</v>
      </c>
      <c r="BL99" s="8">
        <f>+MINVU_Mes_Corriente!BL99*MINVU_Mes_Constante!$BC$1</f>
        <v>5686712.8397731781</v>
      </c>
      <c r="BM99" s="8">
        <f>+MINVU_Mes_Corriente!BM99*MINVU_Mes_Constante!$BC$1</f>
        <v>5730328.9476460516</v>
      </c>
      <c r="BN99" s="8">
        <f>+MINVU_Mes_Corriente!BN99*MINVU_Mes_Constante!$BC$1</f>
        <v>5730328.9476460516</v>
      </c>
      <c r="BO99" s="9">
        <f t="shared" ref="BO99:BO116" si="80">BN99</f>
        <v>5730328.9476460516</v>
      </c>
      <c r="BP99" s="8">
        <f>+MINVU_Mes_Corriente!BP99*MINVU_Mes_Constante!$BP$1</f>
        <v>5869634.6627400778</v>
      </c>
      <c r="BQ99" s="8">
        <f>+MINVU_Mes_Corriente!BQ99*MINVU_Mes_Constante!$BP$1</f>
        <v>5869634.6627400778</v>
      </c>
      <c r="BR99" s="8">
        <f>+MINVU_Mes_Corriente!BR99*MINVU_Mes_Constante!$BP$1</f>
        <v>5869634.6627400778</v>
      </c>
      <c r="BS99" s="8">
        <f>+MINVU_Mes_Corriente!BS99*MINVU_Mes_Constante!$BP$1</f>
        <v>5869634.6627400778</v>
      </c>
      <c r="BT99" s="8">
        <f>+MINVU_Mes_Corriente!BT99*MINVU_Mes_Constante!$BP$1</f>
        <v>5869634.6627400778</v>
      </c>
      <c r="BU99" s="8">
        <f>+MINVU_Mes_Corriente!BU99*MINVU_Mes_Constante!$BP$1</f>
        <v>5869634.6627400778</v>
      </c>
      <c r="BV99" s="8">
        <f>+MINVU_Mes_Corriente!BV99*MINVU_Mes_Constante!$BP$1</f>
        <v>5869634.6627400778</v>
      </c>
      <c r="BW99" s="8">
        <f>+MINVU_Mes_Corriente!BW99*MINVU_Mes_Constante!$BP$1</f>
        <v>5869634.6627400778</v>
      </c>
      <c r="BX99" s="8">
        <f>+MINVU_Mes_Corriente!BX99*MINVU_Mes_Constante!$BP$1</f>
        <v>5869634.6627400778</v>
      </c>
      <c r="BY99" s="8">
        <f>+MINVU_Mes_Corriente!BY99*MINVU_Mes_Constante!$BP$1</f>
        <v>5869634.6627400778</v>
      </c>
      <c r="BZ99" s="8">
        <f>+MINVU_Mes_Corriente!BZ99*MINVU_Mes_Constante!$BP$1</f>
        <v>5869634.6627400778</v>
      </c>
      <c r="CA99" s="8">
        <f>+MINVU_Mes_Corriente!CA99*MINVU_Mes_Constante!$BP$1</f>
        <v>5878867.9021766968</v>
      </c>
      <c r="CB99" s="9">
        <f t="shared" ref="CB99:CB116" si="81">CA99</f>
        <v>5878867.9021766968</v>
      </c>
      <c r="CC99" s="8">
        <f>+MINVU_Mes_Corriente!CC99*MINVU_Mes_Constante!$CC$1</f>
        <v>6498393.0234986953</v>
      </c>
      <c r="CD99" s="8">
        <f>+MINVU_Mes_Corriente!CD99*MINVU_Mes_Constante!$CC$1</f>
        <v>6498393.0234986953</v>
      </c>
      <c r="CE99" s="8">
        <f>+MINVU_Mes_Corriente!CE99*MINVU_Mes_Constante!$CC$1</f>
        <v>6498393.0234986953</v>
      </c>
      <c r="CF99" s="8">
        <f>+MINVU_Mes_Corriente!CF99*MINVU_Mes_Constante!$CC$1</f>
        <v>5571190.9011562858</v>
      </c>
      <c r="CG99" s="8">
        <f>+MINVU_Mes_Corriente!CG99*MINVU_Mes_Constante!$CC$1</f>
        <v>4741870.4155165991</v>
      </c>
      <c r="CH99" s="8">
        <f>+MINVU_Mes_Corriente!CH99*MINVU_Mes_Constante!$CC$1</f>
        <v>4741870.4155165991</v>
      </c>
      <c r="CI99" s="8">
        <f>+MINVU_Mes_Corriente!CI99*MINVU_Mes_Constante!$CC$1</f>
        <v>4741870.4155165991</v>
      </c>
      <c r="CJ99" s="8">
        <f>+MINVU_Mes_Corriente!CJ99*MINVU_Mes_Constante!$CC$1</f>
        <v>4741870.4155165991</v>
      </c>
      <c r="CK99" s="8">
        <f>+MINVU_Mes_Corriente!CK99*MINVU_Mes_Constante!$CC$1</f>
        <v>4741870.4155165991</v>
      </c>
      <c r="CL99" s="8">
        <f>+MINVU_Mes_Corriente!CL99*MINVU_Mes_Constante!$CC$1</f>
        <v>4741870.4155165991</v>
      </c>
      <c r="CM99" s="8">
        <f>+MINVU_Mes_Corriente!CM99*MINVU_Mes_Constante!$CC$1</f>
        <v>4798308.510257367</v>
      </c>
      <c r="CN99" s="8">
        <f>+MINVU_Mes_Corriente!CN99*MINVU_Mes_Constante!$CC$1</f>
        <v>3972617.7985826186</v>
      </c>
      <c r="CO99" s="9">
        <f t="shared" ref="CO99:CO116" si="82">CN99</f>
        <v>3972617.7985826186</v>
      </c>
      <c r="CP99" s="8">
        <f>+MINVU_Mes_Corriente!CP99*MINVU_Mes_Constante!$CP$1</f>
        <v>5005564.3774941983</v>
      </c>
      <c r="CQ99" s="8">
        <f>+MINVU_Mes_Corriente!CQ99*MINVU_Mes_Constante!$CP$1</f>
        <v>5005564.3774941983</v>
      </c>
      <c r="CR99" s="8">
        <f>+MINVU_Mes_Corriente!CR99*MINVU_Mes_Constante!$CP$1</f>
        <v>5005564.3774941983</v>
      </c>
      <c r="CS99" s="8">
        <f>+MINVU_Mes_Corriente!CS99*MINVU_Mes_Constante!$CP$1</f>
        <v>5005564.3774941983</v>
      </c>
      <c r="CT99" s="8">
        <f>+MINVU_Mes_Corriente!CT99*MINVU_Mes_Constante!$CP$1</f>
        <v>5005564.3774941983</v>
      </c>
      <c r="CU99" s="8">
        <f>+MINVU_Mes_Corriente!CU99*MINVU_Mes_Constante!$CP$1</f>
        <v>4992072.9222737812</v>
      </c>
      <c r="CV99" s="8">
        <f>+MINVU_Mes_Corriente!CV99*MINVU_Mes_Constante!$CP$1</f>
        <v>4992072.9222737812</v>
      </c>
      <c r="CW99" s="8">
        <f>+MINVU_Mes_Corriente!CW99*MINVU_Mes_Constante!$CP$1</f>
        <v>4992072.9222737812</v>
      </c>
      <c r="CX99" s="8">
        <f>+MINVU_Mes_Corriente!CX99*MINVU_Mes_Constante!$CP$1</f>
        <v>4992072.9222737812</v>
      </c>
      <c r="CY99" s="8">
        <f>+MINVU_Mes_Corriente!CY99*MINVU_Mes_Constante!$CP$1</f>
        <v>4992072.9222737812</v>
      </c>
      <c r="CZ99" s="8">
        <f>+MINVU_Mes_Corriente!CZ99*MINVU_Mes_Constante!$CP$1</f>
        <v>4980031.5069605559</v>
      </c>
      <c r="DA99" s="8">
        <f>+MINVU_Mes_Corriente!DA99*MINVU_Mes_Constante!$CP$1</f>
        <v>4055143.0719257533</v>
      </c>
      <c r="DB99" s="9">
        <f t="shared" ref="DB99:DB116" si="83">DA99</f>
        <v>4055143.0719257533</v>
      </c>
      <c r="DC99" s="8">
        <f>+MINVU_Mes_Corriente!DC99*MINVU_Mes_Constante!$DC$1</f>
        <v>4133339.1815656847</v>
      </c>
      <c r="DD99" s="8">
        <f>+MINVU_Mes_Corriente!DD99*MINVU_Mes_Constante!$DC$1</f>
        <v>4133339.1815656847</v>
      </c>
      <c r="DE99" s="8">
        <f>+MINVU_Mes_Corriente!DE99*MINVU_Mes_Constante!$DC$1</f>
        <v>4133339.1815656847</v>
      </c>
      <c r="DF99" s="8">
        <f>+MINVU_Mes_Corriente!DF99*MINVU_Mes_Constante!$DC$1</f>
        <v>4133339.1815656847</v>
      </c>
      <c r="DG99" s="8">
        <f>+MINVU_Mes_Corriente!DG99*MINVU_Mes_Constante!$DC$1</f>
        <v>4238618.12076947</v>
      </c>
      <c r="DH99" s="8">
        <f>+MINVU_Mes_Corriente!DH99*MINVU_Mes_Constante!$DC$1</f>
        <v>4317295.2116037467</v>
      </c>
      <c r="DI99" s="8">
        <f>+MINVU_Mes_Corriente!DI99*MINVU_Mes_Constante!$DC$1</f>
        <v>4317295.2116037467</v>
      </c>
      <c r="DJ99" s="8">
        <f>+MINVU_Mes_Corriente!DJ99*MINVU_Mes_Constante!$DC$1</f>
        <v>4317295.2116037467</v>
      </c>
      <c r="DK99" s="8">
        <f>+MINVU_Mes_Corriente!DK99*MINVU_Mes_Constante!$DC$1</f>
        <v>4317295.2116037467</v>
      </c>
      <c r="DL99" s="8">
        <f>+MINVU_Mes_Corriente!DL99*MINVU_Mes_Constante!$DC$1</f>
        <v>4415079.5959263472</v>
      </c>
      <c r="DM99" s="8">
        <f>+MINVU_Mes_Corriente!DM99*MINVU_Mes_Constante!$DC$1</f>
        <v>4415079.5959263472</v>
      </c>
      <c r="DN99" s="8">
        <f>+MINVU_Mes_Corriente!DN99*MINVU_Mes_Constante!$DC$1</f>
        <v>4254114.1357885012</v>
      </c>
      <c r="DO99" s="9">
        <f t="shared" ref="DO99:DO116" si="84">DN99</f>
        <v>4254114.1357885012</v>
      </c>
      <c r="DP99" s="8">
        <f>+MINVU_Mes_Corriente!DP99*MINVU_Mes_Constante!$DP$1</f>
        <v>4463316.4168646084</v>
      </c>
      <c r="DQ99" s="8">
        <f>+MINVU_Mes_Corriente!DQ99*MINVU_Mes_Constante!$DP$1</f>
        <v>4463316.4168646084</v>
      </c>
      <c r="DR99" s="8">
        <f>+MINVU_Mes_Corriente!DR99*MINVU_Mes_Constante!$DP$1</f>
        <v>4463316.4168646084</v>
      </c>
      <c r="DS99" s="8">
        <f>+MINVU_Mes_Corriente!DS99*MINVU_Mes_Constante!$DP$1</f>
        <v>4463316.4168646084</v>
      </c>
      <c r="DT99" s="8">
        <f>+MINVU_Mes_Corriente!DT99*MINVU_Mes_Constante!$DP$1</f>
        <v>4463316.4168646084</v>
      </c>
      <c r="DU99" s="8">
        <f>+MINVU_Mes_Corriente!DU99*MINVU_Mes_Constante!$DP$1</f>
        <v>4463316.4168646084</v>
      </c>
      <c r="DV99" s="8">
        <f>+MINVU_Mes_Corriente!DV99*MINVU_Mes_Constante!$DP$1</f>
        <v>4463316.4168646084</v>
      </c>
      <c r="DW99" s="8">
        <f>+MINVU_Mes_Corriente!DW99*MINVU_Mes_Constante!$DP$1</f>
        <v>4463316.4168646084</v>
      </c>
      <c r="DX99" s="8">
        <f>+MINVU_Mes_Corriente!DX99*MINVU_Mes_Constante!$DP$1</f>
        <v>4463316.4168646084</v>
      </c>
      <c r="DY99" s="8">
        <f>+MINVU_Mes_Corriente!DY99*MINVU_Mes_Constante!$DP$1</f>
        <v>4463316.4168646084</v>
      </c>
      <c r="DZ99" s="8">
        <f>+MINVU_Mes_Corriente!DZ99*MINVU_Mes_Constante!$DP$1</f>
        <v>4463316.4168646084</v>
      </c>
      <c r="EA99" s="8">
        <f>+MINVU_Mes_Corriente!EA99*MINVU_Mes_Constante!$DP$1</f>
        <v>4325209.1383610452</v>
      </c>
      <c r="EB99" s="9">
        <f t="shared" ref="EB99:EB116" si="85">EA99</f>
        <v>4325209.1383610452</v>
      </c>
      <c r="EC99" s="8">
        <f>+MINVU_Mes_Corriente!EC99*MINVU_Mes_Constante!$EC$1</f>
        <v>31731903.257337615</v>
      </c>
      <c r="ED99" s="8">
        <f>+MINVU_Mes_Corriente!ED99*MINVU_Mes_Constante!$EC$1</f>
        <v>31731903.257337615</v>
      </c>
      <c r="EE99" s="8">
        <f>+MINVU_Mes_Corriente!EE99*MINVU_Mes_Constante!$EC$1</f>
        <v>31731903.257337615</v>
      </c>
      <c r="EF99" s="8">
        <f>+MINVU_Mes_Corriente!EF99*MINVU_Mes_Constante!$EC$1</f>
        <v>31731903.257337615</v>
      </c>
      <c r="EG99" s="8">
        <f>+MINVU_Mes_Corriente!EG99*MINVU_Mes_Constante!$EC$1</f>
        <v>31768507.736602906</v>
      </c>
      <c r="EH99" s="8">
        <f>+MINVU_Mes_Corriente!EH99*MINVU_Mes_Constante!$EC$1</f>
        <v>28632057.818594955</v>
      </c>
      <c r="EI99" s="8">
        <f>+MINVU_Mes_Corriente!EI99*MINVU_Mes_Constante!$EC$1</f>
        <v>28632057.818594955</v>
      </c>
      <c r="EJ99" s="8">
        <f>+MINVU_Mes_Corriente!EJ99*MINVU_Mes_Constante!$EC$1</f>
        <v>28632057.818594955</v>
      </c>
      <c r="EK99" s="8">
        <f>+MINVU_Mes_Corriente!EK99*MINVU_Mes_Constante!$EC$1</f>
        <v>28632057.818594955</v>
      </c>
      <c r="EL99" s="8">
        <f>+MINVU_Mes_Corriente!EL99*MINVU_Mes_Constante!$EC$1</f>
        <v>28594506.805529248</v>
      </c>
      <c r="EM99" s="8">
        <f>+MINVU_Mes_Corriente!EM99*MINVU_Mes_Constante!$EC$1</f>
        <v>3277917.9288013624</v>
      </c>
      <c r="EN99" s="8">
        <f>+MINVU_Mes_Corriente!EN99*MINVU_Mes_Constante!$EC$1</f>
        <v>3277917.9288013624</v>
      </c>
      <c r="EO99" s="9">
        <f t="shared" ref="EO99:EO116" si="86">EN99</f>
        <v>3277917.9288013624</v>
      </c>
      <c r="EP99" s="8">
        <f>+MINVU_Mes_Corriente!EP99*MINVU_Mes_Constante!$EP$1</f>
        <v>4435821</v>
      </c>
      <c r="EQ99" s="8">
        <f>+MINVU_Mes_Corriente!EQ99*MINVU_Mes_Constante!$EP$1</f>
        <v>4435821</v>
      </c>
      <c r="ER99" s="8">
        <f>+MINVU_Mes_Corriente!ER99*MINVU_Mes_Constante!$EP$1</f>
        <v>4435821</v>
      </c>
      <c r="ES99" s="8">
        <f>+MINVU_Mes_Corriente!ES99*MINVU_Mes_Constante!$EP$1</f>
        <v>4435821</v>
      </c>
      <c r="ET99" s="8">
        <f>+MINVU_Mes_Corriente!ET99*MINVU_Mes_Constante!$EP$1</f>
        <v>4435821</v>
      </c>
      <c r="EU99" s="8">
        <f>+MINVU_Mes_Corriente!EU99*MINVU_Mes_Constante!$EP$1</f>
        <v>4435821</v>
      </c>
      <c r="EV99" s="8">
        <f>+MINVU_Mes_Corriente!EV99*MINVU_Mes_Constante!$EP$1</f>
        <v>4435821</v>
      </c>
      <c r="EW99" s="8">
        <f>+MINVU_Mes_Corriente!EW99*MINVU_Mes_Constante!$EP$1</f>
        <v>4435821</v>
      </c>
      <c r="EX99" s="8">
        <f>+MINVU_Mes_Corriente!EX99*MINVU_Mes_Constante!$EP$1</f>
        <v>4435821</v>
      </c>
      <c r="EY99" s="8">
        <f>+MINVU_Mes_Corriente!EY99*MINVU_Mes_Constante!$EP$1</f>
        <v>4435821</v>
      </c>
      <c r="EZ99" s="8">
        <f>+MINVU_Mes_Corriente!EZ99*MINVU_Mes_Constante!$EP$1</f>
        <v>4435821</v>
      </c>
      <c r="FA99" s="8">
        <f>+MINVU_Mes_Corriente!FA99*MINVU_Mes_Constante!$EP$1</f>
        <v>4435821</v>
      </c>
      <c r="FB99" s="9">
        <f t="shared" ref="FB99:FB116" si="87">FA99</f>
        <v>4435821</v>
      </c>
      <c r="FC99" s="8">
        <f>+MINVU_Mes_Corriente!FC99*MINVU_Mes_Constante!$FC$1</f>
        <v>4182704</v>
      </c>
      <c r="FD99" s="8">
        <f>+MINVU_Mes_Corriente!FD99*MINVU_Mes_Constante!$FC$1</f>
        <v>4182704</v>
      </c>
      <c r="FE99" s="8">
        <f>+MINVU_Mes_Corriente!FE99*MINVU_Mes_Constante!$FC$1</f>
        <v>4182704</v>
      </c>
      <c r="FF99" s="8">
        <f>+MINVU_Mes_Corriente!FF99*MINVU_Mes_Constante!$FC$1</f>
        <v>4182704</v>
      </c>
      <c r="FG99" s="8">
        <f>+MINVU_Mes_Corriente!FG99*MINVU_Mes_Constante!$FC$1</f>
        <v>4182704</v>
      </c>
      <c r="FH99" s="8">
        <f>+MINVU_Mes_Corriente!FH99*MINVU_Mes_Constante!$FC$1</f>
        <v>4182704</v>
      </c>
      <c r="FI99" s="8">
        <f>+MINVU_Mes_Corriente!FI99*MINVU_Mes_Constante!$FC$1</f>
        <v>4182704</v>
      </c>
      <c r="FJ99" s="8"/>
      <c r="FK99" s="8"/>
      <c r="FL99" s="8"/>
      <c r="FM99" s="8"/>
      <c r="FN99" s="8"/>
      <c r="FO99" s="9">
        <f t="shared" ref="FO99:FO116" si="88">FI99</f>
        <v>4182704</v>
      </c>
    </row>
    <row r="100" spans="2:171" ht="14.25" customHeight="1" x14ac:dyDescent="0.3">
      <c r="B100" s="7" t="s">
        <v>44</v>
      </c>
      <c r="C100" s="8">
        <f>+MINVU_Mes_Corriente!C100*MINVU_Mes_Constante!$C$1</f>
        <v>88432.059320777116</v>
      </c>
      <c r="D100" s="8">
        <f>+MINVU_Mes_Corriente!D100*MINVU_Mes_Constante!$C$1</f>
        <v>88432.059320777116</v>
      </c>
      <c r="E100" s="8">
        <f>+MINVU_Mes_Corriente!E100*MINVU_Mes_Constante!$C$1</f>
        <v>88432.059320777116</v>
      </c>
      <c r="F100" s="8">
        <f>+MINVU_Mes_Corriente!F100*MINVU_Mes_Constante!$C$1</f>
        <v>88432.059320777116</v>
      </c>
      <c r="G100" s="8">
        <f>+MINVU_Mes_Corriente!G100*MINVU_Mes_Constante!$C$1</f>
        <v>88432.059320777116</v>
      </c>
      <c r="H100" s="8">
        <f>+MINVU_Mes_Corriente!H100*MINVU_Mes_Constante!$C$1</f>
        <v>88432.059320777116</v>
      </c>
      <c r="I100" s="8">
        <f>+MINVU_Mes_Corriente!I100*MINVU_Mes_Constante!$C$1</f>
        <v>88432.059320777116</v>
      </c>
      <c r="J100" s="8">
        <f>+MINVU_Mes_Corriente!J100*MINVU_Mes_Constante!$C$1</f>
        <v>88432.059320777116</v>
      </c>
      <c r="K100" s="8">
        <f>+MINVU_Mes_Corriente!K100*MINVU_Mes_Constante!$C$1</f>
        <v>88432.059320777116</v>
      </c>
      <c r="L100" s="8">
        <f>+MINVU_Mes_Corriente!L100*MINVU_Mes_Constante!$C$1</f>
        <v>88432.059320777116</v>
      </c>
      <c r="M100" s="8">
        <f>+MINVU_Mes_Corriente!M100*MINVU_Mes_Constante!$C$1</f>
        <v>88432.059320777116</v>
      </c>
      <c r="N100" s="8">
        <f>+MINVU_Mes_Corriente!N100*MINVU_Mes_Constante!$C$1</f>
        <v>88432.059320777116</v>
      </c>
      <c r="O100" s="9">
        <f t="shared" si="76"/>
        <v>88432.059320777116</v>
      </c>
      <c r="P100" s="8">
        <f>+MINVU_Mes_Corriente!P100*MINVU_Mes_Constante!$P$1</f>
        <v>87254.331297059209</v>
      </c>
      <c r="Q100" s="8">
        <f>+MINVU_Mes_Corriente!Q100*MINVU_Mes_Constante!$P$1</f>
        <v>87254.331297059209</v>
      </c>
      <c r="R100" s="8">
        <f>+MINVU_Mes_Corriente!R100*MINVU_Mes_Constante!$P$1</f>
        <v>87254.331297059209</v>
      </c>
      <c r="S100" s="8">
        <f>+MINVU_Mes_Corriente!S100*MINVU_Mes_Constante!$P$1</f>
        <v>87254.331297059209</v>
      </c>
      <c r="T100" s="8">
        <f>+MINVU_Mes_Corriente!T100*MINVU_Mes_Constante!$P$1</f>
        <v>180386.87853388258</v>
      </c>
      <c r="U100" s="8">
        <f>+MINVU_Mes_Corriente!U100*MINVU_Mes_Constante!$P$1</f>
        <v>180386.87853388258</v>
      </c>
      <c r="V100" s="8">
        <f>+MINVU_Mes_Corriente!V100*MINVU_Mes_Constante!$P$1</f>
        <v>180386.87853388258</v>
      </c>
      <c r="W100" s="8">
        <f>+MINVU_Mes_Corriente!W100*MINVU_Mes_Constante!$P$1</f>
        <v>180386.87853388258</v>
      </c>
      <c r="X100" s="8">
        <f>+MINVU_Mes_Corriente!X100*MINVU_Mes_Constante!$P$1</f>
        <v>180386.87853388258</v>
      </c>
      <c r="Y100" s="8">
        <f>+MINVU_Mes_Corriente!Y100*MINVU_Mes_Constante!$P$1</f>
        <v>180386.87853388258</v>
      </c>
      <c r="Z100" s="8">
        <f>+MINVU_Mes_Corriente!Z100*MINVU_Mes_Constante!$P$1</f>
        <v>180386.87853388258</v>
      </c>
      <c r="AA100" s="8">
        <f>+MINVU_Mes_Corriente!AA100*MINVU_Mes_Constante!$P$1</f>
        <v>180386.87853388258</v>
      </c>
      <c r="AB100" s="9">
        <f t="shared" si="77"/>
        <v>180386.87853388258</v>
      </c>
      <c r="AC100" s="8">
        <f>+MINVU_Mes_Corriente!AC100*MINVU_Mes_Constante!$AC$1</f>
        <v>88189.400193664405</v>
      </c>
      <c r="AD100" s="8">
        <f>+MINVU_Mes_Corriente!AD100*MINVU_Mes_Constante!$AC$1</f>
        <v>88189.400193664405</v>
      </c>
      <c r="AE100" s="8">
        <f>+MINVU_Mes_Corriente!AE100*MINVU_Mes_Constante!$AC$1</f>
        <v>88189.400193664405</v>
      </c>
      <c r="AF100" s="8">
        <f>+MINVU_Mes_Corriente!AF100*MINVU_Mes_Constante!$AC$1</f>
        <v>88189.400193664405</v>
      </c>
      <c r="AG100" s="8">
        <f>+MINVU_Mes_Corriente!AG100*MINVU_Mes_Constante!$AC$1</f>
        <v>88189.400193664405</v>
      </c>
      <c r="AH100" s="8">
        <f>+MINVU_Mes_Corriente!AH100*MINVU_Mes_Constante!$AC$1</f>
        <v>88189.400193664405</v>
      </c>
      <c r="AI100" s="8">
        <f>+MINVU_Mes_Corriente!AI100*MINVU_Mes_Constante!$AC$1</f>
        <v>88189.400193664405</v>
      </c>
      <c r="AJ100" s="8">
        <f>+MINVU_Mes_Corriente!AJ100*MINVU_Mes_Constante!$AC$1</f>
        <v>88189.400193664405</v>
      </c>
      <c r="AK100" s="8">
        <f>+MINVU_Mes_Corriente!AK100*MINVU_Mes_Constante!$AC$1</f>
        <v>88189.400193664405</v>
      </c>
      <c r="AL100" s="8">
        <f>+MINVU_Mes_Corriente!AL100*MINVU_Mes_Constante!$AC$1</f>
        <v>88189.400193664405</v>
      </c>
      <c r="AM100" s="8">
        <f>+MINVU_Mes_Corriente!AM100*MINVU_Mes_Constante!$AC$1</f>
        <v>88189.400193664405</v>
      </c>
      <c r="AN100" s="8">
        <f>+MINVU_Mes_Corriente!AN100*MINVU_Mes_Constante!$AC$1</f>
        <v>88189.400193664405</v>
      </c>
      <c r="AO100" s="9">
        <f t="shared" si="78"/>
        <v>88189.400193664405</v>
      </c>
      <c r="AP100" s="8">
        <f>+MINVU_Mes_Corriente!AP100*MINVU_Mes_Constante!$AP$1</f>
        <v>95899.924252671437</v>
      </c>
      <c r="AQ100" s="8">
        <f>+MINVU_Mes_Corriente!AQ100*MINVU_Mes_Constante!$AP$1</f>
        <v>95899.924252671437</v>
      </c>
      <c r="AR100" s="8">
        <f>+MINVU_Mes_Corriente!AR100*MINVU_Mes_Constante!$AP$1</f>
        <v>95899.924252671437</v>
      </c>
      <c r="AS100" s="8">
        <f>+MINVU_Mes_Corriente!AS100*MINVU_Mes_Constante!$AP$1</f>
        <v>95899.924252671437</v>
      </c>
      <c r="AT100" s="8">
        <f>+MINVU_Mes_Corriente!AT100*MINVU_Mes_Constante!$AP$1</f>
        <v>95899.924252671437</v>
      </c>
      <c r="AU100" s="8">
        <f>+MINVU_Mes_Corriente!AU100*MINVU_Mes_Constante!$AP$1</f>
        <v>95899.924252671437</v>
      </c>
      <c r="AV100" s="8">
        <f>+MINVU_Mes_Corriente!AV100*MINVU_Mes_Constante!$AP$1</f>
        <v>95899.924252671437</v>
      </c>
      <c r="AW100" s="8">
        <f>+MINVU_Mes_Corriente!AW100*MINVU_Mes_Constante!$AP$1</f>
        <v>116686.36953875287</v>
      </c>
      <c r="AX100" s="8">
        <f>+MINVU_Mes_Corriente!AX100*MINVU_Mes_Constante!$AP$1</f>
        <v>116686.36953875287</v>
      </c>
      <c r="AY100" s="8">
        <f>+MINVU_Mes_Corriente!AY100*MINVU_Mes_Constante!$AP$1</f>
        <v>116686.36953875287</v>
      </c>
      <c r="AZ100" s="8">
        <f>+MINVU_Mes_Corriente!AZ100*MINVU_Mes_Constante!$AP$1</f>
        <v>116686.36953875287</v>
      </c>
      <c r="BA100" s="8">
        <f>+MINVU_Mes_Corriente!BA100*MINVU_Mes_Constante!$AP$1</f>
        <v>116686.36953875287</v>
      </c>
      <c r="BB100" s="9">
        <f t="shared" si="79"/>
        <v>116686.36953875287</v>
      </c>
      <c r="BC100" s="8">
        <f>+MINVU_Mes_Corriente!BC100*MINVU_Mes_Constante!$BC$1</f>
        <v>150788.30963998422</v>
      </c>
      <c r="BD100" s="8">
        <f>+MINVU_Mes_Corriente!BD100*MINVU_Mes_Constante!$BC$1</f>
        <v>150788.30963998422</v>
      </c>
      <c r="BE100" s="8">
        <f>+MINVU_Mes_Corriente!BE100*MINVU_Mes_Constante!$BC$1</f>
        <v>150788.30963998422</v>
      </c>
      <c r="BF100" s="8">
        <f>+MINVU_Mes_Corriente!BF100*MINVU_Mes_Constante!$BC$1</f>
        <v>150788.30963998422</v>
      </c>
      <c r="BG100" s="8">
        <f>+MINVU_Mes_Corriente!BG100*MINVU_Mes_Constante!$BC$1</f>
        <v>150788.30963998422</v>
      </c>
      <c r="BH100" s="8">
        <f>+MINVU_Mes_Corriente!BH100*MINVU_Mes_Constante!$BC$1</f>
        <v>150788.30963998422</v>
      </c>
      <c r="BI100" s="8">
        <f>+MINVU_Mes_Corriente!BI100*MINVU_Mes_Constante!$BC$1</f>
        <v>129946.34867466705</v>
      </c>
      <c r="BJ100" s="8">
        <f>+MINVU_Mes_Corriente!BJ100*MINVU_Mes_Constante!$BC$1</f>
        <v>129946.34867466705</v>
      </c>
      <c r="BK100" s="8">
        <f>+MINVU_Mes_Corriente!BK100*MINVU_Mes_Constante!$BC$1</f>
        <v>129946.34867466705</v>
      </c>
      <c r="BL100" s="8">
        <f>+MINVU_Mes_Corriente!BL100*MINVU_Mes_Constante!$BC$1</f>
        <v>129946.34867466705</v>
      </c>
      <c r="BM100" s="8">
        <f>+MINVU_Mes_Corriente!BM100*MINVU_Mes_Constante!$BC$1</f>
        <v>129946.34867466705</v>
      </c>
      <c r="BN100" s="8">
        <f>+MINVU_Mes_Corriente!BN100*MINVU_Mes_Constante!$BC$1</f>
        <v>129946.34867466705</v>
      </c>
      <c r="BO100" s="9">
        <f t="shared" si="80"/>
        <v>129946.34867466705</v>
      </c>
      <c r="BP100" s="8">
        <f>+MINVU_Mes_Corriente!BP100*MINVU_Mes_Constante!$BP$1</f>
        <v>197620.70243277852</v>
      </c>
      <c r="BQ100" s="8">
        <f>+MINVU_Mes_Corriente!BQ100*MINVU_Mes_Constante!$BP$1</f>
        <v>197620.70243277852</v>
      </c>
      <c r="BR100" s="8">
        <f>+MINVU_Mes_Corriente!BR100*MINVU_Mes_Constante!$BP$1</f>
        <v>197620.70243277852</v>
      </c>
      <c r="BS100" s="8">
        <f>+MINVU_Mes_Corriente!BS100*MINVU_Mes_Constante!$BP$1</f>
        <v>197620.70243277852</v>
      </c>
      <c r="BT100" s="8">
        <f>+MINVU_Mes_Corriente!BT100*MINVU_Mes_Constante!$BP$1</f>
        <v>197620.70243277852</v>
      </c>
      <c r="BU100" s="8">
        <f>+MINVU_Mes_Corriente!BU100*MINVU_Mes_Constante!$BP$1</f>
        <v>197620.70243277852</v>
      </c>
      <c r="BV100" s="8">
        <f>+MINVU_Mes_Corriente!BV100*MINVU_Mes_Constante!$BP$1</f>
        <v>197620.70243277852</v>
      </c>
      <c r="BW100" s="8">
        <f>+MINVU_Mes_Corriente!BW100*MINVU_Mes_Constante!$BP$1</f>
        <v>197620.70243277852</v>
      </c>
      <c r="BX100" s="8">
        <f>+MINVU_Mes_Corriente!BX100*MINVU_Mes_Constante!$BP$1</f>
        <v>197620.70243277852</v>
      </c>
      <c r="BY100" s="8">
        <f>+MINVU_Mes_Corriente!BY100*MINVU_Mes_Constante!$BP$1</f>
        <v>197620.70243277852</v>
      </c>
      <c r="BZ100" s="8">
        <f>+MINVU_Mes_Corriente!BZ100*MINVU_Mes_Constante!$BP$1</f>
        <v>197620.70243277852</v>
      </c>
      <c r="CA100" s="8">
        <f>+MINVU_Mes_Corriente!CA100*MINVU_Mes_Constante!$BP$1</f>
        <v>197620.70243277852</v>
      </c>
      <c r="CB100" s="9">
        <f t="shared" si="81"/>
        <v>197620.70243277852</v>
      </c>
      <c r="CC100" s="8">
        <f>+MINVU_Mes_Corriente!CC100*MINVU_Mes_Constante!$CC$1</f>
        <v>196885.35173442747</v>
      </c>
      <c r="CD100" s="8">
        <f>+MINVU_Mes_Corriente!CD100*MINVU_Mes_Constante!$CC$1</f>
        <v>196885.35173442747</v>
      </c>
      <c r="CE100" s="8">
        <f>+MINVU_Mes_Corriente!CE100*MINVU_Mes_Constante!$CC$1</f>
        <v>196885.35173442747</v>
      </c>
      <c r="CF100" s="8">
        <f>+MINVU_Mes_Corriente!CF100*MINVU_Mes_Constante!$CC$1</f>
        <v>179609.9641924655</v>
      </c>
      <c r="CG100" s="8">
        <f>+MINVU_Mes_Corriente!CG100*MINVU_Mes_Constante!$CC$1</f>
        <v>92496.747482282735</v>
      </c>
      <c r="CH100" s="8">
        <f>+MINVU_Mes_Corriente!CH100*MINVU_Mes_Constante!$CC$1</f>
        <v>92496.747482282735</v>
      </c>
      <c r="CI100" s="8">
        <f>+MINVU_Mes_Corriente!CI100*MINVU_Mes_Constante!$CC$1</f>
        <v>92496.747482282735</v>
      </c>
      <c r="CJ100" s="8">
        <f>+MINVU_Mes_Corriente!CJ100*MINVU_Mes_Constante!$CC$1</f>
        <v>92496.747482282735</v>
      </c>
      <c r="CK100" s="8">
        <f>+MINVU_Mes_Corriente!CK100*MINVU_Mes_Constante!$CC$1</f>
        <v>92496.747482282735</v>
      </c>
      <c r="CL100" s="8">
        <f>+MINVU_Mes_Corriente!CL100*MINVU_Mes_Constante!$CC$1</f>
        <v>92496.747482282735</v>
      </c>
      <c r="CM100" s="8">
        <f>+MINVU_Mes_Corriente!CM100*MINVU_Mes_Constante!$CC$1</f>
        <v>196885.35173442747</v>
      </c>
      <c r="CN100" s="8">
        <f>+MINVU_Mes_Corriente!CN100*MINVU_Mes_Constante!$CC$1</f>
        <v>196885.35173442747</v>
      </c>
      <c r="CO100" s="9">
        <f t="shared" si="82"/>
        <v>196885.35173442747</v>
      </c>
      <c r="CP100" s="8">
        <f>+MINVU_Mes_Corriente!CP100*MINVU_Mes_Constante!$CP$1</f>
        <v>90134.429930394414</v>
      </c>
      <c r="CQ100" s="8">
        <f>+MINVU_Mes_Corriente!CQ100*MINVU_Mes_Constante!$CP$1</f>
        <v>90134.429930394414</v>
      </c>
      <c r="CR100" s="8">
        <f>+MINVU_Mes_Corriente!CR100*MINVU_Mes_Constante!$CP$1</f>
        <v>90134.429930394414</v>
      </c>
      <c r="CS100" s="8">
        <f>+MINVU_Mes_Corriente!CS100*MINVU_Mes_Constante!$CP$1</f>
        <v>90134.429930394414</v>
      </c>
      <c r="CT100" s="8">
        <f>+MINVU_Mes_Corriente!CT100*MINVU_Mes_Constante!$CP$1</f>
        <v>90134.429930394414</v>
      </c>
      <c r="CU100" s="8">
        <f>+MINVU_Mes_Corriente!CU100*MINVU_Mes_Constante!$CP$1</f>
        <v>90134.429930394414</v>
      </c>
      <c r="CV100" s="8">
        <f>+MINVU_Mes_Corriente!CV100*MINVU_Mes_Constante!$CP$1</f>
        <v>90134.429930394414</v>
      </c>
      <c r="CW100" s="8">
        <f>+MINVU_Mes_Corriente!CW100*MINVU_Mes_Constante!$CP$1</f>
        <v>90134.429930394414</v>
      </c>
      <c r="CX100" s="8">
        <f>+MINVU_Mes_Corriente!CX100*MINVU_Mes_Constante!$CP$1</f>
        <v>90134.429930394414</v>
      </c>
      <c r="CY100" s="8">
        <f>+MINVU_Mes_Corriente!CY100*MINVU_Mes_Constante!$CP$1</f>
        <v>90134.429930394414</v>
      </c>
      <c r="CZ100" s="8">
        <f>+MINVU_Mes_Corriente!CZ100*MINVU_Mes_Constante!$CP$1</f>
        <v>101542.08654292341</v>
      </c>
      <c r="DA100" s="8">
        <f>+MINVU_Mes_Corriente!DA100*MINVU_Mes_Constante!$CP$1</f>
        <v>101542.08654292341</v>
      </c>
      <c r="DB100" s="9">
        <f t="shared" si="83"/>
        <v>101542.08654292341</v>
      </c>
      <c r="DC100" s="8">
        <f>+MINVU_Mes_Corriente!DC100*MINVU_Mes_Constante!$DC$1</f>
        <v>37459.286904639455</v>
      </c>
      <c r="DD100" s="8">
        <f>+MINVU_Mes_Corriente!DD100*MINVU_Mes_Constante!$DC$1</f>
        <v>37459.286904639455</v>
      </c>
      <c r="DE100" s="8">
        <f>+MINVU_Mes_Corriente!DE100*MINVU_Mes_Constante!$DC$1</f>
        <v>37459.286904639455</v>
      </c>
      <c r="DF100" s="8">
        <f>+MINVU_Mes_Corriente!DF100*MINVU_Mes_Constante!$DC$1</f>
        <v>37459.286904639455</v>
      </c>
      <c r="DG100" s="8">
        <f>+MINVU_Mes_Corriente!DG100*MINVU_Mes_Constante!$DC$1</f>
        <v>37459.286904639455</v>
      </c>
      <c r="DH100" s="8">
        <f>+MINVU_Mes_Corriente!DH100*MINVU_Mes_Constante!$DC$1</f>
        <v>37459.286904639455</v>
      </c>
      <c r="DI100" s="8">
        <f>+MINVU_Mes_Corriente!DI100*MINVU_Mes_Constante!$DC$1</f>
        <v>37459.286904639455</v>
      </c>
      <c r="DJ100" s="8">
        <f>+MINVU_Mes_Corriente!DJ100*MINVU_Mes_Constante!$DC$1</f>
        <v>37459.286904639455</v>
      </c>
      <c r="DK100" s="8">
        <f>+MINVU_Mes_Corriente!DK100*MINVU_Mes_Constante!$DC$1</f>
        <v>37459.286904639455</v>
      </c>
      <c r="DL100" s="8">
        <f>+MINVU_Mes_Corriente!DL100*MINVU_Mes_Constante!$DC$1</f>
        <v>37459.286904639455</v>
      </c>
      <c r="DM100" s="8">
        <f>+MINVU_Mes_Corriente!DM100*MINVU_Mes_Constante!$DC$1</f>
        <v>37459.286904639455</v>
      </c>
      <c r="DN100" s="8">
        <f>+MINVU_Mes_Corriente!DN100*MINVU_Mes_Constante!$DC$1</f>
        <v>37459.286904639455</v>
      </c>
      <c r="DO100" s="9">
        <f t="shared" si="84"/>
        <v>37459.286904639455</v>
      </c>
      <c r="DP100" s="8">
        <f>+MINVU_Mes_Corriente!DP100*MINVU_Mes_Constante!$DP$1</f>
        <v>0</v>
      </c>
      <c r="DQ100" s="8">
        <f>+MINVU_Mes_Corriente!DQ100*MINVU_Mes_Constante!$DP$1</f>
        <v>0</v>
      </c>
      <c r="DR100" s="8">
        <f>+MINVU_Mes_Corriente!DR100*MINVU_Mes_Constante!$DP$1</f>
        <v>0</v>
      </c>
      <c r="DS100" s="8">
        <f>+MINVU_Mes_Corriente!DS100*MINVU_Mes_Constante!$DP$1</f>
        <v>0</v>
      </c>
      <c r="DT100" s="8">
        <f>+MINVU_Mes_Corriente!DT100*MINVU_Mes_Constante!$DP$1</f>
        <v>0</v>
      </c>
      <c r="DU100" s="8">
        <f>+MINVU_Mes_Corriente!DU100*MINVU_Mes_Constante!$DP$1</f>
        <v>0</v>
      </c>
      <c r="DV100" s="8">
        <f>+MINVU_Mes_Corriente!DV100*MINVU_Mes_Constante!$DP$1</f>
        <v>0</v>
      </c>
      <c r="DW100" s="8">
        <f>+MINVU_Mes_Corriente!DW100*MINVU_Mes_Constante!$DP$1</f>
        <v>0</v>
      </c>
      <c r="DX100" s="8">
        <f>+MINVU_Mes_Corriente!DX100*MINVU_Mes_Constante!$DP$1</f>
        <v>0</v>
      </c>
      <c r="DY100" s="8">
        <f>+MINVU_Mes_Corriente!DY100*MINVU_Mes_Constante!$DP$1</f>
        <v>0</v>
      </c>
      <c r="DZ100" s="8">
        <f>+MINVU_Mes_Corriente!DZ100*MINVU_Mes_Constante!$DP$1</f>
        <v>0</v>
      </c>
      <c r="EA100" s="8">
        <f>+MINVU_Mes_Corriente!EA100*MINVU_Mes_Constante!$DP$1</f>
        <v>0</v>
      </c>
      <c r="EB100" s="9">
        <f t="shared" si="85"/>
        <v>0</v>
      </c>
      <c r="EC100" s="8">
        <f>+MINVU_Mes_Corriente!EC100*MINVU_Mes_Constante!$EC$1</f>
        <v>0</v>
      </c>
      <c r="ED100" s="8">
        <f>+MINVU_Mes_Corriente!ED100*MINVU_Mes_Constante!$EC$1</f>
        <v>0</v>
      </c>
      <c r="EE100" s="8">
        <f>+MINVU_Mes_Corriente!EE100*MINVU_Mes_Constante!$EC$1</f>
        <v>0</v>
      </c>
      <c r="EF100" s="8">
        <f>+MINVU_Mes_Corriente!EF100*MINVU_Mes_Constante!$EC$1</f>
        <v>0</v>
      </c>
      <c r="EG100" s="8">
        <f>+MINVU_Mes_Corriente!EG100*MINVU_Mes_Constante!$EC$1</f>
        <v>7006.4190494224558</v>
      </c>
      <c r="EH100" s="8">
        <f>+MINVU_Mes_Corriente!EH100*MINVU_Mes_Constante!$EC$1</f>
        <v>7006.4190494224558</v>
      </c>
      <c r="EI100" s="8">
        <f>+MINVU_Mes_Corriente!EI100*MINVU_Mes_Constante!$EC$1</f>
        <v>7006.4190494224558</v>
      </c>
      <c r="EJ100" s="8">
        <f>+MINVU_Mes_Corriente!EJ100*MINVU_Mes_Constante!$EC$1</f>
        <v>249222.86688127241</v>
      </c>
      <c r="EK100" s="8">
        <f>+MINVU_Mes_Corriente!EK100*MINVU_Mes_Constante!$EC$1</f>
        <v>249222.86688127241</v>
      </c>
      <c r="EL100" s="8">
        <f>+MINVU_Mes_Corriente!EL100*MINVU_Mes_Constante!$EC$1</f>
        <v>249222.86688127241</v>
      </c>
      <c r="EM100" s="8">
        <f>+MINVU_Mes_Corriente!EM100*MINVU_Mes_Constante!$EC$1</f>
        <v>249222.86688127241</v>
      </c>
      <c r="EN100" s="8">
        <f>+MINVU_Mes_Corriente!EN100*MINVU_Mes_Constante!$EC$1</f>
        <v>249222.86688127241</v>
      </c>
      <c r="EO100" s="9">
        <f t="shared" si="86"/>
        <v>249222.86688127241</v>
      </c>
      <c r="EP100" s="8">
        <f>+MINVU_Mes_Corriente!EP100*MINVU_Mes_Constante!$EP$1</f>
        <v>6929</v>
      </c>
      <c r="EQ100" s="8">
        <f>+MINVU_Mes_Corriente!EQ100*MINVU_Mes_Constante!$EP$1</f>
        <v>6929</v>
      </c>
      <c r="ER100" s="8">
        <f>+MINVU_Mes_Corriente!ER100*MINVU_Mes_Constante!$EP$1</f>
        <v>6929</v>
      </c>
      <c r="ES100" s="8">
        <f>+MINVU_Mes_Corriente!ES100*MINVU_Mes_Constante!$EP$1</f>
        <v>6929</v>
      </c>
      <c r="ET100" s="8">
        <f>+MINVU_Mes_Corriente!ET100*MINVU_Mes_Constante!$EP$1</f>
        <v>6929</v>
      </c>
      <c r="EU100" s="8">
        <f>+MINVU_Mes_Corriente!EU100*MINVU_Mes_Constante!$EP$1</f>
        <v>6929</v>
      </c>
      <c r="EV100" s="8">
        <f>+MINVU_Mes_Corriente!EV100*MINVU_Mes_Constante!$EP$1</f>
        <v>6929</v>
      </c>
      <c r="EW100" s="8">
        <f>+MINVU_Mes_Corriente!EW100*MINVU_Mes_Constante!$EP$1</f>
        <v>6929</v>
      </c>
      <c r="EX100" s="8">
        <f>+MINVU_Mes_Corriente!EX100*MINVU_Mes_Constante!$EP$1</f>
        <v>6929</v>
      </c>
      <c r="EY100" s="8">
        <f>+MINVU_Mes_Corriente!EY100*MINVU_Mes_Constante!$EP$1</f>
        <v>6929</v>
      </c>
      <c r="EZ100" s="8">
        <f>+MINVU_Mes_Corriente!EZ100*MINVU_Mes_Constante!$EP$1</f>
        <v>6929</v>
      </c>
      <c r="FA100" s="8">
        <f>+MINVU_Mes_Corriente!FA100*MINVU_Mes_Constante!$EP$1</f>
        <v>6929</v>
      </c>
      <c r="FB100" s="9">
        <f t="shared" si="87"/>
        <v>6929</v>
      </c>
      <c r="FC100" s="8">
        <f>+MINVU_Mes_Corriente!FC100*MINVU_Mes_Constante!$FC$1</f>
        <v>0</v>
      </c>
      <c r="FD100" s="8">
        <f>+MINVU_Mes_Corriente!FD100*MINVU_Mes_Constante!$FC$1</f>
        <v>0</v>
      </c>
      <c r="FE100" s="8">
        <f>+MINVU_Mes_Corriente!FE100*MINVU_Mes_Constante!$FC$1</f>
        <v>0</v>
      </c>
      <c r="FF100" s="8">
        <f>+MINVU_Mes_Corriente!FF100*MINVU_Mes_Constante!$FC$1</f>
        <v>0</v>
      </c>
      <c r="FG100" s="8">
        <f>+MINVU_Mes_Corriente!FG100*MINVU_Mes_Constante!$FC$1</f>
        <v>0</v>
      </c>
      <c r="FH100" s="8">
        <f>+MINVU_Mes_Corriente!FH100*MINVU_Mes_Constante!$FC$1</f>
        <v>0</v>
      </c>
      <c r="FI100" s="8">
        <f>+MINVU_Mes_Corriente!FI100*MINVU_Mes_Constante!$FC$1</f>
        <v>0</v>
      </c>
      <c r="FJ100" s="8"/>
      <c r="FK100" s="8"/>
      <c r="FL100" s="8"/>
      <c r="FM100" s="8"/>
      <c r="FN100" s="8"/>
      <c r="FO100" s="9">
        <f t="shared" si="88"/>
        <v>0</v>
      </c>
    </row>
    <row r="101" spans="2:171" ht="14.25" customHeight="1" x14ac:dyDescent="0.3">
      <c r="B101" s="7" t="s">
        <v>45</v>
      </c>
      <c r="C101" s="8">
        <f>+MINVU_Mes_Corriente!C101*MINVU_Mes_Constante!$C$1</f>
        <v>37363.582085125323</v>
      </c>
      <c r="D101" s="8">
        <f>+MINVU_Mes_Corriente!D101*MINVU_Mes_Constante!$C$1</f>
        <v>37363.582085125323</v>
      </c>
      <c r="E101" s="8">
        <f>+MINVU_Mes_Corriente!E101*MINVU_Mes_Constante!$C$1</f>
        <v>37363.582085125323</v>
      </c>
      <c r="F101" s="8">
        <f>+MINVU_Mes_Corriente!F101*MINVU_Mes_Constante!$C$1</f>
        <v>37363.582085125323</v>
      </c>
      <c r="G101" s="8">
        <f>+MINVU_Mes_Corriente!G101*MINVU_Mes_Constante!$C$1</f>
        <v>37363.582085125323</v>
      </c>
      <c r="H101" s="8">
        <f>+MINVU_Mes_Corriente!H101*MINVU_Mes_Constante!$C$1</f>
        <v>37363.582085125323</v>
      </c>
      <c r="I101" s="8">
        <f>+MINVU_Mes_Corriente!I101*MINVU_Mes_Constante!$C$1</f>
        <v>37363.582085125323</v>
      </c>
      <c r="J101" s="8">
        <f>+MINVU_Mes_Corriente!J101*MINVU_Mes_Constante!$C$1</f>
        <v>37363.582085125323</v>
      </c>
      <c r="K101" s="8">
        <f>+MINVU_Mes_Corriente!K101*MINVU_Mes_Constante!$C$1</f>
        <v>7332165.8955954332</v>
      </c>
      <c r="L101" s="8">
        <f>+MINVU_Mes_Corriente!L101*MINVU_Mes_Constante!$C$1</f>
        <v>7332165.8955954332</v>
      </c>
      <c r="M101" s="8">
        <f>+MINVU_Mes_Corriente!M101*MINVU_Mes_Constante!$C$1</f>
        <v>8530477.3356072977</v>
      </c>
      <c r="N101" s="8">
        <f>+MINVU_Mes_Corriente!N101*MINVU_Mes_Constante!$C$1</f>
        <v>8530477.3356072977</v>
      </c>
      <c r="O101" s="9">
        <f t="shared" si="76"/>
        <v>8530477.3356072977</v>
      </c>
      <c r="P101" s="8">
        <f>+MINVU_Mes_Corriente!P101*MINVU_Mes_Constante!$P$1</f>
        <v>38249.537150163364</v>
      </c>
      <c r="Q101" s="8">
        <f>+MINVU_Mes_Corriente!Q101*MINVU_Mes_Constante!$P$1</f>
        <v>38249.537150163364</v>
      </c>
      <c r="R101" s="8">
        <f>+MINVU_Mes_Corriente!R101*MINVU_Mes_Constante!$P$1</f>
        <v>38249.537150163364</v>
      </c>
      <c r="S101" s="8">
        <f>+MINVU_Mes_Corriente!S101*MINVU_Mes_Constante!$P$1</f>
        <v>38249.537150163364</v>
      </c>
      <c r="T101" s="8">
        <f>+MINVU_Mes_Corriente!T101*MINVU_Mes_Constante!$P$1</f>
        <v>38249.537150163364</v>
      </c>
      <c r="U101" s="8">
        <f>+MINVU_Mes_Corriente!U101*MINVU_Mes_Constante!$P$1</f>
        <v>38249.537150163364</v>
      </c>
      <c r="V101" s="8">
        <f>+MINVU_Mes_Corriente!V101*MINVU_Mes_Constante!$P$1</f>
        <v>6950236.7512430716</v>
      </c>
      <c r="W101" s="8">
        <f>+MINVU_Mes_Corriente!W101*MINVU_Mes_Constante!$P$1</f>
        <v>6950236.7512430716</v>
      </c>
      <c r="X101" s="8">
        <f>+MINVU_Mes_Corriente!X101*MINVU_Mes_Constante!$P$1</f>
        <v>6950236.7512430716</v>
      </c>
      <c r="Y101" s="8">
        <f>+MINVU_Mes_Corriente!Y101*MINVU_Mes_Constante!$P$1</f>
        <v>6950236.7512430716</v>
      </c>
      <c r="Z101" s="8">
        <f>+MINVU_Mes_Corriente!Z101*MINVU_Mes_Constante!$P$1</f>
        <v>6950236.7512430716</v>
      </c>
      <c r="AA101" s="8">
        <f>+MINVU_Mes_Corriente!AA101*MINVU_Mes_Constante!$P$1</f>
        <v>5891116.3497655895</v>
      </c>
      <c r="AB101" s="9">
        <f t="shared" si="77"/>
        <v>5891116.3497655895</v>
      </c>
      <c r="AC101" s="8">
        <f>+MINVU_Mes_Corriente!AC101*MINVU_Mes_Constante!$AC$1</f>
        <v>35413.903167796372</v>
      </c>
      <c r="AD101" s="8">
        <f>+MINVU_Mes_Corriente!AD101*MINVU_Mes_Constante!$AC$1</f>
        <v>35413.903167796372</v>
      </c>
      <c r="AE101" s="8">
        <f>+MINVU_Mes_Corriente!AE101*MINVU_Mes_Constante!$AC$1</f>
        <v>35413.903167796372</v>
      </c>
      <c r="AF101" s="8">
        <f>+MINVU_Mes_Corriente!AF101*MINVU_Mes_Constante!$AC$1</f>
        <v>35413.903167796372</v>
      </c>
      <c r="AG101" s="8">
        <f>+MINVU_Mes_Corriente!AG101*MINVU_Mes_Constante!$AC$1</f>
        <v>35413.903167796372</v>
      </c>
      <c r="AH101" s="8">
        <f>+MINVU_Mes_Corriente!AH101*MINVU_Mes_Constante!$AC$1</f>
        <v>50502.332826117025</v>
      </c>
      <c r="AI101" s="8">
        <f>+MINVU_Mes_Corriente!AI101*MINVU_Mes_Constante!$AC$1</f>
        <v>50502.332826117025</v>
      </c>
      <c r="AJ101" s="8">
        <f>+MINVU_Mes_Corriente!AJ101*MINVU_Mes_Constante!$AC$1</f>
        <v>50502.332826117025</v>
      </c>
      <c r="AK101" s="8">
        <f>+MINVU_Mes_Corriente!AK101*MINVU_Mes_Constante!$AC$1</f>
        <v>50502.332826117025</v>
      </c>
      <c r="AL101" s="8">
        <f>+MINVU_Mes_Corriente!AL101*MINVU_Mes_Constante!$AC$1</f>
        <v>323865.4419698437</v>
      </c>
      <c r="AM101" s="8">
        <f>+MINVU_Mes_Corriente!AM101*MINVU_Mes_Constante!$AC$1</f>
        <v>323865.4419698437</v>
      </c>
      <c r="AN101" s="8">
        <f>+MINVU_Mes_Corriente!AN101*MINVU_Mes_Constante!$AC$1</f>
        <v>323865.4419698437</v>
      </c>
      <c r="AO101" s="9">
        <f t="shared" si="78"/>
        <v>323865.4419698437</v>
      </c>
      <c r="AP101" s="8">
        <f>+MINVU_Mes_Corriente!AP101*MINVU_Mes_Constante!$AP$1</f>
        <v>19788.873258487758</v>
      </c>
      <c r="AQ101" s="8">
        <f>+MINVU_Mes_Corriente!AQ101*MINVU_Mes_Constante!$AP$1</f>
        <v>19788.873258487758</v>
      </c>
      <c r="AR101" s="8">
        <f>+MINVU_Mes_Corriente!AR101*MINVU_Mes_Constante!$AP$1</f>
        <v>19788.873258487758</v>
      </c>
      <c r="AS101" s="8">
        <f>+MINVU_Mes_Corriente!AS101*MINVU_Mes_Constante!$AP$1</f>
        <v>19788.873258487758</v>
      </c>
      <c r="AT101" s="8">
        <f>+MINVU_Mes_Corriente!AT101*MINVU_Mes_Constante!$AP$1</f>
        <v>19788.873258487758</v>
      </c>
      <c r="AU101" s="8">
        <f>+MINVU_Mes_Corriente!AU101*MINVU_Mes_Constante!$AP$1</f>
        <v>19788.873258487758</v>
      </c>
      <c r="AV101" s="8">
        <f>+MINVU_Mes_Corriente!AV101*MINVU_Mes_Constante!$AP$1</f>
        <v>19788.873258487758</v>
      </c>
      <c r="AW101" s="8">
        <f>+MINVU_Mes_Corriente!AW101*MINVU_Mes_Constante!$AP$1</f>
        <v>19788.873258487758</v>
      </c>
      <c r="AX101" s="8">
        <f>+MINVU_Mes_Corriente!AX101*MINVU_Mes_Constante!$AP$1</f>
        <v>19788.873258487758</v>
      </c>
      <c r="AY101" s="8">
        <f>+MINVU_Mes_Corriente!AY101*MINVU_Mes_Constante!$AP$1</f>
        <v>390081.69836331665</v>
      </c>
      <c r="AZ101" s="8">
        <f>+MINVU_Mes_Corriente!AZ101*MINVU_Mes_Constante!$AP$1</f>
        <v>390081.69836331665</v>
      </c>
      <c r="BA101" s="8">
        <f>+MINVU_Mes_Corriente!BA101*MINVU_Mes_Constante!$AP$1</f>
        <v>568987.00473420799</v>
      </c>
      <c r="BB101" s="9">
        <f t="shared" si="79"/>
        <v>568987.00473420799</v>
      </c>
      <c r="BC101" s="8">
        <f>+MINVU_Mes_Corriente!BC101*MINVU_Mes_Constante!$BC$1</f>
        <v>26609.701701173686</v>
      </c>
      <c r="BD101" s="8">
        <f>+MINVU_Mes_Corriente!BD101*MINVU_Mes_Constante!$BC$1</f>
        <v>26609.701701173686</v>
      </c>
      <c r="BE101" s="8">
        <f>+MINVU_Mes_Corriente!BE101*MINVU_Mes_Constante!$BC$1</f>
        <v>26609.701701173686</v>
      </c>
      <c r="BF101" s="8">
        <f>+MINVU_Mes_Corriente!BF101*MINVU_Mes_Constante!$BC$1</f>
        <v>26609.701701173686</v>
      </c>
      <c r="BG101" s="8">
        <f>+MINVU_Mes_Corriente!BG101*MINVU_Mes_Constante!$BC$1</f>
        <v>26609.701701173686</v>
      </c>
      <c r="BH101" s="8">
        <f>+MINVU_Mes_Corriente!BH101*MINVU_Mes_Constante!$BC$1</f>
        <v>26609.701701173686</v>
      </c>
      <c r="BI101" s="8">
        <f>+MINVU_Mes_Corriente!BI101*MINVU_Mes_Constante!$BC$1</f>
        <v>22122.88065409469</v>
      </c>
      <c r="BJ101" s="8">
        <f>+MINVU_Mes_Corriente!BJ101*MINVU_Mes_Constante!$BC$1</f>
        <v>22122.88065409469</v>
      </c>
      <c r="BK101" s="8">
        <f>+MINVU_Mes_Corriente!BK101*MINVU_Mes_Constante!$BC$1</f>
        <v>22122.88065409469</v>
      </c>
      <c r="BL101" s="8">
        <f>+MINVU_Mes_Corriente!BL101*MINVU_Mes_Constante!$BC$1</f>
        <v>22122.88065409469</v>
      </c>
      <c r="BM101" s="8">
        <f>+MINVU_Mes_Corriente!BM101*MINVU_Mes_Constante!$BC$1</f>
        <v>22122.88065409469</v>
      </c>
      <c r="BN101" s="8">
        <f>+MINVU_Mes_Corriente!BN101*MINVU_Mes_Constante!$BC$1</f>
        <v>22122.88065409469</v>
      </c>
      <c r="BO101" s="9">
        <f t="shared" si="80"/>
        <v>22122.88065409469</v>
      </c>
      <c r="BP101" s="8">
        <f>+MINVU_Mes_Corriente!BP101*MINVU_Mes_Constante!$BP$1</f>
        <v>15531.42791293214</v>
      </c>
      <c r="BQ101" s="8">
        <f>+MINVU_Mes_Corriente!BQ101*MINVU_Mes_Constante!$BP$1</f>
        <v>15531.42791293214</v>
      </c>
      <c r="BR101" s="8">
        <f>+MINVU_Mes_Corriente!BR101*MINVU_Mes_Constante!$BP$1</f>
        <v>15531.42791293214</v>
      </c>
      <c r="BS101" s="8">
        <f>+MINVU_Mes_Corriente!BS101*MINVU_Mes_Constante!$BP$1</f>
        <v>15531.42791293214</v>
      </c>
      <c r="BT101" s="8">
        <f>+MINVU_Mes_Corriente!BT101*MINVU_Mes_Constante!$BP$1</f>
        <v>226014.31267605638</v>
      </c>
      <c r="BU101" s="8">
        <f>+MINVU_Mes_Corriente!BU101*MINVU_Mes_Constante!$BP$1</f>
        <v>226014.31267605638</v>
      </c>
      <c r="BV101" s="8">
        <f>+MINVU_Mes_Corriente!BV101*MINVU_Mes_Constante!$BP$1</f>
        <v>226014.31267605638</v>
      </c>
      <c r="BW101" s="8">
        <f>+MINVU_Mes_Corriente!BW101*MINVU_Mes_Constante!$BP$1</f>
        <v>226014.31267605638</v>
      </c>
      <c r="BX101" s="8">
        <f>+MINVU_Mes_Corriente!BX101*MINVU_Mes_Constante!$BP$1</f>
        <v>226014.31267605638</v>
      </c>
      <c r="BY101" s="8">
        <f>+MINVU_Mes_Corriente!BY101*MINVU_Mes_Constante!$BP$1</f>
        <v>226014.31267605638</v>
      </c>
      <c r="BZ101" s="8">
        <f>+MINVU_Mes_Corriente!BZ101*MINVU_Mes_Constante!$BP$1</f>
        <v>226014.31267605638</v>
      </c>
      <c r="CA101" s="8">
        <f>+MINVU_Mes_Corriente!CA101*MINVU_Mes_Constante!$BP$1</f>
        <v>226014.31267605638</v>
      </c>
      <c r="CB101" s="9">
        <f t="shared" si="81"/>
        <v>226014.31267605638</v>
      </c>
      <c r="CC101" s="8">
        <f>+MINVU_Mes_Corriente!CC101*MINVU_Mes_Constante!$CC$1</f>
        <v>15474.085042894443</v>
      </c>
      <c r="CD101" s="8">
        <f>+MINVU_Mes_Corriente!CD101*MINVU_Mes_Constante!$CC$1</f>
        <v>15474.085042894443</v>
      </c>
      <c r="CE101" s="8">
        <f>+MINVU_Mes_Corriente!CE101*MINVU_Mes_Constante!$CC$1</f>
        <v>15474.085042894443</v>
      </c>
      <c r="CF101" s="8">
        <f>+MINVU_Mes_Corriente!CF101*MINVU_Mes_Constante!$CC$1</f>
        <v>10832.267064528161</v>
      </c>
      <c r="CG101" s="8">
        <f>+MINVU_Mes_Corriente!CG101*MINVU_Mes_Constante!$CC$1</f>
        <v>5414.7750839239097</v>
      </c>
      <c r="CH101" s="8">
        <f>+MINVU_Mes_Corriente!CH101*MINVU_Mes_Constante!$CC$1</f>
        <v>5414.7750839239097</v>
      </c>
      <c r="CI101" s="8">
        <f>+MINVU_Mes_Corriente!CI101*MINVU_Mes_Constante!$CC$1</f>
        <v>5414.7750839239097</v>
      </c>
      <c r="CJ101" s="8">
        <f>+MINVU_Mes_Corriente!CJ101*MINVU_Mes_Constante!$CC$1</f>
        <v>5414.7750839239097</v>
      </c>
      <c r="CK101" s="8">
        <f>+MINVU_Mes_Corriente!CK101*MINVU_Mes_Constante!$CC$1</f>
        <v>5414.7750839239097</v>
      </c>
      <c r="CL101" s="8">
        <f>+MINVU_Mes_Corriente!CL101*MINVU_Mes_Constante!$CC$1</f>
        <v>120396.55949272661</v>
      </c>
      <c r="CM101" s="8">
        <f>+MINVU_Mes_Corriente!CM101*MINVU_Mes_Constante!$CC$1</f>
        <v>130455.86945169714</v>
      </c>
      <c r="CN101" s="8">
        <f>+MINVU_Mes_Corriente!CN101*MINVU_Mes_Constante!$CC$1</f>
        <v>130455.86945169714</v>
      </c>
      <c r="CO101" s="9">
        <f t="shared" si="82"/>
        <v>130455.86945169714</v>
      </c>
      <c r="CP101" s="8">
        <f>+MINVU_Mes_Corriente!CP101*MINVU_Mes_Constante!$CP$1</f>
        <v>11365.82853828306</v>
      </c>
      <c r="CQ101" s="8">
        <f>+MINVU_Mes_Corriente!CQ101*MINVU_Mes_Constante!$CP$1</f>
        <v>11365.82853828306</v>
      </c>
      <c r="CR101" s="8">
        <f>+MINVU_Mes_Corriente!CR101*MINVU_Mes_Constante!$CP$1</f>
        <v>11365.82853828306</v>
      </c>
      <c r="CS101" s="8">
        <f>+MINVU_Mes_Corriente!CS101*MINVU_Mes_Constante!$CP$1</f>
        <v>11365.82853828306</v>
      </c>
      <c r="CT101" s="8">
        <f>+MINVU_Mes_Corriente!CT101*MINVU_Mes_Constante!$CP$1</f>
        <v>11365.82853828306</v>
      </c>
      <c r="CU101" s="8">
        <f>+MINVU_Mes_Corriente!CU101*MINVU_Mes_Constante!$CP$1</f>
        <v>11365.82853828306</v>
      </c>
      <c r="CV101" s="8">
        <f>+MINVU_Mes_Corriente!CV101*MINVU_Mes_Constante!$CP$1</f>
        <v>11365.82853828306</v>
      </c>
      <c r="CW101" s="8">
        <f>+MINVU_Mes_Corriente!CW101*MINVU_Mes_Constante!$CP$1</f>
        <v>11365.82853828306</v>
      </c>
      <c r="CX101" s="8">
        <f>+MINVU_Mes_Corriente!CX101*MINVU_Mes_Constante!$CP$1</f>
        <v>11365.82853828306</v>
      </c>
      <c r="CY101" s="8">
        <f>+MINVU_Mes_Corriente!CY101*MINVU_Mes_Constante!$CP$1</f>
        <v>11365.82853828306</v>
      </c>
      <c r="CZ101" s="8">
        <f>+MINVU_Mes_Corriente!CZ101*MINVU_Mes_Constante!$CP$1</f>
        <v>7933159.4596287683</v>
      </c>
      <c r="DA101" s="8">
        <f>+MINVU_Mes_Corriente!DA101*MINVU_Mes_Constante!$CP$1</f>
        <v>7933159.4596287683</v>
      </c>
      <c r="DB101" s="9">
        <f t="shared" si="83"/>
        <v>7933159.4596287683</v>
      </c>
      <c r="DC101" s="8">
        <f>+MINVU_Mes_Corriente!DC101*MINVU_Mes_Constante!$DC$1</f>
        <v>0</v>
      </c>
      <c r="DD101" s="8">
        <f>+MINVU_Mes_Corriente!DD101*MINVU_Mes_Constante!$DC$1</f>
        <v>0</v>
      </c>
      <c r="DE101" s="8">
        <f>+MINVU_Mes_Corriente!DE101*MINVU_Mes_Constante!$DC$1</f>
        <v>0</v>
      </c>
      <c r="DF101" s="8">
        <f>+MINVU_Mes_Corriente!DF101*MINVU_Mes_Constante!$DC$1</f>
        <v>0</v>
      </c>
      <c r="DG101" s="8">
        <f>+MINVU_Mes_Corriente!DG101*MINVU_Mes_Constante!$DC$1</f>
        <v>0</v>
      </c>
      <c r="DH101" s="8">
        <f>+MINVU_Mes_Corriente!DH101*MINVU_Mes_Constante!$DC$1</f>
        <v>0</v>
      </c>
      <c r="DI101" s="8">
        <f>+MINVU_Mes_Corriente!DI101*MINVU_Mes_Constante!$DC$1</f>
        <v>0</v>
      </c>
      <c r="DJ101" s="8">
        <f>+MINVU_Mes_Corriente!DJ101*MINVU_Mes_Constante!$DC$1</f>
        <v>0</v>
      </c>
      <c r="DK101" s="8">
        <f>+MINVU_Mes_Corriente!DK101*MINVU_Mes_Constante!$DC$1</f>
        <v>8928613.4554058276</v>
      </c>
      <c r="DL101" s="8">
        <f>+MINVU_Mes_Corriente!DL101*MINVU_Mes_Constante!$DC$1</f>
        <v>8928613.4554058276</v>
      </c>
      <c r="DM101" s="8">
        <f>+MINVU_Mes_Corriente!DM101*MINVU_Mes_Constante!$DC$1</f>
        <v>10952124.166032307</v>
      </c>
      <c r="DN101" s="8">
        <f>+MINVU_Mes_Corriente!DN101*MINVU_Mes_Constante!$DC$1</f>
        <v>10952124.166032307</v>
      </c>
      <c r="DO101" s="9">
        <f t="shared" si="84"/>
        <v>10952124.166032307</v>
      </c>
      <c r="DP101" s="8">
        <f>+MINVU_Mes_Corriente!DP101*MINVU_Mes_Constante!$DP$1</f>
        <v>0</v>
      </c>
      <c r="DQ101" s="8">
        <f>+MINVU_Mes_Corriente!DQ101*MINVU_Mes_Constante!$DP$1</f>
        <v>0</v>
      </c>
      <c r="DR101" s="8">
        <f>+MINVU_Mes_Corriente!DR101*MINVU_Mes_Constante!$DP$1</f>
        <v>0</v>
      </c>
      <c r="DS101" s="8">
        <f>+MINVU_Mes_Corriente!DS101*MINVU_Mes_Constante!$DP$1</f>
        <v>0</v>
      </c>
      <c r="DT101" s="8">
        <f>+MINVU_Mes_Corriente!DT101*MINVU_Mes_Constante!$DP$1</f>
        <v>0</v>
      </c>
      <c r="DU101" s="8">
        <f>+MINVU_Mes_Corriente!DU101*MINVU_Mes_Constante!$DP$1</f>
        <v>0</v>
      </c>
      <c r="DV101" s="8">
        <f>+MINVU_Mes_Corriente!DV101*MINVU_Mes_Constante!$DP$1</f>
        <v>0</v>
      </c>
      <c r="DW101" s="8">
        <f>+MINVU_Mes_Corriente!DW101*MINVU_Mes_Constante!$DP$1</f>
        <v>0</v>
      </c>
      <c r="DX101" s="8">
        <f>+MINVU_Mes_Corriente!DX101*MINVU_Mes_Constante!$DP$1</f>
        <v>0</v>
      </c>
      <c r="DY101" s="8">
        <f>+MINVU_Mes_Corriente!DY101*MINVU_Mes_Constante!$DP$1</f>
        <v>0</v>
      </c>
      <c r="DZ101" s="8">
        <f>+MINVU_Mes_Corriente!DZ101*MINVU_Mes_Constante!$DP$1</f>
        <v>0</v>
      </c>
      <c r="EA101" s="8">
        <f>+MINVU_Mes_Corriente!EA101*MINVU_Mes_Constante!$DP$1</f>
        <v>0</v>
      </c>
      <c r="EB101" s="9">
        <f t="shared" si="85"/>
        <v>0</v>
      </c>
      <c r="EC101" s="8">
        <f>+MINVU_Mes_Corriente!EC101*MINVU_Mes_Constante!$EC$1</f>
        <v>0</v>
      </c>
      <c r="ED101" s="8">
        <f>+MINVU_Mes_Corriente!ED101*MINVU_Mes_Constante!$EC$1</f>
        <v>0</v>
      </c>
      <c r="EE101" s="8">
        <f>+MINVU_Mes_Corriente!EE101*MINVU_Mes_Constante!$EC$1</f>
        <v>0</v>
      </c>
      <c r="EF101" s="8">
        <f>+MINVU_Mes_Corriente!EF101*MINVU_Mes_Constante!$EC$1</f>
        <v>0</v>
      </c>
      <c r="EG101" s="8">
        <f>+MINVU_Mes_Corriente!EG101*MINVU_Mes_Constante!$EC$1</f>
        <v>6130.2287445559532</v>
      </c>
      <c r="EH101" s="8">
        <f>+MINVU_Mes_Corriente!EH101*MINVU_Mes_Constante!$EC$1</f>
        <v>6130.2287445559532</v>
      </c>
      <c r="EI101" s="8">
        <f>+MINVU_Mes_Corriente!EI101*MINVU_Mes_Constante!$EC$1</f>
        <v>6130.2287445559532</v>
      </c>
      <c r="EJ101" s="8">
        <f>+MINVU_Mes_Corriente!EJ101*MINVU_Mes_Constante!$EC$1</f>
        <v>6130.2287445559532</v>
      </c>
      <c r="EK101" s="8">
        <f>+MINVU_Mes_Corriente!EK101*MINVU_Mes_Constante!$EC$1</f>
        <v>6130.2287445559532</v>
      </c>
      <c r="EL101" s="8">
        <f>+MINVU_Mes_Corriente!EL101*MINVU_Mes_Constante!$EC$1</f>
        <v>7754.3359212270379</v>
      </c>
      <c r="EM101" s="8">
        <f>+MINVU_Mes_Corriente!EM101*MINVU_Mes_Constante!$EC$1</f>
        <v>7754.3359212270379</v>
      </c>
      <c r="EN101" s="8">
        <f>+MINVU_Mes_Corriente!EN101*MINVU_Mes_Constante!$EC$1</f>
        <v>7754.3359212270379</v>
      </c>
      <c r="EO101" s="9">
        <f t="shared" si="86"/>
        <v>7754.3359212270379</v>
      </c>
      <c r="EP101" s="8">
        <f>+MINVU_Mes_Corriente!EP101*MINVU_Mes_Constante!$EP$1</f>
        <v>2970</v>
      </c>
      <c r="EQ101" s="8">
        <f>+MINVU_Mes_Corriente!EQ101*MINVU_Mes_Constante!$EP$1</f>
        <v>2970</v>
      </c>
      <c r="ER101" s="8">
        <f>+MINVU_Mes_Corriente!ER101*MINVU_Mes_Constante!$EP$1</f>
        <v>2970</v>
      </c>
      <c r="ES101" s="8">
        <f>+MINVU_Mes_Corriente!ES101*MINVU_Mes_Constante!$EP$1</f>
        <v>2970</v>
      </c>
      <c r="ET101" s="8">
        <f>+MINVU_Mes_Corriente!ET101*MINVU_Mes_Constante!$EP$1</f>
        <v>2970</v>
      </c>
      <c r="EU101" s="8">
        <f>+MINVU_Mes_Corriente!EU101*MINVU_Mes_Constante!$EP$1</f>
        <v>2970</v>
      </c>
      <c r="EV101" s="8">
        <f>+MINVU_Mes_Corriente!EV101*MINVU_Mes_Constante!$EP$1</f>
        <v>2970</v>
      </c>
      <c r="EW101" s="8">
        <f>+MINVU_Mes_Corriente!EW101*MINVU_Mes_Constante!$EP$1</f>
        <v>2970</v>
      </c>
      <c r="EX101" s="8">
        <f>+MINVU_Mes_Corriente!EX101*MINVU_Mes_Constante!$EP$1</f>
        <v>2970</v>
      </c>
      <c r="EY101" s="8">
        <f>+MINVU_Mes_Corriente!EY101*MINVU_Mes_Constante!$EP$1</f>
        <v>2970</v>
      </c>
      <c r="EZ101" s="8">
        <f>+MINVU_Mes_Corriente!EZ101*MINVU_Mes_Constante!$EP$1</f>
        <v>2970</v>
      </c>
      <c r="FA101" s="8">
        <f>+MINVU_Mes_Corriente!FA101*MINVU_Mes_Constante!$EP$1</f>
        <v>2970</v>
      </c>
      <c r="FB101" s="9">
        <f t="shared" si="87"/>
        <v>2970</v>
      </c>
      <c r="FC101" s="8">
        <f>+MINVU_Mes_Corriente!FC101*MINVU_Mes_Constante!$FC$1</f>
        <v>10</v>
      </c>
      <c r="FD101" s="8">
        <f>+MINVU_Mes_Corriente!FD101*MINVU_Mes_Constante!$FC$1</f>
        <v>10</v>
      </c>
      <c r="FE101" s="8">
        <f>+MINVU_Mes_Corriente!FE101*MINVU_Mes_Constante!$FC$1</f>
        <v>10</v>
      </c>
      <c r="FF101" s="8">
        <f>+MINVU_Mes_Corriente!FF101*MINVU_Mes_Constante!$FC$1</f>
        <v>10</v>
      </c>
      <c r="FG101" s="8">
        <f>+MINVU_Mes_Corriente!FG101*MINVU_Mes_Constante!$FC$1</f>
        <v>10</v>
      </c>
      <c r="FH101" s="8">
        <f>+MINVU_Mes_Corriente!FH101*MINVU_Mes_Constante!$FC$1</f>
        <v>10</v>
      </c>
      <c r="FI101" s="8">
        <f>+MINVU_Mes_Corriente!FI101*MINVU_Mes_Constante!$FC$1</f>
        <v>10</v>
      </c>
      <c r="FJ101" s="8"/>
      <c r="FK101" s="8"/>
      <c r="FL101" s="8"/>
      <c r="FM101" s="8"/>
      <c r="FN101" s="8"/>
      <c r="FO101" s="9">
        <f t="shared" si="88"/>
        <v>10</v>
      </c>
    </row>
    <row r="102" spans="2:171" ht="14.25" customHeight="1" x14ac:dyDescent="0.3">
      <c r="B102" s="7" t="s">
        <v>46</v>
      </c>
      <c r="C102" s="8">
        <f>+MINVU_Mes_Corriente!C102*MINVU_Mes_Constante!$C$1</f>
        <v>15798.383508823968</v>
      </c>
      <c r="D102" s="8">
        <f>+MINVU_Mes_Corriente!D102*MINVU_Mes_Constante!$C$1</f>
        <v>15798.383508823968</v>
      </c>
      <c r="E102" s="8">
        <f>+MINVU_Mes_Corriente!E102*MINVU_Mes_Constante!$C$1</f>
        <v>15798.383508823968</v>
      </c>
      <c r="F102" s="8">
        <f>+MINVU_Mes_Corriente!F102*MINVU_Mes_Constante!$C$1</f>
        <v>15798.383508823968</v>
      </c>
      <c r="G102" s="8">
        <f>+MINVU_Mes_Corriente!G102*MINVU_Mes_Constante!$C$1</f>
        <v>15798.383508823968</v>
      </c>
      <c r="H102" s="8">
        <f>+MINVU_Mes_Corriente!H102*MINVU_Mes_Constante!$C$1</f>
        <v>15798.383508823968</v>
      </c>
      <c r="I102" s="8">
        <f>+MINVU_Mes_Corriente!I102*MINVU_Mes_Constante!$C$1</f>
        <v>15798.383508823968</v>
      </c>
      <c r="J102" s="8">
        <f>+MINVU_Mes_Corriente!J102*MINVU_Mes_Constante!$C$1</f>
        <v>15798.383508823968</v>
      </c>
      <c r="K102" s="8">
        <f>+MINVU_Mes_Corriente!K102*MINVU_Mes_Constante!$C$1</f>
        <v>15798.383508823968</v>
      </c>
      <c r="L102" s="8">
        <f>+MINVU_Mes_Corriente!L102*MINVU_Mes_Constante!$C$1</f>
        <v>15798.383508823968</v>
      </c>
      <c r="M102" s="8">
        <f>+MINVU_Mes_Corriente!M102*MINVU_Mes_Constante!$C$1</f>
        <v>15798.383508823968</v>
      </c>
      <c r="N102" s="8">
        <f>+MINVU_Mes_Corriente!N102*MINVU_Mes_Constante!$C$1</f>
        <v>2712033.1508230763</v>
      </c>
      <c r="O102" s="9">
        <f t="shared" si="76"/>
        <v>2712033.1508230763</v>
      </c>
      <c r="P102" s="8">
        <f>+MINVU_Mes_Corriente!P102*MINVU_Mes_Constante!$P$1</f>
        <v>23424.387839181694</v>
      </c>
      <c r="Q102" s="8">
        <f>+MINVU_Mes_Corriente!Q102*MINVU_Mes_Constante!$P$1</f>
        <v>5971745.852535869</v>
      </c>
      <c r="R102" s="8">
        <f>+MINVU_Mes_Corriente!R102*MINVU_Mes_Constante!$P$1</f>
        <v>5971745.852535869</v>
      </c>
      <c r="S102" s="8">
        <f>+MINVU_Mes_Corriente!S102*MINVU_Mes_Constante!$P$1</f>
        <v>9779234.1105270591</v>
      </c>
      <c r="T102" s="8">
        <f>+MINVU_Mes_Corriente!T102*MINVU_Mes_Constante!$P$1</f>
        <v>9779234.1105270591</v>
      </c>
      <c r="U102" s="8">
        <f>+MINVU_Mes_Corriente!U102*MINVU_Mes_Constante!$P$1</f>
        <v>10131973.633186528</v>
      </c>
      <c r="V102" s="8">
        <f>+MINVU_Mes_Corriente!V102*MINVU_Mes_Constante!$P$1</f>
        <v>10131973.633186528</v>
      </c>
      <c r="W102" s="8">
        <f>+MINVU_Mes_Corriente!W102*MINVU_Mes_Constante!$P$1</f>
        <v>10131973.633186528</v>
      </c>
      <c r="X102" s="8">
        <f>+MINVU_Mes_Corriente!X102*MINVU_Mes_Constante!$P$1</f>
        <v>10131973.633186528</v>
      </c>
      <c r="Y102" s="8">
        <f>+MINVU_Mes_Corriente!Y102*MINVU_Mes_Constante!$P$1</f>
        <v>14619391.574371355</v>
      </c>
      <c r="Z102" s="8">
        <f>+MINVU_Mes_Corriente!Z102*MINVU_Mes_Constante!$P$1</f>
        <v>17534694.865179706</v>
      </c>
      <c r="AA102" s="8">
        <f>+MINVU_Mes_Corriente!AA102*MINVU_Mes_Constante!$P$1</f>
        <v>17534694.865179706</v>
      </c>
      <c r="AB102" s="9">
        <f t="shared" si="77"/>
        <v>17534694.865179706</v>
      </c>
      <c r="AC102" s="8">
        <f>+MINVU_Mes_Corriente!AC102*MINVU_Mes_Constante!$AC$1</f>
        <v>22111.962927099183</v>
      </c>
      <c r="AD102" s="8">
        <f>+MINVU_Mes_Corriente!AD102*MINVU_Mes_Constante!$AC$1</f>
        <v>22111.962927099183</v>
      </c>
      <c r="AE102" s="8">
        <f>+MINVU_Mes_Corriente!AE102*MINVU_Mes_Constante!$AC$1</f>
        <v>22111.962927099183</v>
      </c>
      <c r="AF102" s="8">
        <f>+MINVU_Mes_Corriente!AF102*MINVU_Mes_Constante!$AC$1</f>
        <v>52625.867201549314</v>
      </c>
      <c r="AG102" s="8">
        <f>+MINVU_Mes_Corriente!AG102*MINVU_Mes_Constante!$AC$1</f>
        <v>13078107.626227694</v>
      </c>
      <c r="AH102" s="8">
        <f>+MINVU_Mes_Corriente!AH102*MINVU_Mes_Constante!$AC$1</f>
        <v>13078107.626227694</v>
      </c>
      <c r="AI102" s="8">
        <f>+MINVU_Mes_Corriente!AI102*MINVU_Mes_Constante!$AC$1</f>
        <v>13078107.626227694</v>
      </c>
      <c r="AJ102" s="8">
        <f>+MINVU_Mes_Corriente!AJ102*MINVU_Mes_Constante!$AC$1</f>
        <v>13286674.97579195</v>
      </c>
      <c r="AK102" s="8">
        <f>+MINVU_Mes_Corriente!AK102*MINVU_Mes_Constante!$AC$1</f>
        <v>13286674.97579195</v>
      </c>
      <c r="AL102" s="8">
        <f>+MINVU_Mes_Corriente!AL102*MINVU_Mes_Constante!$AC$1</f>
        <v>13286674.97579195</v>
      </c>
      <c r="AM102" s="8">
        <f>+MINVU_Mes_Corriente!AM102*MINVU_Mes_Constante!$AC$1</f>
        <v>13286674.97579195</v>
      </c>
      <c r="AN102" s="8">
        <f>+MINVU_Mes_Corriente!AN102*MINVU_Mes_Constante!$AC$1</f>
        <v>13286674.97579195</v>
      </c>
      <c r="AO102" s="9">
        <f t="shared" si="78"/>
        <v>13286674.97579195</v>
      </c>
      <c r="AP102" s="8">
        <f>+MINVU_Mes_Corriente!AP102*MINVU_Mes_Constante!$AP$1</f>
        <v>23594.425808196942</v>
      </c>
      <c r="AQ102" s="8">
        <f>+MINVU_Mes_Corriente!AQ102*MINVU_Mes_Constante!$AP$1</f>
        <v>23594.425808196942</v>
      </c>
      <c r="AR102" s="8">
        <f>+MINVU_Mes_Corriente!AR102*MINVU_Mes_Constante!$AP$1</f>
        <v>23594.425808196942</v>
      </c>
      <c r="AS102" s="8">
        <f>+MINVU_Mes_Corriente!AS102*MINVU_Mes_Constante!$AP$1</f>
        <v>23594.425808196942</v>
      </c>
      <c r="AT102" s="8">
        <f>+MINVU_Mes_Corriente!AT102*MINVU_Mes_Constante!$AP$1</f>
        <v>28028.079264168806</v>
      </c>
      <c r="AU102" s="8">
        <f>+MINVU_Mes_Corriente!AU102*MINVU_Mes_Constante!$AP$1</f>
        <v>984016.87109427829</v>
      </c>
      <c r="AV102" s="8">
        <f>+MINVU_Mes_Corriente!AV102*MINVU_Mes_Constante!$AP$1</f>
        <v>984016.87109427829</v>
      </c>
      <c r="AW102" s="8">
        <f>+MINVU_Mes_Corriente!AW102*MINVU_Mes_Constante!$AP$1</f>
        <v>984016.87109427829</v>
      </c>
      <c r="AX102" s="8">
        <f>+MINVU_Mes_Corriente!AX102*MINVU_Mes_Constante!$AP$1</f>
        <v>984016.87109427829</v>
      </c>
      <c r="AY102" s="8">
        <f>+MINVU_Mes_Corriente!AY102*MINVU_Mes_Constante!$AP$1</f>
        <v>1002613.0915731096</v>
      </c>
      <c r="AZ102" s="8">
        <f>+MINVU_Mes_Corriente!AZ102*MINVU_Mes_Constante!$AP$1</f>
        <v>1002613.0915731096</v>
      </c>
      <c r="BA102" s="8">
        <f>+MINVU_Mes_Corriente!BA102*MINVU_Mes_Constante!$AP$1</f>
        <v>1002613.0915731096</v>
      </c>
      <c r="BB102" s="9">
        <f t="shared" si="79"/>
        <v>1002613.0915731096</v>
      </c>
      <c r="BC102" s="8">
        <f>+MINVU_Mes_Corriente!BC102*MINVU_Mes_Constante!$BC$1</f>
        <v>21826.064618224984</v>
      </c>
      <c r="BD102" s="8">
        <f>+MINVU_Mes_Corriente!BD102*MINVU_Mes_Constante!$BC$1</f>
        <v>21826.064618224984</v>
      </c>
      <c r="BE102" s="8">
        <f>+MINVU_Mes_Corriente!BE102*MINVU_Mes_Constante!$BC$1</f>
        <v>21826.064618224984</v>
      </c>
      <c r="BF102" s="8">
        <f>+MINVU_Mes_Corriente!BF102*MINVU_Mes_Constante!$BC$1</f>
        <v>21826.064618224984</v>
      </c>
      <c r="BG102" s="8">
        <f>+MINVU_Mes_Corriente!BG102*MINVU_Mes_Constante!$BC$1</f>
        <v>21826.064618224984</v>
      </c>
      <c r="BH102" s="8">
        <f>+MINVU_Mes_Corriente!BH102*MINVU_Mes_Constante!$BC$1</f>
        <v>21826.064618224984</v>
      </c>
      <c r="BI102" s="8">
        <f>+MINVU_Mes_Corriente!BI102*MINVU_Mes_Constante!$BC$1</f>
        <v>18025.090333641045</v>
      </c>
      <c r="BJ102" s="8">
        <f>+MINVU_Mes_Corriente!BJ102*MINVU_Mes_Constante!$BC$1</f>
        <v>18025.090333641045</v>
      </c>
      <c r="BK102" s="8">
        <f>+MINVU_Mes_Corriente!BK102*MINVU_Mes_Constante!$BC$1</f>
        <v>18025.090333641045</v>
      </c>
      <c r="BL102" s="8">
        <f>+MINVU_Mes_Corriente!BL102*MINVU_Mes_Constante!$BC$1</f>
        <v>18025.090333641045</v>
      </c>
      <c r="BM102" s="8">
        <f>+MINVU_Mes_Corriente!BM102*MINVU_Mes_Constante!$BC$1</f>
        <v>18025.090333641045</v>
      </c>
      <c r="BN102" s="8">
        <f>+MINVU_Mes_Corriente!BN102*MINVU_Mes_Constante!$BC$1</f>
        <v>18025.090333641045</v>
      </c>
      <c r="BO102" s="9">
        <f t="shared" si="80"/>
        <v>18025.090333641045</v>
      </c>
      <c r="BP102" s="8">
        <f>+MINVU_Mes_Corriente!BP102*MINVU_Mes_Constante!$BP$1</f>
        <v>25163.375416133167</v>
      </c>
      <c r="BQ102" s="8">
        <f>+MINVU_Mes_Corriente!BQ102*MINVU_Mes_Constante!$BP$1</f>
        <v>25163.375416133167</v>
      </c>
      <c r="BR102" s="8">
        <f>+MINVU_Mes_Corriente!BR102*MINVU_Mes_Constante!$BP$1</f>
        <v>25163.375416133167</v>
      </c>
      <c r="BS102" s="8">
        <f>+MINVU_Mes_Corriente!BS102*MINVU_Mes_Constante!$BP$1</f>
        <v>25163.375416133167</v>
      </c>
      <c r="BT102" s="8">
        <f>+MINVU_Mes_Corriente!BT102*MINVU_Mes_Constante!$BP$1</f>
        <v>25163.375416133167</v>
      </c>
      <c r="BU102" s="8">
        <f>+MINVU_Mes_Corriente!BU102*MINVU_Mes_Constante!$BP$1</f>
        <v>25163.375416133167</v>
      </c>
      <c r="BV102" s="8">
        <f>+MINVU_Mes_Corriente!BV102*MINVU_Mes_Constante!$BP$1</f>
        <v>25163.375416133167</v>
      </c>
      <c r="BW102" s="8">
        <f>+MINVU_Mes_Corriente!BW102*MINVU_Mes_Constante!$BP$1</f>
        <v>25163.375416133167</v>
      </c>
      <c r="BX102" s="8">
        <f>+MINVU_Mes_Corriente!BX102*MINVU_Mes_Constante!$BP$1</f>
        <v>25163.375416133167</v>
      </c>
      <c r="BY102" s="8">
        <f>+MINVU_Mes_Corriente!BY102*MINVU_Mes_Constante!$BP$1</f>
        <v>25163.375416133167</v>
      </c>
      <c r="BZ102" s="8">
        <f>+MINVU_Mes_Corriente!BZ102*MINVU_Mes_Constante!$BP$1</f>
        <v>25163.375416133167</v>
      </c>
      <c r="CA102" s="8">
        <f>+MINVU_Mes_Corriente!CA102*MINVU_Mes_Constante!$BP$1</f>
        <v>85319.329321382858</v>
      </c>
      <c r="CB102" s="9">
        <f t="shared" si="81"/>
        <v>85319.329321382858</v>
      </c>
      <c r="CC102" s="8">
        <f>+MINVU_Mes_Corriente!CC102*MINVU_Mes_Constante!$CC$1</f>
        <v>25070.164117866469</v>
      </c>
      <c r="CD102" s="8">
        <f>+MINVU_Mes_Corriente!CD102*MINVU_Mes_Constante!$CC$1</f>
        <v>25070.164117866469</v>
      </c>
      <c r="CE102" s="8">
        <f>+MINVU_Mes_Corriente!CE102*MINVU_Mes_Constante!$CC$1</f>
        <v>25070.164117866469</v>
      </c>
      <c r="CF102" s="8">
        <f>+MINVU_Mes_Corriente!CF102*MINVU_Mes_Constante!$CC$1</f>
        <v>17548.435658336442</v>
      </c>
      <c r="CG102" s="8">
        <f>+MINVU_Mes_Corriente!CG102*MINVU_Mes_Constante!$CC$1</f>
        <v>9824.298396120852</v>
      </c>
      <c r="CH102" s="8">
        <f>+MINVU_Mes_Corriente!CH102*MINVU_Mes_Constante!$CC$1</f>
        <v>3047969.5591197317</v>
      </c>
      <c r="CI102" s="8">
        <f>+MINVU_Mes_Corriente!CI102*MINVU_Mes_Constante!$CC$1</f>
        <v>3047969.5591197317</v>
      </c>
      <c r="CJ102" s="8">
        <f>+MINVU_Mes_Corriente!CJ102*MINVU_Mes_Constante!$CC$1</f>
        <v>3047969.5591197317</v>
      </c>
      <c r="CK102" s="8">
        <f>+MINVU_Mes_Corriente!CK102*MINVU_Mes_Constante!$CC$1</f>
        <v>3047969.5591197317</v>
      </c>
      <c r="CL102" s="8">
        <f>+MINVU_Mes_Corriente!CL102*MINVU_Mes_Constante!$CC$1</f>
        <v>3047969.5591197317</v>
      </c>
      <c r="CM102" s="8">
        <f>+MINVU_Mes_Corriente!CM102*MINVU_Mes_Constante!$CC$1</f>
        <v>3063215.4248414775</v>
      </c>
      <c r="CN102" s="8">
        <f>+MINVU_Mes_Corriente!CN102*MINVU_Mes_Constante!$CC$1</f>
        <v>3063215.4248414775</v>
      </c>
      <c r="CO102" s="9">
        <f t="shared" si="82"/>
        <v>3063215.4248414775</v>
      </c>
      <c r="CP102" s="8">
        <f>+MINVU_Mes_Corriente!CP102*MINVU_Mes_Constante!$CP$1</f>
        <v>16664.051276102084</v>
      </c>
      <c r="CQ102" s="8">
        <f>+MINVU_Mes_Corriente!CQ102*MINVU_Mes_Constante!$CP$1</f>
        <v>16664.051276102084</v>
      </c>
      <c r="CR102" s="8">
        <f>+MINVU_Mes_Corriente!CR102*MINVU_Mes_Constante!$CP$1</f>
        <v>16664.051276102084</v>
      </c>
      <c r="CS102" s="8">
        <f>+MINVU_Mes_Corriente!CS102*MINVU_Mes_Constante!$CP$1</f>
        <v>16664.051276102084</v>
      </c>
      <c r="CT102" s="8">
        <f>+MINVU_Mes_Corriente!CT102*MINVU_Mes_Constante!$CP$1</f>
        <v>16664.051276102084</v>
      </c>
      <c r="CU102" s="8">
        <f>+MINVU_Mes_Corriente!CU102*MINVU_Mes_Constante!$CP$1</f>
        <v>16664.051276102084</v>
      </c>
      <c r="CV102" s="8">
        <f>+MINVU_Mes_Corriente!CV102*MINVU_Mes_Constante!$CP$1</f>
        <v>16664.051276102084</v>
      </c>
      <c r="CW102" s="8">
        <f>+MINVU_Mes_Corriente!CW102*MINVU_Mes_Constante!$CP$1</f>
        <v>16664.051276102084</v>
      </c>
      <c r="CX102" s="8">
        <f>+MINVU_Mes_Corriente!CX102*MINVU_Mes_Constante!$CP$1</f>
        <v>98749.745707656592</v>
      </c>
      <c r="CY102" s="8">
        <f>+MINVU_Mes_Corriente!CY102*MINVU_Mes_Constante!$CP$1</f>
        <v>98749.745707656592</v>
      </c>
      <c r="CZ102" s="8">
        <f>+MINVU_Mes_Corriente!CZ102*MINVU_Mes_Constante!$CP$1</f>
        <v>99383.504408352645</v>
      </c>
      <c r="DA102" s="8">
        <f>+MINVU_Mes_Corriente!DA102*MINVU_Mes_Constante!$CP$1</f>
        <v>99383.504408352645</v>
      </c>
      <c r="DB102" s="9">
        <f t="shared" si="83"/>
        <v>99383.504408352645</v>
      </c>
      <c r="DC102" s="8">
        <f>+MINVU_Mes_Corriente!DC102*MINVU_Mes_Constante!$DC$1</f>
        <v>0</v>
      </c>
      <c r="DD102" s="8">
        <f>+MINVU_Mes_Corriente!DD102*MINVU_Mes_Constante!$DC$1</f>
        <v>0</v>
      </c>
      <c r="DE102" s="8">
        <f>+MINVU_Mes_Corriente!DE102*MINVU_Mes_Constante!$DC$1</f>
        <v>0</v>
      </c>
      <c r="DF102" s="8">
        <f>+MINVU_Mes_Corriente!DF102*MINVU_Mes_Constante!$DC$1</f>
        <v>0</v>
      </c>
      <c r="DG102" s="8">
        <f>+MINVU_Mes_Corriente!DG102*MINVU_Mes_Constante!$DC$1</f>
        <v>0</v>
      </c>
      <c r="DH102" s="8">
        <f>+MINVU_Mes_Corriente!DH102*MINVU_Mes_Constante!$DC$1</f>
        <v>0</v>
      </c>
      <c r="DI102" s="8">
        <f>+MINVU_Mes_Corriente!DI102*MINVU_Mes_Constante!$DC$1</f>
        <v>0</v>
      </c>
      <c r="DJ102" s="8">
        <f>+MINVU_Mes_Corriente!DJ102*MINVU_Mes_Constante!$DC$1</f>
        <v>0</v>
      </c>
      <c r="DK102" s="8">
        <f>+MINVU_Mes_Corriente!DK102*MINVU_Mes_Constante!$DC$1</f>
        <v>0</v>
      </c>
      <c r="DL102" s="8">
        <f>+MINVU_Mes_Corriente!DL102*MINVU_Mes_Constante!$DC$1</f>
        <v>0</v>
      </c>
      <c r="DM102" s="8">
        <f>+MINVU_Mes_Corriente!DM102*MINVU_Mes_Constante!$DC$1</f>
        <v>0</v>
      </c>
      <c r="DN102" s="8">
        <f>+MINVU_Mes_Corriente!DN102*MINVU_Mes_Constante!$DC$1</f>
        <v>0</v>
      </c>
      <c r="DO102" s="9">
        <f t="shared" si="84"/>
        <v>0</v>
      </c>
      <c r="DP102" s="8">
        <f>+MINVU_Mes_Corriente!DP102*MINVU_Mes_Constante!$DP$1</f>
        <v>0</v>
      </c>
      <c r="DQ102" s="8">
        <f>+MINVU_Mes_Corriente!DQ102*MINVU_Mes_Constante!$DP$1</f>
        <v>4301891.9038004754</v>
      </c>
      <c r="DR102" s="8">
        <f>+MINVU_Mes_Corriente!DR102*MINVU_Mes_Constante!$DP$1</f>
        <v>4301891.9038004754</v>
      </c>
      <c r="DS102" s="8">
        <f>+MINVU_Mes_Corriente!DS102*MINVU_Mes_Constante!$DP$1</f>
        <v>4301891.9038004754</v>
      </c>
      <c r="DT102" s="8">
        <f>+MINVU_Mes_Corriente!DT102*MINVU_Mes_Constante!$DP$1</f>
        <v>4301891.9038004754</v>
      </c>
      <c r="DU102" s="8">
        <f>+MINVU_Mes_Corriente!DU102*MINVU_Mes_Constante!$DP$1</f>
        <v>4301891.9038004754</v>
      </c>
      <c r="DV102" s="8">
        <f>+MINVU_Mes_Corriente!DV102*MINVU_Mes_Constante!$DP$1</f>
        <v>4301891.9038004754</v>
      </c>
      <c r="DW102" s="8">
        <f>+MINVU_Mes_Corriente!DW102*MINVU_Mes_Constante!$DP$1</f>
        <v>4301891.9038004754</v>
      </c>
      <c r="DX102" s="8">
        <f>+MINVU_Mes_Corriente!DX102*MINVU_Mes_Constante!$DP$1</f>
        <v>4301891.9038004754</v>
      </c>
      <c r="DY102" s="8">
        <f>+MINVU_Mes_Corriente!DY102*MINVU_Mes_Constante!$DP$1</f>
        <v>4301891.9038004754</v>
      </c>
      <c r="DZ102" s="8">
        <f>+MINVU_Mes_Corriente!DZ102*MINVU_Mes_Constante!$DP$1</f>
        <v>4301891.9038004754</v>
      </c>
      <c r="EA102" s="8">
        <f>+MINVU_Mes_Corriente!EA102*MINVU_Mes_Constante!$DP$1</f>
        <v>4301891.9038004754</v>
      </c>
      <c r="EB102" s="9">
        <f t="shared" si="85"/>
        <v>4301891.9038004754</v>
      </c>
      <c r="EC102" s="8">
        <f>+MINVU_Mes_Corriente!EC102*MINVU_Mes_Constante!$EC$1</f>
        <v>0</v>
      </c>
      <c r="ED102" s="8">
        <f>+MINVU_Mes_Corriente!ED102*MINVU_Mes_Constante!$EC$1</f>
        <v>0</v>
      </c>
      <c r="EE102" s="8">
        <f>+MINVU_Mes_Corriente!EE102*MINVU_Mes_Constante!$EC$1</f>
        <v>0</v>
      </c>
      <c r="EF102" s="8">
        <f>+MINVU_Mes_Corriente!EF102*MINVU_Mes_Constante!$EC$1</f>
        <v>0</v>
      </c>
      <c r="EG102" s="8">
        <f>+MINVU_Mes_Corriente!EG102*MINVU_Mes_Constante!$EC$1</f>
        <v>1752.3806097330046</v>
      </c>
      <c r="EH102" s="8">
        <f>+MINVU_Mes_Corriente!EH102*MINVU_Mes_Constante!$EC$1</f>
        <v>1752.3806097330046</v>
      </c>
      <c r="EI102" s="8">
        <f>+MINVU_Mes_Corriente!EI102*MINVU_Mes_Constante!$EC$1</f>
        <v>1752.3806097330046</v>
      </c>
      <c r="EJ102" s="8">
        <f>+MINVU_Mes_Corriente!EJ102*MINVU_Mes_Constante!$EC$1</f>
        <v>1752.3806097330046</v>
      </c>
      <c r="EK102" s="8">
        <f>+MINVU_Mes_Corriente!EK102*MINVU_Mes_Constante!$EC$1</f>
        <v>1752.3806097330046</v>
      </c>
      <c r="EL102" s="8">
        <f>+MINVU_Mes_Corriente!EL102*MINVU_Mes_Constante!$EC$1</f>
        <v>3598.8973679227406</v>
      </c>
      <c r="EM102" s="8">
        <f>+MINVU_Mes_Corriente!EM102*MINVU_Mes_Constante!$EC$1</f>
        <v>3598.8973679227406</v>
      </c>
      <c r="EN102" s="8">
        <f>+MINVU_Mes_Corriente!EN102*MINVU_Mes_Constante!$EC$1</f>
        <v>3598.8973679227406</v>
      </c>
      <c r="EO102" s="9">
        <f t="shared" si="86"/>
        <v>3598.8973679227406</v>
      </c>
      <c r="EP102" s="8">
        <f>+MINVU_Mes_Corriente!EP102*MINVU_Mes_Constante!$EP$1</f>
        <v>5863</v>
      </c>
      <c r="EQ102" s="8">
        <f>+MINVU_Mes_Corriente!EQ102*MINVU_Mes_Constante!$EP$1</f>
        <v>5863</v>
      </c>
      <c r="ER102" s="8">
        <f>+MINVU_Mes_Corriente!ER102*MINVU_Mes_Constante!$EP$1</f>
        <v>5863</v>
      </c>
      <c r="ES102" s="8">
        <f>+MINVU_Mes_Corriente!ES102*MINVU_Mes_Constante!$EP$1</f>
        <v>5863</v>
      </c>
      <c r="ET102" s="8">
        <f>+MINVU_Mes_Corriente!ET102*MINVU_Mes_Constante!$EP$1</f>
        <v>5863</v>
      </c>
      <c r="EU102" s="8">
        <f>+MINVU_Mes_Corriente!EU102*MINVU_Mes_Constante!$EP$1</f>
        <v>5863</v>
      </c>
      <c r="EV102" s="8">
        <f>+MINVU_Mes_Corriente!EV102*MINVU_Mes_Constante!$EP$1</f>
        <v>5863</v>
      </c>
      <c r="EW102" s="8">
        <f>+MINVU_Mes_Corriente!EW102*MINVU_Mes_Constante!$EP$1</f>
        <v>5863</v>
      </c>
      <c r="EX102" s="8">
        <f>+MINVU_Mes_Corriente!EX102*MINVU_Mes_Constante!$EP$1</f>
        <v>5863</v>
      </c>
      <c r="EY102" s="8">
        <f>+MINVU_Mes_Corriente!EY102*MINVU_Mes_Constante!$EP$1</f>
        <v>5863</v>
      </c>
      <c r="EZ102" s="8">
        <f>+MINVU_Mes_Corriente!EZ102*MINVU_Mes_Constante!$EP$1</f>
        <v>5863</v>
      </c>
      <c r="FA102" s="8">
        <f>+MINVU_Mes_Corriente!FA102*MINVU_Mes_Constante!$EP$1</f>
        <v>5863</v>
      </c>
      <c r="FB102" s="9">
        <f t="shared" si="87"/>
        <v>5863</v>
      </c>
      <c r="FC102" s="8">
        <f>+MINVU_Mes_Corriente!FC102*MINVU_Mes_Constante!$FC$1</f>
        <v>10</v>
      </c>
      <c r="FD102" s="8">
        <f>+MINVU_Mes_Corriente!FD102*MINVU_Mes_Constante!$FC$1</f>
        <v>10</v>
      </c>
      <c r="FE102" s="8">
        <f>+MINVU_Mes_Corriente!FE102*MINVU_Mes_Constante!$FC$1</f>
        <v>10</v>
      </c>
      <c r="FF102" s="8">
        <f>+MINVU_Mes_Corriente!FF102*MINVU_Mes_Constante!$FC$1</f>
        <v>10</v>
      </c>
      <c r="FG102" s="8">
        <f>+MINVU_Mes_Corriente!FG102*MINVU_Mes_Constante!$FC$1</f>
        <v>10</v>
      </c>
      <c r="FH102" s="8">
        <f>+MINVU_Mes_Corriente!FH102*MINVU_Mes_Constante!$FC$1</f>
        <v>10</v>
      </c>
      <c r="FI102" s="8">
        <f>+MINVU_Mes_Corriente!FI102*MINVU_Mes_Constante!$FC$1</f>
        <v>10</v>
      </c>
      <c r="FJ102" s="8"/>
      <c r="FK102" s="8"/>
      <c r="FL102" s="8"/>
      <c r="FM102" s="8"/>
      <c r="FN102" s="8"/>
      <c r="FO102" s="9">
        <f t="shared" si="88"/>
        <v>10</v>
      </c>
    </row>
    <row r="103" spans="2:171" ht="14.25" customHeight="1" x14ac:dyDescent="0.3">
      <c r="B103" s="7" t="s">
        <v>47</v>
      </c>
      <c r="C103" s="8">
        <f>+MINVU_Mes_Corriente!C103*MINVU_Mes_Constante!$C$1</f>
        <v>10861.18611893816</v>
      </c>
      <c r="D103" s="8">
        <f>+MINVU_Mes_Corriente!D103*MINVU_Mes_Constante!$C$1</f>
        <v>10861.18611893816</v>
      </c>
      <c r="E103" s="8">
        <f>+MINVU_Mes_Corriente!E103*MINVU_Mes_Constante!$C$1</f>
        <v>10861.18611893816</v>
      </c>
      <c r="F103" s="8">
        <f>+MINVU_Mes_Corriente!F103*MINVU_Mes_Constante!$C$1</f>
        <v>10861.18611893816</v>
      </c>
      <c r="G103" s="8">
        <f>+MINVU_Mes_Corriente!G103*MINVU_Mes_Constante!$C$1</f>
        <v>10861.18611893816</v>
      </c>
      <c r="H103" s="8">
        <f>+MINVU_Mes_Corriente!H103*MINVU_Mes_Constante!$C$1</f>
        <v>10861.18611893816</v>
      </c>
      <c r="I103" s="8">
        <f>+MINVU_Mes_Corriente!I103*MINVU_Mes_Constante!$C$1</f>
        <v>10861.18611893816</v>
      </c>
      <c r="J103" s="8">
        <f>+MINVU_Mes_Corriente!J103*MINVU_Mes_Constante!$C$1</f>
        <v>10861.18611893816</v>
      </c>
      <c r="K103" s="8">
        <f>+MINVU_Mes_Corriente!K103*MINVU_Mes_Constante!$C$1</f>
        <v>10861.18611893816</v>
      </c>
      <c r="L103" s="8">
        <f>+MINVU_Mes_Corriente!L103*MINVU_Mes_Constante!$C$1</f>
        <v>10861.18611893816</v>
      </c>
      <c r="M103" s="8">
        <f>+MINVU_Mes_Corriente!M103*MINVU_Mes_Constante!$C$1</f>
        <v>10861.18611893816</v>
      </c>
      <c r="N103" s="8">
        <f>+MINVU_Mes_Corriente!N103*MINVU_Mes_Constante!$C$1</f>
        <v>10861.18611893816</v>
      </c>
      <c r="O103" s="9">
        <f t="shared" si="76"/>
        <v>10861.18611893816</v>
      </c>
      <c r="P103" s="8">
        <f>+MINVU_Mes_Corriente!P103*MINVU_Mes_Constante!$P$1</f>
        <v>12683.10072453473</v>
      </c>
      <c r="Q103" s="8">
        <f>+MINVU_Mes_Corriente!Q103*MINVU_Mes_Constante!$P$1</f>
        <v>12683.10072453473</v>
      </c>
      <c r="R103" s="8">
        <f>+MINVU_Mes_Corriente!R103*MINVU_Mes_Constante!$P$1</f>
        <v>12683.10072453473</v>
      </c>
      <c r="S103" s="8">
        <f>+MINVU_Mes_Corriente!S103*MINVU_Mes_Constante!$P$1</f>
        <v>12683.10072453473</v>
      </c>
      <c r="T103" s="8">
        <f>+MINVU_Mes_Corriente!T103*MINVU_Mes_Constante!$P$1</f>
        <v>12683.10072453473</v>
      </c>
      <c r="U103" s="8">
        <f>+MINVU_Mes_Corriente!U103*MINVU_Mes_Constante!$P$1</f>
        <v>12683.10072453473</v>
      </c>
      <c r="V103" s="8">
        <f>+MINVU_Mes_Corriente!V103*MINVU_Mes_Constante!$P$1</f>
        <v>12683.10072453473</v>
      </c>
      <c r="W103" s="8">
        <f>+MINVU_Mes_Corriente!W103*MINVU_Mes_Constante!$P$1</f>
        <v>22052.234976559161</v>
      </c>
      <c r="X103" s="8">
        <f>+MINVU_Mes_Corriente!X103*MINVU_Mes_Constante!$P$1</f>
        <v>22052.234976559161</v>
      </c>
      <c r="Y103" s="8">
        <f>+MINVU_Mes_Corriente!Y103*MINVU_Mes_Constante!$P$1</f>
        <v>25793.058957238234</v>
      </c>
      <c r="Z103" s="8">
        <f>+MINVU_Mes_Corriente!Z103*MINVU_Mes_Constante!$P$1</f>
        <v>25793.058957238234</v>
      </c>
      <c r="AA103" s="8">
        <f>+MINVU_Mes_Corriente!AA103*MINVU_Mes_Constante!$P$1</f>
        <v>25793.058957238234</v>
      </c>
      <c r="AB103" s="9">
        <f t="shared" si="77"/>
        <v>25793.058957238234</v>
      </c>
      <c r="AC103" s="8">
        <f>+MINVU_Mes_Corriente!AC103*MINVU_Mes_Constante!$AC$1</f>
        <v>15363.506709088393</v>
      </c>
      <c r="AD103" s="8">
        <f>+MINVU_Mes_Corriente!AD103*MINVU_Mes_Constante!$AC$1</f>
        <v>15363.506709088393</v>
      </c>
      <c r="AE103" s="8">
        <f>+MINVU_Mes_Corriente!AE103*MINVU_Mes_Constante!$AC$1</f>
        <v>15363.506709088393</v>
      </c>
      <c r="AF103" s="8">
        <f>+MINVU_Mes_Corriente!AF103*MINVU_Mes_Constante!$AC$1</f>
        <v>15363.506709088393</v>
      </c>
      <c r="AG103" s="8">
        <f>+MINVU_Mes_Corriente!AG103*MINVU_Mes_Constante!$AC$1</f>
        <v>15363.506709088393</v>
      </c>
      <c r="AH103" s="8">
        <f>+MINVU_Mes_Corriente!AH103*MINVU_Mes_Constante!$AC$1</f>
        <v>15363.506709088393</v>
      </c>
      <c r="AI103" s="8">
        <f>+MINVU_Mes_Corriente!AI103*MINVU_Mes_Constante!$AC$1</f>
        <v>15363.506709088393</v>
      </c>
      <c r="AJ103" s="8">
        <f>+MINVU_Mes_Corriente!AJ103*MINVU_Mes_Constante!$AC$1</f>
        <v>15363.506709088393</v>
      </c>
      <c r="AK103" s="8">
        <f>+MINVU_Mes_Corriente!AK103*MINVU_Mes_Constante!$AC$1</f>
        <v>15363.506709088393</v>
      </c>
      <c r="AL103" s="8">
        <f>+MINVU_Mes_Corriente!AL103*MINVU_Mes_Constante!$AC$1</f>
        <v>15363.506709088393</v>
      </c>
      <c r="AM103" s="8">
        <f>+MINVU_Mes_Corriente!AM103*MINVU_Mes_Constante!$AC$1</f>
        <v>15363.506709088393</v>
      </c>
      <c r="AN103" s="8">
        <f>+MINVU_Mes_Corriente!AN103*MINVU_Mes_Constante!$AC$1</f>
        <v>15363.506709088393</v>
      </c>
      <c r="AO103" s="9">
        <f t="shared" si="78"/>
        <v>15363.506709088393</v>
      </c>
      <c r="AP103" s="8">
        <f>+MINVU_Mes_Corriente!AP103*MINVU_Mes_Constante!$AP$1</f>
        <v>16744.431218720409</v>
      </c>
      <c r="AQ103" s="8">
        <f>+MINVU_Mes_Corriente!AQ103*MINVU_Mes_Constante!$AP$1</f>
        <v>16744.431218720409</v>
      </c>
      <c r="AR103" s="8">
        <f>+MINVU_Mes_Corriente!AR103*MINVU_Mes_Constante!$AP$1</f>
        <v>16744.431218720409</v>
      </c>
      <c r="AS103" s="8">
        <f>+MINVU_Mes_Corriente!AS103*MINVU_Mes_Constante!$AP$1</f>
        <v>16744.431218720409</v>
      </c>
      <c r="AT103" s="8">
        <f>+MINVU_Mes_Corriente!AT103*MINVU_Mes_Constante!$AP$1</f>
        <v>21178.084674692276</v>
      </c>
      <c r="AU103" s="8">
        <f>+MINVU_Mes_Corriente!AU103*MINVU_Mes_Constante!$AP$1</f>
        <v>21178.084674692276</v>
      </c>
      <c r="AV103" s="8">
        <f>+MINVU_Mes_Corriente!AV103*MINVU_Mes_Constante!$AP$1</f>
        <v>21178.084674692276</v>
      </c>
      <c r="AW103" s="8">
        <f>+MINVU_Mes_Corriente!AW103*MINVU_Mes_Constante!$AP$1</f>
        <v>21178.084674692276</v>
      </c>
      <c r="AX103" s="8">
        <f>+MINVU_Mes_Corriente!AX103*MINVU_Mes_Constante!$AP$1</f>
        <v>1697601.5717570675</v>
      </c>
      <c r="AY103" s="8">
        <f>+MINVU_Mes_Corriente!AY103*MINVU_Mes_Constante!$AP$1</f>
        <v>1697601.5717570675</v>
      </c>
      <c r="AZ103" s="8">
        <f>+MINVU_Mes_Corriente!AZ103*MINVU_Mes_Constante!$AP$1</f>
        <v>1697601.5717570675</v>
      </c>
      <c r="BA103" s="8">
        <f>+MINVU_Mes_Corriente!BA103*MINVU_Mes_Constante!$AP$1</f>
        <v>1712831.1713783308</v>
      </c>
      <c r="BB103" s="9">
        <f t="shared" si="79"/>
        <v>1712831.1713783308</v>
      </c>
      <c r="BC103" s="8">
        <f>+MINVU_Mes_Corriente!BC103*MINVU_Mes_Constante!$BC$1</f>
        <v>2205444.006329949</v>
      </c>
      <c r="BD103" s="8">
        <f>+MINVU_Mes_Corriente!BD103*MINVU_Mes_Constante!$BC$1</f>
        <v>2205444.006329949</v>
      </c>
      <c r="BE103" s="8">
        <f>+MINVU_Mes_Corriente!BE103*MINVU_Mes_Constante!$BC$1</f>
        <v>2205444.006329949</v>
      </c>
      <c r="BF103" s="8">
        <f>+MINVU_Mes_Corriente!BF103*MINVU_Mes_Constante!$BC$1</f>
        <v>2205444.006329949</v>
      </c>
      <c r="BG103" s="8">
        <f>+MINVU_Mes_Corriente!BG103*MINVU_Mes_Constante!$BC$1</f>
        <v>2205444.006329949</v>
      </c>
      <c r="BH103" s="8">
        <f>+MINVU_Mes_Corriente!BH103*MINVU_Mes_Constante!$BC$1</f>
        <v>2205444.006329949</v>
      </c>
      <c r="BI103" s="8">
        <f>+MINVU_Mes_Corriente!BI103*MINVU_Mes_Constante!$BC$1</f>
        <v>1980424.3114862198</v>
      </c>
      <c r="BJ103" s="8">
        <f>+MINVU_Mes_Corriente!BJ103*MINVU_Mes_Constante!$BC$1</f>
        <v>1980424.3114862198</v>
      </c>
      <c r="BK103" s="8">
        <f>+MINVU_Mes_Corriente!BK103*MINVU_Mes_Constante!$BC$1</f>
        <v>1980424.3114862198</v>
      </c>
      <c r="BL103" s="8">
        <f>+MINVU_Mes_Corriente!BL103*MINVU_Mes_Constante!$BC$1</f>
        <v>1980424.3114862198</v>
      </c>
      <c r="BM103" s="8">
        <f>+MINVU_Mes_Corriente!BM103*MINVU_Mes_Constante!$BC$1</f>
        <v>1980424.3114862198</v>
      </c>
      <c r="BN103" s="8">
        <f>+MINVU_Mes_Corriente!BN103*MINVU_Mes_Constante!$BC$1</f>
        <v>1980424.3114862198</v>
      </c>
      <c r="BO103" s="9">
        <f t="shared" si="80"/>
        <v>1980424.3114862198</v>
      </c>
      <c r="BP103" s="8">
        <f>+MINVU_Mes_Corriente!BP103*MINVU_Mes_Constante!$BP$1</f>
        <v>12210.259667093471</v>
      </c>
      <c r="BQ103" s="8">
        <f>+MINVU_Mes_Corriente!BQ103*MINVU_Mes_Constante!$BP$1</f>
        <v>12210.259667093471</v>
      </c>
      <c r="BR103" s="8">
        <f>+MINVU_Mes_Corriente!BR103*MINVU_Mes_Constante!$BP$1</f>
        <v>12210.259667093471</v>
      </c>
      <c r="BS103" s="8">
        <f>+MINVU_Mes_Corriente!BS103*MINVU_Mes_Constante!$BP$1</f>
        <v>12210.259667093471</v>
      </c>
      <c r="BT103" s="8">
        <f>+MINVU_Mes_Corriente!BT103*MINVU_Mes_Constante!$BP$1</f>
        <v>12210.259667093471</v>
      </c>
      <c r="BU103" s="8">
        <f>+MINVU_Mes_Corriente!BU103*MINVU_Mes_Constante!$BP$1</f>
        <v>12210.259667093471</v>
      </c>
      <c r="BV103" s="8">
        <f>+MINVU_Mes_Corriente!BV103*MINVU_Mes_Constante!$BP$1</f>
        <v>12210.259667093471</v>
      </c>
      <c r="BW103" s="8">
        <f>+MINVU_Mes_Corriente!BW103*MINVU_Mes_Constante!$BP$1</f>
        <v>929546.58745198476</v>
      </c>
      <c r="BX103" s="8">
        <f>+MINVU_Mes_Corriente!BX103*MINVU_Mes_Constante!$BP$1</f>
        <v>929546.58745198476</v>
      </c>
      <c r="BY103" s="8">
        <f>+MINVU_Mes_Corriente!BY103*MINVU_Mes_Constante!$BP$1</f>
        <v>929546.58745198476</v>
      </c>
      <c r="BZ103" s="8">
        <f>+MINVU_Mes_Corriente!BZ103*MINVU_Mes_Constante!$BP$1</f>
        <v>929546.58745198476</v>
      </c>
      <c r="CA103" s="8">
        <f>+MINVU_Mes_Corriente!CA103*MINVU_Mes_Constante!$BP$1</f>
        <v>4287088.2007682463</v>
      </c>
      <c r="CB103" s="9">
        <f t="shared" si="81"/>
        <v>4287088.2007682463</v>
      </c>
      <c r="CC103" s="8">
        <f>+MINVU_Mes_Corriente!CC103*MINVU_Mes_Constante!$CC$1</f>
        <v>10273.944796717644</v>
      </c>
      <c r="CD103" s="8">
        <f>+MINVU_Mes_Corriente!CD103*MINVU_Mes_Constante!$CC$1</f>
        <v>10273.944796717644</v>
      </c>
      <c r="CE103" s="8">
        <f>+MINVU_Mes_Corriente!CE103*MINVU_Mes_Constante!$CC$1</f>
        <v>10273.944796717644</v>
      </c>
      <c r="CF103" s="8">
        <f>+MINVU_Mes_Corriente!CF103*MINVU_Mes_Constante!$CC$1</f>
        <v>7191.6255128683333</v>
      </c>
      <c r="CG103" s="8">
        <f>+MINVU_Mes_Corriente!CG103*MINVU_Mes_Constante!$CC$1</f>
        <v>3594.4543080939952</v>
      </c>
      <c r="CH103" s="8">
        <f>+MINVU_Mes_Corriente!CH103*MINVU_Mes_Constante!$CC$1</f>
        <v>3594.4543080939952</v>
      </c>
      <c r="CI103" s="8">
        <f>+MINVU_Mes_Corriente!CI103*MINVU_Mes_Constante!$CC$1</f>
        <v>3594.4543080939952</v>
      </c>
      <c r="CJ103" s="8">
        <f>+MINVU_Mes_Corriente!CJ103*MINVU_Mes_Constante!$CC$1</f>
        <v>3594.4543080939952</v>
      </c>
      <c r="CK103" s="8">
        <f>+MINVU_Mes_Corriente!CK103*MINVU_Mes_Constante!$CC$1</f>
        <v>3594.4543080939952</v>
      </c>
      <c r="CL103" s="8">
        <f>+MINVU_Mes_Corriente!CL103*MINVU_Mes_Constante!$CC$1</f>
        <v>3594.4543080939952</v>
      </c>
      <c r="CM103" s="8">
        <f>+MINVU_Mes_Corriente!CM103*MINVU_Mes_Constante!$CC$1</f>
        <v>136505.03991048117</v>
      </c>
      <c r="CN103" s="8">
        <f>+MINVU_Mes_Corriente!CN103*MINVU_Mes_Constante!$CC$1</f>
        <v>136505.03991048117</v>
      </c>
      <c r="CO103" s="9">
        <f t="shared" si="82"/>
        <v>136505.03991048117</v>
      </c>
      <c r="CP103" s="8">
        <f>+MINVU_Mes_Corriente!CP103*MINVU_Mes_Constante!$CP$1</f>
        <v>2048.3081206496518</v>
      </c>
      <c r="CQ103" s="8">
        <f>+MINVU_Mes_Corriente!CQ103*MINVU_Mes_Constante!$CP$1</f>
        <v>2048.3081206496518</v>
      </c>
      <c r="CR103" s="8">
        <f>+MINVU_Mes_Corriente!CR103*MINVU_Mes_Constante!$CP$1</f>
        <v>2048.3081206496518</v>
      </c>
      <c r="CS103" s="8">
        <f>+MINVU_Mes_Corriente!CS103*MINVU_Mes_Constante!$CP$1</f>
        <v>2048.3081206496518</v>
      </c>
      <c r="CT103" s="8">
        <f>+MINVU_Mes_Corriente!CT103*MINVU_Mes_Constante!$CP$1</f>
        <v>2048.3081206496518</v>
      </c>
      <c r="CU103" s="8">
        <f>+MINVU_Mes_Corriente!CU103*MINVU_Mes_Constante!$CP$1</f>
        <v>2441.2385150812061</v>
      </c>
      <c r="CV103" s="8">
        <f>+MINVU_Mes_Corriente!CV103*MINVU_Mes_Constante!$CP$1</f>
        <v>2441.2385150812061</v>
      </c>
      <c r="CW103" s="8">
        <f>+MINVU_Mes_Corriente!CW103*MINVU_Mes_Constante!$CP$1</f>
        <v>2441.2385150812061</v>
      </c>
      <c r="CX103" s="8">
        <f>+MINVU_Mes_Corriente!CX103*MINVU_Mes_Constante!$CP$1</f>
        <v>2441.2385150812061</v>
      </c>
      <c r="CY103" s="8">
        <f>+MINVU_Mes_Corriente!CY103*MINVU_Mes_Constante!$CP$1</f>
        <v>2441.2385150812061</v>
      </c>
      <c r="CZ103" s="8">
        <f>+MINVU_Mes_Corriente!CZ103*MINVU_Mes_Constante!$CP$1</f>
        <v>2441.2385150812061</v>
      </c>
      <c r="DA103" s="8">
        <f>+MINVU_Mes_Corriente!DA103*MINVU_Mes_Constante!$CP$1</f>
        <v>2441.2385150812061</v>
      </c>
      <c r="DB103" s="9">
        <f t="shared" si="83"/>
        <v>2441.2385150812061</v>
      </c>
      <c r="DC103" s="8">
        <f>+MINVU_Mes_Corriente!DC103*MINVU_Mes_Constante!$DC$1</f>
        <v>0</v>
      </c>
      <c r="DD103" s="8">
        <f>+MINVU_Mes_Corriente!DD103*MINVU_Mes_Constante!$DC$1</f>
        <v>0</v>
      </c>
      <c r="DE103" s="8">
        <f>+MINVU_Mes_Corriente!DE103*MINVU_Mes_Constante!$DC$1</f>
        <v>0</v>
      </c>
      <c r="DF103" s="8">
        <f>+MINVU_Mes_Corriente!DF103*MINVU_Mes_Constante!$DC$1</f>
        <v>0</v>
      </c>
      <c r="DG103" s="8">
        <f>+MINVU_Mes_Corriente!DG103*MINVU_Mes_Constante!$DC$1</f>
        <v>0</v>
      </c>
      <c r="DH103" s="8">
        <f>+MINVU_Mes_Corriente!DH103*MINVU_Mes_Constante!$DC$1</f>
        <v>0</v>
      </c>
      <c r="DI103" s="8">
        <f>+MINVU_Mes_Corriente!DI103*MINVU_Mes_Constante!$DC$1</f>
        <v>0</v>
      </c>
      <c r="DJ103" s="8">
        <f>+MINVU_Mes_Corriente!DJ103*MINVU_Mes_Constante!$DC$1</f>
        <v>0</v>
      </c>
      <c r="DK103" s="8">
        <f>+MINVU_Mes_Corriente!DK103*MINVU_Mes_Constante!$DC$1</f>
        <v>0</v>
      </c>
      <c r="DL103" s="8">
        <f>+MINVU_Mes_Corriente!DL103*MINVU_Mes_Constante!$DC$1</f>
        <v>0</v>
      </c>
      <c r="DM103" s="8">
        <f>+MINVU_Mes_Corriente!DM103*MINVU_Mes_Constante!$DC$1</f>
        <v>6698919.3126221616</v>
      </c>
      <c r="DN103" s="8">
        <f>+MINVU_Mes_Corriente!DN103*MINVU_Mes_Constante!$DC$1</f>
        <v>6698919.3126221616</v>
      </c>
      <c r="DO103" s="9">
        <f t="shared" si="84"/>
        <v>6698919.3126221616</v>
      </c>
      <c r="DP103" s="8">
        <f>+MINVU_Mes_Corriente!DP103*MINVU_Mes_Constante!$DP$1</f>
        <v>0</v>
      </c>
      <c r="DQ103" s="8">
        <f>+MINVU_Mes_Corriente!DQ103*MINVU_Mes_Constante!$DP$1</f>
        <v>0</v>
      </c>
      <c r="DR103" s="8">
        <f>+MINVU_Mes_Corriente!DR103*MINVU_Mes_Constante!$DP$1</f>
        <v>0</v>
      </c>
      <c r="DS103" s="8">
        <f>+MINVU_Mes_Corriente!DS103*MINVU_Mes_Constante!$DP$1</f>
        <v>0</v>
      </c>
      <c r="DT103" s="8">
        <f>+MINVU_Mes_Corriente!DT103*MINVU_Mes_Constante!$DP$1</f>
        <v>0</v>
      </c>
      <c r="DU103" s="8">
        <f>+MINVU_Mes_Corriente!DU103*MINVU_Mes_Constante!$DP$1</f>
        <v>0</v>
      </c>
      <c r="DV103" s="8">
        <f>+MINVU_Mes_Corriente!DV103*MINVU_Mes_Constante!$DP$1</f>
        <v>0</v>
      </c>
      <c r="DW103" s="8">
        <f>+MINVU_Mes_Corriente!DW103*MINVU_Mes_Constante!$DP$1</f>
        <v>0</v>
      </c>
      <c r="DX103" s="8">
        <f>+MINVU_Mes_Corriente!DX103*MINVU_Mes_Constante!$DP$1</f>
        <v>0</v>
      </c>
      <c r="DY103" s="8">
        <f>+MINVU_Mes_Corriente!DY103*MINVU_Mes_Constante!$DP$1</f>
        <v>0</v>
      </c>
      <c r="DZ103" s="8">
        <f>+MINVU_Mes_Corriente!DZ103*MINVU_Mes_Constante!$DP$1</f>
        <v>0</v>
      </c>
      <c r="EA103" s="8">
        <f>+MINVU_Mes_Corriente!EA103*MINVU_Mes_Constante!$DP$1</f>
        <v>0</v>
      </c>
      <c r="EB103" s="9">
        <f t="shared" si="85"/>
        <v>0</v>
      </c>
      <c r="EC103" s="8">
        <f>+MINVU_Mes_Corriente!EC103*MINVU_Mes_Constante!$EC$1</f>
        <v>0</v>
      </c>
      <c r="ED103" s="8">
        <f>+MINVU_Mes_Corriente!ED103*MINVU_Mes_Constante!$EC$1</f>
        <v>0</v>
      </c>
      <c r="EE103" s="8">
        <f>+MINVU_Mes_Corriente!EE103*MINVU_Mes_Constante!$EC$1</f>
        <v>0</v>
      </c>
      <c r="EF103" s="8">
        <f>+MINVU_Mes_Corriente!EF103*MINVU_Mes_Constante!$EC$1</f>
        <v>0</v>
      </c>
      <c r="EG103" s="8">
        <f>+MINVU_Mes_Corriente!EG103*MINVU_Mes_Constante!$EC$1</f>
        <v>5255.072902859305</v>
      </c>
      <c r="EH103" s="8">
        <f>+MINVU_Mes_Corriente!EH103*MINVU_Mes_Constante!$EC$1</f>
        <v>5255.072902859305</v>
      </c>
      <c r="EI103" s="8">
        <f>+MINVU_Mes_Corriente!EI103*MINVU_Mes_Constante!$EC$1</f>
        <v>5255.072902859305</v>
      </c>
      <c r="EJ103" s="8">
        <f>+MINVU_Mes_Corriente!EJ103*MINVU_Mes_Constante!$EC$1</f>
        <v>5255.072902859305</v>
      </c>
      <c r="EK103" s="8">
        <f>+MINVU_Mes_Corriente!EK103*MINVU_Mes_Constante!$EC$1</f>
        <v>5255.072902859305</v>
      </c>
      <c r="EL103" s="8">
        <f>+MINVU_Mes_Corriente!EL103*MINVU_Mes_Constante!$EC$1</f>
        <v>6486.0840749857962</v>
      </c>
      <c r="EM103" s="8">
        <f>+MINVU_Mes_Corriente!EM103*MINVU_Mes_Constante!$EC$1</f>
        <v>6486.0840749857962</v>
      </c>
      <c r="EN103" s="8">
        <f>+MINVU_Mes_Corriente!EN103*MINVU_Mes_Constante!$EC$1</f>
        <v>6486.0840749857962</v>
      </c>
      <c r="EO103" s="9">
        <f t="shared" si="86"/>
        <v>6486.0840749857962</v>
      </c>
      <c r="EP103" s="8">
        <f>+MINVU_Mes_Corriente!EP103*MINVU_Mes_Constante!$EP$1</f>
        <v>710</v>
      </c>
      <c r="EQ103" s="8">
        <f>+MINVU_Mes_Corriente!EQ103*MINVU_Mes_Constante!$EP$1</f>
        <v>710</v>
      </c>
      <c r="ER103" s="8">
        <f>+MINVU_Mes_Corriente!ER103*MINVU_Mes_Constante!$EP$1</f>
        <v>710</v>
      </c>
      <c r="ES103" s="8">
        <f>+MINVU_Mes_Corriente!ES103*MINVU_Mes_Constante!$EP$1</f>
        <v>710</v>
      </c>
      <c r="ET103" s="8">
        <f>+MINVU_Mes_Corriente!ET103*MINVU_Mes_Constante!$EP$1</f>
        <v>710</v>
      </c>
      <c r="EU103" s="8">
        <f>+MINVU_Mes_Corriente!EU103*MINVU_Mes_Constante!$EP$1</f>
        <v>710</v>
      </c>
      <c r="EV103" s="8">
        <f>+MINVU_Mes_Corriente!EV103*MINVU_Mes_Constante!$EP$1</f>
        <v>710</v>
      </c>
      <c r="EW103" s="8">
        <f>+MINVU_Mes_Corriente!EW103*MINVU_Mes_Constante!$EP$1</f>
        <v>710</v>
      </c>
      <c r="EX103" s="8">
        <f>+MINVU_Mes_Corriente!EX103*MINVU_Mes_Constante!$EP$1</f>
        <v>710</v>
      </c>
      <c r="EY103" s="8">
        <f>+MINVU_Mes_Corriente!EY103*MINVU_Mes_Constante!$EP$1</f>
        <v>710</v>
      </c>
      <c r="EZ103" s="8">
        <f>+MINVU_Mes_Corriente!EZ103*MINVU_Mes_Constante!$EP$1</f>
        <v>710</v>
      </c>
      <c r="FA103" s="8">
        <f>+MINVU_Mes_Corriente!FA103*MINVU_Mes_Constante!$EP$1</f>
        <v>710</v>
      </c>
      <c r="FB103" s="9">
        <f t="shared" si="87"/>
        <v>710</v>
      </c>
      <c r="FC103" s="8">
        <f>+MINVU_Mes_Corriente!FC103*MINVU_Mes_Constante!$FC$1</f>
        <v>10</v>
      </c>
      <c r="FD103" s="8">
        <f>+MINVU_Mes_Corriente!FD103*MINVU_Mes_Constante!$FC$1</f>
        <v>10</v>
      </c>
      <c r="FE103" s="8">
        <f>+MINVU_Mes_Corriente!FE103*MINVU_Mes_Constante!$FC$1</f>
        <v>10</v>
      </c>
      <c r="FF103" s="8">
        <f>+MINVU_Mes_Corriente!FF103*MINVU_Mes_Constante!$FC$1</f>
        <v>10</v>
      </c>
      <c r="FG103" s="8">
        <f>+MINVU_Mes_Corriente!FG103*MINVU_Mes_Constante!$FC$1</f>
        <v>10</v>
      </c>
      <c r="FH103" s="8">
        <f>+MINVU_Mes_Corriente!FH103*MINVU_Mes_Constante!$FC$1</f>
        <v>10</v>
      </c>
      <c r="FI103" s="8">
        <f>+MINVU_Mes_Corriente!FI103*MINVU_Mes_Constante!$FC$1</f>
        <v>10</v>
      </c>
      <c r="FJ103" s="8"/>
      <c r="FK103" s="8"/>
      <c r="FL103" s="8"/>
      <c r="FM103" s="8"/>
      <c r="FN103" s="8"/>
      <c r="FO103" s="9">
        <f t="shared" si="88"/>
        <v>10</v>
      </c>
    </row>
    <row r="104" spans="2:171" ht="14.25" customHeight="1" x14ac:dyDescent="0.3">
      <c r="B104" s="7" t="s">
        <v>48</v>
      </c>
      <c r="C104" s="8">
        <f>+MINVU_Mes_Corriente!C104*MINVU_Mes_Constante!$C$1</f>
        <v>14249.331751445947</v>
      </c>
      <c r="D104" s="8">
        <f>+MINVU_Mes_Corriente!D104*MINVU_Mes_Constante!$C$1</f>
        <v>14249.331751445947</v>
      </c>
      <c r="E104" s="8">
        <f>+MINVU_Mes_Corriente!E104*MINVU_Mes_Constante!$C$1</f>
        <v>14249.331751445947</v>
      </c>
      <c r="F104" s="8">
        <f>+MINVU_Mes_Corriente!F104*MINVU_Mes_Constante!$C$1</f>
        <v>14249.331751445947</v>
      </c>
      <c r="G104" s="8">
        <f>+MINVU_Mes_Corriente!G104*MINVU_Mes_Constante!$C$1</f>
        <v>14249.331751445947</v>
      </c>
      <c r="H104" s="8">
        <f>+MINVU_Mes_Corriente!H104*MINVU_Mes_Constante!$C$1</f>
        <v>14249.331751445947</v>
      </c>
      <c r="I104" s="8">
        <f>+MINVU_Mes_Corriente!I104*MINVU_Mes_Constante!$C$1</f>
        <v>14249.331751445947</v>
      </c>
      <c r="J104" s="8">
        <f>+MINVU_Mes_Corriente!J104*MINVU_Mes_Constante!$C$1</f>
        <v>14249.331751445947</v>
      </c>
      <c r="K104" s="8">
        <f>+MINVU_Mes_Corriente!K104*MINVU_Mes_Constante!$C$1</f>
        <v>14249.331751445947</v>
      </c>
      <c r="L104" s="8">
        <f>+MINVU_Mes_Corriente!L104*MINVU_Mes_Constante!$C$1</f>
        <v>14249.331751445947</v>
      </c>
      <c r="M104" s="8">
        <f>+MINVU_Mes_Corriente!M104*MINVU_Mes_Constante!$C$1</f>
        <v>14249.331751445947</v>
      </c>
      <c r="N104" s="8">
        <f>+MINVU_Mes_Corriente!N104*MINVU_Mes_Constante!$C$1</f>
        <v>14249.331751445947</v>
      </c>
      <c r="O104" s="9">
        <f t="shared" si="76"/>
        <v>14249.331751445947</v>
      </c>
      <c r="P104" s="8">
        <f>+MINVU_Mes_Corriente!P104*MINVU_Mes_Constante!$P$1</f>
        <v>20604.023867026557</v>
      </c>
      <c r="Q104" s="8">
        <f>+MINVU_Mes_Corriente!Q104*MINVU_Mes_Constante!$P$1</f>
        <v>20604.023867026557</v>
      </c>
      <c r="R104" s="8">
        <f>+MINVU_Mes_Corriente!R104*MINVU_Mes_Constante!$P$1</f>
        <v>20604.023867026557</v>
      </c>
      <c r="S104" s="8">
        <f>+MINVU_Mes_Corriente!S104*MINVU_Mes_Constante!$P$1</f>
        <v>20604.023867026557</v>
      </c>
      <c r="T104" s="8">
        <f>+MINVU_Mes_Corriente!T104*MINVU_Mes_Constante!$P$1</f>
        <v>20604.023867026557</v>
      </c>
      <c r="U104" s="8">
        <f>+MINVU_Mes_Corriente!U104*MINVU_Mes_Constante!$P$1</f>
        <v>20604.023867026557</v>
      </c>
      <c r="V104" s="8">
        <f>+MINVU_Mes_Corriente!V104*MINVU_Mes_Constante!$P$1</f>
        <v>20604.023867026557</v>
      </c>
      <c r="W104" s="8">
        <f>+MINVU_Mes_Corriente!W104*MINVU_Mes_Constante!$P$1</f>
        <v>20604.023867026557</v>
      </c>
      <c r="X104" s="8">
        <f>+MINVU_Mes_Corriente!X104*MINVU_Mes_Constante!$P$1</f>
        <v>20604.023867026557</v>
      </c>
      <c r="Y104" s="8">
        <f>+MINVU_Mes_Corriente!Y104*MINVU_Mes_Constante!$P$1</f>
        <v>20604.023867026557</v>
      </c>
      <c r="Z104" s="8">
        <f>+MINVU_Mes_Corriente!Z104*MINVU_Mes_Constante!$P$1</f>
        <v>20604.023867026557</v>
      </c>
      <c r="AA104" s="8">
        <f>+MINVU_Mes_Corriente!AA104*MINVU_Mes_Constante!$P$1</f>
        <v>20604.023867026557</v>
      </c>
      <c r="AB104" s="9">
        <f t="shared" si="77"/>
        <v>20604.023867026557</v>
      </c>
      <c r="AC104" s="8">
        <f>+MINVU_Mes_Corriente!AC104*MINVU_Mes_Constante!$AC$1</f>
        <v>23147.280398395353</v>
      </c>
      <c r="AD104" s="8">
        <f>+MINVU_Mes_Corriente!AD104*MINVU_Mes_Constante!$AC$1</f>
        <v>23147.280398395353</v>
      </c>
      <c r="AE104" s="8">
        <f>+MINVU_Mes_Corriente!AE104*MINVU_Mes_Constante!$AC$1</f>
        <v>23147.280398395353</v>
      </c>
      <c r="AF104" s="8">
        <f>+MINVU_Mes_Corriente!AF104*MINVU_Mes_Constante!$AC$1</f>
        <v>535431.43366994057</v>
      </c>
      <c r="AG104" s="8">
        <f>+MINVU_Mes_Corriente!AG104*MINVU_Mes_Constante!$AC$1</f>
        <v>535431.43366994057</v>
      </c>
      <c r="AH104" s="8">
        <f>+MINVU_Mes_Corriente!AH104*MINVU_Mes_Constante!$AC$1</f>
        <v>535431.43366994057</v>
      </c>
      <c r="AI104" s="8">
        <f>+MINVU_Mes_Corriente!AI104*MINVU_Mes_Constante!$AC$1</f>
        <v>535431.43366994057</v>
      </c>
      <c r="AJ104" s="8">
        <f>+MINVU_Mes_Corriente!AJ104*MINVU_Mes_Constante!$AC$1</f>
        <v>535431.43366994057</v>
      </c>
      <c r="AK104" s="8">
        <f>+MINVU_Mes_Corriente!AK104*MINVU_Mes_Constante!$AC$1</f>
        <v>535431.43366994057</v>
      </c>
      <c r="AL104" s="8">
        <f>+MINVU_Mes_Corriente!AL104*MINVU_Mes_Constante!$AC$1</f>
        <v>535431.43366994057</v>
      </c>
      <c r="AM104" s="8">
        <f>+MINVU_Mes_Corriente!AM104*MINVU_Mes_Constante!$AC$1</f>
        <v>535431.43366994057</v>
      </c>
      <c r="AN104" s="8">
        <f>+MINVU_Mes_Corriente!AN104*MINVU_Mes_Constante!$AC$1</f>
        <v>535431.43366994057</v>
      </c>
      <c r="AO104" s="9">
        <f t="shared" si="78"/>
        <v>535431.43366994057</v>
      </c>
      <c r="AP104" s="8">
        <f>+MINVU_Mes_Corriente!AP104*MINVU_Mes_Constante!$AP$1</f>
        <v>20245.539564452858</v>
      </c>
      <c r="AQ104" s="8">
        <f>+MINVU_Mes_Corriente!AQ104*MINVU_Mes_Constante!$AP$1</f>
        <v>20245.539564452858</v>
      </c>
      <c r="AR104" s="8">
        <f>+MINVU_Mes_Corriente!AR104*MINVU_Mes_Constante!$AP$1</f>
        <v>20245.539564452858</v>
      </c>
      <c r="AS104" s="8">
        <f>+MINVU_Mes_Corriente!AS104*MINVU_Mes_Constante!$AP$1</f>
        <v>20245.539564452858</v>
      </c>
      <c r="AT104" s="8">
        <f>+MINVU_Mes_Corriente!AT104*MINVU_Mes_Constante!$AP$1</f>
        <v>20245.539564452858</v>
      </c>
      <c r="AU104" s="8">
        <f>+MINVU_Mes_Corriente!AU104*MINVU_Mes_Constante!$AP$1</f>
        <v>20245.539564452858</v>
      </c>
      <c r="AV104" s="8">
        <f>+MINVU_Mes_Corriente!AV104*MINVU_Mes_Constante!$AP$1</f>
        <v>20245.539564452858</v>
      </c>
      <c r="AW104" s="8">
        <f>+MINVU_Mes_Corriente!AW104*MINVU_Mes_Constante!$AP$1</f>
        <v>20245.539564452858</v>
      </c>
      <c r="AX104" s="8">
        <f>+MINVU_Mes_Corriente!AX104*MINVU_Mes_Constante!$AP$1</f>
        <v>1838438.0516704989</v>
      </c>
      <c r="AY104" s="8">
        <f>+MINVU_Mes_Corriente!AY104*MINVU_Mes_Constante!$AP$1</f>
        <v>1838438.0516704989</v>
      </c>
      <c r="AZ104" s="8">
        <f>+MINVU_Mes_Corriente!AZ104*MINVU_Mes_Constante!$AP$1</f>
        <v>1838438.0516704989</v>
      </c>
      <c r="BA104" s="8">
        <f>+MINVU_Mes_Corriente!BA104*MINVU_Mes_Constante!$AP$1</f>
        <v>1838438.0516704989</v>
      </c>
      <c r="BB104" s="9">
        <f t="shared" si="79"/>
        <v>1838438.0516704989</v>
      </c>
      <c r="BC104" s="8">
        <f>+MINVU_Mes_Corriente!BC104*MINVU_Mes_Constante!$BC$1</f>
        <v>27135.613609389431</v>
      </c>
      <c r="BD104" s="8">
        <f>+MINVU_Mes_Corriente!BD104*MINVU_Mes_Constante!$BC$1</f>
        <v>27135.613609389431</v>
      </c>
      <c r="BE104" s="8">
        <f>+MINVU_Mes_Corriente!BE104*MINVU_Mes_Constante!$BC$1</f>
        <v>27135.613609389431</v>
      </c>
      <c r="BF104" s="8">
        <f>+MINVU_Mes_Corriente!BF104*MINVU_Mes_Constante!$BC$1</f>
        <v>27135.613609389431</v>
      </c>
      <c r="BG104" s="8">
        <f>+MINVU_Mes_Corriente!BG104*MINVU_Mes_Constante!$BC$1</f>
        <v>27135.613609389431</v>
      </c>
      <c r="BH104" s="8">
        <f>+MINVU_Mes_Corriente!BH104*MINVU_Mes_Constante!$BC$1</f>
        <v>27135.613609389431</v>
      </c>
      <c r="BI104" s="8">
        <f>+MINVU_Mes_Corriente!BI104*MINVU_Mes_Constante!$BC$1</f>
        <v>22445.632071739423</v>
      </c>
      <c r="BJ104" s="8">
        <f>+MINVU_Mes_Corriente!BJ104*MINVU_Mes_Constante!$BC$1</f>
        <v>22445.632071739423</v>
      </c>
      <c r="BK104" s="8">
        <f>+MINVU_Mes_Corriente!BK104*MINVU_Mes_Constante!$BC$1</f>
        <v>22445.632071739423</v>
      </c>
      <c r="BL104" s="8">
        <f>+MINVU_Mes_Corriente!BL104*MINVU_Mes_Constante!$BC$1</f>
        <v>22445.632071739423</v>
      </c>
      <c r="BM104" s="8">
        <f>+MINVU_Mes_Corriente!BM104*MINVU_Mes_Constante!$BC$1</f>
        <v>22445.632071739423</v>
      </c>
      <c r="BN104" s="8">
        <f>+MINVU_Mes_Corriente!BN104*MINVU_Mes_Constante!$BC$1</f>
        <v>22445.632071739423</v>
      </c>
      <c r="BO104" s="9">
        <f t="shared" si="80"/>
        <v>22445.632071739423</v>
      </c>
      <c r="BP104" s="8">
        <f>+MINVU_Mes_Corriente!BP104*MINVU_Mes_Constante!$BP$1</f>
        <v>18658.138540332908</v>
      </c>
      <c r="BQ104" s="8">
        <f>+MINVU_Mes_Corriente!BQ104*MINVU_Mes_Constante!$BP$1</f>
        <v>18658.138540332908</v>
      </c>
      <c r="BR104" s="8">
        <f>+MINVU_Mes_Corriente!BR104*MINVU_Mes_Constante!$BP$1</f>
        <v>18658.138540332908</v>
      </c>
      <c r="BS104" s="8">
        <f>+MINVU_Mes_Corriente!BS104*MINVU_Mes_Constante!$BP$1</f>
        <v>18658.138540332908</v>
      </c>
      <c r="BT104" s="8">
        <f>+MINVU_Mes_Corriente!BT104*MINVU_Mes_Constante!$BP$1</f>
        <v>18658.138540332908</v>
      </c>
      <c r="BU104" s="8">
        <f>+MINVU_Mes_Corriente!BU104*MINVU_Mes_Constante!$BP$1</f>
        <v>18658.138540332908</v>
      </c>
      <c r="BV104" s="8">
        <f>+MINVU_Mes_Corriente!BV104*MINVU_Mes_Constante!$BP$1</f>
        <v>18658.138540332908</v>
      </c>
      <c r="BW104" s="8">
        <f>+MINVU_Mes_Corriente!BW104*MINVU_Mes_Constante!$BP$1</f>
        <v>18658.138540332908</v>
      </c>
      <c r="BX104" s="8">
        <f>+MINVU_Mes_Corriente!BX104*MINVU_Mes_Constante!$BP$1</f>
        <v>1723704.506274008</v>
      </c>
      <c r="BY104" s="8">
        <f>+MINVU_Mes_Corriente!BY104*MINVU_Mes_Constante!$BP$1</f>
        <v>1723704.506274008</v>
      </c>
      <c r="BZ104" s="8">
        <f>+MINVU_Mes_Corriente!BZ104*MINVU_Mes_Constante!$BP$1</f>
        <v>1723704.506274008</v>
      </c>
      <c r="CA104" s="8">
        <f>+MINVU_Mes_Corriente!CA104*MINVU_Mes_Constante!$BP$1</f>
        <v>1723704.506274008</v>
      </c>
      <c r="CB104" s="9">
        <f t="shared" si="81"/>
        <v>1723704.506274008</v>
      </c>
      <c r="CC104" s="8">
        <f>+MINVU_Mes_Corriente!CC104*MINVU_Mes_Constante!$CC$1</f>
        <v>18589.007086907874</v>
      </c>
      <c r="CD104" s="8">
        <f>+MINVU_Mes_Corriente!CD104*MINVU_Mes_Constante!$CC$1</f>
        <v>18589.007086907874</v>
      </c>
      <c r="CE104" s="8">
        <f>+MINVU_Mes_Corriente!CE104*MINVU_Mes_Constante!$CC$1</f>
        <v>18589.007086907874</v>
      </c>
      <c r="CF104" s="8">
        <f>+MINVU_Mes_Corriente!CF104*MINVU_Mes_Constante!$CC$1</f>
        <v>13012.576650503544</v>
      </c>
      <c r="CG104" s="8">
        <f>+MINVU_Mes_Corriente!CG104*MINVU_Mes_Constante!$CC$1</f>
        <v>6505.6091010816863</v>
      </c>
      <c r="CH104" s="8">
        <f>+MINVU_Mes_Corriente!CH104*MINVU_Mes_Constante!$CC$1</f>
        <v>6505.6091010816863</v>
      </c>
      <c r="CI104" s="8">
        <f>+MINVU_Mes_Corriente!CI104*MINVU_Mes_Constante!$CC$1</f>
        <v>6505.6091010816863</v>
      </c>
      <c r="CJ104" s="8">
        <f>+MINVU_Mes_Corriente!CJ104*MINVU_Mes_Constante!$CC$1</f>
        <v>6505.6091010816863</v>
      </c>
      <c r="CK104" s="8">
        <f>+MINVU_Mes_Corriente!CK104*MINVU_Mes_Constante!$CC$1</f>
        <v>6505.6091010816863</v>
      </c>
      <c r="CL104" s="8">
        <f>+MINVU_Mes_Corriente!CL104*MINVU_Mes_Constante!$CC$1</f>
        <v>6505.6091010816863</v>
      </c>
      <c r="CM104" s="8">
        <f>+MINVU_Mes_Corriente!CM104*MINVU_Mes_Constante!$CC$1</f>
        <v>18589.007086907874</v>
      </c>
      <c r="CN104" s="8">
        <f>+MINVU_Mes_Corriente!CN104*MINVU_Mes_Constante!$CC$1</f>
        <v>18589.007086907874</v>
      </c>
      <c r="CO104" s="9">
        <f t="shared" si="82"/>
        <v>18589.007086907874</v>
      </c>
      <c r="CP104" s="8">
        <f>+MINVU_Mes_Corriente!CP104*MINVU_Mes_Constante!$CP$1</f>
        <v>9849.8777262180956</v>
      </c>
      <c r="CQ104" s="8">
        <f>+MINVU_Mes_Corriente!CQ104*MINVU_Mes_Constante!$CP$1</f>
        <v>9849.8777262180956</v>
      </c>
      <c r="CR104" s="8">
        <f>+MINVU_Mes_Corriente!CR104*MINVU_Mes_Constante!$CP$1</f>
        <v>9849.8777262180956</v>
      </c>
      <c r="CS104" s="8">
        <f>+MINVU_Mes_Corriente!CS104*MINVU_Mes_Constante!$CP$1</f>
        <v>9849.8777262180956</v>
      </c>
      <c r="CT104" s="8">
        <f>+MINVU_Mes_Corriente!CT104*MINVU_Mes_Constante!$CP$1</f>
        <v>9849.8777262180956</v>
      </c>
      <c r="CU104" s="8">
        <f>+MINVU_Mes_Corriente!CU104*MINVU_Mes_Constante!$CP$1</f>
        <v>9849.8777262180956</v>
      </c>
      <c r="CV104" s="8">
        <f>+MINVU_Mes_Corriente!CV104*MINVU_Mes_Constante!$CP$1</f>
        <v>9849.8777262180956</v>
      </c>
      <c r="CW104" s="8">
        <f>+MINVU_Mes_Corriente!CW104*MINVU_Mes_Constante!$CP$1</f>
        <v>9849.8777262180956</v>
      </c>
      <c r="CX104" s="8">
        <f>+MINVU_Mes_Corriente!CX104*MINVU_Mes_Constante!$CP$1</f>
        <v>9849.8777262180956</v>
      </c>
      <c r="CY104" s="8">
        <f>+MINVU_Mes_Corriente!CY104*MINVU_Mes_Constante!$CP$1</f>
        <v>9849.8777262180956</v>
      </c>
      <c r="CZ104" s="8">
        <f>+MINVU_Mes_Corriente!CZ104*MINVU_Mes_Constante!$CP$1</f>
        <v>9849.8777262180956</v>
      </c>
      <c r="DA104" s="8">
        <f>+MINVU_Mes_Corriente!DA104*MINVU_Mes_Constante!$CP$1</f>
        <v>9849.8777262180956</v>
      </c>
      <c r="DB104" s="9">
        <f t="shared" si="83"/>
        <v>9849.8777262180956</v>
      </c>
      <c r="DC104" s="8">
        <f>+MINVU_Mes_Corriente!DC104*MINVU_Mes_Constante!$DC$1</f>
        <v>0</v>
      </c>
      <c r="DD104" s="8">
        <f>+MINVU_Mes_Corriente!DD104*MINVU_Mes_Constante!$DC$1</f>
        <v>0</v>
      </c>
      <c r="DE104" s="8">
        <f>+MINVU_Mes_Corriente!DE104*MINVU_Mes_Constante!$DC$1</f>
        <v>0</v>
      </c>
      <c r="DF104" s="8">
        <f>+MINVU_Mes_Corriente!DF104*MINVU_Mes_Constante!$DC$1</f>
        <v>0</v>
      </c>
      <c r="DG104" s="8">
        <f>+MINVU_Mes_Corriente!DG104*MINVU_Mes_Constante!$DC$1</f>
        <v>0</v>
      </c>
      <c r="DH104" s="8">
        <f>+MINVU_Mes_Corriente!DH104*MINVU_Mes_Constante!$DC$1</f>
        <v>0</v>
      </c>
      <c r="DI104" s="8">
        <f>+MINVU_Mes_Corriente!DI104*MINVU_Mes_Constante!$DC$1</f>
        <v>0</v>
      </c>
      <c r="DJ104" s="8">
        <f>+MINVU_Mes_Corriente!DJ104*MINVU_Mes_Constante!$DC$1</f>
        <v>0</v>
      </c>
      <c r="DK104" s="8">
        <f>+MINVU_Mes_Corriente!DK104*MINVU_Mes_Constante!$DC$1</f>
        <v>0</v>
      </c>
      <c r="DL104" s="8">
        <f>+MINVU_Mes_Corriente!DL104*MINVU_Mes_Constante!$DC$1</f>
        <v>0</v>
      </c>
      <c r="DM104" s="8">
        <f>+MINVU_Mes_Corriente!DM104*MINVU_Mes_Constante!$DC$1</f>
        <v>9368783.6796625908</v>
      </c>
      <c r="DN104" s="8">
        <f>+MINVU_Mes_Corriente!DN104*MINVU_Mes_Constante!$DC$1</f>
        <v>9368783.6796625908</v>
      </c>
      <c r="DO104" s="9">
        <f t="shared" si="84"/>
        <v>9368783.6796625908</v>
      </c>
      <c r="DP104" s="8">
        <f>+MINVU_Mes_Corriente!DP104*MINVU_Mes_Constante!$DP$1</f>
        <v>0</v>
      </c>
      <c r="DQ104" s="8">
        <f>+MINVU_Mes_Corriente!DQ104*MINVU_Mes_Constante!$DP$1</f>
        <v>0</v>
      </c>
      <c r="DR104" s="8">
        <f>+MINVU_Mes_Corriente!DR104*MINVU_Mes_Constante!$DP$1</f>
        <v>0</v>
      </c>
      <c r="DS104" s="8">
        <f>+MINVU_Mes_Corriente!DS104*MINVU_Mes_Constante!$DP$1</f>
        <v>0</v>
      </c>
      <c r="DT104" s="8">
        <f>+MINVU_Mes_Corriente!DT104*MINVU_Mes_Constante!$DP$1</f>
        <v>0</v>
      </c>
      <c r="DU104" s="8">
        <f>+MINVU_Mes_Corriente!DU104*MINVU_Mes_Constante!$DP$1</f>
        <v>0</v>
      </c>
      <c r="DV104" s="8">
        <f>+MINVU_Mes_Corriente!DV104*MINVU_Mes_Constante!$DP$1</f>
        <v>0</v>
      </c>
      <c r="DW104" s="8">
        <f>+MINVU_Mes_Corriente!DW104*MINVU_Mes_Constante!$DP$1</f>
        <v>0</v>
      </c>
      <c r="DX104" s="8">
        <f>+MINVU_Mes_Corriente!DX104*MINVU_Mes_Constante!$DP$1</f>
        <v>0</v>
      </c>
      <c r="DY104" s="8">
        <f>+MINVU_Mes_Corriente!DY104*MINVU_Mes_Constante!$DP$1</f>
        <v>0</v>
      </c>
      <c r="DZ104" s="8">
        <f>+MINVU_Mes_Corriente!DZ104*MINVU_Mes_Constante!$DP$1</f>
        <v>0</v>
      </c>
      <c r="EA104" s="8">
        <f>+MINVU_Mes_Corriente!EA104*MINVU_Mes_Constante!$DP$1</f>
        <v>355834.64608076011</v>
      </c>
      <c r="EB104" s="9">
        <f t="shared" si="85"/>
        <v>355834.64608076011</v>
      </c>
      <c r="EC104" s="8">
        <f>+MINVU_Mes_Corriente!EC104*MINVU_Mes_Constante!$EC$1</f>
        <v>0</v>
      </c>
      <c r="ED104" s="8">
        <f>+MINVU_Mes_Corriente!ED104*MINVU_Mes_Constante!$EC$1</f>
        <v>0</v>
      </c>
      <c r="EE104" s="8">
        <f>+MINVU_Mes_Corriente!EE104*MINVU_Mes_Constante!$EC$1</f>
        <v>0</v>
      </c>
      <c r="EF104" s="8">
        <f>+MINVU_Mes_Corriente!EF104*MINVU_Mes_Constante!$EC$1</f>
        <v>0</v>
      </c>
      <c r="EG104" s="8">
        <f>+MINVU_Mes_Corriente!EG104*MINVU_Mes_Constante!$EC$1</f>
        <v>6130.2287445559532</v>
      </c>
      <c r="EH104" s="8">
        <f>+MINVU_Mes_Corriente!EH104*MINVU_Mes_Constante!$EC$1</f>
        <v>6130.2287445559532</v>
      </c>
      <c r="EI104" s="8">
        <f>+MINVU_Mes_Corriente!EI104*MINVU_Mes_Constante!$EC$1</f>
        <v>6130.2287445559532</v>
      </c>
      <c r="EJ104" s="8">
        <f>+MINVU_Mes_Corriente!EJ104*MINVU_Mes_Constante!$EC$1</f>
        <v>6130.2287445559532</v>
      </c>
      <c r="EK104" s="8">
        <f>+MINVU_Mes_Corriente!EK104*MINVU_Mes_Constante!$EC$1</f>
        <v>6130.2287445559532</v>
      </c>
      <c r="EL104" s="8">
        <f>+MINVU_Mes_Corriente!EL104*MINVU_Mes_Constante!$EC$1</f>
        <v>6875.0422268509728</v>
      </c>
      <c r="EM104" s="8">
        <f>+MINVU_Mes_Corriente!EM104*MINVU_Mes_Constante!$EC$1</f>
        <v>6875.0422268509728</v>
      </c>
      <c r="EN104" s="8">
        <f>+MINVU_Mes_Corriente!EN104*MINVU_Mes_Constante!$EC$1</f>
        <v>6875.0422268509728</v>
      </c>
      <c r="EO104" s="9">
        <f t="shared" si="86"/>
        <v>6875.0422268509728</v>
      </c>
      <c r="EP104" s="8">
        <f>+MINVU_Mes_Corriente!EP104*MINVU_Mes_Constante!$EP$1</f>
        <v>6540</v>
      </c>
      <c r="EQ104" s="8">
        <f>+MINVU_Mes_Corriente!EQ104*MINVU_Mes_Constante!$EP$1</f>
        <v>6540</v>
      </c>
      <c r="ER104" s="8">
        <f>+MINVU_Mes_Corriente!ER104*MINVU_Mes_Constante!$EP$1</f>
        <v>6540</v>
      </c>
      <c r="ES104" s="8">
        <f>+MINVU_Mes_Corriente!ES104*MINVU_Mes_Constante!$EP$1</f>
        <v>6540</v>
      </c>
      <c r="ET104" s="8">
        <f>+MINVU_Mes_Corriente!ET104*MINVU_Mes_Constante!$EP$1</f>
        <v>6540</v>
      </c>
      <c r="EU104" s="8">
        <f>+MINVU_Mes_Corriente!EU104*MINVU_Mes_Constante!$EP$1</f>
        <v>6540</v>
      </c>
      <c r="EV104" s="8">
        <f>+MINVU_Mes_Corriente!EV104*MINVU_Mes_Constante!$EP$1</f>
        <v>6540</v>
      </c>
      <c r="EW104" s="8">
        <f>+MINVU_Mes_Corriente!EW104*MINVU_Mes_Constante!$EP$1</f>
        <v>6540</v>
      </c>
      <c r="EX104" s="8">
        <f>+MINVU_Mes_Corriente!EX104*MINVU_Mes_Constante!$EP$1</f>
        <v>6540</v>
      </c>
      <c r="EY104" s="8">
        <f>+MINVU_Mes_Corriente!EY104*MINVU_Mes_Constante!$EP$1</f>
        <v>6540</v>
      </c>
      <c r="EZ104" s="8">
        <f>+MINVU_Mes_Corriente!EZ104*MINVU_Mes_Constante!$EP$1</f>
        <v>6540</v>
      </c>
      <c r="FA104" s="8">
        <f>+MINVU_Mes_Corriente!FA104*MINVU_Mes_Constante!$EP$1</f>
        <v>6540</v>
      </c>
      <c r="FB104" s="9">
        <f t="shared" si="87"/>
        <v>6540</v>
      </c>
      <c r="FC104" s="8">
        <f>+MINVU_Mes_Corriente!FC104*MINVU_Mes_Constante!$FC$1</f>
        <v>10</v>
      </c>
      <c r="FD104" s="8">
        <f>+MINVU_Mes_Corriente!FD104*MINVU_Mes_Constante!$FC$1</f>
        <v>10</v>
      </c>
      <c r="FE104" s="8">
        <f>+MINVU_Mes_Corriente!FE104*MINVU_Mes_Constante!$FC$1</f>
        <v>10</v>
      </c>
      <c r="FF104" s="8">
        <f>+MINVU_Mes_Corriente!FF104*MINVU_Mes_Constante!$FC$1</f>
        <v>10</v>
      </c>
      <c r="FG104" s="8">
        <f>+MINVU_Mes_Corriente!FG104*MINVU_Mes_Constante!$FC$1</f>
        <v>10</v>
      </c>
      <c r="FH104" s="8">
        <f>+MINVU_Mes_Corriente!FH104*MINVU_Mes_Constante!$FC$1</f>
        <v>10</v>
      </c>
      <c r="FI104" s="8">
        <f>+MINVU_Mes_Corriente!FI104*MINVU_Mes_Constante!$FC$1</f>
        <v>10</v>
      </c>
      <c r="FJ104" s="8"/>
      <c r="FK104" s="8"/>
      <c r="FL104" s="8"/>
      <c r="FM104" s="8"/>
      <c r="FN104" s="8"/>
      <c r="FO104" s="9">
        <f t="shared" si="88"/>
        <v>10</v>
      </c>
    </row>
    <row r="105" spans="2:171" ht="14.25" customHeight="1" x14ac:dyDescent="0.3">
      <c r="B105" s="7" t="s">
        <v>49</v>
      </c>
      <c r="C105" s="8">
        <f>+MINVU_Mes_Corriente!C105*MINVU_Mes_Constante!$C$1</f>
        <v>31052.330416728462</v>
      </c>
      <c r="D105" s="8">
        <f>+MINVU_Mes_Corriente!D105*MINVU_Mes_Constante!$C$1</f>
        <v>31052.330416728462</v>
      </c>
      <c r="E105" s="8">
        <f>+MINVU_Mes_Corriente!E105*MINVU_Mes_Constante!$C$1</f>
        <v>31052.330416728462</v>
      </c>
      <c r="F105" s="8">
        <f>+MINVU_Mes_Corriente!F105*MINVU_Mes_Constante!$C$1</f>
        <v>31052.330416728462</v>
      </c>
      <c r="G105" s="8">
        <f>+MINVU_Mes_Corriente!G105*MINVU_Mes_Constante!$C$1</f>
        <v>31052.330416728462</v>
      </c>
      <c r="H105" s="8">
        <f>+MINVU_Mes_Corriente!H105*MINVU_Mes_Constante!$C$1</f>
        <v>31052.330416728462</v>
      </c>
      <c r="I105" s="8">
        <f>+MINVU_Mes_Corriente!I105*MINVU_Mes_Constante!$C$1</f>
        <v>31052.330416728462</v>
      </c>
      <c r="J105" s="8">
        <f>+MINVU_Mes_Corriente!J105*MINVU_Mes_Constante!$C$1</f>
        <v>31052.330416728462</v>
      </c>
      <c r="K105" s="8">
        <f>+MINVU_Mes_Corriente!K105*MINVU_Mes_Constante!$C$1</f>
        <v>31052.330416728462</v>
      </c>
      <c r="L105" s="8">
        <f>+MINVU_Mes_Corriente!L105*MINVU_Mes_Constante!$C$1</f>
        <v>31052.330416728462</v>
      </c>
      <c r="M105" s="8">
        <f>+MINVU_Mes_Corriente!M105*MINVU_Mes_Constante!$C$1</f>
        <v>31052.330416728462</v>
      </c>
      <c r="N105" s="8">
        <f>+MINVU_Mes_Corriente!N105*MINVU_Mes_Constante!$C$1</f>
        <v>31052.330416728462</v>
      </c>
      <c r="O105" s="9">
        <f t="shared" si="76"/>
        <v>31052.330416728462</v>
      </c>
      <c r="P105" s="8">
        <f>+MINVU_Mes_Corriente!P105*MINVU_Mes_Constante!$P$1</f>
        <v>32438.066202585582</v>
      </c>
      <c r="Q105" s="8">
        <f>+MINVU_Mes_Corriente!Q105*MINVU_Mes_Constante!$P$1</f>
        <v>32438.066202585582</v>
      </c>
      <c r="R105" s="8">
        <f>+MINVU_Mes_Corriente!R105*MINVU_Mes_Constante!$P$1</f>
        <v>2076607.4499218632</v>
      </c>
      <c r="S105" s="8">
        <f>+MINVU_Mes_Corriente!S105*MINVU_Mes_Constante!$P$1</f>
        <v>2076607.4499218632</v>
      </c>
      <c r="T105" s="8">
        <f>+MINVU_Mes_Corriente!T105*MINVU_Mes_Constante!$P$1</f>
        <v>2076607.4499218632</v>
      </c>
      <c r="U105" s="8">
        <f>+MINVU_Mes_Corriente!U105*MINVU_Mes_Constante!$P$1</f>
        <v>2076607.4499218632</v>
      </c>
      <c r="V105" s="8">
        <f>+MINVU_Mes_Corriente!V105*MINVU_Mes_Constante!$P$1</f>
        <v>2076607.4499218632</v>
      </c>
      <c r="W105" s="8">
        <f>+MINVU_Mes_Corriente!W105*MINVU_Mes_Constante!$P$1</f>
        <v>2076607.4499218632</v>
      </c>
      <c r="X105" s="8">
        <f>+MINVU_Mes_Corriente!X105*MINVU_Mes_Constante!$P$1</f>
        <v>2103926.3304446647</v>
      </c>
      <c r="Y105" s="8">
        <f>+MINVU_Mes_Corriente!Y105*MINVU_Mes_Constante!$P$1</f>
        <v>2134970.5128569389</v>
      </c>
      <c r="Z105" s="8">
        <f>+MINVU_Mes_Corriente!Z105*MINVU_Mes_Constante!$P$1</f>
        <v>2134970.5128569389</v>
      </c>
      <c r="AA105" s="8">
        <f>+MINVU_Mes_Corriente!AA105*MINVU_Mes_Constante!$P$1</f>
        <v>2134970.5128569389</v>
      </c>
      <c r="AB105" s="9">
        <f t="shared" si="77"/>
        <v>2134970.5128569389</v>
      </c>
      <c r="AC105" s="8">
        <f>+MINVU_Mes_Corriente!AC105*MINVU_Mes_Constante!$AC$1</f>
        <v>24534.756951168903</v>
      </c>
      <c r="AD105" s="8">
        <f>+MINVU_Mes_Corriente!AD105*MINVU_Mes_Constante!$AC$1</f>
        <v>24534.756951168903</v>
      </c>
      <c r="AE105" s="8">
        <f>+MINVU_Mes_Corriente!AE105*MINVU_Mes_Constante!$AC$1</f>
        <v>131592.62913266011</v>
      </c>
      <c r="AF105" s="8">
        <f>+MINVU_Mes_Corriente!AF105*MINVU_Mes_Constante!$AC$1</f>
        <v>131592.62913266011</v>
      </c>
      <c r="AG105" s="8">
        <f>+MINVU_Mes_Corriente!AG105*MINVU_Mes_Constante!$AC$1</f>
        <v>131592.62913266011</v>
      </c>
      <c r="AH105" s="8">
        <f>+MINVU_Mes_Corriente!AH105*MINVU_Mes_Constante!$AC$1</f>
        <v>131592.62913266011</v>
      </c>
      <c r="AI105" s="8">
        <f>+MINVU_Mes_Corriente!AI105*MINVU_Mes_Constante!$AC$1</f>
        <v>131592.62913266011</v>
      </c>
      <c r="AJ105" s="8">
        <f>+MINVU_Mes_Corriente!AJ105*MINVU_Mes_Constante!$AC$1</f>
        <v>131592.62913266011</v>
      </c>
      <c r="AK105" s="8">
        <f>+MINVU_Mes_Corriente!AK105*MINVU_Mes_Constante!$AC$1</f>
        <v>131592.62913266011</v>
      </c>
      <c r="AL105" s="8">
        <f>+MINVU_Mes_Corriente!AL105*MINVU_Mes_Constante!$AC$1</f>
        <v>131592.62913266011</v>
      </c>
      <c r="AM105" s="8">
        <f>+MINVU_Mes_Corriente!AM105*MINVU_Mes_Constante!$AC$1</f>
        <v>1355836.6462857933</v>
      </c>
      <c r="AN105" s="8">
        <f>+MINVU_Mes_Corriente!AN105*MINVU_Mes_Constante!$AC$1</f>
        <v>3463743.017844792</v>
      </c>
      <c r="AO105" s="9">
        <f t="shared" si="78"/>
        <v>3463743.017844792</v>
      </c>
      <c r="AP105" s="8">
        <f>+MINVU_Mes_Corriente!AP105*MINVU_Mes_Constante!$AP$1</f>
        <v>22224.426890301635</v>
      </c>
      <c r="AQ105" s="8">
        <f>+MINVU_Mes_Corriente!AQ105*MINVU_Mes_Constante!$AP$1</f>
        <v>22224.426890301635</v>
      </c>
      <c r="AR105" s="8">
        <f>+MINVU_Mes_Corriente!AR105*MINVU_Mes_Constante!$AP$1</f>
        <v>22224.426890301635</v>
      </c>
      <c r="AS105" s="8">
        <f>+MINVU_Mes_Corriente!AS105*MINVU_Mes_Constante!$AP$1</f>
        <v>1665900.9495468684</v>
      </c>
      <c r="AT105" s="8">
        <f>+MINVU_Mes_Corriente!AT105*MINVU_Mes_Constante!$AP$1</f>
        <v>1665900.9495468684</v>
      </c>
      <c r="AU105" s="8">
        <f>+MINVU_Mes_Corriente!AU105*MINVU_Mes_Constante!$AP$1</f>
        <v>1709842.8889490056</v>
      </c>
      <c r="AV105" s="8">
        <f>+MINVU_Mes_Corriente!AV105*MINVU_Mes_Constante!$AP$1</f>
        <v>1709842.8889490056</v>
      </c>
      <c r="AW105" s="8">
        <f>+MINVU_Mes_Corriente!AW105*MINVU_Mes_Constante!$AP$1</f>
        <v>1709842.8889490056</v>
      </c>
      <c r="AX105" s="8">
        <f>+MINVU_Mes_Corriente!AX105*MINVU_Mes_Constante!$AP$1</f>
        <v>1709842.8889490056</v>
      </c>
      <c r="AY105" s="8">
        <f>+MINVU_Mes_Corriente!AY105*MINVU_Mes_Constante!$AP$1</f>
        <v>1709842.8889490056</v>
      </c>
      <c r="AZ105" s="8">
        <f>+MINVU_Mes_Corriente!AZ105*MINVU_Mes_Constante!$AP$1</f>
        <v>1709842.8889490056</v>
      </c>
      <c r="BA105" s="8">
        <f>+MINVU_Mes_Corriente!BA105*MINVU_Mes_Constante!$AP$1</f>
        <v>3152609.8831326929</v>
      </c>
      <c r="BB105" s="9">
        <f t="shared" si="79"/>
        <v>3152609.8831326929</v>
      </c>
      <c r="BC105" s="8">
        <f>+MINVU_Mes_Corriente!BC105*MINVU_Mes_Constante!$BC$1</f>
        <v>24892.203085849935</v>
      </c>
      <c r="BD105" s="8">
        <f>+MINVU_Mes_Corriente!BD105*MINVU_Mes_Constante!$BC$1</f>
        <v>24892.203085849935</v>
      </c>
      <c r="BE105" s="8">
        <f>+MINVU_Mes_Corriente!BE105*MINVU_Mes_Constante!$BC$1</f>
        <v>24892.203085849935</v>
      </c>
      <c r="BF105" s="8">
        <f>+MINVU_Mes_Corriente!BF105*MINVU_Mes_Constante!$BC$1</f>
        <v>24892.203085849935</v>
      </c>
      <c r="BG105" s="8">
        <f>+MINVU_Mes_Corriente!BG105*MINVU_Mes_Constante!$BC$1</f>
        <v>24892.203085849935</v>
      </c>
      <c r="BH105" s="8">
        <f>+MINVU_Mes_Corriente!BH105*MINVU_Mes_Constante!$BC$1</f>
        <v>24892.203085849935</v>
      </c>
      <c r="BI105" s="8">
        <f>+MINVU_Mes_Corriente!BI105*MINVU_Mes_Constante!$BC$1</f>
        <v>20412.586311486226</v>
      </c>
      <c r="BJ105" s="8">
        <f>+MINVU_Mes_Corriente!BJ105*MINVU_Mes_Constante!$BC$1</f>
        <v>20412.586311486226</v>
      </c>
      <c r="BK105" s="8">
        <f>+MINVU_Mes_Corriente!BK105*MINVU_Mes_Constante!$BC$1</f>
        <v>20412.586311486226</v>
      </c>
      <c r="BL105" s="8">
        <f>+MINVU_Mes_Corriente!BL105*MINVU_Mes_Constante!$BC$1</f>
        <v>20412.586311486226</v>
      </c>
      <c r="BM105" s="8">
        <f>+MINVU_Mes_Corriente!BM105*MINVU_Mes_Constante!$BC$1</f>
        <v>20412.586311486226</v>
      </c>
      <c r="BN105" s="8">
        <f>+MINVU_Mes_Corriente!BN105*MINVU_Mes_Constante!$BC$1</f>
        <v>119070.77858367404</v>
      </c>
      <c r="BO105" s="9">
        <f t="shared" si="80"/>
        <v>119070.77858367404</v>
      </c>
      <c r="BP105" s="8">
        <f>+MINVU_Mes_Corriente!BP105*MINVU_Mes_Constante!$BP$1</f>
        <v>16719.158258642768</v>
      </c>
      <c r="BQ105" s="8">
        <f>+MINVU_Mes_Corriente!BQ105*MINVU_Mes_Constante!$BP$1</f>
        <v>16719.158258642768</v>
      </c>
      <c r="BR105" s="8">
        <f>+MINVU_Mes_Corriente!BR105*MINVU_Mes_Constante!$BP$1</f>
        <v>16719.158258642768</v>
      </c>
      <c r="BS105" s="8">
        <f>+MINVU_Mes_Corriente!BS105*MINVU_Mes_Constante!$BP$1</f>
        <v>16719.158258642768</v>
      </c>
      <c r="BT105" s="8">
        <f>+MINVU_Mes_Corriente!BT105*MINVU_Mes_Constante!$BP$1</f>
        <v>16719.158258642768</v>
      </c>
      <c r="BU105" s="8">
        <f>+MINVU_Mes_Corriente!BU105*MINVU_Mes_Constante!$BP$1</f>
        <v>16719.158258642768</v>
      </c>
      <c r="BV105" s="8">
        <f>+MINVU_Mes_Corriente!BV105*MINVU_Mes_Constante!$BP$1</f>
        <v>16719.158258642768</v>
      </c>
      <c r="BW105" s="8">
        <f>+MINVU_Mes_Corriente!BW105*MINVU_Mes_Constante!$BP$1</f>
        <v>16719.158258642768</v>
      </c>
      <c r="BX105" s="8">
        <f>+MINVU_Mes_Corriente!BX105*MINVU_Mes_Constante!$BP$1</f>
        <v>16719.158258642768</v>
      </c>
      <c r="BY105" s="8">
        <f>+MINVU_Mes_Corriente!BY105*MINVU_Mes_Constante!$BP$1</f>
        <v>16719.158258642768</v>
      </c>
      <c r="BZ105" s="8">
        <f>+MINVU_Mes_Corriente!BZ105*MINVU_Mes_Constante!$BP$1</f>
        <v>16719.158258642768</v>
      </c>
      <c r="CA105" s="8">
        <f>+MINVU_Mes_Corriente!CA105*MINVU_Mes_Constante!$BP$1</f>
        <v>16719.158258642768</v>
      </c>
      <c r="CB105" s="9">
        <f t="shared" si="81"/>
        <v>16719.158258642768</v>
      </c>
      <c r="CC105" s="8">
        <f>+MINVU_Mes_Corriente!CC105*MINVU_Mes_Constante!$CC$1</f>
        <v>16657.293547183886</v>
      </c>
      <c r="CD105" s="8">
        <f>+MINVU_Mes_Corriente!CD105*MINVU_Mes_Constante!$CC$1</f>
        <v>16657.293547183886</v>
      </c>
      <c r="CE105" s="8">
        <f>+MINVU_Mes_Corriente!CE105*MINVU_Mes_Constante!$CC$1</f>
        <v>16657.293547183886</v>
      </c>
      <c r="CF105" s="8">
        <f>+MINVU_Mes_Corriente!CF105*MINVU_Mes_Constante!$CC$1</f>
        <v>11660.920552032825</v>
      </c>
      <c r="CG105" s="8">
        <f>+MINVU_Mes_Corriente!CG105*MINVU_Mes_Constante!$CC$1</f>
        <v>5882.0813129429325</v>
      </c>
      <c r="CH105" s="8">
        <f>+MINVU_Mes_Corriente!CH105*MINVU_Mes_Constante!$CC$1</f>
        <v>5882.0813129429325</v>
      </c>
      <c r="CI105" s="8">
        <f>+MINVU_Mes_Corriente!CI105*MINVU_Mes_Constante!$CC$1</f>
        <v>5882.0813129429325</v>
      </c>
      <c r="CJ105" s="8">
        <f>+MINVU_Mes_Corriente!CJ105*MINVU_Mes_Constante!$CC$1</f>
        <v>5882.0813129429325</v>
      </c>
      <c r="CK105" s="8">
        <f>+MINVU_Mes_Corriente!CK105*MINVU_Mes_Constante!$CC$1</f>
        <v>5882.0813129429325</v>
      </c>
      <c r="CL105" s="8">
        <f>+MINVU_Mes_Corriente!CL105*MINVU_Mes_Constante!$CC$1</f>
        <v>5882.0813129429325</v>
      </c>
      <c r="CM105" s="8">
        <f>+MINVU_Mes_Corriente!CM105*MINVU_Mes_Constante!$CC$1</f>
        <v>1561880.0544572922</v>
      </c>
      <c r="CN105" s="8">
        <f>+MINVU_Mes_Corriente!CN105*MINVU_Mes_Constante!$CC$1</f>
        <v>1561880.0544572922</v>
      </c>
      <c r="CO105" s="9">
        <f t="shared" si="82"/>
        <v>1561880.0544572922</v>
      </c>
      <c r="CP105" s="8">
        <f>+MINVU_Mes_Corriente!CP105*MINVU_Mes_Constante!$CP$1</f>
        <v>11988.179582366587</v>
      </c>
      <c r="CQ105" s="8">
        <f>+MINVU_Mes_Corriente!CQ105*MINVU_Mes_Constante!$CP$1</f>
        <v>11988.179582366587</v>
      </c>
      <c r="CR105" s="8">
        <f>+MINVU_Mes_Corriente!CR105*MINVU_Mes_Constante!$CP$1</f>
        <v>11988.179582366587</v>
      </c>
      <c r="CS105" s="8">
        <f>+MINVU_Mes_Corriente!CS105*MINVU_Mes_Constante!$CP$1</f>
        <v>11988.179582366587</v>
      </c>
      <c r="CT105" s="8">
        <f>+MINVU_Mes_Corriente!CT105*MINVU_Mes_Constante!$CP$1</f>
        <v>2106094.2389791179</v>
      </c>
      <c r="CU105" s="8">
        <f>+MINVU_Mes_Corriente!CU105*MINVU_Mes_Constante!$CP$1</f>
        <v>2106812.921345707</v>
      </c>
      <c r="CV105" s="8">
        <f>+MINVU_Mes_Corriente!CV105*MINVU_Mes_Constante!$CP$1</f>
        <v>2106812.921345707</v>
      </c>
      <c r="CW105" s="8">
        <f>+MINVU_Mes_Corriente!CW105*MINVU_Mes_Constante!$CP$1</f>
        <v>2106812.921345707</v>
      </c>
      <c r="CX105" s="8">
        <f>+MINVU_Mes_Corriente!CX105*MINVU_Mes_Constante!$CP$1</f>
        <v>2106812.921345707</v>
      </c>
      <c r="CY105" s="8">
        <f>+MINVU_Mes_Corriente!CY105*MINVU_Mes_Constante!$CP$1</f>
        <v>2107600.0496519716</v>
      </c>
      <c r="CZ105" s="8">
        <f>+MINVU_Mes_Corriente!CZ105*MINVU_Mes_Constante!$CP$1</f>
        <v>2107600.0496519716</v>
      </c>
      <c r="DA105" s="8">
        <f>+MINVU_Mes_Corriente!DA105*MINVU_Mes_Constante!$CP$1</f>
        <v>2107600.0496519716</v>
      </c>
      <c r="DB105" s="9">
        <f t="shared" si="83"/>
        <v>2107600.0496519716</v>
      </c>
      <c r="DC105" s="8">
        <f>+MINVU_Mes_Corriente!DC105*MINVU_Mes_Constante!$DC$1</f>
        <v>0</v>
      </c>
      <c r="DD105" s="8">
        <f>+MINVU_Mes_Corriente!DD105*MINVU_Mes_Constante!$DC$1</f>
        <v>0</v>
      </c>
      <c r="DE105" s="8">
        <f>+MINVU_Mes_Corriente!DE105*MINVU_Mes_Constante!$DC$1</f>
        <v>0</v>
      </c>
      <c r="DF105" s="8">
        <f>+MINVU_Mes_Corriente!DF105*MINVU_Mes_Constante!$DC$1</f>
        <v>0</v>
      </c>
      <c r="DG105" s="8">
        <f>+MINVU_Mes_Corriente!DG105*MINVU_Mes_Constante!$DC$1</f>
        <v>0</v>
      </c>
      <c r="DH105" s="8">
        <f>+MINVU_Mes_Corriente!DH105*MINVU_Mes_Constante!$DC$1</f>
        <v>0</v>
      </c>
      <c r="DI105" s="8">
        <f>+MINVU_Mes_Corriente!DI105*MINVU_Mes_Constante!$DC$1</f>
        <v>0</v>
      </c>
      <c r="DJ105" s="8">
        <f>+MINVU_Mes_Corriente!DJ105*MINVU_Mes_Constante!$DC$1</f>
        <v>0</v>
      </c>
      <c r="DK105" s="8">
        <f>+MINVU_Mes_Corriente!DK105*MINVU_Mes_Constante!$DC$1</f>
        <v>0</v>
      </c>
      <c r="DL105" s="8">
        <f>+MINVU_Mes_Corriente!DL105*MINVU_Mes_Constante!$DC$1</f>
        <v>0</v>
      </c>
      <c r="DM105" s="8">
        <f>+MINVU_Mes_Corriente!DM105*MINVU_Mes_Constante!$DC$1</f>
        <v>6053588.4583890578</v>
      </c>
      <c r="DN105" s="8">
        <f>+MINVU_Mes_Corriente!DN105*MINVU_Mes_Constante!$DC$1</f>
        <v>28744547.005040646</v>
      </c>
      <c r="DO105" s="9">
        <f t="shared" si="84"/>
        <v>28744547.005040646</v>
      </c>
      <c r="DP105" s="8">
        <f>+MINVU_Mes_Corriente!DP105*MINVU_Mes_Constante!$DP$1</f>
        <v>0</v>
      </c>
      <c r="DQ105" s="8">
        <f>+MINVU_Mes_Corriente!DQ105*MINVU_Mes_Constante!$DP$1</f>
        <v>0</v>
      </c>
      <c r="DR105" s="8">
        <f>+MINVU_Mes_Corriente!DR105*MINVU_Mes_Constante!$DP$1</f>
        <v>0</v>
      </c>
      <c r="DS105" s="8">
        <f>+MINVU_Mes_Corriente!DS105*MINVU_Mes_Constante!$DP$1</f>
        <v>0</v>
      </c>
      <c r="DT105" s="8">
        <f>+MINVU_Mes_Corriente!DT105*MINVU_Mes_Constante!$DP$1</f>
        <v>0</v>
      </c>
      <c r="DU105" s="8">
        <f>+MINVU_Mes_Corriente!DU105*MINVU_Mes_Constante!$DP$1</f>
        <v>0</v>
      </c>
      <c r="DV105" s="8">
        <f>+MINVU_Mes_Corriente!DV105*MINVU_Mes_Constante!$DP$1</f>
        <v>0</v>
      </c>
      <c r="DW105" s="8">
        <f>+MINVU_Mes_Corriente!DW105*MINVU_Mes_Constante!$DP$1</f>
        <v>0</v>
      </c>
      <c r="DX105" s="8">
        <f>+MINVU_Mes_Corriente!DX105*MINVU_Mes_Constante!$DP$1</f>
        <v>0</v>
      </c>
      <c r="DY105" s="8">
        <f>+MINVU_Mes_Corriente!DY105*MINVU_Mes_Constante!$DP$1</f>
        <v>0</v>
      </c>
      <c r="DZ105" s="8">
        <f>+MINVU_Mes_Corriente!DZ105*MINVU_Mes_Constante!$DP$1</f>
        <v>0</v>
      </c>
      <c r="EA105" s="8">
        <f>+MINVU_Mes_Corriente!EA105*MINVU_Mes_Constante!$DP$1</f>
        <v>125249.98040380048</v>
      </c>
      <c r="EB105" s="9">
        <f t="shared" si="85"/>
        <v>125249.98040380048</v>
      </c>
      <c r="EC105" s="8">
        <f>+MINVU_Mes_Corriente!EC105*MINVU_Mes_Constante!$EC$1</f>
        <v>0</v>
      </c>
      <c r="ED105" s="8">
        <f>+MINVU_Mes_Corriente!ED105*MINVU_Mes_Constante!$EC$1</f>
        <v>0</v>
      </c>
      <c r="EE105" s="8">
        <f>+MINVU_Mes_Corriente!EE105*MINVU_Mes_Constante!$EC$1</f>
        <v>0</v>
      </c>
      <c r="EF105" s="8">
        <f>+MINVU_Mes_Corriente!EF105*MINVU_Mes_Constante!$EC$1</f>
        <v>0</v>
      </c>
      <c r="EG105" s="8">
        <f>+MINVU_Mes_Corriente!EG105*MINVU_Mes_Constante!$EC$1</f>
        <v>8757.7651959856066</v>
      </c>
      <c r="EH105" s="8">
        <f>+MINVU_Mes_Corriente!EH105*MINVU_Mes_Constante!$EC$1</f>
        <v>6301559.6381367147</v>
      </c>
      <c r="EI105" s="8">
        <f>+MINVU_Mes_Corriente!EI105*MINVU_Mes_Constante!$EC$1</f>
        <v>6301559.6381367147</v>
      </c>
      <c r="EJ105" s="8">
        <f>+MINVU_Mes_Corriente!EJ105*MINVU_Mes_Constante!$EC$1</f>
        <v>6301559.6381367147</v>
      </c>
      <c r="EK105" s="8">
        <f>+MINVU_Mes_Corriente!EK105*MINVU_Mes_Constante!$EC$1</f>
        <v>6301559.6381367147</v>
      </c>
      <c r="EL105" s="8">
        <f>+MINVU_Mes_Corriente!EL105*MINVU_Mes_Constante!$EC$1</f>
        <v>6302790.6493088407</v>
      </c>
      <c r="EM105" s="8">
        <f>+MINVU_Mes_Corriente!EM105*MINVU_Mes_Constante!$EC$1</f>
        <v>6302790.6493088407</v>
      </c>
      <c r="EN105" s="8">
        <f>+MINVU_Mes_Corriente!EN105*MINVU_Mes_Constante!$EC$1</f>
        <v>6302790.6493088407</v>
      </c>
      <c r="EO105" s="9">
        <f t="shared" si="86"/>
        <v>6302790.6493088407</v>
      </c>
      <c r="EP105" s="8">
        <f>+MINVU_Mes_Corriente!EP105*MINVU_Mes_Constante!$EP$1</f>
        <v>6033</v>
      </c>
      <c r="EQ105" s="8">
        <f>+MINVU_Mes_Corriente!EQ105*MINVU_Mes_Constante!$EP$1</f>
        <v>6033</v>
      </c>
      <c r="ER105" s="8">
        <f>+MINVU_Mes_Corriente!ER105*MINVU_Mes_Constante!$EP$1</f>
        <v>6033</v>
      </c>
      <c r="ES105" s="8">
        <f>+MINVU_Mes_Corriente!ES105*MINVU_Mes_Constante!$EP$1</f>
        <v>6033</v>
      </c>
      <c r="ET105" s="8">
        <f>+MINVU_Mes_Corriente!ET105*MINVU_Mes_Constante!$EP$1</f>
        <v>6033</v>
      </c>
      <c r="EU105" s="8">
        <f>+MINVU_Mes_Corriente!EU105*MINVU_Mes_Constante!$EP$1</f>
        <v>6033</v>
      </c>
      <c r="EV105" s="8">
        <f>+MINVU_Mes_Corriente!EV105*MINVU_Mes_Constante!$EP$1</f>
        <v>6033</v>
      </c>
      <c r="EW105" s="8">
        <f>+MINVU_Mes_Corriente!EW105*MINVU_Mes_Constante!$EP$1</f>
        <v>6033</v>
      </c>
      <c r="EX105" s="8">
        <f>+MINVU_Mes_Corriente!EX105*MINVU_Mes_Constante!$EP$1</f>
        <v>6033</v>
      </c>
      <c r="EY105" s="8">
        <f>+MINVU_Mes_Corriente!EY105*MINVU_Mes_Constante!$EP$1</f>
        <v>6033</v>
      </c>
      <c r="EZ105" s="8">
        <f>+MINVU_Mes_Corriente!EZ105*MINVU_Mes_Constante!$EP$1</f>
        <v>6033</v>
      </c>
      <c r="FA105" s="8">
        <f>+MINVU_Mes_Corriente!FA105*MINVU_Mes_Constante!$EP$1</f>
        <v>6033</v>
      </c>
      <c r="FB105" s="9">
        <f t="shared" si="87"/>
        <v>6033</v>
      </c>
      <c r="FC105" s="8">
        <f>+MINVU_Mes_Corriente!FC105*MINVU_Mes_Constante!$FC$1</f>
        <v>10</v>
      </c>
      <c r="FD105" s="8">
        <f>+MINVU_Mes_Corriente!FD105*MINVU_Mes_Constante!$FC$1</f>
        <v>10</v>
      </c>
      <c r="FE105" s="8">
        <f>+MINVU_Mes_Corriente!FE105*MINVU_Mes_Constante!$FC$1</f>
        <v>10</v>
      </c>
      <c r="FF105" s="8">
        <f>+MINVU_Mes_Corriente!FF105*MINVU_Mes_Constante!$FC$1</f>
        <v>10</v>
      </c>
      <c r="FG105" s="8">
        <f>+MINVU_Mes_Corriente!FG105*MINVU_Mes_Constante!$FC$1</f>
        <v>10</v>
      </c>
      <c r="FH105" s="8">
        <f>+MINVU_Mes_Corriente!FH105*MINVU_Mes_Constante!$FC$1</f>
        <v>10</v>
      </c>
      <c r="FI105" s="8">
        <f>+MINVU_Mes_Corriente!FI105*MINVU_Mes_Constante!$FC$1</f>
        <v>10</v>
      </c>
      <c r="FJ105" s="8"/>
      <c r="FK105" s="8"/>
      <c r="FL105" s="8"/>
      <c r="FM105" s="8"/>
      <c r="FN105" s="8"/>
      <c r="FO105" s="9">
        <f t="shared" si="88"/>
        <v>10</v>
      </c>
    </row>
    <row r="106" spans="2:171" ht="14.25" customHeight="1" x14ac:dyDescent="0.3">
      <c r="B106" s="7" t="s">
        <v>50</v>
      </c>
      <c r="C106" s="8">
        <f>+MINVU_Mes_Corriente!C106*MINVU_Mes_Constante!$C$1</f>
        <v>36624.703841020324</v>
      </c>
      <c r="D106" s="8">
        <f>+MINVU_Mes_Corriente!D106*MINVU_Mes_Constante!$C$1</f>
        <v>36624.703841020324</v>
      </c>
      <c r="E106" s="8">
        <f>+MINVU_Mes_Corriente!E106*MINVU_Mes_Constante!$C$1</f>
        <v>36624.703841020324</v>
      </c>
      <c r="F106" s="8">
        <f>+MINVU_Mes_Corriente!F106*MINVU_Mes_Constante!$C$1</f>
        <v>36624.703841020324</v>
      </c>
      <c r="G106" s="8">
        <f>+MINVU_Mes_Corriente!G106*MINVU_Mes_Constante!$C$1</f>
        <v>36624.703841020324</v>
      </c>
      <c r="H106" s="8">
        <f>+MINVU_Mes_Corriente!H106*MINVU_Mes_Constante!$C$1</f>
        <v>36624.703841020324</v>
      </c>
      <c r="I106" s="8">
        <f>+MINVU_Mes_Corriente!I106*MINVU_Mes_Constante!$C$1</f>
        <v>36624.703841020324</v>
      </c>
      <c r="J106" s="8">
        <f>+MINVU_Mes_Corriente!J106*MINVU_Mes_Constante!$C$1</f>
        <v>36624.703841020324</v>
      </c>
      <c r="K106" s="8">
        <f>+MINVU_Mes_Corriente!K106*MINVU_Mes_Constante!$C$1</f>
        <v>1225635.3519205104</v>
      </c>
      <c r="L106" s="8">
        <f>+MINVU_Mes_Corriente!L106*MINVU_Mes_Constante!$C$1</f>
        <v>1225635.3519205104</v>
      </c>
      <c r="M106" s="8">
        <f>+MINVU_Mes_Corriente!M106*MINVU_Mes_Constante!$C$1</f>
        <v>1225635.3519205104</v>
      </c>
      <c r="N106" s="8">
        <f>+MINVU_Mes_Corriente!N106*MINVU_Mes_Constante!$C$1</f>
        <v>1277609.6031440014</v>
      </c>
      <c r="O106" s="9">
        <f t="shared" si="76"/>
        <v>1277609.6031440014</v>
      </c>
      <c r="P106" s="8">
        <f>+MINVU_Mes_Corriente!P106*MINVU_Mes_Constante!$P$1</f>
        <v>196143.35331723248</v>
      </c>
      <c r="Q106" s="8">
        <f>+MINVU_Mes_Corriente!Q106*MINVU_Mes_Constante!$P$1</f>
        <v>196143.35331723248</v>
      </c>
      <c r="R106" s="8">
        <f>+MINVU_Mes_Corriente!R106*MINVU_Mes_Constante!$P$1</f>
        <v>196143.35331723248</v>
      </c>
      <c r="S106" s="8">
        <f>+MINVU_Mes_Corriente!S106*MINVU_Mes_Constante!$P$1</f>
        <v>763109.46554908343</v>
      </c>
      <c r="T106" s="8">
        <f>+MINVU_Mes_Corriente!T106*MINVU_Mes_Constante!$P$1</f>
        <v>763109.46554908343</v>
      </c>
      <c r="U106" s="8">
        <f>+MINVU_Mes_Corriente!U106*MINVU_Mes_Constante!$P$1</f>
        <v>763109.46554908343</v>
      </c>
      <c r="V106" s="8">
        <f>+MINVU_Mes_Corriente!V106*MINVU_Mes_Constante!$P$1</f>
        <v>763109.46554908343</v>
      </c>
      <c r="W106" s="8">
        <f>+MINVU_Mes_Corriente!W106*MINVU_Mes_Constante!$P$1</f>
        <v>763109.46554908343</v>
      </c>
      <c r="X106" s="8">
        <f>+MINVU_Mes_Corriente!X106*MINVU_Mes_Constante!$P$1</f>
        <v>763109.46554908343</v>
      </c>
      <c r="Y106" s="8">
        <f>+MINVU_Mes_Corriente!Y106*MINVU_Mes_Constante!$P$1</f>
        <v>763109.46554908343</v>
      </c>
      <c r="Z106" s="8">
        <f>+MINVU_Mes_Corriente!Z106*MINVU_Mes_Constante!$P$1</f>
        <v>763109.46554908343</v>
      </c>
      <c r="AA106" s="8">
        <f>+MINVU_Mes_Corriente!AA106*MINVU_Mes_Constante!$P$1</f>
        <v>1603410.2906662873</v>
      </c>
      <c r="AB106" s="9">
        <f t="shared" si="77"/>
        <v>1603410.2906662873</v>
      </c>
      <c r="AC106" s="8">
        <f>+MINVU_Mes_Corriente!AC106*MINVU_Mes_Constante!$AC$1</f>
        <v>864926.88670632173</v>
      </c>
      <c r="AD106" s="8">
        <f>+MINVU_Mes_Corriente!AD106*MINVU_Mes_Constante!$AC$1</f>
        <v>864926.88670632173</v>
      </c>
      <c r="AE106" s="8">
        <f>+MINVU_Mes_Corriente!AE106*MINVU_Mes_Constante!$AC$1</f>
        <v>864926.88670632173</v>
      </c>
      <c r="AF106" s="8">
        <f>+MINVU_Mes_Corriente!AF106*MINVU_Mes_Constante!$AC$1</f>
        <v>864926.88670632173</v>
      </c>
      <c r="AG106" s="8">
        <f>+MINVU_Mes_Corriente!AG106*MINVU_Mes_Constante!$AC$1</f>
        <v>864926.88670632173</v>
      </c>
      <c r="AH106" s="8">
        <f>+MINVU_Mes_Corriente!AH106*MINVU_Mes_Constante!$AC$1</f>
        <v>868705.41762346111</v>
      </c>
      <c r="AI106" s="8">
        <f>+MINVU_Mes_Corriente!AI106*MINVU_Mes_Constante!$AC$1</f>
        <v>868705.41762346111</v>
      </c>
      <c r="AJ106" s="8">
        <f>+MINVU_Mes_Corriente!AJ106*MINVU_Mes_Constante!$AC$1</f>
        <v>868705.41762346111</v>
      </c>
      <c r="AK106" s="8">
        <f>+MINVU_Mes_Corriente!AK106*MINVU_Mes_Constante!$AC$1</f>
        <v>868705.41762346111</v>
      </c>
      <c r="AL106" s="8">
        <f>+MINVU_Mes_Corriente!AL106*MINVU_Mes_Constante!$AC$1</f>
        <v>868705.41762346111</v>
      </c>
      <c r="AM106" s="8">
        <f>+MINVU_Mes_Corriente!AM106*MINVU_Mes_Constante!$AC$1</f>
        <v>868705.41762346111</v>
      </c>
      <c r="AN106" s="8">
        <f>+MINVU_Mes_Corriente!AN106*MINVU_Mes_Constante!$AC$1</f>
        <v>3453220.5649467423</v>
      </c>
      <c r="AO106" s="9">
        <f t="shared" si="78"/>
        <v>3453220.5649467423</v>
      </c>
      <c r="AP106" s="8">
        <f>+MINVU_Mes_Corriente!AP106*MINVU_Mes_Constante!$AP$1</f>
        <v>277348.66982280533</v>
      </c>
      <c r="AQ106" s="8">
        <f>+MINVU_Mes_Corriente!AQ106*MINVU_Mes_Constante!$AP$1</f>
        <v>277348.66982280533</v>
      </c>
      <c r="AR106" s="8">
        <f>+MINVU_Mes_Corriente!AR106*MINVU_Mes_Constante!$AP$1</f>
        <v>277348.66982280533</v>
      </c>
      <c r="AS106" s="8">
        <f>+MINVU_Mes_Corriente!AS106*MINVU_Mes_Constante!$AP$1</f>
        <v>277348.66982280533</v>
      </c>
      <c r="AT106" s="8">
        <f>+MINVU_Mes_Corriente!AT106*MINVU_Mes_Constante!$AP$1</f>
        <v>278826.5543081293</v>
      </c>
      <c r="AU106" s="8">
        <f>+MINVU_Mes_Corriente!AU106*MINVU_Mes_Constante!$AP$1</f>
        <v>278826.5543081293</v>
      </c>
      <c r="AV106" s="8">
        <f>+MINVU_Mes_Corriente!AV106*MINVU_Mes_Constante!$AP$1</f>
        <v>278826.5543081293</v>
      </c>
      <c r="AW106" s="8">
        <f>+MINVU_Mes_Corriente!AW106*MINVU_Mes_Constante!$AP$1</f>
        <v>278826.5543081293</v>
      </c>
      <c r="AX106" s="8">
        <f>+MINVU_Mes_Corriente!AX106*MINVU_Mes_Constante!$AP$1</f>
        <v>278826.5543081293</v>
      </c>
      <c r="AY106" s="8">
        <f>+MINVU_Mes_Corriente!AY106*MINVU_Mes_Constante!$AP$1</f>
        <v>278826.5543081293</v>
      </c>
      <c r="AZ106" s="8">
        <f>+MINVU_Mes_Corriente!AZ106*MINVU_Mes_Constante!$AP$1</f>
        <v>278826.5543081293</v>
      </c>
      <c r="BA106" s="8">
        <f>+MINVU_Mes_Corriente!BA106*MINVU_Mes_Constante!$AP$1</f>
        <v>88668.635465981322</v>
      </c>
      <c r="BB106" s="9">
        <f t="shared" si="79"/>
        <v>88668.635465981322</v>
      </c>
      <c r="BC106" s="8">
        <f>+MINVU_Mes_Corriente!BC106*MINVU_Mes_Constante!$BC$1</f>
        <v>43100.281946459196</v>
      </c>
      <c r="BD106" s="8">
        <f>+MINVU_Mes_Corriente!BD106*MINVU_Mes_Constante!$BC$1</f>
        <v>43100.281946459196</v>
      </c>
      <c r="BE106" s="8">
        <f>+MINVU_Mes_Corriente!BE106*MINVU_Mes_Constante!$BC$1</f>
        <v>1601718.7485164187</v>
      </c>
      <c r="BF106" s="8">
        <f>+MINVU_Mes_Corriente!BF106*MINVU_Mes_Constante!$BC$1</f>
        <v>1601718.7485164187</v>
      </c>
      <c r="BG106" s="8">
        <f>+MINVU_Mes_Corriente!BG106*MINVU_Mes_Constante!$BC$1</f>
        <v>1601718.7485164187</v>
      </c>
      <c r="BH106" s="8">
        <f>+MINVU_Mes_Corriente!BH106*MINVU_Mes_Constante!$BC$1</f>
        <v>1601718.7485164187</v>
      </c>
      <c r="BI106" s="8">
        <f>+MINVU_Mes_Corriente!BI106*MINVU_Mes_Constante!$BC$1</f>
        <v>1593629.7911116977</v>
      </c>
      <c r="BJ106" s="8">
        <f>+MINVU_Mes_Corriente!BJ106*MINVU_Mes_Constante!$BC$1</f>
        <v>1593629.7911116977</v>
      </c>
      <c r="BK106" s="8">
        <f>+MINVU_Mes_Corriente!BK106*MINVU_Mes_Constante!$BC$1</f>
        <v>35011.324541738104</v>
      </c>
      <c r="BL106" s="8">
        <f>+MINVU_Mes_Corriente!BL106*MINVU_Mes_Constante!$BC$1</f>
        <v>35011.324541738104</v>
      </c>
      <c r="BM106" s="8">
        <f>+MINVU_Mes_Corriente!BM106*MINVU_Mes_Constante!$BC$1</f>
        <v>35011.324541738104</v>
      </c>
      <c r="BN106" s="8">
        <f>+MINVU_Mes_Corriente!BN106*MINVU_Mes_Constante!$BC$1</f>
        <v>1560346.0511670846</v>
      </c>
      <c r="BO106" s="9">
        <f t="shared" si="80"/>
        <v>1560346.0511670846</v>
      </c>
      <c r="BP106" s="8">
        <f>+MINVU_Mes_Corriente!BP106*MINVU_Mes_Constante!$BP$1</f>
        <v>30794.252496798978</v>
      </c>
      <c r="BQ106" s="8">
        <f>+MINVU_Mes_Corriente!BQ106*MINVU_Mes_Constante!$BP$1</f>
        <v>30794.252496798978</v>
      </c>
      <c r="BR106" s="8">
        <f>+MINVU_Mes_Corriente!BR106*MINVU_Mes_Constante!$BP$1</f>
        <v>30794.252496798978</v>
      </c>
      <c r="BS106" s="8">
        <f>+MINVU_Mes_Corriente!BS106*MINVU_Mes_Constante!$BP$1</f>
        <v>30794.252496798978</v>
      </c>
      <c r="BT106" s="8">
        <f>+MINVU_Mes_Corriente!BT106*MINVU_Mes_Constante!$BP$1</f>
        <v>30794.252496798978</v>
      </c>
      <c r="BU106" s="8">
        <f>+MINVU_Mes_Corriente!BU106*MINVU_Mes_Constante!$BP$1</f>
        <v>30794.252496798978</v>
      </c>
      <c r="BV106" s="8">
        <f>+MINVU_Mes_Corriente!BV106*MINVU_Mes_Constante!$BP$1</f>
        <v>30794.252496798978</v>
      </c>
      <c r="BW106" s="8">
        <f>+MINVU_Mes_Corriente!BW106*MINVU_Mes_Constante!$BP$1</f>
        <v>30794.252496798978</v>
      </c>
      <c r="BX106" s="8">
        <f>+MINVU_Mes_Corriente!BX106*MINVU_Mes_Constante!$BP$1</f>
        <v>30794.252496798978</v>
      </c>
      <c r="BY106" s="8">
        <f>+MINVU_Mes_Corriente!BY106*MINVU_Mes_Constante!$BP$1</f>
        <v>30794.252496798978</v>
      </c>
      <c r="BZ106" s="8">
        <f>+MINVU_Mes_Corriente!BZ106*MINVU_Mes_Constante!$BP$1</f>
        <v>1057142.9615877082</v>
      </c>
      <c r="CA106" s="8">
        <f>+MINVU_Mes_Corriente!CA106*MINVU_Mes_Constante!$BP$1</f>
        <v>1057142.9615877082</v>
      </c>
      <c r="CB106" s="9">
        <f t="shared" si="81"/>
        <v>1057142.9615877082</v>
      </c>
      <c r="CC106" s="8">
        <f>+MINVU_Mes_Corriente!CC106*MINVU_Mes_Constante!$CC$1</f>
        <v>244580.47295785157</v>
      </c>
      <c r="CD106" s="8">
        <f>+MINVU_Mes_Corriente!CD106*MINVU_Mes_Constante!$CC$1</f>
        <v>244580.47295785157</v>
      </c>
      <c r="CE106" s="8">
        <f>+MINVU_Mes_Corriente!CE106*MINVU_Mes_Constante!$CC$1</f>
        <v>244580.47295785157</v>
      </c>
      <c r="CF106" s="8">
        <f>+MINVU_Mes_Corriente!CF106*MINVU_Mes_Constante!$CC$1</f>
        <v>235376.98545318912</v>
      </c>
      <c r="CG106" s="8">
        <f>+MINVU_Mes_Corriente!CG106*MINVU_Mes_Constante!$CC$1</f>
        <v>123075.41961954496</v>
      </c>
      <c r="CH106" s="8">
        <f>+MINVU_Mes_Corriente!CH106*MINVU_Mes_Constante!$CC$1</f>
        <v>123075.41961954496</v>
      </c>
      <c r="CI106" s="8">
        <f>+MINVU_Mes_Corriente!CI106*MINVU_Mes_Constante!$CC$1</f>
        <v>734408.41700857901</v>
      </c>
      <c r="CJ106" s="8">
        <f>+MINVU_Mes_Corriente!CJ106*MINVU_Mes_Constante!$CC$1</f>
        <v>734408.41700857901</v>
      </c>
      <c r="CK106" s="8">
        <f>+MINVU_Mes_Corriente!CK106*MINVU_Mes_Constante!$CC$1</f>
        <v>734408.41700857901</v>
      </c>
      <c r="CL106" s="8">
        <f>+MINVU_Mes_Corriente!CL106*MINVU_Mes_Constante!$CC$1</f>
        <v>2663982.4005967923</v>
      </c>
      <c r="CM106" s="8">
        <f>+MINVU_Mes_Corriente!CM106*MINVU_Mes_Constante!$CC$1</f>
        <v>4685330.4371503172</v>
      </c>
      <c r="CN106" s="8">
        <f>+MINVU_Mes_Corriente!CN106*MINVU_Mes_Constante!$CC$1</f>
        <v>4685330.4371503172</v>
      </c>
      <c r="CO106" s="9">
        <f t="shared" si="82"/>
        <v>4685330.4371503172</v>
      </c>
      <c r="CP106" s="8">
        <f>+MINVU_Mes_Corriente!CP106*MINVU_Mes_Constante!$CP$1</f>
        <v>20827.845939675171</v>
      </c>
      <c r="CQ106" s="8">
        <f>+MINVU_Mes_Corriente!CQ106*MINVU_Mes_Constante!$CP$1</f>
        <v>20827.845939675171</v>
      </c>
      <c r="CR106" s="8">
        <f>+MINVU_Mes_Corriente!CR106*MINVU_Mes_Constante!$CP$1</f>
        <v>20827.845939675171</v>
      </c>
      <c r="CS106" s="8">
        <f>+MINVU_Mes_Corriente!CS106*MINVU_Mes_Constante!$CP$1</f>
        <v>20827.845939675171</v>
      </c>
      <c r="CT106" s="8">
        <f>+MINVU_Mes_Corriente!CT106*MINVU_Mes_Constante!$CP$1</f>
        <v>20827.845939675171</v>
      </c>
      <c r="CU106" s="8">
        <f>+MINVU_Mes_Corriente!CU106*MINVU_Mes_Constante!$CP$1</f>
        <v>20827.845939675171</v>
      </c>
      <c r="CV106" s="8">
        <f>+MINVU_Mes_Corriente!CV106*MINVU_Mes_Constante!$CP$1</f>
        <v>20827.845939675171</v>
      </c>
      <c r="CW106" s="8">
        <f>+MINVU_Mes_Corriente!CW106*MINVU_Mes_Constante!$CP$1</f>
        <v>1854564.2832946633</v>
      </c>
      <c r="CX106" s="8">
        <f>+MINVU_Mes_Corriente!CX106*MINVU_Mes_Constante!$CP$1</f>
        <v>1854564.2832946633</v>
      </c>
      <c r="CY106" s="8">
        <f>+MINVU_Mes_Corriente!CY106*MINVU_Mes_Constante!$CP$1</f>
        <v>1854564.2832946633</v>
      </c>
      <c r="CZ106" s="8">
        <f>+MINVU_Mes_Corriente!CZ106*MINVU_Mes_Constante!$CP$1</f>
        <v>1854564.2832946633</v>
      </c>
      <c r="DA106" s="8">
        <f>+MINVU_Mes_Corriente!DA106*MINVU_Mes_Constante!$CP$1</f>
        <v>2516773.6795823663</v>
      </c>
      <c r="DB106" s="9">
        <f t="shared" si="83"/>
        <v>2516773.6795823663</v>
      </c>
      <c r="DC106" s="8">
        <f>+MINVU_Mes_Corriente!DC106*MINVU_Mes_Constante!$DC$1</f>
        <v>0</v>
      </c>
      <c r="DD106" s="8">
        <f>+MINVU_Mes_Corriente!DD106*MINVU_Mes_Constante!$DC$1</f>
        <v>0</v>
      </c>
      <c r="DE106" s="8">
        <f>+MINVU_Mes_Corriente!DE106*MINVU_Mes_Constante!$DC$1</f>
        <v>0</v>
      </c>
      <c r="DF106" s="8">
        <f>+MINVU_Mes_Corriente!DF106*MINVU_Mes_Constante!$DC$1</f>
        <v>0</v>
      </c>
      <c r="DG106" s="8">
        <f>+MINVU_Mes_Corriente!DG106*MINVU_Mes_Constante!$DC$1</f>
        <v>4862377.9646126963</v>
      </c>
      <c r="DH106" s="8">
        <f>+MINVU_Mes_Corriente!DH106*MINVU_Mes_Constante!$DC$1</f>
        <v>4862377.9646126963</v>
      </c>
      <c r="DI106" s="8">
        <f>+MINVU_Mes_Corriente!DI106*MINVU_Mes_Constante!$DC$1</f>
        <v>4862377.9646126963</v>
      </c>
      <c r="DJ106" s="8">
        <f>+MINVU_Mes_Corriente!DJ106*MINVU_Mes_Constante!$DC$1</f>
        <v>4862377.9646126963</v>
      </c>
      <c r="DK106" s="8">
        <f>+MINVU_Mes_Corriente!DK106*MINVU_Mes_Constante!$DC$1</f>
        <v>5221591.7103178706</v>
      </c>
      <c r="DL106" s="8">
        <f>+MINVU_Mes_Corriente!DL106*MINVU_Mes_Constante!$DC$1</f>
        <v>5221591.7103178706</v>
      </c>
      <c r="DM106" s="8">
        <f>+MINVU_Mes_Corriente!DM106*MINVU_Mes_Constante!$DC$1</f>
        <v>18529358.554058231</v>
      </c>
      <c r="DN106" s="8">
        <f>+MINVU_Mes_Corriente!DN106*MINVU_Mes_Constante!$DC$1</f>
        <v>19335035.567328472</v>
      </c>
      <c r="DO106" s="9">
        <f t="shared" si="84"/>
        <v>19335035.567328472</v>
      </c>
      <c r="DP106" s="8">
        <f>+MINVU_Mes_Corriente!DP106*MINVU_Mes_Constante!$DP$1</f>
        <v>4310547.0605700715</v>
      </c>
      <c r="DQ106" s="8">
        <f>+MINVU_Mes_Corriente!DQ106*MINVU_Mes_Constante!$DP$1</f>
        <v>4310547.0605700715</v>
      </c>
      <c r="DR106" s="8">
        <f>+MINVU_Mes_Corriente!DR106*MINVU_Mes_Constante!$DP$1</f>
        <v>4310547.0605700715</v>
      </c>
      <c r="DS106" s="8">
        <f>+MINVU_Mes_Corriente!DS106*MINVU_Mes_Constante!$DP$1</f>
        <v>4310547.0605700715</v>
      </c>
      <c r="DT106" s="8">
        <f>+MINVU_Mes_Corriente!DT106*MINVU_Mes_Constante!$DP$1</f>
        <v>4310547.0605700715</v>
      </c>
      <c r="DU106" s="8">
        <f>+MINVU_Mes_Corriente!DU106*MINVU_Mes_Constante!$DP$1</f>
        <v>4310547.0605700715</v>
      </c>
      <c r="DV106" s="8">
        <f>+MINVU_Mes_Corriente!DV106*MINVU_Mes_Constante!$DP$1</f>
        <v>4310547.0605700715</v>
      </c>
      <c r="DW106" s="8">
        <f>+MINVU_Mes_Corriente!DW106*MINVU_Mes_Constante!$DP$1</f>
        <v>4310547.0605700715</v>
      </c>
      <c r="DX106" s="8">
        <f>+MINVU_Mes_Corriente!DX106*MINVU_Mes_Constante!$DP$1</f>
        <v>4310547.0605700715</v>
      </c>
      <c r="DY106" s="8">
        <f>+MINVU_Mes_Corriente!DY106*MINVU_Mes_Constante!$DP$1</f>
        <v>4310547.0605700715</v>
      </c>
      <c r="DZ106" s="8">
        <f>+MINVU_Mes_Corriente!DZ106*MINVU_Mes_Constante!$DP$1</f>
        <v>4310547.0605700715</v>
      </c>
      <c r="EA106" s="8">
        <f>+MINVU_Mes_Corriente!EA106*MINVU_Mes_Constante!$DP$1</f>
        <v>4310547.0605700715</v>
      </c>
      <c r="EB106" s="9">
        <f t="shared" si="85"/>
        <v>4310547.0605700715</v>
      </c>
      <c r="EC106" s="8">
        <f>+MINVU_Mes_Corriente!EC106*MINVU_Mes_Constante!$EC$1</f>
        <v>0</v>
      </c>
      <c r="ED106" s="8">
        <f>+MINVU_Mes_Corriente!ED106*MINVU_Mes_Constante!$EC$1</f>
        <v>0</v>
      </c>
      <c r="EE106" s="8">
        <f>+MINVU_Mes_Corriente!EE106*MINVU_Mes_Constante!$EC$1</f>
        <v>0</v>
      </c>
      <c r="EF106" s="8">
        <f>+MINVU_Mes_Corriente!EF106*MINVU_Mes_Constante!$EC$1</f>
        <v>0</v>
      </c>
      <c r="EG106" s="8">
        <f>+MINVU_Mes_Corriente!EG106*MINVU_Mes_Constante!$EC$1</f>
        <v>21017.188221927659</v>
      </c>
      <c r="EH106" s="8">
        <f>+MINVU_Mes_Corriente!EH106*MINVU_Mes_Constante!$EC$1</f>
        <v>21017.188221927659</v>
      </c>
      <c r="EI106" s="8">
        <f>+MINVU_Mes_Corriente!EI106*MINVU_Mes_Constante!$EC$1</f>
        <v>21017.188221927659</v>
      </c>
      <c r="EJ106" s="8">
        <f>+MINVU_Mes_Corriente!EJ106*MINVU_Mes_Constante!$EC$1</f>
        <v>21017.188221927659</v>
      </c>
      <c r="EK106" s="8">
        <f>+MINVU_Mes_Corriente!EK106*MINVU_Mes_Constante!$EC$1</f>
        <v>21017.188221927659</v>
      </c>
      <c r="EL106" s="8">
        <f>+MINVU_Mes_Corriente!EL106*MINVU_Mes_Constante!$EC$1</f>
        <v>22641.295398598744</v>
      </c>
      <c r="EM106" s="8">
        <f>+MINVU_Mes_Corriente!EM106*MINVU_Mes_Constante!$EC$1</f>
        <v>22641.295398598744</v>
      </c>
      <c r="EN106" s="8">
        <f>+MINVU_Mes_Corriente!EN106*MINVU_Mes_Constante!$EC$1</f>
        <v>22641.295398598744</v>
      </c>
      <c r="EO106" s="9">
        <f t="shared" si="86"/>
        <v>22641.295398598744</v>
      </c>
      <c r="EP106" s="8">
        <f>+MINVU_Mes_Corriente!EP106*MINVU_Mes_Constante!$EP$1</f>
        <v>7139</v>
      </c>
      <c r="EQ106" s="8">
        <f>+MINVU_Mes_Corriente!EQ106*MINVU_Mes_Constante!$EP$1</f>
        <v>7139</v>
      </c>
      <c r="ER106" s="8">
        <f>+MINVU_Mes_Corriente!ER106*MINVU_Mes_Constante!$EP$1</f>
        <v>7139</v>
      </c>
      <c r="ES106" s="8">
        <f>+MINVU_Mes_Corriente!ES106*MINVU_Mes_Constante!$EP$1</f>
        <v>7139</v>
      </c>
      <c r="ET106" s="8">
        <f>+MINVU_Mes_Corriente!ET106*MINVU_Mes_Constante!$EP$1</f>
        <v>7139</v>
      </c>
      <c r="EU106" s="8">
        <f>+MINVU_Mes_Corriente!EU106*MINVU_Mes_Constante!$EP$1</f>
        <v>7139</v>
      </c>
      <c r="EV106" s="8">
        <f>+MINVU_Mes_Corriente!EV106*MINVU_Mes_Constante!$EP$1</f>
        <v>7139</v>
      </c>
      <c r="EW106" s="8">
        <f>+MINVU_Mes_Corriente!EW106*MINVU_Mes_Constante!$EP$1</f>
        <v>7139</v>
      </c>
      <c r="EX106" s="8">
        <f>+MINVU_Mes_Corriente!EX106*MINVU_Mes_Constante!$EP$1</f>
        <v>7139</v>
      </c>
      <c r="EY106" s="8">
        <f>+MINVU_Mes_Corriente!EY106*MINVU_Mes_Constante!$EP$1</f>
        <v>7139</v>
      </c>
      <c r="EZ106" s="8">
        <f>+MINVU_Mes_Corriente!EZ106*MINVU_Mes_Constante!$EP$1</f>
        <v>7139</v>
      </c>
      <c r="FA106" s="8">
        <f>+MINVU_Mes_Corriente!FA106*MINVU_Mes_Constante!$EP$1</f>
        <v>10998043</v>
      </c>
      <c r="FB106" s="9">
        <f t="shared" si="87"/>
        <v>10998043</v>
      </c>
      <c r="FC106" s="8">
        <f>+MINVU_Mes_Corriente!FC106*MINVU_Mes_Constante!$FC$1</f>
        <v>10</v>
      </c>
      <c r="FD106" s="8">
        <f>+MINVU_Mes_Corriente!FD106*MINVU_Mes_Constante!$FC$1</f>
        <v>10</v>
      </c>
      <c r="FE106" s="8">
        <f>+MINVU_Mes_Corriente!FE106*MINVU_Mes_Constante!$FC$1</f>
        <v>10</v>
      </c>
      <c r="FF106" s="8">
        <f>+MINVU_Mes_Corriente!FF106*MINVU_Mes_Constante!$FC$1</f>
        <v>10</v>
      </c>
      <c r="FG106" s="8">
        <f>+MINVU_Mes_Corriente!FG106*MINVU_Mes_Constante!$FC$1</f>
        <v>10</v>
      </c>
      <c r="FH106" s="8">
        <f>+MINVU_Mes_Corriente!FH106*MINVU_Mes_Constante!$FC$1</f>
        <v>10</v>
      </c>
      <c r="FI106" s="8">
        <f>+MINVU_Mes_Corriente!FI106*MINVU_Mes_Constante!$FC$1</f>
        <v>10</v>
      </c>
      <c r="FJ106" s="8"/>
      <c r="FK106" s="8"/>
      <c r="FL106" s="8"/>
      <c r="FM106" s="8"/>
      <c r="FN106" s="8"/>
      <c r="FO106" s="9">
        <f t="shared" si="88"/>
        <v>10</v>
      </c>
    </row>
    <row r="107" spans="2:171" ht="14.25" customHeight="1" x14ac:dyDescent="0.3">
      <c r="B107" s="7" t="s">
        <v>51</v>
      </c>
      <c r="C107" s="8">
        <f>+MINVU_Mes_Corriente!C107*MINVU_Mes_Constante!$C$1</f>
        <v>84536.745068960416</v>
      </c>
      <c r="D107" s="8">
        <f>+MINVU_Mes_Corriente!D107*MINVU_Mes_Constante!$C$1</f>
        <v>84536.745068960416</v>
      </c>
      <c r="E107" s="8">
        <f>+MINVU_Mes_Corriente!E107*MINVU_Mes_Constante!$C$1</f>
        <v>84536.745068960416</v>
      </c>
      <c r="F107" s="8">
        <f>+MINVU_Mes_Corriente!F107*MINVU_Mes_Constante!$C$1</f>
        <v>84536.745068960416</v>
      </c>
      <c r="G107" s="8">
        <f>+MINVU_Mes_Corriente!G107*MINVU_Mes_Constante!$C$1</f>
        <v>512308.3600771171</v>
      </c>
      <c r="H107" s="8">
        <f>+MINVU_Mes_Corriente!H107*MINVU_Mes_Constante!$C$1</f>
        <v>23067483.877799202</v>
      </c>
      <c r="I107" s="8">
        <f>+MINVU_Mes_Corriente!I107*MINVU_Mes_Constante!$C$1</f>
        <v>23067483.877799202</v>
      </c>
      <c r="J107" s="8">
        <f>+MINVU_Mes_Corriente!J107*MINVU_Mes_Constante!$C$1</f>
        <v>23067483.877799202</v>
      </c>
      <c r="K107" s="8">
        <f>+MINVU_Mes_Corriente!K107*MINVU_Mes_Constante!$C$1</f>
        <v>36099027.617974199</v>
      </c>
      <c r="L107" s="8">
        <f>+MINVU_Mes_Corriente!L107*MINVU_Mes_Constante!$C$1</f>
        <v>53258032.72845915</v>
      </c>
      <c r="M107" s="8">
        <f>+MINVU_Mes_Corriente!M107*MINVU_Mes_Constante!$C$1</f>
        <v>53590203.868901089</v>
      </c>
      <c r="N107" s="8">
        <f>+MINVU_Mes_Corriente!N107*MINVU_Mes_Constante!$C$1</f>
        <v>59935993.234168775</v>
      </c>
      <c r="O107" s="9">
        <f t="shared" si="76"/>
        <v>59935993.234168775</v>
      </c>
      <c r="P107" s="8">
        <f>+MINVU_Mes_Corriente!P107*MINVU_Mes_Constante!$P$1</f>
        <v>10571002.013070034</v>
      </c>
      <c r="Q107" s="8">
        <f>+MINVU_Mes_Corriente!Q107*MINVU_Mes_Constante!$P$1</f>
        <v>10571002.013070034</v>
      </c>
      <c r="R107" s="8">
        <f>+MINVU_Mes_Corriente!R107*MINVU_Mes_Constante!$P$1</f>
        <v>10571002.013070034</v>
      </c>
      <c r="S107" s="8">
        <f>+MINVU_Mes_Corriente!S107*MINVU_Mes_Constante!$P$1</f>
        <v>10571002.013070034</v>
      </c>
      <c r="T107" s="8">
        <f>+MINVU_Mes_Corriente!T107*MINVU_Mes_Constante!$P$1</f>
        <v>10571002.013070034</v>
      </c>
      <c r="U107" s="8">
        <f>+MINVU_Mes_Corriente!U107*MINVU_Mes_Constante!$P$1</f>
        <v>10571002.013070034</v>
      </c>
      <c r="V107" s="8">
        <f>+MINVU_Mes_Corriente!V107*MINVU_Mes_Constante!$P$1</f>
        <v>10571002.013070034</v>
      </c>
      <c r="W107" s="8">
        <f>+MINVU_Mes_Corriente!W107*MINVU_Mes_Constante!$P$1</f>
        <v>10571002.013070034</v>
      </c>
      <c r="X107" s="8">
        <f>+MINVU_Mes_Corriente!X107*MINVU_Mes_Constante!$P$1</f>
        <v>10571002.013070034</v>
      </c>
      <c r="Y107" s="8">
        <f>+MINVU_Mes_Corriente!Y107*MINVU_Mes_Constante!$P$1</f>
        <v>10571002.013070034</v>
      </c>
      <c r="Z107" s="8">
        <f>+MINVU_Mes_Corriente!Z107*MINVU_Mes_Constante!$P$1</f>
        <v>11832983.728938766</v>
      </c>
      <c r="AA107" s="8">
        <f>+MINVU_Mes_Corriente!AA107*MINVU_Mes_Constante!$P$1</f>
        <v>21780599.932660881</v>
      </c>
      <c r="AB107" s="9">
        <f t="shared" si="77"/>
        <v>21780599.932660881</v>
      </c>
      <c r="AC107" s="8">
        <f>+MINVU_Mes_Corriente!AC107*MINVU_Mes_Constante!$AC$1</f>
        <v>161367.45275971779</v>
      </c>
      <c r="AD107" s="8">
        <f>+MINVU_Mes_Corriente!AD107*MINVU_Mes_Constante!$AC$1</f>
        <v>161367.45275971779</v>
      </c>
      <c r="AE107" s="8">
        <f>+MINVU_Mes_Corriente!AE107*MINVU_Mes_Constante!$AC$1</f>
        <v>161367.45275971779</v>
      </c>
      <c r="AF107" s="8">
        <f>+MINVU_Mes_Corriente!AF107*MINVU_Mes_Constante!$AC$1</f>
        <v>165145.98367685711</v>
      </c>
      <c r="AG107" s="8">
        <f>+MINVU_Mes_Corriente!AG107*MINVU_Mes_Constante!$AC$1</f>
        <v>165145.98367685711</v>
      </c>
      <c r="AH107" s="8">
        <f>+MINVU_Mes_Corriente!AH107*MINVU_Mes_Constante!$AC$1</f>
        <v>165901.68986028497</v>
      </c>
      <c r="AI107" s="8">
        <f>+MINVU_Mes_Corriente!AI107*MINVU_Mes_Constante!$AC$1</f>
        <v>165901.68986028497</v>
      </c>
      <c r="AJ107" s="8">
        <f>+MINVU_Mes_Corriente!AJ107*MINVU_Mes_Constante!$AC$1</f>
        <v>165901.68986028497</v>
      </c>
      <c r="AK107" s="8">
        <f>+MINVU_Mes_Corriente!AK107*MINVU_Mes_Constante!$AC$1</f>
        <v>2060599.1644764144</v>
      </c>
      <c r="AL107" s="8">
        <f>+MINVU_Mes_Corriente!AL107*MINVU_Mes_Constante!$AC$1</f>
        <v>2812742.9489555955</v>
      </c>
      <c r="AM107" s="8">
        <f>+MINVU_Mes_Corriente!AM107*MINVU_Mes_Constante!$AC$1</f>
        <v>2812742.9489555955</v>
      </c>
      <c r="AN107" s="8">
        <f>+MINVU_Mes_Corriente!AN107*MINVU_Mes_Constante!$AC$1</f>
        <v>2812742.9489555955</v>
      </c>
      <c r="AO107" s="9">
        <f t="shared" si="78"/>
        <v>2812742.9489555955</v>
      </c>
      <c r="AP107" s="8">
        <f>+MINVU_Mes_Corriente!AP107*MINVU_Mes_Constante!$AP$1</f>
        <v>122538.79210063574</v>
      </c>
      <c r="AQ107" s="8">
        <f>+MINVU_Mes_Corriente!AQ107*MINVU_Mes_Constante!$AP$1</f>
        <v>122538.79210063574</v>
      </c>
      <c r="AR107" s="8">
        <f>+MINVU_Mes_Corriente!AR107*MINVU_Mes_Constante!$AP$1</f>
        <v>122538.79210063574</v>
      </c>
      <c r="AS107" s="8">
        <f>+MINVU_Mes_Corriente!AS107*MINVU_Mes_Constante!$AP$1</f>
        <v>8258255.9366968749</v>
      </c>
      <c r="AT107" s="8">
        <f>+MINVU_Mes_Corriente!AT107*MINVU_Mes_Constante!$AP$1</f>
        <v>8262046.7104017306</v>
      </c>
      <c r="AU107" s="8">
        <f>+MINVU_Mes_Corriente!AU107*MINVU_Mes_Constante!$AP$1</f>
        <v>8262046.7104017306</v>
      </c>
      <c r="AV107" s="8">
        <f>+MINVU_Mes_Corriente!AV107*MINVU_Mes_Constante!$AP$1</f>
        <v>8262046.7104017306</v>
      </c>
      <c r="AW107" s="8">
        <f>+MINVU_Mes_Corriente!AW107*MINVU_Mes_Constante!$AP$1</f>
        <v>8262046.7104017306</v>
      </c>
      <c r="AX107" s="8">
        <f>+MINVU_Mes_Corriente!AX107*MINVU_Mes_Constante!$AP$1</f>
        <v>8262046.7104017306</v>
      </c>
      <c r="AY107" s="8">
        <f>+MINVU_Mes_Corriente!AY107*MINVU_Mes_Constante!$AP$1</f>
        <v>8262046.7104017306</v>
      </c>
      <c r="AZ107" s="8">
        <f>+MINVU_Mes_Corriente!AZ107*MINVU_Mes_Constante!$AP$1</f>
        <v>8262046.7104017306</v>
      </c>
      <c r="BA107" s="8">
        <f>+MINVU_Mes_Corriente!BA107*MINVU_Mes_Constante!$AP$1</f>
        <v>24990886.247801974</v>
      </c>
      <c r="BB107" s="9">
        <f t="shared" si="79"/>
        <v>24990886.247801974</v>
      </c>
      <c r="BC107" s="8">
        <f>+MINVU_Mes_Corriente!BC107*MINVU_Mes_Constante!$BC$1</f>
        <v>166990.71897665836</v>
      </c>
      <c r="BD107" s="8">
        <f>+MINVU_Mes_Corriente!BD107*MINVU_Mes_Constante!$BC$1</f>
        <v>166990.71897665836</v>
      </c>
      <c r="BE107" s="8">
        <f>+MINVU_Mes_Corriente!BE107*MINVU_Mes_Constante!$BC$1</f>
        <v>166990.71897665836</v>
      </c>
      <c r="BF107" s="8">
        <f>+MINVU_Mes_Corriente!BF107*MINVU_Mes_Constante!$BC$1</f>
        <v>166990.71897665836</v>
      </c>
      <c r="BG107" s="8">
        <f>+MINVU_Mes_Corriente!BG107*MINVU_Mes_Constante!$BC$1</f>
        <v>166990.71897665836</v>
      </c>
      <c r="BH107" s="8">
        <f>+MINVU_Mes_Corriente!BH107*MINVU_Mes_Constante!$BC$1</f>
        <v>166990.71897665836</v>
      </c>
      <c r="BI107" s="8">
        <f>+MINVU_Mes_Corriente!BI107*MINVU_Mes_Constante!$BC$1</f>
        <v>5280376.0092311762</v>
      </c>
      <c r="BJ107" s="8">
        <f>+MINVU_Mes_Corriente!BJ107*MINVU_Mes_Constante!$BC$1</f>
        <v>5280376.0092311762</v>
      </c>
      <c r="BK107" s="8">
        <f>+MINVU_Mes_Corriente!BK107*MINVU_Mes_Constante!$BC$1</f>
        <v>5280376.0092311762</v>
      </c>
      <c r="BL107" s="8">
        <f>+MINVU_Mes_Corriente!BL107*MINVU_Mes_Constante!$BC$1</f>
        <v>5280376.0092311762</v>
      </c>
      <c r="BM107" s="8">
        <f>+MINVU_Mes_Corriente!BM107*MINVU_Mes_Constante!$BC$1</f>
        <v>5280376.0092311762</v>
      </c>
      <c r="BN107" s="8">
        <f>+MINVU_Mes_Corriente!BN107*MINVU_Mes_Constante!$BC$1</f>
        <v>5280376.0092311762</v>
      </c>
      <c r="BO107" s="9">
        <f t="shared" si="80"/>
        <v>5280376.0092311762</v>
      </c>
      <c r="BP107" s="8">
        <f>+MINVU_Mes_Corriente!BP107*MINVU_Mes_Constante!$BP$1</f>
        <v>100226.81408450706</v>
      </c>
      <c r="BQ107" s="8">
        <f>+MINVU_Mes_Corriente!BQ107*MINVU_Mes_Constante!$BP$1</f>
        <v>100226.81408450706</v>
      </c>
      <c r="BR107" s="8">
        <f>+MINVU_Mes_Corriente!BR107*MINVU_Mes_Constante!$BP$1</f>
        <v>100226.81408450706</v>
      </c>
      <c r="BS107" s="8">
        <f>+MINVU_Mes_Corriente!BS107*MINVU_Mes_Constante!$BP$1</f>
        <v>100226.81408450706</v>
      </c>
      <c r="BT107" s="8">
        <f>+MINVU_Mes_Corriente!BT107*MINVU_Mes_Constante!$BP$1</f>
        <v>100226.81408450706</v>
      </c>
      <c r="BU107" s="8">
        <f>+MINVU_Mes_Corriente!BU107*MINVU_Mes_Constante!$BP$1</f>
        <v>33665680.841485277</v>
      </c>
      <c r="BV107" s="8">
        <f>+MINVU_Mes_Corriente!BV107*MINVU_Mes_Constante!$BP$1</f>
        <v>33665680.841485277</v>
      </c>
      <c r="BW107" s="8">
        <f>+MINVU_Mes_Corriente!BW107*MINVU_Mes_Constante!$BP$1</f>
        <v>38212925.356209993</v>
      </c>
      <c r="BX107" s="8">
        <f>+MINVU_Mes_Corriente!BX107*MINVU_Mes_Constante!$BP$1</f>
        <v>38212925.356209993</v>
      </c>
      <c r="BY107" s="8">
        <f>+MINVU_Mes_Corriente!BY107*MINVU_Mes_Constante!$BP$1</f>
        <v>38212925.356209993</v>
      </c>
      <c r="BZ107" s="8">
        <f>+MINVU_Mes_Corriente!BZ107*MINVU_Mes_Constante!$BP$1</f>
        <v>38212925.356209993</v>
      </c>
      <c r="CA107" s="8">
        <f>+MINVU_Mes_Corriente!CA107*MINVU_Mes_Constante!$BP$1</f>
        <v>35149840.142381564</v>
      </c>
      <c r="CB107" s="9">
        <f t="shared" si="81"/>
        <v>35149840.142381564</v>
      </c>
      <c r="CC107" s="8">
        <f>+MINVU_Mes_Corriente!CC107*MINVU_Mes_Constante!$CC$1</f>
        <v>99854.103692652003</v>
      </c>
      <c r="CD107" s="8">
        <f>+MINVU_Mes_Corriente!CD107*MINVU_Mes_Constante!$CC$1</f>
        <v>99854.103692652003</v>
      </c>
      <c r="CE107" s="8">
        <f>+MINVU_Mes_Corriente!CE107*MINVU_Mes_Constante!$CC$1</f>
        <v>99854.103692652003</v>
      </c>
      <c r="CF107" s="8">
        <f>+MINVU_Mes_Corriente!CF107*MINVU_Mes_Constante!$CC$1</f>
        <v>69898.959343528535</v>
      </c>
      <c r="CG107" s="8">
        <f>+MINVU_Mes_Corriente!CG107*MINVU_Mes_Constante!$CC$1</f>
        <v>44894.000745990306</v>
      </c>
      <c r="CH107" s="8">
        <f>+MINVU_Mes_Corriente!CH107*MINVU_Mes_Constante!$CC$1</f>
        <v>44894.000745990306</v>
      </c>
      <c r="CI107" s="8">
        <f>+MINVU_Mes_Corriente!CI107*MINVU_Mes_Constante!$CC$1</f>
        <v>44894.000745990306</v>
      </c>
      <c r="CJ107" s="8">
        <f>+MINVU_Mes_Corriente!CJ107*MINVU_Mes_Constante!$CC$1</f>
        <v>44894.000745990306</v>
      </c>
      <c r="CK107" s="8">
        <f>+MINVU_Mes_Corriente!CK107*MINVU_Mes_Constante!$CC$1</f>
        <v>11329449.647892578</v>
      </c>
      <c r="CL107" s="8">
        <f>+MINVU_Mes_Corriente!CL107*MINVU_Mes_Constante!$CC$1</f>
        <v>11329449.647892578</v>
      </c>
      <c r="CM107" s="8">
        <f>+MINVU_Mes_Corriente!CM107*MINVU_Mes_Constante!$CC$1</f>
        <v>11384409.750839241</v>
      </c>
      <c r="CN107" s="8">
        <f>+MINVU_Mes_Corriente!CN107*MINVU_Mes_Constante!$CC$1</f>
        <v>14935992.78776576</v>
      </c>
      <c r="CO107" s="9">
        <f t="shared" si="82"/>
        <v>14935992.78776576</v>
      </c>
      <c r="CP107" s="8">
        <f>+MINVU_Mes_Corriente!CP107*MINVU_Mes_Constante!$CP$1</f>
        <v>58019.34153132249</v>
      </c>
      <c r="CQ107" s="8">
        <f>+MINVU_Mes_Corriente!CQ107*MINVU_Mes_Constante!$CP$1</f>
        <v>58019.34153132249</v>
      </c>
      <c r="CR107" s="8">
        <f>+MINVU_Mes_Corriente!CR107*MINVU_Mes_Constante!$CP$1</f>
        <v>58019.34153132249</v>
      </c>
      <c r="CS107" s="8">
        <f>+MINVU_Mes_Corriente!CS107*MINVU_Mes_Constante!$CP$1</f>
        <v>58019.34153132249</v>
      </c>
      <c r="CT107" s="8">
        <f>+MINVU_Mes_Corriente!CT107*MINVU_Mes_Constante!$CP$1</f>
        <v>13591516.846635727</v>
      </c>
      <c r="CU107" s="8">
        <f>+MINVU_Mes_Corriente!CU107*MINVU_Mes_Constante!$CP$1</f>
        <v>13591516.846635727</v>
      </c>
      <c r="CV107" s="8">
        <f>+MINVU_Mes_Corriente!CV107*MINVU_Mes_Constante!$CP$1</f>
        <v>13591516.846635727</v>
      </c>
      <c r="CW107" s="8">
        <f>+MINVU_Mes_Corriente!CW107*MINVU_Mes_Constante!$CP$1</f>
        <v>13591516.846635727</v>
      </c>
      <c r="CX107" s="8">
        <f>+MINVU_Mes_Corriente!CX107*MINVU_Mes_Constante!$CP$1</f>
        <v>13591516.846635727</v>
      </c>
      <c r="CY107" s="8">
        <f>+MINVU_Mes_Corriente!CY107*MINVU_Mes_Constante!$CP$1</f>
        <v>13591516.846635727</v>
      </c>
      <c r="CZ107" s="8">
        <f>+MINVU_Mes_Corriente!CZ107*MINVU_Mes_Constante!$CP$1</f>
        <v>13591516.846635727</v>
      </c>
      <c r="DA107" s="8">
        <f>+MINVU_Mes_Corriente!DA107*MINVU_Mes_Constante!$CP$1</f>
        <v>14882408.536426911</v>
      </c>
      <c r="DB107" s="9">
        <f t="shared" si="83"/>
        <v>14882408.536426911</v>
      </c>
      <c r="DC107" s="8">
        <f>+MINVU_Mes_Corriente!DC107*MINVU_Mes_Constante!$DC$1</f>
        <v>0</v>
      </c>
      <c r="DD107" s="8">
        <f>+MINVU_Mes_Corriente!DD107*MINVU_Mes_Constante!$DC$1</f>
        <v>0</v>
      </c>
      <c r="DE107" s="8">
        <f>+MINVU_Mes_Corriente!DE107*MINVU_Mes_Constante!$DC$1</f>
        <v>0</v>
      </c>
      <c r="DF107" s="8">
        <f>+MINVU_Mes_Corriente!DF107*MINVU_Mes_Constante!$DC$1</f>
        <v>2826210.3579878625</v>
      </c>
      <c r="DG107" s="8">
        <f>+MINVU_Mes_Corriente!DG107*MINVU_Mes_Constante!$DC$1</f>
        <v>7849259.3056269968</v>
      </c>
      <c r="DH107" s="8">
        <f>+MINVU_Mes_Corriente!DH107*MINVU_Mes_Constante!$DC$1</f>
        <v>7849259.3056269968</v>
      </c>
      <c r="DI107" s="8">
        <f>+MINVU_Mes_Corriente!DI107*MINVU_Mes_Constante!$DC$1</f>
        <v>7849259.3056269968</v>
      </c>
      <c r="DJ107" s="8">
        <f>+MINVU_Mes_Corriente!DJ107*MINVU_Mes_Constante!$DC$1</f>
        <v>7849259.3056269968</v>
      </c>
      <c r="DK107" s="8">
        <f>+MINVU_Mes_Corriente!DK107*MINVU_Mes_Constante!$DC$1</f>
        <v>7849259.3056269968</v>
      </c>
      <c r="DL107" s="8">
        <f>+MINVU_Mes_Corriente!DL107*MINVU_Mes_Constante!$DC$1</f>
        <v>58336590.14504683</v>
      </c>
      <c r="DM107" s="8">
        <f>+MINVU_Mes_Corriente!DM107*MINVU_Mes_Constante!$DC$1</f>
        <v>90265771.110996857</v>
      </c>
      <c r="DN107" s="8">
        <f>+MINVU_Mes_Corriente!DN107*MINVU_Mes_Constante!$DC$1</f>
        <v>88221925.744265035</v>
      </c>
      <c r="DO107" s="9">
        <f t="shared" si="84"/>
        <v>88221925.744265035</v>
      </c>
      <c r="DP107" s="8">
        <f>+MINVU_Mes_Corriente!DP107*MINVU_Mes_Constante!$DP$1</f>
        <v>10057943.141330168</v>
      </c>
      <c r="DQ107" s="8">
        <f>+MINVU_Mes_Corriente!DQ107*MINVU_Mes_Constante!$DP$1</f>
        <v>10057943.141330168</v>
      </c>
      <c r="DR107" s="8">
        <f>+MINVU_Mes_Corriente!DR107*MINVU_Mes_Constante!$DP$1</f>
        <v>10057943.141330168</v>
      </c>
      <c r="DS107" s="8">
        <f>+MINVU_Mes_Corriente!DS107*MINVU_Mes_Constante!$DP$1</f>
        <v>10057943.141330168</v>
      </c>
      <c r="DT107" s="8">
        <f>+MINVU_Mes_Corriente!DT107*MINVU_Mes_Constante!$DP$1</f>
        <v>10057943.141330168</v>
      </c>
      <c r="DU107" s="8">
        <f>+MINVU_Mes_Corriente!DU107*MINVU_Mes_Constante!$DP$1</f>
        <v>10057943.141330168</v>
      </c>
      <c r="DV107" s="8">
        <f>+MINVU_Mes_Corriente!DV107*MINVU_Mes_Constante!$DP$1</f>
        <v>10057943.141330168</v>
      </c>
      <c r="DW107" s="8">
        <f>+MINVU_Mes_Corriente!DW107*MINVU_Mes_Constante!$DP$1</f>
        <v>10057943.141330168</v>
      </c>
      <c r="DX107" s="8">
        <f>+MINVU_Mes_Corriente!DX107*MINVU_Mes_Constante!$DP$1</f>
        <v>10057943.141330168</v>
      </c>
      <c r="DY107" s="8">
        <f>+MINVU_Mes_Corriente!DY107*MINVU_Mes_Constante!$DP$1</f>
        <v>10057943.141330168</v>
      </c>
      <c r="DZ107" s="8">
        <f>+MINVU_Mes_Corriente!DZ107*MINVU_Mes_Constante!$DP$1</f>
        <v>10057943.141330168</v>
      </c>
      <c r="EA107" s="8">
        <f>+MINVU_Mes_Corriente!EA107*MINVU_Mes_Constante!$DP$1</f>
        <v>10231897.302256534</v>
      </c>
      <c r="EB107" s="9">
        <f t="shared" si="85"/>
        <v>10231897.302256534</v>
      </c>
      <c r="EC107" s="8">
        <f>+MINVU_Mes_Corriente!EC107*MINVU_Mes_Constante!$EC$1</f>
        <v>0</v>
      </c>
      <c r="ED107" s="8">
        <f>+MINVU_Mes_Corriente!ED107*MINVU_Mes_Constante!$EC$1</f>
        <v>0</v>
      </c>
      <c r="EE107" s="8">
        <f>+MINVU_Mes_Corriente!EE107*MINVU_Mes_Constante!$EC$1</f>
        <v>0</v>
      </c>
      <c r="EF107" s="8">
        <f>+MINVU_Mes_Corriente!EF107*MINVU_Mes_Constante!$EC$1</f>
        <v>0</v>
      </c>
      <c r="EG107" s="8">
        <f>+MINVU_Mes_Corriente!EG107*MINVU_Mes_Constante!$EC$1</f>
        <v>33276.61124786971</v>
      </c>
      <c r="EH107" s="8">
        <f>+MINVU_Mes_Corriente!EH107*MINVU_Mes_Constante!$EC$1</f>
        <v>33276.61124786971</v>
      </c>
      <c r="EI107" s="8">
        <f>+MINVU_Mes_Corriente!EI107*MINVU_Mes_Constante!$EC$1</f>
        <v>33276.61124786971</v>
      </c>
      <c r="EJ107" s="8">
        <f>+MINVU_Mes_Corriente!EJ107*MINVU_Mes_Constante!$EC$1</f>
        <v>33276.61124786971</v>
      </c>
      <c r="EK107" s="8">
        <f>+MINVU_Mes_Corriente!EK107*MINVU_Mes_Constante!$EC$1</f>
        <v>33276.61124786971</v>
      </c>
      <c r="EL107" s="8">
        <f>+MINVU_Mes_Corriente!EL107*MINVU_Mes_Constante!$EC$1</f>
        <v>46095.678848702883</v>
      </c>
      <c r="EM107" s="8">
        <f>+MINVU_Mes_Corriente!EM107*MINVU_Mes_Constante!$EC$1</f>
        <v>46095.678848702883</v>
      </c>
      <c r="EN107" s="8">
        <f>+MINVU_Mes_Corriente!EN107*MINVU_Mes_Constante!$EC$1</f>
        <v>46095.678848702883</v>
      </c>
      <c r="EO107" s="9">
        <f t="shared" si="86"/>
        <v>46095.678848702883</v>
      </c>
      <c r="EP107" s="8">
        <f>+MINVU_Mes_Corriente!EP107*MINVU_Mes_Constante!$EP$1</f>
        <v>17818</v>
      </c>
      <c r="EQ107" s="8">
        <f>+MINVU_Mes_Corriente!EQ107*MINVU_Mes_Constante!$EP$1</f>
        <v>17818</v>
      </c>
      <c r="ER107" s="8">
        <f>+MINVU_Mes_Corriente!ER107*MINVU_Mes_Constante!$EP$1</f>
        <v>17818</v>
      </c>
      <c r="ES107" s="8">
        <f>+MINVU_Mes_Corriente!ES107*MINVU_Mes_Constante!$EP$1</f>
        <v>17818</v>
      </c>
      <c r="ET107" s="8">
        <f>+MINVU_Mes_Corriente!ET107*MINVU_Mes_Constante!$EP$1</f>
        <v>17818</v>
      </c>
      <c r="EU107" s="8">
        <f>+MINVU_Mes_Corriente!EU107*MINVU_Mes_Constante!$EP$1</f>
        <v>17818</v>
      </c>
      <c r="EV107" s="8">
        <f>+MINVU_Mes_Corriente!EV107*MINVU_Mes_Constante!$EP$1</f>
        <v>17818</v>
      </c>
      <c r="EW107" s="8">
        <f>+MINVU_Mes_Corriente!EW107*MINVU_Mes_Constante!$EP$1</f>
        <v>17818</v>
      </c>
      <c r="EX107" s="8">
        <f>+MINVU_Mes_Corriente!EX107*MINVU_Mes_Constante!$EP$1</f>
        <v>17818</v>
      </c>
      <c r="EY107" s="8">
        <f>+MINVU_Mes_Corriente!EY107*MINVU_Mes_Constante!$EP$1</f>
        <v>17818</v>
      </c>
      <c r="EZ107" s="8">
        <f>+MINVU_Mes_Corriente!EZ107*MINVU_Mes_Constante!$EP$1</f>
        <v>17818</v>
      </c>
      <c r="FA107" s="8">
        <f>+MINVU_Mes_Corriente!FA107*MINVU_Mes_Constante!$EP$1</f>
        <v>17818</v>
      </c>
      <c r="FB107" s="9">
        <f t="shared" si="87"/>
        <v>17818</v>
      </c>
      <c r="FC107" s="8">
        <f>+MINVU_Mes_Corriente!FC107*MINVU_Mes_Constante!$FC$1</f>
        <v>10</v>
      </c>
      <c r="FD107" s="8">
        <f>+MINVU_Mes_Corriente!FD107*MINVU_Mes_Constante!$FC$1</f>
        <v>10</v>
      </c>
      <c r="FE107" s="8">
        <f>+MINVU_Mes_Corriente!FE107*MINVU_Mes_Constante!$FC$1</f>
        <v>10</v>
      </c>
      <c r="FF107" s="8">
        <f>+MINVU_Mes_Corriente!FF107*MINVU_Mes_Constante!$FC$1</f>
        <v>10</v>
      </c>
      <c r="FG107" s="8">
        <f>+MINVU_Mes_Corriente!FG107*MINVU_Mes_Constante!$FC$1</f>
        <v>10</v>
      </c>
      <c r="FH107" s="8">
        <f>+MINVU_Mes_Corriente!FH107*MINVU_Mes_Constante!$FC$1</f>
        <v>10</v>
      </c>
      <c r="FI107" s="8">
        <f>+MINVU_Mes_Corriente!FI107*MINVU_Mes_Constante!$FC$1</f>
        <v>10</v>
      </c>
      <c r="FJ107" s="8"/>
      <c r="FK107" s="8"/>
      <c r="FL107" s="8"/>
      <c r="FM107" s="8"/>
      <c r="FN107" s="8"/>
      <c r="FO107" s="9">
        <f t="shared" si="88"/>
        <v>10</v>
      </c>
    </row>
    <row r="108" spans="2:171" ht="14.25" customHeight="1" x14ac:dyDescent="0.3">
      <c r="B108" s="7" t="s">
        <v>52</v>
      </c>
      <c r="C108" s="8">
        <f>+MINVU_Mes_Corriente!C108*MINVU_Mes_Constante!$C$1</f>
        <v>33314.334865786746</v>
      </c>
      <c r="D108" s="8">
        <f>+MINVU_Mes_Corriente!D108*MINVU_Mes_Constante!$C$1</f>
        <v>33314.334865786746</v>
      </c>
      <c r="E108" s="8">
        <f>+MINVU_Mes_Corriente!E108*MINVU_Mes_Constante!$C$1</f>
        <v>33314.334865786746</v>
      </c>
      <c r="F108" s="8">
        <f>+MINVU_Mes_Corriente!F108*MINVU_Mes_Constante!$C$1</f>
        <v>33314.334865786746</v>
      </c>
      <c r="G108" s="8">
        <f>+MINVU_Mes_Corriente!G108*MINVU_Mes_Constante!$C$1</f>
        <v>33314.334865786746</v>
      </c>
      <c r="H108" s="8">
        <f>+MINVU_Mes_Corriente!H108*MINVU_Mes_Constante!$C$1</f>
        <v>33314.334865786746</v>
      </c>
      <c r="I108" s="8">
        <f>+MINVU_Mes_Corriente!I108*MINVU_Mes_Constante!$C$1</f>
        <v>33314.334865786746</v>
      </c>
      <c r="J108" s="8">
        <f>+MINVU_Mes_Corriente!J108*MINVU_Mes_Constante!$C$1</f>
        <v>237324.12724306693</v>
      </c>
      <c r="K108" s="8">
        <f>+MINVU_Mes_Corriente!K108*MINVU_Mes_Constante!$C$1</f>
        <v>4612261.0989173967</v>
      </c>
      <c r="L108" s="8">
        <f>+MINVU_Mes_Corriente!L108*MINVU_Mes_Constante!$C$1</f>
        <v>4612261.0989173967</v>
      </c>
      <c r="M108" s="8">
        <f>+MINVU_Mes_Corriente!M108*MINVU_Mes_Constante!$C$1</f>
        <v>4774295.8015720015</v>
      </c>
      <c r="N108" s="8">
        <f>+MINVU_Mes_Corriente!N108*MINVU_Mes_Constante!$C$1</f>
        <v>6680122.0486430386</v>
      </c>
      <c r="O108" s="9">
        <f t="shared" si="76"/>
        <v>6680122.0486430386</v>
      </c>
      <c r="P108" s="8">
        <f>+MINVU_Mes_Corriente!P108*MINVU_Mes_Constante!$P$1</f>
        <v>35092.343798835049</v>
      </c>
      <c r="Q108" s="8">
        <f>+MINVU_Mes_Corriente!Q108*MINVU_Mes_Constante!$P$1</f>
        <v>35092.343798835049</v>
      </c>
      <c r="R108" s="8">
        <f>+MINVU_Mes_Corriente!R108*MINVU_Mes_Constante!$P$1</f>
        <v>35092.343798835049</v>
      </c>
      <c r="S108" s="8">
        <f>+MINVU_Mes_Corriente!S108*MINVU_Mes_Constante!$P$1</f>
        <v>433207.59568120458</v>
      </c>
      <c r="T108" s="8">
        <f>+MINVU_Mes_Corriente!T108*MINVU_Mes_Constante!$P$1</f>
        <v>433207.59568120458</v>
      </c>
      <c r="U108" s="8">
        <f>+MINVU_Mes_Corriente!U108*MINVU_Mes_Constante!$P$1</f>
        <v>433207.59568120458</v>
      </c>
      <c r="V108" s="8">
        <f>+MINVU_Mes_Corriente!V108*MINVU_Mes_Constante!$P$1</f>
        <v>433207.59568120458</v>
      </c>
      <c r="W108" s="8">
        <f>+MINVU_Mes_Corriente!W108*MINVU_Mes_Constante!$P$1</f>
        <v>433207.59568120458</v>
      </c>
      <c r="X108" s="8">
        <f>+MINVU_Mes_Corriente!X108*MINVU_Mes_Constante!$P$1</f>
        <v>433207.59568120458</v>
      </c>
      <c r="Y108" s="8">
        <f>+MINVU_Mes_Corriente!Y108*MINVU_Mes_Constante!$P$1</f>
        <v>801832.42648103391</v>
      </c>
      <c r="Z108" s="8">
        <f>+MINVU_Mes_Corriente!Z108*MINVU_Mes_Constante!$P$1</f>
        <v>801832.42648103391</v>
      </c>
      <c r="AA108" s="8">
        <f>+MINVU_Mes_Corriente!AA108*MINVU_Mes_Constante!$P$1</f>
        <v>5084532.6111663571</v>
      </c>
      <c r="AB108" s="9">
        <f t="shared" si="77"/>
        <v>5084532.6111663571</v>
      </c>
      <c r="AC108" s="8">
        <f>+MINVU_Mes_Corriente!AC108*MINVU_Mes_Constante!$AC$1</f>
        <v>1429652.5148706599</v>
      </c>
      <c r="AD108" s="8">
        <f>+MINVU_Mes_Corriente!AD108*MINVU_Mes_Constante!$AC$1</f>
        <v>1429652.5148706599</v>
      </c>
      <c r="AE108" s="8">
        <f>+MINVU_Mes_Corriente!AE108*MINVU_Mes_Constante!$AC$1</f>
        <v>1429652.5148706599</v>
      </c>
      <c r="AF108" s="8">
        <f>+MINVU_Mes_Corriente!AF108*MINVU_Mes_Constante!$AC$1</f>
        <v>1429652.5148706599</v>
      </c>
      <c r="AG108" s="8">
        <f>+MINVU_Mes_Corriente!AG108*MINVU_Mes_Constante!$AC$1</f>
        <v>1429652.5148706599</v>
      </c>
      <c r="AH108" s="8">
        <f>+MINVU_Mes_Corriente!AH108*MINVU_Mes_Constante!$AC$1</f>
        <v>1429652.5148706599</v>
      </c>
      <c r="AI108" s="8">
        <f>+MINVU_Mes_Corriente!AI108*MINVU_Mes_Constante!$AC$1</f>
        <v>1429652.5148706599</v>
      </c>
      <c r="AJ108" s="8">
        <f>+MINVU_Mes_Corriente!AJ108*MINVU_Mes_Constante!$AC$1</f>
        <v>6055638.3917554291</v>
      </c>
      <c r="AK108" s="8">
        <f>+MINVU_Mes_Corriente!AK108*MINVU_Mes_Constante!$AC$1</f>
        <v>6055638.3917554291</v>
      </c>
      <c r="AL108" s="8">
        <f>+MINVU_Mes_Corriente!AL108*MINVU_Mes_Constante!$AC$1</f>
        <v>6753874.6313459678</v>
      </c>
      <c r="AM108" s="8">
        <f>+MINVU_Mes_Corriente!AM108*MINVU_Mes_Constante!$AC$1</f>
        <v>6753874.6313459678</v>
      </c>
      <c r="AN108" s="8">
        <f>+MINVU_Mes_Corriente!AN108*MINVU_Mes_Constante!$AC$1</f>
        <v>6753874.6313459678</v>
      </c>
      <c r="AO108" s="9">
        <f t="shared" si="78"/>
        <v>6753874.6313459678</v>
      </c>
      <c r="AP108" s="8">
        <f>+MINVU_Mes_Corriente!AP108*MINVU_Mes_Constante!$AP$1</f>
        <v>25116.646828080615</v>
      </c>
      <c r="AQ108" s="8">
        <f>+MINVU_Mes_Corriente!AQ108*MINVU_Mes_Constante!$AP$1</f>
        <v>25116.646828080615</v>
      </c>
      <c r="AR108" s="8">
        <f>+MINVU_Mes_Corriente!AR108*MINVU_Mes_Constante!$AP$1</f>
        <v>25116.646828080615</v>
      </c>
      <c r="AS108" s="8">
        <f>+MINVU_Mes_Corriente!AS108*MINVU_Mes_Constante!$AP$1</f>
        <v>25116.646828080615</v>
      </c>
      <c r="AT108" s="8">
        <f>+MINVU_Mes_Corriente!AT108*MINVU_Mes_Constante!$AP$1</f>
        <v>27215.242797240633</v>
      </c>
      <c r="AU108" s="8">
        <f>+MINVU_Mes_Corriente!AU108*MINVU_Mes_Constante!$AP$1</f>
        <v>33753.403760313806</v>
      </c>
      <c r="AV108" s="8">
        <f>+MINVU_Mes_Corriente!AV108*MINVU_Mes_Constante!$AP$1</f>
        <v>33753.403760313806</v>
      </c>
      <c r="AW108" s="8">
        <f>+MINVU_Mes_Corriente!AW108*MINVU_Mes_Constante!$AP$1</f>
        <v>39410.745570133906</v>
      </c>
      <c r="AX108" s="8">
        <f>+MINVU_Mes_Corriente!AX108*MINVU_Mes_Constante!$AP$1</f>
        <v>39410.745570133906</v>
      </c>
      <c r="AY108" s="8">
        <f>+MINVU_Mes_Corriente!AY108*MINVU_Mes_Constante!$AP$1</f>
        <v>39410.745570133906</v>
      </c>
      <c r="AZ108" s="8">
        <f>+MINVU_Mes_Corriente!AZ108*MINVU_Mes_Constante!$AP$1</f>
        <v>39410.745570133906</v>
      </c>
      <c r="BA108" s="8">
        <f>+MINVU_Mes_Corriente!BA108*MINVU_Mes_Constante!$AP$1</f>
        <v>39410.745570133906</v>
      </c>
      <c r="BB108" s="9">
        <f t="shared" si="79"/>
        <v>39410.745570133906</v>
      </c>
      <c r="BC108" s="8">
        <f>+MINVU_Mes_Corriente!BC108*MINVU_Mes_Constante!$BC$1</f>
        <v>25116.976394566802</v>
      </c>
      <c r="BD108" s="8">
        <f>+MINVU_Mes_Corriente!BD108*MINVU_Mes_Constante!$BC$1</f>
        <v>25116.976394566802</v>
      </c>
      <c r="BE108" s="8">
        <f>+MINVU_Mes_Corriente!BE108*MINVU_Mes_Constante!$BC$1</f>
        <v>25116.976394566802</v>
      </c>
      <c r="BF108" s="8">
        <f>+MINVU_Mes_Corriente!BF108*MINVU_Mes_Constante!$BC$1</f>
        <v>25116.976394566802</v>
      </c>
      <c r="BG108" s="8">
        <f>+MINVU_Mes_Corriente!BG108*MINVU_Mes_Constante!$BC$1</f>
        <v>25116.976394566802</v>
      </c>
      <c r="BH108" s="8">
        <f>+MINVU_Mes_Corriente!BH108*MINVU_Mes_Constante!$BC$1</f>
        <v>25116.976394566802</v>
      </c>
      <c r="BI108" s="8">
        <f>+MINVU_Mes_Corriente!BI108*MINVU_Mes_Constante!$BC$1</f>
        <v>20880.864037979696</v>
      </c>
      <c r="BJ108" s="8">
        <f>+MINVU_Mes_Corriente!BJ108*MINVU_Mes_Constante!$BC$1</f>
        <v>20880.864037979696</v>
      </c>
      <c r="BK108" s="8">
        <f>+MINVU_Mes_Corriente!BK108*MINVU_Mes_Constante!$BC$1</f>
        <v>20880.864037979696</v>
      </c>
      <c r="BL108" s="8">
        <f>+MINVU_Mes_Corriente!BL108*MINVU_Mes_Constante!$BC$1</f>
        <v>20880.864037979696</v>
      </c>
      <c r="BM108" s="8">
        <f>+MINVU_Mes_Corriente!BM108*MINVU_Mes_Constante!$BC$1</f>
        <v>20880.864037979696</v>
      </c>
      <c r="BN108" s="8">
        <f>+MINVU_Mes_Corriente!BN108*MINVU_Mes_Constante!$BC$1</f>
        <v>20880.864037979696</v>
      </c>
      <c r="BO108" s="9">
        <f t="shared" si="80"/>
        <v>20880.864037979696</v>
      </c>
      <c r="BP108" s="8">
        <f>+MINVU_Mes_Corriente!BP108*MINVU_Mes_Constante!$BP$1</f>
        <v>1310346.3664532653</v>
      </c>
      <c r="BQ108" s="8">
        <f>+MINVU_Mes_Corriente!BQ108*MINVU_Mes_Constante!$BP$1</f>
        <v>1310346.3664532653</v>
      </c>
      <c r="BR108" s="8">
        <f>+MINVU_Mes_Corriente!BR108*MINVU_Mes_Constante!$BP$1</f>
        <v>1310346.3664532653</v>
      </c>
      <c r="BS108" s="8">
        <f>+MINVU_Mes_Corriente!BS108*MINVU_Mes_Constante!$BP$1</f>
        <v>1310346.3664532653</v>
      </c>
      <c r="BT108" s="8">
        <f>+MINVU_Mes_Corriente!BT108*MINVU_Mes_Constante!$BP$1</f>
        <v>1310346.3664532653</v>
      </c>
      <c r="BU108" s="8">
        <f>+MINVU_Mes_Corriente!BU108*MINVU_Mes_Constante!$BP$1</f>
        <v>1310346.3664532653</v>
      </c>
      <c r="BV108" s="8">
        <f>+MINVU_Mes_Corriente!BV108*MINVU_Mes_Constante!$BP$1</f>
        <v>1310346.3664532653</v>
      </c>
      <c r="BW108" s="8">
        <f>+MINVU_Mes_Corriente!BW108*MINVU_Mes_Constante!$BP$1</f>
        <v>1310346.3664532653</v>
      </c>
      <c r="BX108" s="8">
        <f>+MINVU_Mes_Corriente!BX108*MINVU_Mes_Constante!$BP$1</f>
        <v>1310346.3664532653</v>
      </c>
      <c r="BY108" s="8">
        <f>+MINVU_Mes_Corriente!BY108*MINVU_Mes_Constante!$BP$1</f>
        <v>1310346.3664532653</v>
      </c>
      <c r="BZ108" s="8">
        <f>+MINVU_Mes_Corriente!BZ108*MINVU_Mes_Constante!$BP$1</f>
        <v>1310346.3664532653</v>
      </c>
      <c r="CA108" s="8">
        <f>+MINVU_Mes_Corriente!CA108*MINVU_Mes_Constante!$BP$1</f>
        <v>1310346.3664532653</v>
      </c>
      <c r="CB108" s="9">
        <f t="shared" si="81"/>
        <v>1310346.3664532653</v>
      </c>
      <c r="CC108" s="8">
        <f>+MINVU_Mes_Corriente!CC108*MINVU_Mes_Constante!$CC$1</f>
        <v>4405009.1883625519</v>
      </c>
      <c r="CD108" s="8">
        <f>+MINVU_Mes_Corriente!CD108*MINVU_Mes_Constante!$CC$1</f>
        <v>4405009.1883625519</v>
      </c>
      <c r="CE108" s="8">
        <f>+MINVU_Mes_Corriente!CE108*MINVU_Mes_Constante!$CC$1</f>
        <v>4405009.1883625519</v>
      </c>
      <c r="CF108" s="8">
        <f>+MINVU_Mes_Corriente!CF108*MINVU_Mes_Constante!$CC$1</f>
        <v>4396675.1077955989</v>
      </c>
      <c r="CG108" s="8">
        <f>+MINVU_Mes_Corriente!CG108*MINVU_Mes_Constante!$CC$1</f>
        <v>2202043.4009697875</v>
      </c>
      <c r="CH108" s="8">
        <f>+MINVU_Mes_Corriente!CH108*MINVU_Mes_Constante!$CC$1</f>
        <v>2202043.4009697875</v>
      </c>
      <c r="CI108" s="8">
        <f>+MINVU_Mes_Corriente!CI108*MINVU_Mes_Constante!$CC$1</f>
        <v>2202043.4009697875</v>
      </c>
      <c r="CJ108" s="8">
        <f>+MINVU_Mes_Corriente!CJ108*MINVU_Mes_Constante!$CC$1</f>
        <v>2202043.4009697875</v>
      </c>
      <c r="CK108" s="8">
        <f>+MINVU_Mes_Corriente!CK108*MINVU_Mes_Constante!$CC$1</f>
        <v>2202043.4009697875</v>
      </c>
      <c r="CL108" s="8">
        <f>+MINVU_Mes_Corriente!CL108*MINVU_Mes_Constante!$CC$1</f>
        <v>2707884.7340544574</v>
      </c>
      <c r="CM108" s="8">
        <f>+MINVU_Mes_Corriente!CM108*MINVU_Mes_Constante!$CC$1</f>
        <v>4890719.6754942192</v>
      </c>
      <c r="CN108" s="8">
        <f>+MINVU_Mes_Corriente!CN108*MINVU_Mes_Constante!$CC$1</f>
        <v>4890719.6754942192</v>
      </c>
      <c r="CO108" s="9">
        <f t="shared" si="82"/>
        <v>4890719.6754942192</v>
      </c>
      <c r="CP108" s="8">
        <f>+MINVU_Mes_Corriente!CP108*MINVU_Mes_Constante!$CP$1</f>
        <v>14063.105568445473</v>
      </c>
      <c r="CQ108" s="8">
        <f>+MINVU_Mes_Corriente!CQ108*MINVU_Mes_Constante!$CP$1</f>
        <v>14063.105568445473</v>
      </c>
      <c r="CR108" s="8">
        <f>+MINVU_Mes_Corriente!CR108*MINVU_Mes_Constante!$CP$1</f>
        <v>14063.105568445473</v>
      </c>
      <c r="CS108" s="8">
        <f>+MINVU_Mes_Corriente!CS108*MINVU_Mes_Constante!$CP$1</f>
        <v>14063.105568445473</v>
      </c>
      <c r="CT108" s="8">
        <f>+MINVU_Mes_Corriente!CT108*MINVU_Mes_Constante!$CP$1</f>
        <v>14063.105568445473</v>
      </c>
      <c r="CU108" s="8">
        <f>+MINVU_Mes_Corriente!CU108*MINVU_Mes_Constante!$CP$1</f>
        <v>14063.105568445473</v>
      </c>
      <c r="CV108" s="8">
        <f>+MINVU_Mes_Corriente!CV108*MINVU_Mes_Constante!$CP$1</f>
        <v>14063.105568445473</v>
      </c>
      <c r="CW108" s="8">
        <f>+MINVU_Mes_Corriente!CW108*MINVU_Mes_Constante!$CP$1</f>
        <v>14063.105568445473</v>
      </c>
      <c r="CX108" s="8">
        <f>+MINVU_Mes_Corriente!CX108*MINVU_Mes_Constante!$CP$1</f>
        <v>14063.105568445473</v>
      </c>
      <c r="CY108" s="8">
        <f>+MINVU_Mes_Corriente!CY108*MINVU_Mes_Constante!$CP$1</f>
        <v>6485799.0842227368</v>
      </c>
      <c r="CZ108" s="8">
        <f>+MINVU_Mes_Corriente!CZ108*MINVU_Mes_Constante!$CP$1</f>
        <v>6485799.0842227368</v>
      </c>
      <c r="DA108" s="8">
        <f>+MINVU_Mes_Corriente!DA108*MINVU_Mes_Constante!$CP$1</f>
        <v>6485799.0842227368</v>
      </c>
      <c r="DB108" s="9">
        <f t="shared" si="83"/>
        <v>6485799.0842227368</v>
      </c>
      <c r="DC108" s="8">
        <f>+MINVU_Mes_Corriente!DC108*MINVU_Mes_Constante!$DC$1</f>
        <v>0</v>
      </c>
      <c r="DD108" s="8">
        <f>+MINVU_Mes_Corriente!DD108*MINVU_Mes_Constante!$DC$1</f>
        <v>0</v>
      </c>
      <c r="DE108" s="8">
        <f>+MINVU_Mes_Corriente!DE108*MINVU_Mes_Constante!$DC$1</f>
        <v>1224794.3719781921</v>
      </c>
      <c r="DF108" s="8">
        <f>+MINVU_Mes_Corriente!DF108*MINVU_Mes_Constante!$DC$1</f>
        <v>1224794.3719781921</v>
      </c>
      <c r="DG108" s="8">
        <f>+MINVU_Mes_Corriente!DG108*MINVU_Mes_Constante!$DC$1</f>
        <v>1224794.3719781921</v>
      </c>
      <c r="DH108" s="8">
        <f>+MINVU_Mes_Corriente!DH108*MINVU_Mes_Constante!$DC$1</f>
        <v>1224794.3719781921</v>
      </c>
      <c r="DI108" s="8">
        <f>+MINVU_Mes_Corriente!DI108*MINVU_Mes_Constante!$DC$1</f>
        <v>1224794.3719781921</v>
      </c>
      <c r="DJ108" s="8">
        <f>+MINVU_Mes_Corriente!DJ108*MINVU_Mes_Constante!$DC$1</f>
        <v>1224794.3719781921</v>
      </c>
      <c r="DK108" s="8">
        <f>+MINVU_Mes_Corriente!DK108*MINVU_Mes_Constante!$DC$1</f>
        <v>1224794.3719781921</v>
      </c>
      <c r="DL108" s="8">
        <f>+MINVU_Mes_Corriente!DL108*MINVU_Mes_Constante!$DC$1</f>
        <v>1224794.3719781921</v>
      </c>
      <c r="DM108" s="8">
        <f>+MINVU_Mes_Corriente!DM108*MINVU_Mes_Constante!$DC$1</f>
        <v>8878364.6454068553</v>
      </c>
      <c r="DN108" s="8">
        <f>+MINVU_Mes_Corriente!DN108*MINVU_Mes_Constante!$DC$1</f>
        <v>8878364.6454068553</v>
      </c>
      <c r="DO108" s="9">
        <f t="shared" si="84"/>
        <v>8878364.6454068553</v>
      </c>
      <c r="DP108" s="8">
        <f>+MINVU_Mes_Corriente!DP108*MINVU_Mes_Constante!$DP$1</f>
        <v>0</v>
      </c>
      <c r="DQ108" s="8">
        <f>+MINVU_Mes_Corriente!DQ108*MINVU_Mes_Constante!$DP$1</f>
        <v>0</v>
      </c>
      <c r="DR108" s="8">
        <f>+MINVU_Mes_Corriente!DR108*MINVU_Mes_Constante!$DP$1</f>
        <v>0</v>
      </c>
      <c r="DS108" s="8">
        <f>+MINVU_Mes_Corriente!DS108*MINVU_Mes_Constante!$DP$1</f>
        <v>0</v>
      </c>
      <c r="DT108" s="8">
        <f>+MINVU_Mes_Corriente!DT108*MINVU_Mes_Constante!$DP$1</f>
        <v>0</v>
      </c>
      <c r="DU108" s="8">
        <f>+MINVU_Mes_Corriente!DU108*MINVU_Mes_Constante!$DP$1</f>
        <v>0</v>
      </c>
      <c r="DV108" s="8">
        <f>+MINVU_Mes_Corriente!DV108*MINVU_Mes_Constante!$DP$1</f>
        <v>0</v>
      </c>
      <c r="DW108" s="8">
        <f>+MINVU_Mes_Corriente!DW108*MINVU_Mes_Constante!$DP$1</f>
        <v>0</v>
      </c>
      <c r="DX108" s="8">
        <f>+MINVU_Mes_Corriente!DX108*MINVU_Mes_Constante!$DP$1</f>
        <v>0</v>
      </c>
      <c r="DY108" s="8">
        <f>+MINVU_Mes_Corriente!DY108*MINVU_Mes_Constante!$DP$1</f>
        <v>0</v>
      </c>
      <c r="DZ108" s="8">
        <f>+MINVU_Mes_Corriente!DZ108*MINVU_Mes_Constante!$DP$1</f>
        <v>0</v>
      </c>
      <c r="EA108" s="8">
        <f>+MINVU_Mes_Corriente!EA108*MINVU_Mes_Constante!$DP$1</f>
        <v>0</v>
      </c>
      <c r="EB108" s="9">
        <f t="shared" si="85"/>
        <v>0</v>
      </c>
      <c r="EC108" s="8">
        <f>+MINVU_Mes_Corriente!EC108*MINVU_Mes_Constante!$EC$1</f>
        <v>0</v>
      </c>
      <c r="ED108" s="8">
        <f>+MINVU_Mes_Corriente!ED108*MINVU_Mes_Constante!$EC$1</f>
        <v>0</v>
      </c>
      <c r="EE108" s="8">
        <f>+MINVU_Mes_Corriente!EE108*MINVU_Mes_Constante!$EC$1</f>
        <v>0</v>
      </c>
      <c r="EF108" s="8">
        <f>+MINVU_Mes_Corriente!EF108*MINVU_Mes_Constante!$EC$1</f>
        <v>0</v>
      </c>
      <c r="EG108" s="8">
        <f>+MINVU_Mes_Corriente!EG108*MINVU_Mes_Constante!$EC$1</f>
        <v>10509.111342548757</v>
      </c>
      <c r="EH108" s="8">
        <f>+MINVU_Mes_Corriente!EH108*MINVU_Mes_Constante!$EC$1</f>
        <v>10509.111342548757</v>
      </c>
      <c r="EI108" s="8">
        <f>+MINVU_Mes_Corriente!EI108*MINVU_Mes_Constante!$EC$1</f>
        <v>10509.111342548757</v>
      </c>
      <c r="EJ108" s="8">
        <f>+MINVU_Mes_Corriente!EJ108*MINVU_Mes_Constante!$EC$1</f>
        <v>10509.111342548757</v>
      </c>
      <c r="EK108" s="8">
        <f>+MINVU_Mes_Corriente!EK108*MINVU_Mes_Constante!$EC$1</f>
        <v>10509.111342548757</v>
      </c>
      <c r="EL108" s="8">
        <f>+MINVU_Mes_Corriente!EL108*MINVU_Mes_Constante!$EC$1</f>
        <v>12973.202613141446</v>
      </c>
      <c r="EM108" s="8">
        <f>+MINVU_Mes_Corriente!EM108*MINVU_Mes_Constante!$EC$1</f>
        <v>446528.09619390254</v>
      </c>
      <c r="EN108" s="8">
        <f>+MINVU_Mes_Corriente!EN108*MINVU_Mes_Constante!$EC$1</f>
        <v>310811.70062488155</v>
      </c>
      <c r="EO108" s="9">
        <f t="shared" si="86"/>
        <v>310811.70062488155</v>
      </c>
      <c r="EP108" s="8">
        <f>+MINVU_Mes_Corriente!EP108*MINVU_Mes_Constante!$EP$1</f>
        <v>7424</v>
      </c>
      <c r="EQ108" s="8">
        <f>+MINVU_Mes_Corriente!EQ108*MINVU_Mes_Constante!$EP$1</f>
        <v>7424</v>
      </c>
      <c r="ER108" s="8">
        <f>+MINVU_Mes_Corriente!ER108*MINVU_Mes_Constante!$EP$1</f>
        <v>7424</v>
      </c>
      <c r="ES108" s="8">
        <f>+MINVU_Mes_Corriente!ES108*MINVU_Mes_Constante!$EP$1</f>
        <v>7424</v>
      </c>
      <c r="ET108" s="8">
        <f>+MINVU_Mes_Corriente!ET108*MINVU_Mes_Constante!$EP$1</f>
        <v>7424</v>
      </c>
      <c r="EU108" s="8">
        <f>+MINVU_Mes_Corriente!EU108*MINVU_Mes_Constante!$EP$1</f>
        <v>7424</v>
      </c>
      <c r="EV108" s="8">
        <f>+MINVU_Mes_Corriente!EV108*MINVU_Mes_Constante!$EP$1</f>
        <v>7424</v>
      </c>
      <c r="EW108" s="8">
        <f>+MINVU_Mes_Corriente!EW108*MINVU_Mes_Constante!$EP$1</f>
        <v>7424</v>
      </c>
      <c r="EX108" s="8">
        <f>+MINVU_Mes_Corriente!EX108*MINVU_Mes_Constante!$EP$1</f>
        <v>7424</v>
      </c>
      <c r="EY108" s="8">
        <f>+MINVU_Mes_Corriente!EY108*MINVU_Mes_Constante!$EP$1</f>
        <v>7424</v>
      </c>
      <c r="EZ108" s="8">
        <f>+MINVU_Mes_Corriente!EZ108*MINVU_Mes_Constante!$EP$1</f>
        <v>7424</v>
      </c>
      <c r="FA108" s="8">
        <f>+MINVU_Mes_Corriente!FA108*MINVU_Mes_Constante!$EP$1</f>
        <v>7424</v>
      </c>
      <c r="FB108" s="9">
        <f t="shared" si="87"/>
        <v>7424</v>
      </c>
      <c r="FC108" s="8">
        <f>+MINVU_Mes_Corriente!FC108*MINVU_Mes_Constante!$FC$1</f>
        <v>10</v>
      </c>
      <c r="FD108" s="8">
        <f>+MINVU_Mes_Corriente!FD108*MINVU_Mes_Constante!$FC$1</f>
        <v>10</v>
      </c>
      <c r="FE108" s="8">
        <f>+MINVU_Mes_Corriente!FE108*MINVU_Mes_Constante!$FC$1</f>
        <v>10</v>
      </c>
      <c r="FF108" s="8">
        <f>+MINVU_Mes_Corriente!FF108*MINVU_Mes_Constante!$FC$1</f>
        <v>10</v>
      </c>
      <c r="FG108" s="8">
        <f>+MINVU_Mes_Corriente!FG108*MINVU_Mes_Constante!$FC$1</f>
        <v>10</v>
      </c>
      <c r="FH108" s="8">
        <f>+MINVU_Mes_Corriente!FH108*MINVU_Mes_Constante!$FC$1</f>
        <v>10</v>
      </c>
      <c r="FI108" s="8">
        <f>+MINVU_Mes_Corriente!FI108*MINVU_Mes_Constante!$FC$1</f>
        <v>10</v>
      </c>
      <c r="FJ108" s="8"/>
      <c r="FK108" s="8"/>
      <c r="FL108" s="8"/>
      <c r="FM108" s="8"/>
      <c r="FN108" s="8"/>
      <c r="FO108" s="9">
        <f t="shared" si="88"/>
        <v>10</v>
      </c>
    </row>
    <row r="109" spans="2:171" ht="14.25" customHeight="1" x14ac:dyDescent="0.3">
      <c r="B109" s="7" t="s">
        <v>53</v>
      </c>
      <c r="C109" s="8">
        <f>+MINVU_Mes_Corriente!C109*MINVU_Mes_Constante!$C$1</f>
        <v>35714.068812101446</v>
      </c>
      <c r="D109" s="8">
        <f>+MINVU_Mes_Corriente!D109*MINVU_Mes_Constante!$C$1</f>
        <v>35714.068812101446</v>
      </c>
      <c r="E109" s="8">
        <f>+MINVU_Mes_Corriente!E109*MINVU_Mes_Constante!$C$1</f>
        <v>35714.068812101446</v>
      </c>
      <c r="F109" s="8">
        <f>+MINVU_Mes_Corriente!F109*MINVU_Mes_Constante!$C$1</f>
        <v>35714.068812101446</v>
      </c>
      <c r="G109" s="8">
        <f>+MINVU_Mes_Corriente!G109*MINVU_Mes_Constante!$C$1</f>
        <v>35714.068812101446</v>
      </c>
      <c r="H109" s="8">
        <f>+MINVU_Mes_Corriente!H109*MINVU_Mes_Constante!$C$1</f>
        <v>35714.068812101446</v>
      </c>
      <c r="I109" s="8">
        <f>+MINVU_Mes_Corriente!I109*MINVU_Mes_Constante!$C$1</f>
        <v>35714.068812101446</v>
      </c>
      <c r="J109" s="8">
        <f>+MINVU_Mes_Corriente!J109*MINVU_Mes_Constante!$C$1</f>
        <v>35714.068812101446</v>
      </c>
      <c r="K109" s="8">
        <f>+MINVU_Mes_Corriente!K109*MINVU_Mes_Constante!$C$1</f>
        <v>35714.068812101446</v>
      </c>
      <c r="L109" s="8">
        <f>+MINVU_Mes_Corriente!L109*MINVU_Mes_Constante!$C$1</f>
        <v>35714.068812101446</v>
      </c>
      <c r="M109" s="8">
        <f>+MINVU_Mes_Corriente!M109*MINVU_Mes_Constante!$C$1</f>
        <v>35714.068812101446</v>
      </c>
      <c r="N109" s="8">
        <f>+MINVU_Mes_Corriente!N109*MINVU_Mes_Constante!$C$1</f>
        <v>35714.068812101446</v>
      </c>
      <c r="O109" s="9">
        <f t="shared" si="76"/>
        <v>35714.068812101446</v>
      </c>
      <c r="P109" s="8">
        <f>+MINVU_Mes_Corriente!P109*MINVU_Mes_Constante!$P$1</f>
        <v>38261.954823128268</v>
      </c>
      <c r="Q109" s="8">
        <f>+MINVU_Mes_Corriente!Q109*MINVU_Mes_Constante!$P$1</f>
        <v>38261.954823128268</v>
      </c>
      <c r="R109" s="8">
        <f>+MINVU_Mes_Corriente!R109*MINVU_Mes_Constante!$P$1</f>
        <v>38261.954823128268</v>
      </c>
      <c r="S109" s="8">
        <f>+MINVU_Mes_Corriente!S109*MINVU_Mes_Constante!$P$1</f>
        <v>38261.954823128268</v>
      </c>
      <c r="T109" s="8">
        <f>+MINVU_Mes_Corriente!T109*MINVU_Mes_Constante!$P$1</f>
        <v>38261.954823128268</v>
      </c>
      <c r="U109" s="8">
        <f>+MINVU_Mes_Corriente!U109*MINVU_Mes_Constante!$P$1</f>
        <v>38261.954823128268</v>
      </c>
      <c r="V109" s="8">
        <f>+MINVU_Mes_Corriente!V109*MINVU_Mes_Constante!$P$1</f>
        <v>38261.954823128268</v>
      </c>
      <c r="W109" s="8">
        <f>+MINVU_Mes_Corriente!W109*MINVU_Mes_Constante!$P$1</f>
        <v>38261.954823128268</v>
      </c>
      <c r="X109" s="8">
        <f>+MINVU_Mes_Corriente!X109*MINVU_Mes_Constante!$P$1</f>
        <v>38261.954823128268</v>
      </c>
      <c r="Y109" s="8">
        <f>+MINVU_Mes_Corriente!Y109*MINVU_Mes_Constante!$P$1</f>
        <v>38261.954823128268</v>
      </c>
      <c r="Z109" s="8">
        <f>+MINVU_Mes_Corriente!Z109*MINVU_Mes_Constante!$P$1</f>
        <v>38261.954823128268</v>
      </c>
      <c r="AA109" s="8">
        <f>+MINVU_Mes_Corriente!AA109*MINVU_Mes_Constante!$P$1</f>
        <v>38261.954823128268</v>
      </c>
      <c r="AB109" s="9">
        <f t="shared" si="77"/>
        <v>38261.954823128268</v>
      </c>
      <c r="AC109" s="8">
        <f>+MINVU_Mes_Corriente!AC109*MINVU_Mes_Constante!$AC$1</f>
        <v>38013.532438788214</v>
      </c>
      <c r="AD109" s="8">
        <f>+MINVU_Mes_Corriente!AD109*MINVU_Mes_Constante!$AC$1</f>
        <v>38013.532438788214</v>
      </c>
      <c r="AE109" s="8">
        <f>+MINVU_Mes_Corriente!AE109*MINVU_Mes_Constante!$AC$1</f>
        <v>38013.532438788214</v>
      </c>
      <c r="AF109" s="8">
        <f>+MINVU_Mes_Corriente!AF109*MINVU_Mes_Constante!$AC$1</f>
        <v>236401.51971227003</v>
      </c>
      <c r="AG109" s="8">
        <f>+MINVU_Mes_Corriente!AG109*MINVU_Mes_Constante!$AC$1</f>
        <v>236401.51971227003</v>
      </c>
      <c r="AH109" s="8">
        <f>+MINVU_Mes_Corriente!AH109*MINVU_Mes_Constante!$AC$1</f>
        <v>242620.9816018813</v>
      </c>
      <c r="AI109" s="8">
        <f>+MINVU_Mes_Corriente!AI109*MINVU_Mes_Constante!$AC$1</f>
        <v>242620.9816018813</v>
      </c>
      <c r="AJ109" s="8">
        <f>+MINVU_Mes_Corriente!AJ109*MINVU_Mes_Constante!$AC$1</f>
        <v>242620.9816018813</v>
      </c>
      <c r="AK109" s="8">
        <f>+MINVU_Mes_Corriente!AK109*MINVU_Mes_Constante!$AC$1</f>
        <v>242620.9816018813</v>
      </c>
      <c r="AL109" s="8">
        <f>+MINVU_Mes_Corriente!AL109*MINVU_Mes_Constante!$AC$1</f>
        <v>242620.9816018813</v>
      </c>
      <c r="AM109" s="8">
        <f>+MINVU_Mes_Corriente!AM109*MINVU_Mes_Constante!$AC$1</f>
        <v>242620.9816018813</v>
      </c>
      <c r="AN109" s="8">
        <f>+MINVU_Mes_Corriente!AN109*MINVU_Mes_Constante!$AC$1</f>
        <v>242620.9816018813</v>
      </c>
      <c r="AO109" s="9">
        <f t="shared" si="78"/>
        <v>242620.9816018813</v>
      </c>
      <c r="AP109" s="8">
        <f>+MINVU_Mes_Corriente!AP109*MINVU_Mes_Constante!$AP$1</f>
        <v>1024151.780062221</v>
      </c>
      <c r="AQ109" s="8">
        <f>+MINVU_Mes_Corriente!AQ109*MINVU_Mes_Constante!$AP$1</f>
        <v>1024151.780062221</v>
      </c>
      <c r="AR109" s="8">
        <f>+MINVU_Mes_Corriente!AR109*MINVU_Mes_Constante!$AP$1</f>
        <v>1024151.780062221</v>
      </c>
      <c r="AS109" s="8">
        <f>+MINVU_Mes_Corriente!AS109*MINVU_Mes_Constante!$AP$1</f>
        <v>1024151.780062221</v>
      </c>
      <c r="AT109" s="8">
        <f>+MINVU_Mes_Corriente!AT109*MINVU_Mes_Constante!$AP$1</f>
        <v>1024151.780062221</v>
      </c>
      <c r="AU109" s="8">
        <f>+MINVU_Mes_Corriente!AU109*MINVU_Mes_Constante!$AP$1</f>
        <v>1024151.780062221</v>
      </c>
      <c r="AV109" s="8">
        <f>+MINVU_Mes_Corriente!AV109*MINVU_Mes_Constante!$AP$1</f>
        <v>1024151.780062221</v>
      </c>
      <c r="AW109" s="8">
        <f>+MINVU_Mes_Corriente!AW109*MINVU_Mes_Constante!$AP$1</f>
        <v>1024151.780062221</v>
      </c>
      <c r="AX109" s="8">
        <f>+MINVU_Mes_Corriente!AX109*MINVU_Mes_Constante!$AP$1</f>
        <v>1024151.780062221</v>
      </c>
      <c r="AY109" s="8">
        <f>+MINVU_Mes_Corriente!AY109*MINVU_Mes_Constante!$AP$1</f>
        <v>1024151.780062221</v>
      </c>
      <c r="AZ109" s="8">
        <f>+MINVU_Mes_Corriente!AZ109*MINVU_Mes_Constante!$AP$1</f>
        <v>1024151.780062221</v>
      </c>
      <c r="BA109" s="8">
        <f>+MINVU_Mes_Corriente!BA109*MINVU_Mes_Constante!$AP$1</f>
        <v>628752.65332070878</v>
      </c>
      <c r="BB109" s="9">
        <f t="shared" si="79"/>
        <v>628752.65332070878</v>
      </c>
      <c r="BC109" s="8">
        <f>+MINVU_Mes_Corriente!BC109*MINVU_Mes_Constante!$BC$1</f>
        <v>2106994.7379665044</v>
      </c>
      <c r="BD109" s="8">
        <f>+MINVU_Mes_Corriente!BD109*MINVU_Mes_Constante!$BC$1</f>
        <v>2106994.7379665044</v>
      </c>
      <c r="BE109" s="8">
        <f>+MINVU_Mes_Corriente!BE109*MINVU_Mes_Constante!$BC$1</f>
        <v>2106994.7379665044</v>
      </c>
      <c r="BF109" s="8">
        <f>+MINVU_Mes_Corriente!BF109*MINVU_Mes_Constante!$BC$1</f>
        <v>2106994.7379665044</v>
      </c>
      <c r="BG109" s="8">
        <f>+MINVU_Mes_Corriente!BG109*MINVU_Mes_Constante!$BC$1</f>
        <v>2106994.7379665044</v>
      </c>
      <c r="BH109" s="8">
        <f>+MINVU_Mes_Corriente!BH109*MINVU_Mes_Constante!$BC$1</f>
        <v>2106994.7379665044</v>
      </c>
      <c r="BI109" s="8">
        <f>+MINVU_Mes_Corriente!BI109*MINVU_Mes_Constante!$BC$1</f>
        <v>1889901.1839641307</v>
      </c>
      <c r="BJ109" s="8">
        <f>+MINVU_Mes_Corriente!BJ109*MINVU_Mes_Constante!$BC$1</f>
        <v>1889901.1839641307</v>
      </c>
      <c r="BK109" s="8">
        <f>+MINVU_Mes_Corriente!BK109*MINVU_Mes_Constante!$BC$1</f>
        <v>1889901.1839641307</v>
      </c>
      <c r="BL109" s="8">
        <f>+MINVU_Mes_Corriente!BL109*MINVU_Mes_Constante!$BC$1</f>
        <v>1889901.1839641307</v>
      </c>
      <c r="BM109" s="8">
        <f>+MINVU_Mes_Corriente!BM109*MINVU_Mes_Constante!$BC$1</f>
        <v>1889901.1839641307</v>
      </c>
      <c r="BN109" s="8">
        <f>+MINVU_Mes_Corriente!BN109*MINVU_Mes_Constante!$BC$1</f>
        <v>1889901.1839641307</v>
      </c>
      <c r="BO109" s="9">
        <f t="shared" si="80"/>
        <v>1889901.1839641307</v>
      </c>
      <c r="BP109" s="8">
        <f>+MINVU_Mes_Corriente!BP109*MINVU_Mes_Constante!$BP$1</f>
        <v>788475.27964148531</v>
      </c>
      <c r="BQ109" s="8">
        <f>+MINVU_Mes_Corriente!BQ109*MINVU_Mes_Constante!$BP$1</f>
        <v>788475.27964148531</v>
      </c>
      <c r="BR109" s="8">
        <f>+MINVU_Mes_Corriente!BR109*MINVU_Mes_Constante!$BP$1</f>
        <v>788475.27964148531</v>
      </c>
      <c r="BS109" s="8">
        <f>+MINVU_Mes_Corriente!BS109*MINVU_Mes_Constante!$BP$1</f>
        <v>788475.27964148531</v>
      </c>
      <c r="BT109" s="8">
        <f>+MINVU_Mes_Corriente!BT109*MINVU_Mes_Constante!$BP$1</f>
        <v>788475.27964148531</v>
      </c>
      <c r="BU109" s="8">
        <f>+MINVU_Mes_Corriente!BU109*MINVU_Mes_Constante!$BP$1</f>
        <v>788475.27964148531</v>
      </c>
      <c r="BV109" s="8">
        <f>+MINVU_Mes_Corriente!BV109*MINVU_Mes_Constante!$BP$1</f>
        <v>906311.00051216397</v>
      </c>
      <c r="BW109" s="8">
        <f>+MINVU_Mes_Corriente!BW109*MINVU_Mes_Constante!$BP$1</f>
        <v>948699.96338028181</v>
      </c>
      <c r="BX109" s="8">
        <f>+MINVU_Mes_Corriente!BX109*MINVU_Mes_Constante!$BP$1</f>
        <v>948699.96338028181</v>
      </c>
      <c r="BY109" s="8">
        <f>+MINVU_Mes_Corriente!BY109*MINVU_Mes_Constante!$BP$1</f>
        <v>948699.96338028181</v>
      </c>
      <c r="BZ109" s="8">
        <f>+MINVU_Mes_Corriente!BZ109*MINVU_Mes_Constante!$BP$1</f>
        <v>948699.96338028181</v>
      </c>
      <c r="CA109" s="8">
        <f>+MINVU_Mes_Corriente!CA109*MINVU_Mes_Constante!$BP$1</f>
        <v>196291.67554417416</v>
      </c>
      <c r="CB109" s="9">
        <f t="shared" si="81"/>
        <v>196291.67554417416</v>
      </c>
      <c r="CC109" s="8">
        <f>+MINVU_Mes_Corriente!CC109*MINVU_Mes_Constante!$CC$1</f>
        <v>17184.37150317046</v>
      </c>
      <c r="CD109" s="8">
        <f>+MINVU_Mes_Corriente!CD109*MINVU_Mes_Constante!$CC$1</f>
        <v>17184.37150317046</v>
      </c>
      <c r="CE109" s="8">
        <f>+MINVU_Mes_Corriente!CE109*MINVU_Mes_Constante!$CC$1</f>
        <v>17184.37150317046</v>
      </c>
      <c r="CF109" s="8">
        <f>+MINVU_Mes_Corriente!CF109*MINVU_Mes_Constante!$CC$1</f>
        <v>12029.060052219322</v>
      </c>
      <c r="CG109" s="8">
        <f>+MINVU_Mes_Corriente!CG109*MINVU_Mes_Constante!$CC$1</f>
        <v>6013.8508019395749</v>
      </c>
      <c r="CH109" s="8">
        <f>+MINVU_Mes_Corriente!CH109*MINVU_Mes_Constante!$CC$1</f>
        <v>6013.8508019395749</v>
      </c>
      <c r="CI109" s="8">
        <f>+MINVU_Mes_Corriente!CI109*MINVU_Mes_Constante!$CC$1</f>
        <v>6013.8508019395749</v>
      </c>
      <c r="CJ109" s="8">
        <f>+MINVU_Mes_Corriente!CJ109*MINVU_Mes_Constante!$CC$1</f>
        <v>6013.8508019395749</v>
      </c>
      <c r="CK109" s="8">
        <f>+MINVU_Mes_Corriente!CK109*MINVU_Mes_Constante!$CC$1</f>
        <v>6013.8508019395749</v>
      </c>
      <c r="CL109" s="8">
        <f>+MINVU_Mes_Corriente!CL109*MINVU_Mes_Constante!$CC$1</f>
        <v>6013.8508019395749</v>
      </c>
      <c r="CM109" s="8">
        <f>+MINVU_Mes_Corriente!CM109*MINVU_Mes_Constante!$CC$1</f>
        <v>598613.84558000753</v>
      </c>
      <c r="CN109" s="8">
        <f>+MINVU_Mes_Corriente!CN109*MINVU_Mes_Constante!$CC$1</f>
        <v>611437.59791122726</v>
      </c>
      <c r="CO109" s="9">
        <f t="shared" si="82"/>
        <v>611437.59791122726</v>
      </c>
      <c r="CP109" s="8">
        <f>+MINVU_Mes_Corriente!CP109*MINVU_Mes_Constante!$CP$1</f>
        <v>8942.3352668213447</v>
      </c>
      <c r="CQ109" s="8">
        <f>+MINVU_Mes_Corriente!CQ109*MINVU_Mes_Constante!$CP$1</f>
        <v>8942.3352668213447</v>
      </c>
      <c r="CR109" s="8">
        <f>+MINVU_Mes_Corriente!CR109*MINVU_Mes_Constante!$CP$1</f>
        <v>8942.3352668213447</v>
      </c>
      <c r="CS109" s="8">
        <f>+MINVU_Mes_Corriente!CS109*MINVU_Mes_Constante!$CP$1</f>
        <v>8942.3352668213447</v>
      </c>
      <c r="CT109" s="8">
        <f>+MINVU_Mes_Corriente!CT109*MINVU_Mes_Constante!$CP$1</f>
        <v>316888.22296983754</v>
      </c>
      <c r="CU109" s="8">
        <f>+MINVU_Mes_Corriente!CU109*MINVU_Mes_Constante!$CP$1</f>
        <v>316888.22296983754</v>
      </c>
      <c r="CV109" s="8">
        <f>+MINVU_Mes_Corriente!CV109*MINVU_Mes_Constante!$CP$1</f>
        <v>338386.58561484911</v>
      </c>
      <c r="CW109" s="8">
        <f>+MINVU_Mes_Corriente!CW109*MINVU_Mes_Constante!$CP$1</f>
        <v>338386.58561484911</v>
      </c>
      <c r="CX109" s="8">
        <f>+MINVU_Mes_Corriente!CX109*MINVU_Mes_Constante!$CP$1</f>
        <v>338386.58561484911</v>
      </c>
      <c r="CY109" s="8">
        <f>+MINVU_Mes_Corriente!CY109*MINVU_Mes_Constante!$CP$1</f>
        <v>338386.58561484911</v>
      </c>
      <c r="CZ109" s="8">
        <f>+MINVU_Mes_Corriente!CZ109*MINVU_Mes_Constante!$CP$1</f>
        <v>338386.58561484911</v>
      </c>
      <c r="DA109" s="8">
        <f>+MINVU_Mes_Corriente!DA109*MINVU_Mes_Constante!$CP$1</f>
        <v>338386.58561484911</v>
      </c>
      <c r="DB109" s="9">
        <f t="shared" si="83"/>
        <v>338386.58561484911</v>
      </c>
      <c r="DC109" s="8">
        <f>+MINVU_Mes_Corriente!DC109*MINVU_Mes_Constante!$DC$1</f>
        <v>0</v>
      </c>
      <c r="DD109" s="8">
        <f>+MINVU_Mes_Corriente!DD109*MINVU_Mes_Constante!$DC$1</f>
        <v>0</v>
      </c>
      <c r="DE109" s="8">
        <f>+MINVU_Mes_Corriente!DE109*MINVU_Mes_Constante!$DC$1</f>
        <v>0</v>
      </c>
      <c r="DF109" s="8">
        <f>+MINVU_Mes_Corriente!DF109*MINVU_Mes_Constante!$DC$1</f>
        <v>0</v>
      </c>
      <c r="DG109" s="8">
        <f>+MINVU_Mes_Corriente!DG109*MINVU_Mes_Constante!$DC$1</f>
        <v>38019.018208003312</v>
      </c>
      <c r="DH109" s="8">
        <f>+MINVU_Mes_Corriente!DH109*MINVU_Mes_Constante!$DC$1</f>
        <v>38019.018208003312</v>
      </c>
      <c r="DI109" s="8">
        <f>+MINVU_Mes_Corriente!DI109*MINVU_Mes_Constante!$DC$1</f>
        <v>38019.018208003312</v>
      </c>
      <c r="DJ109" s="8">
        <f>+MINVU_Mes_Corriente!DJ109*MINVU_Mes_Constante!$DC$1</f>
        <v>38019.018208003312</v>
      </c>
      <c r="DK109" s="8">
        <f>+MINVU_Mes_Corriente!DK109*MINVU_Mes_Constante!$DC$1</f>
        <v>38019.018208003312</v>
      </c>
      <c r="DL109" s="8">
        <f>+MINVU_Mes_Corriente!DL109*MINVU_Mes_Constante!$DC$1</f>
        <v>3760817.7679251125</v>
      </c>
      <c r="DM109" s="8">
        <f>+MINVU_Mes_Corriente!DM109*MINVU_Mes_Constante!$DC$1</f>
        <v>7239275.8203888526</v>
      </c>
      <c r="DN109" s="8">
        <f>+MINVU_Mes_Corriente!DN109*MINVU_Mes_Constante!$DC$1</f>
        <v>9645976.5581730325</v>
      </c>
      <c r="DO109" s="9">
        <f t="shared" si="84"/>
        <v>9645976.5581730325</v>
      </c>
      <c r="DP109" s="8">
        <f>+MINVU_Mes_Corriente!DP109*MINVU_Mes_Constante!$DP$1</f>
        <v>0</v>
      </c>
      <c r="DQ109" s="8">
        <f>+MINVU_Mes_Corriente!DQ109*MINVU_Mes_Constante!$DP$1</f>
        <v>0</v>
      </c>
      <c r="DR109" s="8">
        <f>+MINVU_Mes_Corriente!DR109*MINVU_Mes_Constante!$DP$1</f>
        <v>0</v>
      </c>
      <c r="DS109" s="8">
        <f>+MINVU_Mes_Corriente!DS109*MINVU_Mes_Constante!$DP$1</f>
        <v>0</v>
      </c>
      <c r="DT109" s="8">
        <f>+MINVU_Mes_Corriente!DT109*MINVU_Mes_Constante!$DP$1</f>
        <v>0</v>
      </c>
      <c r="DU109" s="8">
        <f>+MINVU_Mes_Corriente!DU109*MINVU_Mes_Constante!$DP$1</f>
        <v>0</v>
      </c>
      <c r="DV109" s="8">
        <f>+MINVU_Mes_Corriente!DV109*MINVU_Mes_Constante!$DP$1</f>
        <v>0</v>
      </c>
      <c r="DW109" s="8">
        <f>+MINVU_Mes_Corriente!DW109*MINVU_Mes_Constante!$DP$1</f>
        <v>0</v>
      </c>
      <c r="DX109" s="8">
        <f>+MINVU_Mes_Corriente!DX109*MINVU_Mes_Constante!$DP$1</f>
        <v>0</v>
      </c>
      <c r="DY109" s="8">
        <f>+MINVU_Mes_Corriente!DY109*MINVU_Mes_Constante!$DP$1</f>
        <v>0</v>
      </c>
      <c r="DZ109" s="8">
        <f>+MINVU_Mes_Corriente!DZ109*MINVU_Mes_Constante!$DP$1</f>
        <v>0</v>
      </c>
      <c r="EA109" s="8">
        <f>+MINVU_Mes_Corriente!EA109*MINVU_Mes_Constante!$DP$1</f>
        <v>0</v>
      </c>
      <c r="EB109" s="9">
        <f t="shared" si="85"/>
        <v>0</v>
      </c>
      <c r="EC109" s="8">
        <f>+MINVU_Mes_Corriente!EC109*MINVU_Mes_Constante!$EC$1</f>
        <v>0</v>
      </c>
      <c r="ED109" s="8">
        <f>+MINVU_Mes_Corriente!ED109*MINVU_Mes_Constante!$EC$1</f>
        <v>0</v>
      </c>
      <c r="EE109" s="8">
        <f>+MINVU_Mes_Corriente!EE109*MINVU_Mes_Constante!$EC$1</f>
        <v>0</v>
      </c>
      <c r="EF109" s="8">
        <f>+MINVU_Mes_Corriente!EF109*MINVU_Mes_Constante!$EC$1</f>
        <v>0</v>
      </c>
      <c r="EG109" s="8">
        <f>+MINVU_Mes_Corriente!EG109*MINVU_Mes_Constante!$EC$1</f>
        <v>5255.072902859305</v>
      </c>
      <c r="EH109" s="8">
        <f>+MINVU_Mes_Corriente!EH109*MINVU_Mes_Constante!$EC$1</f>
        <v>5255.072902859305</v>
      </c>
      <c r="EI109" s="8">
        <f>+MINVU_Mes_Corriente!EI109*MINVU_Mes_Constante!$EC$1</f>
        <v>5255.072902859305</v>
      </c>
      <c r="EJ109" s="8">
        <f>+MINVU_Mes_Corriente!EJ109*MINVU_Mes_Constante!$EC$1</f>
        <v>5255.072902859305</v>
      </c>
      <c r="EK109" s="8">
        <f>+MINVU_Mes_Corriente!EK109*MINVU_Mes_Constante!$EC$1</f>
        <v>5255.072902859305</v>
      </c>
      <c r="EL109" s="8">
        <f>+MINVU_Mes_Corriente!EL109*MINVU_Mes_Constante!$EC$1</f>
        <v>7101.5896610490418</v>
      </c>
      <c r="EM109" s="8">
        <f>+MINVU_Mes_Corriente!EM109*MINVU_Mes_Constante!$EC$1</f>
        <v>7101.5896610490418</v>
      </c>
      <c r="EN109" s="8">
        <f>+MINVU_Mes_Corriente!EN109*MINVU_Mes_Constante!$EC$1</f>
        <v>7101.5896610490418</v>
      </c>
      <c r="EO109" s="9">
        <f t="shared" si="86"/>
        <v>7101.5896610490418</v>
      </c>
      <c r="EP109" s="8">
        <f>+MINVU_Mes_Corriente!EP109*MINVU_Mes_Constante!$EP$1</f>
        <v>2970</v>
      </c>
      <c r="EQ109" s="8">
        <f>+MINVU_Mes_Corriente!EQ109*MINVU_Mes_Constante!$EP$1</f>
        <v>2970</v>
      </c>
      <c r="ER109" s="8">
        <f>+MINVU_Mes_Corriente!ER109*MINVU_Mes_Constante!$EP$1</f>
        <v>2970</v>
      </c>
      <c r="ES109" s="8">
        <f>+MINVU_Mes_Corriente!ES109*MINVU_Mes_Constante!$EP$1</f>
        <v>2970</v>
      </c>
      <c r="ET109" s="8">
        <f>+MINVU_Mes_Corriente!ET109*MINVU_Mes_Constante!$EP$1</f>
        <v>2970</v>
      </c>
      <c r="EU109" s="8">
        <f>+MINVU_Mes_Corriente!EU109*MINVU_Mes_Constante!$EP$1</f>
        <v>2970</v>
      </c>
      <c r="EV109" s="8">
        <f>+MINVU_Mes_Corriente!EV109*MINVU_Mes_Constante!$EP$1</f>
        <v>2970</v>
      </c>
      <c r="EW109" s="8">
        <f>+MINVU_Mes_Corriente!EW109*MINVU_Mes_Constante!$EP$1</f>
        <v>2970</v>
      </c>
      <c r="EX109" s="8">
        <f>+MINVU_Mes_Corriente!EX109*MINVU_Mes_Constante!$EP$1</f>
        <v>2970</v>
      </c>
      <c r="EY109" s="8">
        <f>+MINVU_Mes_Corriente!EY109*MINVU_Mes_Constante!$EP$1</f>
        <v>2970</v>
      </c>
      <c r="EZ109" s="8">
        <f>+MINVU_Mes_Corriente!EZ109*MINVU_Mes_Constante!$EP$1</f>
        <v>2970</v>
      </c>
      <c r="FA109" s="8">
        <f>+MINVU_Mes_Corriente!FA109*MINVU_Mes_Constante!$EP$1</f>
        <v>2970</v>
      </c>
      <c r="FB109" s="9">
        <f t="shared" si="87"/>
        <v>2970</v>
      </c>
      <c r="FC109" s="8">
        <f>+MINVU_Mes_Corriente!FC109*MINVU_Mes_Constante!$FC$1</f>
        <v>10</v>
      </c>
      <c r="FD109" s="8">
        <f>+MINVU_Mes_Corriente!FD109*MINVU_Mes_Constante!$FC$1</f>
        <v>10</v>
      </c>
      <c r="FE109" s="8">
        <f>+MINVU_Mes_Corriente!FE109*MINVU_Mes_Constante!$FC$1</f>
        <v>10</v>
      </c>
      <c r="FF109" s="8">
        <f>+MINVU_Mes_Corriente!FF109*MINVU_Mes_Constante!$FC$1</f>
        <v>10</v>
      </c>
      <c r="FG109" s="8">
        <f>+MINVU_Mes_Corriente!FG109*MINVU_Mes_Constante!$FC$1</f>
        <v>10</v>
      </c>
      <c r="FH109" s="8">
        <f>+MINVU_Mes_Corriente!FH109*MINVU_Mes_Constante!$FC$1</f>
        <v>10</v>
      </c>
      <c r="FI109" s="8">
        <f>+MINVU_Mes_Corriente!FI109*MINVU_Mes_Constante!$FC$1</f>
        <v>10</v>
      </c>
      <c r="FJ109" s="8"/>
      <c r="FK109" s="8"/>
      <c r="FL109" s="8"/>
      <c r="FM109" s="8"/>
      <c r="FN109" s="8"/>
      <c r="FO109" s="9">
        <f t="shared" si="88"/>
        <v>10</v>
      </c>
    </row>
    <row r="110" spans="2:171" ht="14.25" customHeight="1" x14ac:dyDescent="0.3">
      <c r="B110" s="7" t="s">
        <v>54</v>
      </c>
      <c r="C110" s="8">
        <f>+MINVU_Mes_Corriente!C110*MINVU_Mes_Constante!$C$1</f>
        <v>0</v>
      </c>
      <c r="D110" s="8">
        <f>+MINVU_Mes_Corriente!D110*MINVU_Mes_Constante!$C$1</f>
        <v>0</v>
      </c>
      <c r="E110" s="8">
        <f>+MINVU_Mes_Corriente!E110*MINVU_Mes_Constante!$C$1</f>
        <v>0</v>
      </c>
      <c r="F110" s="8">
        <f>+MINVU_Mes_Corriente!F110*MINVU_Mes_Constante!$C$1</f>
        <v>0</v>
      </c>
      <c r="G110" s="8">
        <f>+MINVU_Mes_Corriente!G110*MINVU_Mes_Constante!$C$1</f>
        <v>0</v>
      </c>
      <c r="H110" s="8">
        <f>+MINVU_Mes_Corriente!H110*MINVU_Mes_Constante!$C$1</f>
        <v>0</v>
      </c>
      <c r="I110" s="8">
        <f>+MINVU_Mes_Corriente!I110*MINVU_Mes_Constante!$C$1</f>
        <v>0</v>
      </c>
      <c r="J110" s="8">
        <f>+MINVU_Mes_Corriente!J110*MINVU_Mes_Constante!$C$1</f>
        <v>0</v>
      </c>
      <c r="K110" s="8">
        <f>+MINVU_Mes_Corriente!K110*MINVU_Mes_Constante!$C$1</f>
        <v>0</v>
      </c>
      <c r="L110" s="8">
        <f>+MINVU_Mes_Corriente!L110*MINVU_Mes_Constante!$C$1</f>
        <v>0</v>
      </c>
      <c r="M110" s="8">
        <f>+MINVU_Mes_Corriente!M110*MINVU_Mes_Constante!$C$1</f>
        <v>0</v>
      </c>
      <c r="N110" s="8">
        <f>+MINVU_Mes_Corriente!N110*MINVU_Mes_Constante!$C$1</f>
        <v>0</v>
      </c>
      <c r="O110" s="9">
        <f t="shared" si="76"/>
        <v>0</v>
      </c>
      <c r="P110" s="8">
        <f>+MINVU_Mes_Corriente!P110*MINVU_Mes_Constante!$P$1</f>
        <v>0</v>
      </c>
      <c r="Q110" s="8">
        <f>+MINVU_Mes_Corriente!Q110*MINVU_Mes_Constante!$P$1</f>
        <v>0</v>
      </c>
      <c r="R110" s="8">
        <f>+MINVU_Mes_Corriente!R110*MINVU_Mes_Constante!$P$1</f>
        <v>0</v>
      </c>
      <c r="S110" s="8">
        <f>+MINVU_Mes_Corriente!S110*MINVU_Mes_Constante!$P$1</f>
        <v>0</v>
      </c>
      <c r="T110" s="8">
        <f>+MINVU_Mes_Corriente!T110*MINVU_Mes_Constante!$P$1</f>
        <v>0</v>
      </c>
      <c r="U110" s="8">
        <f>+MINVU_Mes_Corriente!U110*MINVU_Mes_Constante!$P$1</f>
        <v>0</v>
      </c>
      <c r="V110" s="8">
        <f>+MINVU_Mes_Corriente!V110*MINVU_Mes_Constante!$P$1</f>
        <v>0</v>
      </c>
      <c r="W110" s="8">
        <f>+MINVU_Mes_Corriente!W110*MINVU_Mes_Constante!$P$1</f>
        <v>0</v>
      </c>
      <c r="X110" s="8">
        <f>+MINVU_Mes_Corriente!X110*MINVU_Mes_Constante!$P$1</f>
        <v>0</v>
      </c>
      <c r="Y110" s="8">
        <f>+MINVU_Mes_Corriente!Y110*MINVU_Mes_Constante!$P$1</f>
        <v>0</v>
      </c>
      <c r="Z110" s="8">
        <f>+MINVU_Mes_Corriente!Z110*MINVU_Mes_Constante!$P$1</f>
        <v>0</v>
      </c>
      <c r="AA110" s="8">
        <f>+MINVU_Mes_Corriente!AA110*MINVU_Mes_Constante!$P$1</f>
        <v>0</v>
      </c>
      <c r="AB110" s="9">
        <f t="shared" si="77"/>
        <v>0</v>
      </c>
      <c r="AC110" s="8">
        <f>+MINVU_Mes_Corriente!AC110*MINVU_Mes_Constante!$AC$1</f>
        <v>0</v>
      </c>
      <c r="AD110" s="8">
        <f>+MINVU_Mes_Corriente!AD110*MINVU_Mes_Constante!$AC$1</f>
        <v>0</v>
      </c>
      <c r="AE110" s="8">
        <f>+MINVU_Mes_Corriente!AE110*MINVU_Mes_Constante!$AC$1</f>
        <v>0</v>
      </c>
      <c r="AF110" s="8">
        <f>+MINVU_Mes_Corriente!AF110*MINVU_Mes_Constante!$AC$1</f>
        <v>0</v>
      </c>
      <c r="AG110" s="8">
        <f>+MINVU_Mes_Corriente!AG110*MINVU_Mes_Constante!$AC$1</f>
        <v>0</v>
      </c>
      <c r="AH110" s="8">
        <f>+MINVU_Mes_Corriente!AH110*MINVU_Mes_Constante!$AC$1</f>
        <v>0</v>
      </c>
      <c r="AI110" s="8">
        <f>+MINVU_Mes_Corriente!AI110*MINVU_Mes_Constante!$AC$1</f>
        <v>0</v>
      </c>
      <c r="AJ110" s="8">
        <f>+MINVU_Mes_Corriente!AJ110*MINVU_Mes_Constante!$AC$1</f>
        <v>0</v>
      </c>
      <c r="AK110" s="8">
        <f>+MINVU_Mes_Corriente!AK110*MINVU_Mes_Constante!$AC$1</f>
        <v>0</v>
      </c>
      <c r="AL110" s="8">
        <f>+MINVU_Mes_Corriente!AL110*MINVU_Mes_Constante!$AC$1</f>
        <v>0</v>
      </c>
      <c r="AM110" s="8">
        <f>+MINVU_Mes_Corriente!AM110*MINVU_Mes_Constante!$AC$1</f>
        <v>0</v>
      </c>
      <c r="AN110" s="8">
        <f>+MINVU_Mes_Corriente!AN110*MINVU_Mes_Constante!$AC$1</f>
        <v>0</v>
      </c>
      <c r="AO110" s="9">
        <f t="shared" si="78"/>
        <v>0</v>
      </c>
      <c r="AP110" s="8">
        <f>+MINVU_Mes_Corriente!AP110*MINVU_Mes_Constante!$AP$1</f>
        <v>0</v>
      </c>
      <c r="AQ110" s="8">
        <f>+MINVU_Mes_Corriente!AQ110*MINVU_Mes_Constante!$AP$1</f>
        <v>0</v>
      </c>
      <c r="AR110" s="8">
        <f>+MINVU_Mes_Corriente!AR110*MINVU_Mes_Constante!$AP$1</f>
        <v>0</v>
      </c>
      <c r="AS110" s="8">
        <f>+MINVU_Mes_Corriente!AS110*MINVU_Mes_Constante!$AP$1</f>
        <v>0</v>
      </c>
      <c r="AT110" s="8">
        <f>+MINVU_Mes_Corriente!AT110*MINVU_Mes_Constante!$AP$1</f>
        <v>0</v>
      </c>
      <c r="AU110" s="8">
        <f>+MINVU_Mes_Corriente!AU110*MINVU_Mes_Constante!$AP$1</f>
        <v>0</v>
      </c>
      <c r="AV110" s="8">
        <f>+MINVU_Mes_Corriente!AV110*MINVU_Mes_Constante!$AP$1</f>
        <v>0</v>
      </c>
      <c r="AW110" s="8">
        <f>+MINVU_Mes_Corriente!AW110*MINVU_Mes_Constante!$AP$1</f>
        <v>0</v>
      </c>
      <c r="AX110" s="8">
        <f>+MINVU_Mes_Corriente!AX110*MINVU_Mes_Constante!$AP$1</f>
        <v>0</v>
      </c>
      <c r="AY110" s="8">
        <f>+MINVU_Mes_Corriente!AY110*MINVU_Mes_Constante!$AP$1</f>
        <v>0</v>
      </c>
      <c r="AZ110" s="8">
        <f>+MINVU_Mes_Corriente!AZ110*MINVU_Mes_Constante!$AP$1</f>
        <v>0</v>
      </c>
      <c r="BA110" s="8">
        <f>+MINVU_Mes_Corriente!BA110*MINVU_Mes_Constante!$AP$1</f>
        <v>0</v>
      </c>
      <c r="BB110" s="9">
        <f t="shared" si="79"/>
        <v>0</v>
      </c>
      <c r="BC110" s="8">
        <f>+MINVU_Mes_Corriente!BC110*MINVU_Mes_Constante!$BC$1</f>
        <v>0</v>
      </c>
      <c r="BD110" s="8">
        <f>+MINVU_Mes_Corriente!BD110*MINVU_Mes_Constante!$BC$1</f>
        <v>0</v>
      </c>
      <c r="BE110" s="8">
        <f>+MINVU_Mes_Corriente!BE110*MINVU_Mes_Constante!$BC$1</f>
        <v>0</v>
      </c>
      <c r="BF110" s="8">
        <f>+MINVU_Mes_Corriente!BF110*MINVU_Mes_Constante!$BC$1</f>
        <v>0</v>
      </c>
      <c r="BG110" s="8">
        <f>+MINVU_Mes_Corriente!BG110*MINVU_Mes_Constante!$BC$1</f>
        <v>0</v>
      </c>
      <c r="BH110" s="8">
        <f>+MINVU_Mes_Corriente!BH110*MINVU_Mes_Constante!$BC$1</f>
        <v>0</v>
      </c>
      <c r="BI110" s="8">
        <f>+MINVU_Mes_Corriente!BI110*MINVU_Mes_Constante!$BC$1</f>
        <v>0</v>
      </c>
      <c r="BJ110" s="8">
        <f>+MINVU_Mes_Corriente!BJ110*MINVU_Mes_Constante!$BC$1</f>
        <v>0</v>
      </c>
      <c r="BK110" s="8">
        <f>+MINVU_Mes_Corriente!BK110*MINVU_Mes_Constante!$BC$1</f>
        <v>0</v>
      </c>
      <c r="BL110" s="8">
        <f>+MINVU_Mes_Corriente!BL110*MINVU_Mes_Constante!$BC$1</f>
        <v>0</v>
      </c>
      <c r="BM110" s="8">
        <f>+MINVU_Mes_Corriente!BM110*MINVU_Mes_Constante!$BC$1</f>
        <v>0</v>
      </c>
      <c r="BN110" s="8">
        <f>+MINVU_Mes_Corriente!BN110*MINVU_Mes_Constante!$BC$1</f>
        <v>0</v>
      </c>
      <c r="BO110" s="9">
        <f t="shared" si="80"/>
        <v>0</v>
      </c>
      <c r="BP110" s="8">
        <f>+MINVU_Mes_Corriente!BP110*MINVU_Mes_Constante!$BP$1</f>
        <v>95755.687836107565</v>
      </c>
      <c r="BQ110" s="8">
        <f>+MINVU_Mes_Corriente!BQ110*MINVU_Mes_Constante!$BP$1</f>
        <v>95755.687836107565</v>
      </c>
      <c r="BR110" s="8">
        <f>+MINVU_Mes_Corriente!BR110*MINVU_Mes_Constante!$BP$1</f>
        <v>95755.687836107565</v>
      </c>
      <c r="BS110" s="8">
        <f>+MINVU_Mes_Corriente!BS110*MINVU_Mes_Constante!$BP$1</f>
        <v>95755.687836107565</v>
      </c>
      <c r="BT110" s="8">
        <f>+MINVU_Mes_Corriente!BT110*MINVU_Mes_Constante!$BP$1</f>
        <v>95755.687836107565</v>
      </c>
      <c r="BU110" s="8">
        <f>+MINVU_Mes_Corriente!BU110*MINVU_Mes_Constante!$BP$1</f>
        <v>95755.687836107565</v>
      </c>
      <c r="BV110" s="8">
        <f>+MINVU_Mes_Corriente!BV110*MINVU_Mes_Constante!$BP$1</f>
        <v>95755.687836107565</v>
      </c>
      <c r="BW110" s="8">
        <f>+MINVU_Mes_Corriente!BW110*MINVU_Mes_Constante!$BP$1</f>
        <v>95755.687836107565</v>
      </c>
      <c r="BX110" s="8">
        <f>+MINVU_Mes_Corriente!BX110*MINVU_Mes_Constante!$BP$1</f>
        <v>95755.687836107565</v>
      </c>
      <c r="BY110" s="8">
        <f>+MINVU_Mes_Corriente!BY110*MINVU_Mes_Constante!$BP$1</f>
        <v>95755.687836107565</v>
      </c>
      <c r="BZ110" s="8">
        <f>+MINVU_Mes_Corriente!BZ110*MINVU_Mes_Constante!$BP$1</f>
        <v>95755.687836107565</v>
      </c>
      <c r="CA110" s="8">
        <f>+MINVU_Mes_Corriente!CA110*MINVU_Mes_Constante!$BP$1</f>
        <v>95755.687836107565</v>
      </c>
      <c r="CB110" s="9">
        <f t="shared" si="81"/>
        <v>95755.687836107565</v>
      </c>
      <c r="CC110" s="8">
        <f>+MINVU_Mes_Corriente!CC110*MINVU_Mes_Constante!$CC$1</f>
        <v>29851.902275270426</v>
      </c>
      <c r="CD110" s="8">
        <f>+MINVU_Mes_Corriente!CD110*MINVU_Mes_Constante!$CC$1</f>
        <v>29851.902275270426</v>
      </c>
      <c r="CE110" s="8">
        <f>+MINVU_Mes_Corriente!CE110*MINVU_Mes_Constante!$CC$1</f>
        <v>29851.902275270426</v>
      </c>
      <c r="CF110" s="8">
        <f>+MINVU_Mes_Corriente!CF110*MINVU_Mes_Constante!$CC$1</f>
        <v>29851.902275270426</v>
      </c>
      <c r="CG110" s="8">
        <f>+MINVU_Mes_Corriente!CG110*MINVU_Mes_Constante!$CC$1</f>
        <v>29851.902275270426</v>
      </c>
      <c r="CH110" s="8">
        <f>+MINVU_Mes_Corriente!CH110*MINVU_Mes_Constante!$CC$1</f>
        <v>29851.902275270426</v>
      </c>
      <c r="CI110" s="8">
        <f>+MINVU_Mes_Corriente!CI110*MINVU_Mes_Constante!$CC$1</f>
        <v>10446.467735919434</v>
      </c>
      <c r="CJ110" s="8">
        <f>+MINVU_Mes_Corriente!CJ110*MINVU_Mes_Constante!$CC$1</f>
        <v>10446.467735919434</v>
      </c>
      <c r="CK110" s="8">
        <f>+MINVU_Mes_Corriente!CK110*MINVU_Mes_Constante!$CC$1</f>
        <v>10446.467735919434</v>
      </c>
      <c r="CL110" s="8">
        <f>+MINVU_Mes_Corriente!CL110*MINVU_Mes_Constante!$CC$1</f>
        <v>10446.467735919434</v>
      </c>
      <c r="CM110" s="8">
        <f>+MINVU_Mes_Corriente!CM110*MINVU_Mes_Constante!$CC$1</f>
        <v>29851.902275270426</v>
      </c>
      <c r="CN110" s="8">
        <f>+MINVU_Mes_Corriente!CN110*MINVU_Mes_Constante!$CC$1</f>
        <v>29851.902275270426</v>
      </c>
      <c r="CO110" s="9">
        <f t="shared" si="82"/>
        <v>29851.902275270426</v>
      </c>
      <c r="CP110" s="8">
        <f>+MINVU_Mes_Corriente!CP110*MINVU_Mes_Constante!$CP$1</f>
        <v>19733.978422273776</v>
      </c>
      <c r="CQ110" s="8">
        <f>+MINVU_Mes_Corriente!CQ110*MINVU_Mes_Constante!$CP$1</f>
        <v>19733.978422273776</v>
      </c>
      <c r="CR110" s="8">
        <f>+MINVU_Mes_Corriente!CR110*MINVU_Mes_Constante!$CP$1</f>
        <v>19733.978422273776</v>
      </c>
      <c r="CS110" s="8">
        <f>+MINVU_Mes_Corriente!CS110*MINVU_Mes_Constante!$CP$1</f>
        <v>19733.978422273776</v>
      </c>
      <c r="CT110" s="8">
        <f>+MINVU_Mes_Corriente!CT110*MINVU_Mes_Constante!$CP$1</f>
        <v>19733.978422273776</v>
      </c>
      <c r="CU110" s="8">
        <f>+MINVU_Mes_Corriente!CU110*MINVU_Mes_Constante!$CP$1</f>
        <v>24470.690951276098</v>
      </c>
      <c r="CV110" s="8">
        <f>+MINVU_Mes_Corriente!CV110*MINVU_Mes_Constante!$CP$1</f>
        <v>24470.690951276098</v>
      </c>
      <c r="CW110" s="8">
        <f>+MINVU_Mes_Corriente!CW110*MINVU_Mes_Constante!$CP$1</f>
        <v>24470.690951276098</v>
      </c>
      <c r="CX110" s="8">
        <f>+MINVU_Mes_Corriente!CX110*MINVU_Mes_Constante!$CP$1</f>
        <v>24470.690951276098</v>
      </c>
      <c r="CY110" s="8">
        <f>+MINVU_Mes_Corriente!CY110*MINVU_Mes_Constante!$CP$1</f>
        <v>24470.690951276098</v>
      </c>
      <c r="CZ110" s="8">
        <f>+MINVU_Mes_Corriente!CZ110*MINVU_Mes_Constante!$CP$1</f>
        <v>24470.690951276098</v>
      </c>
      <c r="DA110" s="8">
        <f>+MINVU_Mes_Corriente!DA110*MINVU_Mes_Constante!$CP$1</f>
        <v>2588824.4387470991</v>
      </c>
      <c r="DB110" s="9">
        <f t="shared" si="83"/>
        <v>2588824.4387470991</v>
      </c>
      <c r="DC110" s="8">
        <f>+MINVU_Mes_Corriente!DC110*MINVU_Mes_Constante!$DC$1</f>
        <v>0</v>
      </c>
      <c r="DD110" s="8">
        <f>+MINVU_Mes_Corriente!DD110*MINVU_Mes_Constante!$DC$1</f>
        <v>0</v>
      </c>
      <c r="DE110" s="8">
        <f>+MINVU_Mes_Corriente!DE110*MINVU_Mes_Constante!$DC$1</f>
        <v>0</v>
      </c>
      <c r="DF110" s="8">
        <f>+MINVU_Mes_Corriente!DF110*MINVU_Mes_Constante!$DC$1</f>
        <v>0</v>
      </c>
      <c r="DG110" s="8">
        <f>+MINVU_Mes_Corriente!DG110*MINVU_Mes_Constante!$DC$1</f>
        <v>0</v>
      </c>
      <c r="DH110" s="8">
        <f>+MINVU_Mes_Corriente!DH110*MINVU_Mes_Constante!$DC$1</f>
        <v>0</v>
      </c>
      <c r="DI110" s="8">
        <f>+MINVU_Mes_Corriente!DI110*MINVU_Mes_Constante!$DC$1</f>
        <v>0</v>
      </c>
      <c r="DJ110" s="8">
        <f>+MINVU_Mes_Corriente!DJ110*MINVU_Mes_Constante!$DC$1</f>
        <v>0</v>
      </c>
      <c r="DK110" s="8">
        <f>+MINVU_Mes_Corriente!DK110*MINVU_Mes_Constante!$DC$1</f>
        <v>0</v>
      </c>
      <c r="DL110" s="8">
        <f>+MINVU_Mes_Corriente!DL110*MINVU_Mes_Constante!$DC$1</f>
        <v>0</v>
      </c>
      <c r="DM110" s="8">
        <f>+MINVU_Mes_Corriente!DM110*MINVU_Mes_Constante!$DC$1</f>
        <v>1801726.7353152977</v>
      </c>
      <c r="DN110" s="8">
        <f>+MINVU_Mes_Corriente!DN110*MINVU_Mes_Constante!$DC$1</f>
        <v>1801726.7353152977</v>
      </c>
      <c r="DO110" s="9">
        <f t="shared" si="84"/>
        <v>1801726.7353152977</v>
      </c>
      <c r="DP110" s="8">
        <f>+MINVU_Mes_Corriente!DP110*MINVU_Mes_Constante!$DP$1</f>
        <v>4310547.0605700715</v>
      </c>
      <c r="DQ110" s="8">
        <f>+MINVU_Mes_Corriente!DQ110*MINVU_Mes_Constante!$DP$1</f>
        <v>4310547.0605700715</v>
      </c>
      <c r="DR110" s="8">
        <f>+MINVU_Mes_Corriente!DR110*MINVU_Mes_Constante!$DP$1</f>
        <v>4310547.0605700715</v>
      </c>
      <c r="DS110" s="8">
        <f>+MINVU_Mes_Corriente!DS110*MINVU_Mes_Constante!$DP$1</f>
        <v>4310547.0605700715</v>
      </c>
      <c r="DT110" s="8">
        <f>+MINVU_Mes_Corriente!DT110*MINVU_Mes_Constante!$DP$1</f>
        <v>4310547.0605700715</v>
      </c>
      <c r="DU110" s="8">
        <f>+MINVU_Mes_Corriente!DU110*MINVU_Mes_Constante!$DP$1</f>
        <v>4310547.0605700715</v>
      </c>
      <c r="DV110" s="8">
        <f>+MINVU_Mes_Corriente!DV110*MINVU_Mes_Constante!$DP$1</f>
        <v>4310547.0605700715</v>
      </c>
      <c r="DW110" s="8">
        <f>+MINVU_Mes_Corriente!DW110*MINVU_Mes_Constante!$DP$1</f>
        <v>4310547.0605700715</v>
      </c>
      <c r="DX110" s="8">
        <f>+MINVU_Mes_Corriente!DX110*MINVU_Mes_Constante!$DP$1</f>
        <v>4310547.0605700715</v>
      </c>
      <c r="DY110" s="8">
        <f>+MINVU_Mes_Corriente!DY110*MINVU_Mes_Constante!$DP$1</f>
        <v>4310547.0605700715</v>
      </c>
      <c r="DZ110" s="8">
        <f>+MINVU_Mes_Corriente!DZ110*MINVU_Mes_Constante!$DP$1</f>
        <v>4310547.0605700715</v>
      </c>
      <c r="EA110" s="8">
        <f>+MINVU_Mes_Corriente!EA110*MINVU_Mes_Constante!$DP$1</f>
        <v>4361205.2476247037</v>
      </c>
      <c r="EB110" s="9">
        <f t="shared" si="85"/>
        <v>4361205.2476247037</v>
      </c>
      <c r="EC110" s="8">
        <f>+MINVU_Mes_Corriente!EC110*MINVU_Mes_Constante!$EC$1</f>
        <v>0</v>
      </c>
      <c r="ED110" s="8">
        <f>+MINVU_Mes_Corriente!ED110*MINVU_Mes_Constante!$EC$1</f>
        <v>0</v>
      </c>
      <c r="EE110" s="8">
        <f>+MINVU_Mes_Corriente!EE110*MINVU_Mes_Constante!$EC$1</f>
        <v>0</v>
      </c>
      <c r="EF110" s="8">
        <f>+MINVU_Mes_Corriente!EF110*MINVU_Mes_Constante!$EC$1</f>
        <v>0</v>
      </c>
      <c r="EG110" s="8">
        <f>+MINVU_Mes_Corriente!EG110*MINVU_Mes_Constante!$EC$1</f>
        <v>5255.072902859305</v>
      </c>
      <c r="EH110" s="8">
        <f>+MINVU_Mes_Corriente!EH110*MINVU_Mes_Constante!$EC$1</f>
        <v>5255.072902859305</v>
      </c>
      <c r="EI110" s="8">
        <f>+MINVU_Mes_Corriente!EI110*MINVU_Mes_Constante!$EC$1</f>
        <v>5255.072902859305</v>
      </c>
      <c r="EJ110" s="8">
        <f>+MINVU_Mes_Corriente!EJ110*MINVU_Mes_Constante!$EC$1</f>
        <v>5255.072902859305</v>
      </c>
      <c r="EK110" s="8">
        <f>+MINVU_Mes_Corriente!EK110*MINVU_Mes_Constante!$EC$1</f>
        <v>5255.072902859305</v>
      </c>
      <c r="EL110" s="8">
        <f>+MINVU_Mes_Corriente!EL110*MINVU_Mes_Constante!$EC$1</f>
        <v>6486.0840749857962</v>
      </c>
      <c r="EM110" s="8">
        <f>+MINVU_Mes_Corriente!EM110*MINVU_Mes_Constante!$EC$1</f>
        <v>6486.0840749857962</v>
      </c>
      <c r="EN110" s="8">
        <f>+MINVU_Mes_Corriente!EN110*MINVU_Mes_Constante!$EC$1</f>
        <v>6486.0840749857962</v>
      </c>
      <c r="EO110" s="9">
        <f t="shared" si="86"/>
        <v>6486.0840749857962</v>
      </c>
      <c r="EP110" s="8">
        <f>+MINVU_Mes_Corriente!EP110*MINVU_Mes_Constante!$EP$1</f>
        <v>8909</v>
      </c>
      <c r="EQ110" s="8">
        <f>+MINVU_Mes_Corriente!EQ110*MINVU_Mes_Constante!$EP$1</f>
        <v>8909</v>
      </c>
      <c r="ER110" s="8">
        <f>+MINVU_Mes_Corriente!ER110*MINVU_Mes_Constante!$EP$1</f>
        <v>8909</v>
      </c>
      <c r="ES110" s="8">
        <f>+MINVU_Mes_Corriente!ES110*MINVU_Mes_Constante!$EP$1</f>
        <v>8909</v>
      </c>
      <c r="ET110" s="8">
        <f>+MINVU_Mes_Corriente!ET110*MINVU_Mes_Constante!$EP$1</f>
        <v>8909</v>
      </c>
      <c r="EU110" s="8">
        <f>+MINVU_Mes_Corriente!EU110*MINVU_Mes_Constante!$EP$1</f>
        <v>8909</v>
      </c>
      <c r="EV110" s="8">
        <f>+MINVU_Mes_Corriente!EV110*MINVU_Mes_Constante!$EP$1</f>
        <v>8909</v>
      </c>
      <c r="EW110" s="8">
        <f>+MINVU_Mes_Corriente!EW110*MINVU_Mes_Constante!$EP$1</f>
        <v>8909</v>
      </c>
      <c r="EX110" s="8">
        <f>+MINVU_Mes_Corriente!EX110*MINVU_Mes_Constante!$EP$1</f>
        <v>8909</v>
      </c>
      <c r="EY110" s="8">
        <f>+MINVU_Mes_Corriente!EY110*MINVU_Mes_Constante!$EP$1</f>
        <v>8909</v>
      </c>
      <c r="EZ110" s="8">
        <f>+MINVU_Mes_Corriente!EZ110*MINVU_Mes_Constante!$EP$1</f>
        <v>8909</v>
      </c>
      <c r="FA110" s="8">
        <f>+MINVU_Mes_Corriente!FA110*MINVU_Mes_Constante!$EP$1</f>
        <v>8909</v>
      </c>
      <c r="FB110" s="9">
        <f t="shared" si="87"/>
        <v>8909</v>
      </c>
      <c r="FC110" s="8">
        <f>+MINVU_Mes_Corriente!FC110*MINVU_Mes_Constante!$FC$1</f>
        <v>10</v>
      </c>
      <c r="FD110" s="8">
        <f>+MINVU_Mes_Corriente!FD110*MINVU_Mes_Constante!$FC$1</f>
        <v>10</v>
      </c>
      <c r="FE110" s="8">
        <f>+MINVU_Mes_Corriente!FE110*MINVU_Mes_Constante!$FC$1</f>
        <v>10</v>
      </c>
      <c r="FF110" s="8">
        <f>+MINVU_Mes_Corriente!FF110*MINVU_Mes_Constante!$FC$1</f>
        <v>10</v>
      </c>
      <c r="FG110" s="8">
        <f>+MINVU_Mes_Corriente!FG110*MINVU_Mes_Constante!$FC$1</f>
        <v>10</v>
      </c>
      <c r="FH110" s="8">
        <f>+MINVU_Mes_Corriente!FH110*MINVU_Mes_Constante!$FC$1</f>
        <v>10</v>
      </c>
      <c r="FI110" s="8">
        <f>+MINVU_Mes_Corriente!FI110*MINVU_Mes_Constante!$FC$1</f>
        <v>10</v>
      </c>
      <c r="FJ110" s="8"/>
      <c r="FK110" s="8"/>
      <c r="FL110" s="8"/>
      <c r="FM110" s="8"/>
      <c r="FN110" s="8"/>
      <c r="FO110" s="9">
        <f t="shared" si="88"/>
        <v>10</v>
      </c>
    </row>
    <row r="111" spans="2:171" ht="14.25" customHeight="1" x14ac:dyDescent="0.3">
      <c r="B111" s="7" t="s">
        <v>55</v>
      </c>
      <c r="C111" s="8">
        <f>+MINVU_Mes_Corriente!C111*MINVU_Mes_Constante!$C$1</f>
        <v>43694.277917840729</v>
      </c>
      <c r="D111" s="8">
        <f>+MINVU_Mes_Corriente!D111*MINVU_Mes_Constante!$C$1</f>
        <v>43694.277917840729</v>
      </c>
      <c r="E111" s="8">
        <f>+MINVU_Mes_Corriente!E111*MINVU_Mes_Constante!$C$1</f>
        <v>43694.277917840729</v>
      </c>
      <c r="F111" s="8">
        <f>+MINVU_Mes_Corriente!F111*MINVU_Mes_Constante!$C$1</f>
        <v>43694.277917840729</v>
      </c>
      <c r="G111" s="8">
        <f>+MINVU_Mes_Corriente!G111*MINVU_Mes_Constante!$C$1</f>
        <v>205728.98057244552</v>
      </c>
      <c r="H111" s="8">
        <f>+MINVU_Mes_Corriente!H111*MINVU_Mes_Constante!$C$1</f>
        <v>205728.98057244552</v>
      </c>
      <c r="I111" s="8">
        <f>+MINVU_Mes_Corriente!I111*MINVU_Mes_Constante!$C$1</f>
        <v>205728.98057244552</v>
      </c>
      <c r="J111" s="8">
        <f>+MINVU_Mes_Corriente!J111*MINVU_Mes_Constante!$C$1</f>
        <v>205728.98057244552</v>
      </c>
      <c r="K111" s="8">
        <f>+MINVU_Mes_Corriente!K111*MINVU_Mes_Constante!$C$1</f>
        <v>205728.98057244552</v>
      </c>
      <c r="L111" s="8">
        <f>+MINVU_Mes_Corriente!L111*MINVU_Mes_Constante!$C$1</f>
        <v>205728.98057244552</v>
      </c>
      <c r="M111" s="8">
        <f>+MINVU_Mes_Corriente!M111*MINVU_Mes_Constante!$C$1</f>
        <v>344665.63636363641</v>
      </c>
      <c r="N111" s="8">
        <f>+MINVU_Mes_Corriente!N111*MINVU_Mes_Constante!$C$1</f>
        <v>344665.63636363641</v>
      </c>
      <c r="O111" s="9">
        <f t="shared" si="76"/>
        <v>344665.63636363641</v>
      </c>
      <c r="P111" s="8">
        <f>+MINVU_Mes_Corriente!P111*MINVU_Mes_Constante!$P$1</f>
        <v>48546.892456314796</v>
      </c>
      <c r="Q111" s="8">
        <f>+MINVU_Mes_Corriente!Q111*MINVU_Mes_Constante!$P$1</f>
        <v>48546.892456314796</v>
      </c>
      <c r="R111" s="8">
        <f>+MINVU_Mes_Corriente!R111*MINVU_Mes_Constante!$P$1</f>
        <v>48546.892456314796</v>
      </c>
      <c r="S111" s="8">
        <f>+MINVU_Mes_Corriente!S111*MINVU_Mes_Constante!$P$1</f>
        <v>48546.892456314796</v>
      </c>
      <c r="T111" s="8">
        <f>+MINVU_Mes_Corriente!T111*MINVU_Mes_Constante!$P$1</f>
        <v>48546.892456314796</v>
      </c>
      <c r="U111" s="8">
        <f>+MINVU_Mes_Corriente!U111*MINVU_Mes_Constante!$P$1</f>
        <v>68471.048728512542</v>
      </c>
      <c r="V111" s="8">
        <f>+MINVU_Mes_Corriente!V111*MINVU_Mes_Constante!$P$1</f>
        <v>68471.048728512542</v>
      </c>
      <c r="W111" s="8">
        <f>+MINVU_Mes_Corriente!W111*MINVU_Mes_Constante!$P$1</f>
        <v>68471.048728512542</v>
      </c>
      <c r="X111" s="8">
        <f>+MINVU_Mes_Corriente!X111*MINVU_Mes_Constante!$P$1</f>
        <v>880746.73817303556</v>
      </c>
      <c r="Y111" s="8">
        <f>+MINVU_Mes_Corriente!Y111*MINVU_Mes_Constante!$P$1</f>
        <v>880746.73817303556</v>
      </c>
      <c r="Z111" s="8">
        <f>+MINVU_Mes_Corriente!Z111*MINVU_Mes_Constante!$P$1</f>
        <v>1283040.5370080972</v>
      </c>
      <c r="AA111" s="8">
        <f>+MINVU_Mes_Corriente!AA111*MINVU_Mes_Constante!$P$1</f>
        <v>1283040.5370080972</v>
      </c>
      <c r="AB111" s="9">
        <f t="shared" si="77"/>
        <v>1283040.5370080972</v>
      </c>
      <c r="AC111" s="8">
        <f>+MINVU_Mes_Corriente!AC111*MINVU_Mes_Constante!$AC$1</f>
        <v>51988.051182736199</v>
      </c>
      <c r="AD111" s="8">
        <f>+MINVU_Mes_Corriente!AD111*MINVU_Mes_Constante!$AC$1</f>
        <v>51988.051182736199</v>
      </c>
      <c r="AE111" s="8">
        <f>+MINVU_Mes_Corriente!AE111*MINVU_Mes_Constante!$AC$1</f>
        <v>51988.051182736199</v>
      </c>
      <c r="AF111" s="8">
        <f>+MINVU_Mes_Corriente!AF111*MINVU_Mes_Constante!$AC$1</f>
        <v>51988.051182736199</v>
      </c>
      <c r="AG111" s="8">
        <f>+MINVU_Mes_Corriente!AG111*MINVU_Mes_Constante!$AC$1</f>
        <v>51988.051182736199</v>
      </c>
      <c r="AH111" s="8">
        <f>+MINVU_Mes_Corriente!AH111*MINVU_Mes_Constante!$AC$1</f>
        <v>62567.93775072624</v>
      </c>
      <c r="AI111" s="8">
        <f>+MINVU_Mes_Corriente!AI111*MINVU_Mes_Constante!$AC$1</f>
        <v>93231.471849495094</v>
      </c>
      <c r="AJ111" s="8">
        <f>+MINVU_Mes_Corriente!AJ111*MINVU_Mes_Constante!$AC$1</f>
        <v>783272.83358694147</v>
      </c>
      <c r="AK111" s="8">
        <f>+MINVU_Mes_Corriente!AK111*MINVU_Mes_Constante!$AC$1</f>
        <v>783272.83358694147</v>
      </c>
      <c r="AL111" s="8">
        <f>+MINVU_Mes_Corriente!AL111*MINVU_Mes_Constante!$AC$1</f>
        <v>1564576.29685987</v>
      </c>
      <c r="AM111" s="8">
        <f>+MINVU_Mes_Corriente!AM111*MINVU_Mes_Constante!$AC$1</f>
        <v>1564576.29685987</v>
      </c>
      <c r="AN111" s="8">
        <f>+MINVU_Mes_Corriente!AN111*MINVU_Mes_Constante!$AC$1</f>
        <v>1360119.9889334624</v>
      </c>
      <c r="AO111" s="9">
        <f t="shared" si="78"/>
        <v>1360119.9889334624</v>
      </c>
      <c r="AP111" s="8">
        <f>+MINVU_Mes_Corriente!AP111*MINVU_Mes_Constante!$AP$1</f>
        <v>46884.407412417146</v>
      </c>
      <c r="AQ111" s="8">
        <f>+MINVU_Mes_Corriente!AQ111*MINVU_Mes_Constante!$AP$1</f>
        <v>46884.407412417146</v>
      </c>
      <c r="AR111" s="8">
        <f>+MINVU_Mes_Corriente!AR111*MINVU_Mes_Constante!$AP$1</f>
        <v>46884.407412417146</v>
      </c>
      <c r="AS111" s="8">
        <f>+MINVU_Mes_Corriente!AS111*MINVU_Mes_Constante!$AP$1</f>
        <v>46884.407412417146</v>
      </c>
      <c r="AT111" s="8">
        <f>+MINVU_Mes_Corriente!AT111*MINVU_Mes_Constante!$AP$1</f>
        <v>46884.407412417146</v>
      </c>
      <c r="AU111" s="8">
        <f>+MINVU_Mes_Corriente!AU111*MINVU_Mes_Constante!$AP$1</f>
        <v>46884.407412417146</v>
      </c>
      <c r="AV111" s="8">
        <f>+MINVU_Mes_Corriente!AV111*MINVU_Mes_Constante!$AP$1</f>
        <v>46884.407412417146</v>
      </c>
      <c r="AW111" s="8">
        <f>+MINVU_Mes_Corriente!AW111*MINVU_Mes_Constante!$AP$1</f>
        <v>974487.47193290945</v>
      </c>
      <c r="AX111" s="8">
        <f>+MINVU_Mes_Corriente!AX111*MINVU_Mes_Constante!$AP$1</f>
        <v>974487.47193290945</v>
      </c>
      <c r="AY111" s="8">
        <f>+MINVU_Mes_Corriente!AY111*MINVU_Mes_Constante!$AP$1</f>
        <v>1046475.2252130393</v>
      </c>
      <c r="AZ111" s="8">
        <f>+MINVU_Mes_Corriente!AZ111*MINVU_Mes_Constante!$AP$1</f>
        <v>1046475.2252130393</v>
      </c>
      <c r="BA111" s="8">
        <f>+MINVU_Mes_Corriente!BA111*MINVU_Mes_Constante!$AP$1</f>
        <v>551809.55336128769</v>
      </c>
      <c r="BB111" s="9">
        <f t="shared" si="79"/>
        <v>551809.55336128769</v>
      </c>
      <c r="BC111" s="8">
        <f>+MINVU_Mes_Corriente!BC111*MINVU_Mes_Constante!$BC$1</f>
        <v>29566.335223526316</v>
      </c>
      <c r="BD111" s="8">
        <f>+MINVU_Mes_Corriente!BD111*MINVU_Mes_Constante!$BC$1</f>
        <v>29566.335223526316</v>
      </c>
      <c r="BE111" s="8">
        <f>+MINVU_Mes_Corriente!BE111*MINVU_Mes_Constante!$BC$1</f>
        <v>29566.335223526316</v>
      </c>
      <c r="BF111" s="8">
        <f>+MINVU_Mes_Corriente!BF111*MINVU_Mes_Constante!$BC$1</f>
        <v>29566.335223526316</v>
      </c>
      <c r="BG111" s="8">
        <f>+MINVU_Mes_Corriente!BG111*MINVU_Mes_Constante!$BC$1</f>
        <v>610098.15745747078</v>
      </c>
      <c r="BH111" s="8">
        <f>+MINVU_Mes_Corriente!BH111*MINVU_Mes_Constante!$BC$1</f>
        <v>610098.15745747078</v>
      </c>
      <c r="BI111" s="8">
        <f>+MINVU_Mes_Corriente!BI111*MINVU_Mes_Constante!$BC$1</f>
        <v>605605.57299221959</v>
      </c>
      <c r="BJ111" s="8">
        <f>+MINVU_Mes_Corriente!BJ111*MINVU_Mes_Constante!$BC$1</f>
        <v>605605.57299221959</v>
      </c>
      <c r="BK111" s="8">
        <f>+MINVU_Mes_Corriente!BK111*MINVU_Mes_Constante!$BC$1</f>
        <v>605605.57299221959</v>
      </c>
      <c r="BL111" s="8">
        <f>+MINVU_Mes_Corriente!BL111*MINVU_Mes_Constante!$BC$1</f>
        <v>605605.57299221959</v>
      </c>
      <c r="BM111" s="8">
        <f>+MINVU_Mes_Corriente!BM111*MINVU_Mes_Constante!$BC$1</f>
        <v>605605.57299221959</v>
      </c>
      <c r="BN111" s="8">
        <f>+MINVU_Mes_Corriente!BN111*MINVU_Mes_Constante!$BC$1</f>
        <v>605605.57299221959</v>
      </c>
      <c r="BO111" s="9">
        <f t="shared" si="80"/>
        <v>605605.57299221959</v>
      </c>
      <c r="BP111" s="8">
        <f>+MINVU_Mes_Corriente!BP111*MINVU_Mes_Constante!$BP$1</f>
        <v>12969.903457106275</v>
      </c>
      <c r="BQ111" s="8">
        <f>+MINVU_Mes_Corriente!BQ111*MINVU_Mes_Constante!$BP$1</f>
        <v>12969.903457106275</v>
      </c>
      <c r="BR111" s="8">
        <f>+MINVU_Mes_Corriente!BR111*MINVU_Mes_Constante!$BP$1</f>
        <v>12969.903457106275</v>
      </c>
      <c r="BS111" s="8">
        <f>+MINVU_Mes_Corriente!BS111*MINVU_Mes_Constante!$BP$1</f>
        <v>12969.903457106275</v>
      </c>
      <c r="BT111" s="8">
        <f>+MINVU_Mes_Corriente!BT111*MINVU_Mes_Constante!$BP$1</f>
        <v>12969.903457106275</v>
      </c>
      <c r="BU111" s="8">
        <f>+MINVU_Mes_Corriente!BU111*MINVU_Mes_Constante!$BP$1</f>
        <v>1098064.3989756724</v>
      </c>
      <c r="BV111" s="8">
        <f>+MINVU_Mes_Corriente!BV111*MINVU_Mes_Constante!$BP$1</f>
        <v>1098064.3989756724</v>
      </c>
      <c r="BW111" s="8">
        <f>+MINVU_Mes_Corriente!BW111*MINVU_Mes_Constante!$BP$1</f>
        <v>1098064.3989756724</v>
      </c>
      <c r="BX111" s="8">
        <f>+MINVU_Mes_Corriente!BX111*MINVU_Mes_Constante!$BP$1</f>
        <v>1098064.3989756724</v>
      </c>
      <c r="BY111" s="8">
        <f>+MINVU_Mes_Corriente!BY111*MINVU_Mes_Constante!$BP$1</f>
        <v>1098064.3989756724</v>
      </c>
      <c r="BZ111" s="8">
        <f>+MINVU_Mes_Corriente!BZ111*MINVU_Mes_Constante!$BP$1</f>
        <v>1098064.3989756724</v>
      </c>
      <c r="CA111" s="8">
        <f>+MINVU_Mes_Corriente!CA111*MINVU_Mes_Constante!$BP$1</f>
        <v>1048066.4074263766</v>
      </c>
      <c r="CB111" s="9">
        <f t="shared" si="81"/>
        <v>1048066.4074263766</v>
      </c>
      <c r="CC111" s="8">
        <f>+MINVU_Mes_Corriente!CC111*MINVU_Mes_Constante!$CC$1</f>
        <v>12921.56061171205</v>
      </c>
      <c r="CD111" s="8">
        <f>+MINVU_Mes_Corriente!CD111*MINVU_Mes_Constante!$CC$1</f>
        <v>12921.56061171205</v>
      </c>
      <c r="CE111" s="8">
        <f>+MINVU_Mes_Corriente!CE111*MINVU_Mes_Constante!$CC$1</f>
        <v>12921.56061171205</v>
      </c>
      <c r="CF111" s="8">
        <f>+MINVU_Mes_Corriente!CF111*MINVU_Mes_Constante!$CC$1</f>
        <v>9045.9074972025373</v>
      </c>
      <c r="CG111" s="8">
        <f>+MINVU_Mes_Corriente!CG111*MINVU_Mes_Constante!$CC$1</f>
        <v>8101.7859007832903</v>
      </c>
      <c r="CH111" s="8">
        <f>+MINVU_Mes_Corriente!CH111*MINVU_Mes_Constante!$CC$1</f>
        <v>8101.7859007832903</v>
      </c>
      <c r="CI111" s="8">
        <f>+MINVU_Mes_Corriente!CI111*MINVU_Mes_Constante!$CC$1</f>
        <v>8101.7859007832903</v>
      </c>
      <c r="CJ111" s="8">
        <f>+MINVU_Mes_Corriente!CJ111*MINVU_Mes_Constante!$CC$1</f>
        <v>8101.7859007832903</v>
      </c>
      <c r="CK111" s="8">
        <f>+MINVU_Mes_Corriente!CK111*MINVU_Mes_Constante!$CC$1</f>
        <v>8101.7859007832903</v>
      </c>
      <c r="CL111" s="8">
        <f>+MINVU_Mes_Corriente!CL111*MINVU_Mes_Constante!$CC$1</f>
        <v>8101.7859007832903</v>
      </c>
      <c r="CM111" s="8">
        <f>+MINVU_Mes_Corriente!CM111*MINVU_Mes_Constante!$CC$1</f>
        <v>32972.258112644537</v>
      </c>
      <c r="CN111" s="8">
        <f>+MINVU_Mes_Corriente!CN111*MINVU_Mes_Constante!$CC$1</f>
        <v>32972.258112644537</v>
      </c>
      <c r="CO111" s="9">
        <f t="shared" si="82"/>
        <v>32972.258112644537</v>
      </c>
      <c r="CP111" s="8">
        <f>+MINVU_Mes_Corriente!CP111*MINVU_Mes_Constante!$CP$1</f>
        <v>16570.254988399069</v>
      </c>
      <c r="CQ111" s="8">
        <f>+MINVU_Mes_Corriente!CQ111*MINVU_Mes_Constante!$CP$1</f>
        <v>16570.254988399069</v>
      </c>
      <c r="CR111" s="8">
        <f>+MINVU_Mes_Corriente!CR111*MINVU_Mes_Constante!$CP$1</f>
        <v>16570.254988399069</v>
      </c>
      <c r="CS111" s="8">
        <f>+MINVU_Mes_Corriente!CS111*MINVU_Mes_Constante!$CP$1</f>
        <v>985245.07865429216</v>
      </c>
      <c r="CT111" s="8">
        <f>+MINVU_Mes_Corriente!CT111*MINVU_Mes_Constante!$CP$1</f>
        <v>985245.07865429216</v>
      </c>
      <c r="CU111" s="8">
        <f>+MINVU_Mes_Corriente!CU111*MINVU_Mes_Constante!$CP$1</f>
        <v>985245.07865429216</v>
      </c>
      <c r="CV111" s="8">
        <f>+MINVU_Mes_Corriente!CV111*MINVU_Mes_Constante!$CP$1</f>
        <v>985245.07865429216</v>
      </c>
      <c r="CW111" s="8">
        <f>+MINVU_Mes_Corriente!CW111*MINVU_Mes_Constante!$CP$1</f>
        <v>985245.07865429216</v>
      </c>
      <c r="CX111" s="8">
        <f>+MINVU_Mes_Corriente!CX111*MINVU_Mes_Constante!$CP$1</f>
        <v>985245.07865429216</v>
      </c>
      <c r="CY111" s="8">
        <f>+MINVU_Mes_Corriente!CY111*MINVU_Mes_Constante!$CP$1</f>
        <v>985245.07865429216</v>
      </c>
      <c r="CZ111" s="8">
        <f>+MINVU_Mes_Corriente!CZ111*MINVU_Mes_Constante!$CP$1</f>
        <v>985245.07865429216</v>
      </c>
      <c r="DA111" s="8">
        <f>+MINVU_Mes_Corriente!DA111*MINVU_Mes_Constante!$CP$1</f>
        <v>1029608.187703016</v>
      </c>
      <c r="DB111" s="9">
        <f t="shared" si="83"/>
        <v>1029608.187703016</v>
      </c>
      <c r="DC111" s="8">
        <f>+MINVU_Mes_Corriente!DC111*MINVU_Mes_Constante!$DC$1</f>
        <v>0</v>
      </c>
      <c r="DD111" s="8">
        <f>+MINVU_Mes_Corriente!DD111*MINVU_Mes_Constante!$DC$1</f>
        <v>0</v>
      </c>
      <c r="DE111" s="8">
        <f>+MINVU_Mes_Corriente!DE111*MINVU_Mes_Constante!$DC$1</f>
        <v>0</v>
      </c>
      <c r="DF111" s="8">
        <f>+MINVU_Mes_Corriente!DF111*MINVU_Mes_Constante!$DC$1</f>
        <v>0</v>
      </c>
      <c r="DG111" s="8">
        <f>+MINVU_Mes_Corriente!DG111*MINVU_Mes_Constante!$DC$1</f>
        <v>0</v>
      </c>
      <c r="DH111" s="8">
        <f>+MINVU_Mes_Corriente!DH111*MINVU_Mes_Constante!$DC$1</f>
        <v>0</v>
      </c>
      <c r="DI111" s="8">
        <f>+MINVU_Mes_Corriente!DI111*MINVU_Mes_Constante!$DC$1</f>
        <v>0</v>
      </c>
      <c r="DJ111" s="8">
        <f>+MINVU_Mes_Corriente!DJ111*MINVU_Mes_Constante!$DC$1</f>
        <v>0</v>
      </c>
      <c r="DK111" s="8">
        <f>+MINVU_Mes_Corriente!DK111*MINVU_Mes_Constante!$DC$1</f>
        <v>0</v>
      </c>
      <c r="DL111" s="8">
        <f>+MINVU_Mes_Corriente!DL111*MINVU_Mes_Constante!$DC$1</f>
        <v>0</v>
      </c>
      <c r="DM111" s="8">
        <f>+MINVU_Mes_Corriente!DM111*MINVU_Mes_Constante!$DC$1</f>
        <v>4392150.843740358</v>
      </c>
      <c r="DN111" s="8">
        <f>+MINVU_Mes_Corriente!DN111*MINVU_Mes_Constante!$DC$1</f>
        <v>4392150.843740358</v>
      </c>
      <c r="DO111" s="9">
        <f t="shared" si="84"/>
        <v>4392150.843740358</v>
      </c>
      <c r="DP111" s="8">
        <f>+MINVU_Mes_Corriente!DP111*MINVU_Mes_Constante!$DP$1</f>
        <v>10057943.141330168</v>
      </c>
      <c r="DQ111" s="8">
        <f>+MINVU_Mes_Corriente!DQ111*MINVU_Mes_Constante!$DP$1</f>
        <v>10057943.141330168</v>
      </c>
      <c r="DR111" s="8">
        <f>+MINVU_Mes_Corriente!DR111*MINVU_Mes_Constante!$DP$1</f>
        <v>10057943.141330168</v>
      </c>
      <c r="DS111" s="8">
        <f>+MINVU_Mes_Corriente!DS111*MINVU_Mes_Constante!$DP$1</f>
        <v>10057943.141330168</v>
      </c>
      <c r="DT111" s="8">
        <f>+MINVU_Mes_Corriente!DT111*MINVU_Mes_Constante!$DP$1</f>
        <v>10057943.141330168</v>
      </c>
      <c r="DU111" s="8">
        <f>+MINVU_Mes_Corriente!DU111*MINVU_Mes_Constante!$DP$1</f>
        <v>10057943.141330168</v>
      </c>
      <c r="DV111" s="8">
        <f>+MINVU_Mes_Corriente!DV111*MINVU_Mes_Constante!$DP$1</f>
        <v>10057943.141330168</v>
      </c>
      <c r="DW111" s="8">
        <f>+MINVU_Mes_Corriente!DW111*MINVU_Mes_Constante!$DP$1</f>
        <v>10057943.141330168</v>
      </c>
      <c r="DX111" s="8">
        <f>+MINVU_Mes_Corriente!DX111*MINVU_Mes_Constante!$DP$1</f>
        <v>10057943.141330168</v>
      </c>
      <c r="DY111" s="8">
        <f>+MINVU_Mes_Corriente!DY111*MINVU_Mes_Constante!$DP$1</f>
        <v>10057943.141330168</v>
      </c>
      <c r="DZ111" s="8">
        <f>+MINVU_Mes_Corriente!DZ111*MINVU_Mes_Constante!$DP$1</f>
        <v>10057943.141330168</v>
      </c>
      <c r="EA111" s="8">
        <f>+MINVU_Mes_Corriente!EA111*MINVU_Mes_Constante!$DP$1</f>
        <v>9254750.2161520198</v>
      </c>
      <c r="EB111" s="9">
        <f t="shared" si="85"/>
        <v>9254750.2161520198</v>
      </c>
      <c r="EC111" s="8">
        <f>+MINVU_Mes_Corriente!EC111*MINVU_Mes_Constante!$EC$1</f>
        <v>0</v>
      </c>
      <c r="ED111" s="8">
        <f>+MINVU_Mes_Corriente!ED111*MINVU_Mes_Constante!$EC$1</f>
        <v>0</v>
      </c>
      <c r="EE111" s="8">
        <f>+MINVU_Mes_Corriente!EE111*MINVU_Mes_Constante!$EC$1</f>
        <v>0</v>
      </c>
      <c r="EF111" s="8">
        <f>+MINVU_Mes_Corriente!EF111*MINVU_Mes_Constante!$EC$1</f>
        <v>0</v>
      </c>
      <c r="EG111" s="8">
        <f>+MINVU_Mes_Corriente!EG111*MINVU_Mes_Constante!$EC$1</f>
        <v>11560.125923120617</v>
      </c>
      <c r="EH111" s="8">
        <f>+MINVU_Mes_Corriente!EH111*MINVU_Mes_Constante!$EC$1</f>
        <v>11560.125923120617</v>
      </c>
      <c r="EI111" s="8">
        <f>+MINVU_Mes_Corriente!EI111*MINVU_Mes_Constante!$EC$1</f>
        <v>11560.125923120617</v>
      </c>
      <c r="EJ111" s="8">
        <f>+MINVU_Mes_Corriente!EJ111*MINVU_Mes_Constante!$EC$1</f>
        <v>11560.125923120617</v>
      </c>
      <c r="EK111" s="8">
        <f>+MINVU_Mes_Corriente!EK111*MINVU_Mes_Constante!$EC$1</f>
        <v>11560.125923120617</v>
      </c>
      <c r="EL111" s="8">
        <f>+MINVU_Mes_Corriente!EL111*MINVU_Mes_Constante!$EC$1</f>
        <v>13406.642681310354</v>
      </c>
      <c r="EM111" s="8">
        <f>+MINVU_Mes_Corriente!EM111*MINVU_Mes_Constante!$EC$1</f>
        <v>13406.642681310354</v>
      </c>
      <c r="EN111" s="8">
        <f>+MINVU_Mes_Corriente!EN111*MINVU_Mes_Constante!$EC$1</f>
        <v>13406.642681310354</v>
      </c>
      <c r="EO111" s="9">
        <f t="shared" si="86"/>
        <v>13406.642681310354</v>
      </c>
      <c r="EP111" s="8">
        <f>+MINVU_Mes_Corriente!EP111*MINVU_Mes_Constante!$EP$1</f>
        <v>11879</v>
      </c>
      <c r="EQ111" s="8">
        <f>+MINVU_Mes_Corriente!EQ111*MINVU_Mes_Constante!$EP$1</f>
        <v>11879</v>
      </c>
      <c r="ER111" s="8">
        <f>+MINVU_Mes_Corriente!ER111*MINVU_Mes_Constante!$EP$1</f>
        <v>11879</v>
      </c>
      <c r="ES111" s="8">
        <f>+MINVU_Mes_Corriente!ES111*MINVU_Mes_Constante!$EP$1</f>
        <v>11879</v>
      </c>
      <c r="ET111" s="8">
        <f>+MINVU_Mes_Corriente!ET111*MINVU_Mes_Constante!$EP$1</f>
        <v>11879</v>
      </c>
      <c r="EU111" s="8">
        <f>+MINVU_Mes_Corriente!EU111*MINVU_Mes_Constante!$EP$1</f>
        <v>11879</v>
      </c>
      <c r="EV111" s="8">
        <f>+MINVU_Mes_Corriente!EV111*MINVU_Mes_Constante!$EP$1</f>
        <v>11879</v>
      </c>
      <c r="EW111" s="8">
        <f>+MINVU_Mes_Corriente!EW111*MINVU_Mes_Constante!$EP$1</f>
        <v>11879</v>
      </c>
      <c r="EX111" s="8">
        <f>+MINVU_Mes_Corriente!EX111*MINVU_Mes_Constante!$EP$1</f>
        <v>11879</v>
      </c>
      <c r="EY111" s="8">
        <f>+MINVU_Mes_Corriente!EY111*MINVU_Mes_Constante!$EP$1</f>
        <v>11879</v>
      </c>
      <c r="EZ111" s="8">
        <f>+MINVU_Mes_Corriente!EZ111*MINVU_Mes_Constante!$EP$1</f>
        <v>11879</v>
      </c>
      <c r="FA111" s="8">
        <f>+MINVU_Mes_Corriente!FA111*MINVU_Mes_Constante!$EP$1</f>
        <v>11879</v>
      </c>
      <c r="FB111" s="9">
        <f t="shared" si="87"/>
        <v>11879</v>
      </c>
      <c r="FC111" s="8">
        <f>+MINVU_Mes_Corriente!FC111*MINVU_Mes_Constante!$FC$1</f>
        <v>10</v>
      </c>
      <c r="FD111" s="8">
        <f>+MINVU_Mes_Corriente!FD111*MINVU_Mes_Constante!$FC$1</f>
        <v>10</v>
      </c>
      <c r="FE111" s="8">
        <f>+MINVU_Mes_Corriente!FE111*MINVU_Mes_Constante!$FC$1</f>
        <v>10</v>
      </c>
      <c r="FF111" s="8">
        <f>+MINVU_Mes_Corriente!FF111*MINVU_Mes_Constante!$FC$1</f>
        <v>10</v>
      </c>
      <c r="FG111" s="8">
        <f>+MINVU_Mes_Corriente!FG111*MINVU_Mes_Constante!$FC$1</f>
        <v>10</v>
      </c>
      <c r="FH111" s="8">
        <f>+MINVU_Mes_Corriente!FH111*MINVU_Mes_Constante!$FC$1</f>
        <v>10</v>
      </c>
      <c r="FI111" s="8">
        <f>+MINVU_Mes_Corriente!FI111*MINVU_Mes_Constante!$FC$1</f>
        <v>10</v>
      </c>
      <c r="FJ111" s="8"/>
      <c r="FK111" s="8"/>
      <c r="FL111" s="8"/>
      <c r="FM111" s="8"/>
      <c r="FN111" s="8"/>
      <c r="FO111" s="9">
        <f t="shared" si="88"/>
        <v>10</v>
      </c>
    </row>
    <row r="112" spans="2:171" ht="14.25" customHeight="1" x14ac:dyDescent="0.3">
      <c r="B112" s="7" t="s">
        <v>56</v>
      </c>
      <c r="C112" s="8">
        <f>+MINVU_Mes_Corriente!C112*MINVU_Mes_Constante!$C$1</f>
        <v>29922.948539225868</v>
      </c>
      <c r="D112" s="8">
        <f>+MINVU_Mes_Corriente!D112*MINVU_Mes_Constante!$C$1</f>
        <v>29922.948539225868</v>
      </c>
      <c r="E112" s="8">
        <f>+MINVU_Mes_Corriente!E112*MINVU_Mes_Constante!$C$1</f>
        <v>29922.948539225868</v>
      </c>
      <c r="F112" s="8">
        <f>+MINVU_Mes_Corriente!F112*MINVU_Mes_Constante!$C$1</f>
        <v>29922.948539225868</v>
      </c>
      <c r="G112" s="8">
        <f>+MINVU_Mes_Corriente!G112*MINVU_Mes_Constante!$C$1</f>
        <v>29922.948539225868</v>
      </c>
      <c r="H112" s="8">
        <f>+MINVU_Mes_Corriente!H112*MINVU_Mes_Constante!$C$1</f>
        <v>29922.948539225868</v>
      </c>
      <c r="I112" s="8">
        <f>+MINVU_Mes_Corriente!I112*MINVU_Mes_Constante!$C$1</f>
        <v>29922.948539225868</v>
      </c>
      <c r="J112" s="8">
        <f>+MINVU_Mes_Corriente!J112*MINVU_Mes_Constante!$C$1</f>
        <v>29922.948539225868</v>
      </c>
      <c r="K112" s="8">
        <f>+MINVU_Mes_Corriente!K112*MINVU_Mes_Constante!$C$1</f>
        <v>29922.948539225868</v>
      </c>
      <c r="L112" s="8">
        <f>+MINVU_Mes_Corriente!L112*MINVU_Mes_Constante!$C$1</f>
        <v>29922.948539225868</v>
      </c>
      <c r="M112" s="8">
        <f>+MINVU_Mes_Corriente!M112*MINVU_Mes_Constante!$C$1</f>
        <v>29922.948539225868</v>
      </c>
      <c r="N112" s="8">
        <f>+MINVU_Mes_Corriente!N112*MINVU_Mes_Constante!$C$1</f>
        <v>29922.948539225868</v>
      </c>
      <c r="O112" s="9">
        <f t="shared" si="76"/>
        <v>29922.948539225868</v>
      </c>
      <c r="P112" s="8">
        <f>+MINVU_Mes_Corriente!P112*MINVU_Mes_Constante!$P$1</f>
        <v>31717.841170620814</v>
      </c>
      <c r="Q112" s="8">
        <f>+MINVU_Mes_Corriente!Q112*MINVU_Mes_Constante!$P$1</f>
        <v>31717.841170620814</v>
      </c>
      <c r="R112" s="8">
        <f>+MINVU_Mes_Corriente!R112*MINVU_Mes_Constante!$P$1</f>
        <v>31717.841170620814</v>
      </c>
      <c r="S112" s="8">
        <f>+MINVU_Mes_Corriente!S112*MINVU_Mes_Constante!$P$1</f>
        <v>31717.841170620814</v>
      </c>
      <c r="T112" s="8">
        <f>+MINVU_Mes_Corriente!T112*MINVU_Mes_Constante!$P$1</f>
        <v>31717.841170620814</v>
      </c>
      <c r="U112" s="8">
        <f>+MINVU_Mes_Corriente!U112*MINVU_Mes_Constante!$P$1</f>
        <v>31717.841170620814</v>
      </c>
      <c r="V112" s="8">
        <f>+MINVU_Mes_Corriente!V112*MINVU_Mes_Constante!$P$1</f>
        <v>31717.841170620814</v>
      </c>
      <c r="W112" s="8">
        <f>+MINVU_Mes_Corriente!W112*MINVU_Mes_Constante!$P$1</f>
        <v>31717.841170620814</v>
      </c>
      <c r="X112" s="8">
        <f>+MINVU_Mes_Corriente!X112*MINVU_Mes_Constante!$P$1</f>
        <v>31717.841170620814</v>
      </c>
      <c r="Y112" s="8">
        <f>+MINVU_Mes_Corriente!Y112*MINVU_Mes_Constante!$P$1</f>
        <v>97469.419519818126</v>
      </c>
      <c r="Z112" s="8">
        <f>+MINVU_Mes_Corriente!Z112*MINVU_Mes_Constante!$P$1</f>
        <v>157091.32405171182</v>
      </c>
      <c r="AA112" s="8">
        <f>+MINVU_Mes_Corriente!AA112*MINVU_Mes_Constante!$P$1</f>
        <v>157091.32405171182</v>
      </c>
      <c r="AB112" s="9">
        <f t="shared" si="77"/>
        <v>157091.32405171182</v>
      </c>
      <c r="AC112" s="8">
        <f>+MINVU_Mes_Corriente!AC112*MINVU_Mes_Constante!$AC$1</f>
        <v>34686.913819338777</v>
      </c>
      <c r="AD112" s="8">
        <f>+MINVU_Mes_Corriente!AD112*MINVU_Mes_Constante!$AC$1</f>
        <v>64210.842993498409</v>
      </c>
      <c r="AE112" s="8">
        <f>+MINVU_Mes_Corriente!AE112*MINVU_Mes_Constante!$AC$1</f>
        <v>64210.842993498409</v>
      </c>
      <c r="AF112" s="8">
        <f>+MINVU_Mes_Corriente!AF112*MINVU_Mes_Constante!$AC$1</f>
        <v>292509.68100705493</v>
      </c>
      <c r="AG112" s="8">
        <f>+MINVU_Mes_Corriente!AG112*MINVU_Mes_Constante!$AC$1</f>
        <v>292509.68100705493</v>
      </c>
      <c r="AH112" s="8">
        <f>+MINVU_Mes_Corriente!AH112*MINVU_Mes_Constante!$AC$1</f>
        <v>292509.68100705493</v>
      </c>
      <c r="AI112" s="8">
        <f>+MINVU_Mes_Corriente!AI112*MINVU_Mes_Constante!$AC$1</f>
        <v>368631.96486374323</v>
      </c>
      <c r="AJ112" s="8">
        <f>+MINVU_Mes_Corriente!AJ112*MINVU_Mes_Constante!$AC$1</f>
        <v>368631.96486374323</v>
      </c>
      <c r="AK112" s="8">
        <f>+MINVU_Mes_Corriente!AK112*MINVU_Mes_Constante!$AC$1</f>
        <v>368631.96486374323</v>
      </c>
      <c r="AL112" s="8">
        <f>+MINVU_Mes_Corriente!AL112*MINVU_Mes_Constante!$AC$1</f>
        <v>368631.96486374323</v>
      </c>
      <c r="AM112" s="8">
        <f>+MINVU_Mes_Corriente!AM112*MINVU_Mes_Constante!$AC$1</f>
        <v>368631.96486374323</v>
      </c>
      <c r="AN112" s="8">
        <f>+MINVU_Mes_Corriente!AN112*MINVU_Mes_Constante!$AC$1</f>
        <v>368631.96486374323</v>
      </c>
      <c r="AO112" s="9">
        <f t="shared" si="78"/>
        <v>368631.96486374323</v>
      </c>
      <c r="AP112" s="8">
        <f>+MINVU_Mes_Corriente!AP112*MINVU_Mes_Constante!$AP$1</f>
        <v>33488.862437440817</v>
      </c>
      <c r="AQ112" s="8">
        <f>+MINVU_Mes_Corriente!AQ112*MINVU_Mes_Constante!$AP$1</f>
        <v>33488.862437440817</v>
      </c>
      <c r="AR112" s="8">
        <f>+MINVU_Mes_Corriente!AR112*MINVU_Mes_Constante!$AP$1</f>
        <v>33488.862437440817</v>
      </c>
      <c r="AS112" s="8">
        <f>+MINVU_Mes_Corriente!AS112*MINVU_Mes_Constante!$AP$1</f>
        <v>33488.862437440817</v>
      </c>
      <c r="AT112" s="8">
        <f>+MINVU_Mes_Corriente!AT112*MINVU_Mes_Constante!$AP$1</f>
        <v>33488.862437440817</v>
      </c>
      <c r="AU112" s="8">
        <f>+MINVU_Mes_Corriente!AU112*MINVU_Mes_Constante!$AP$1</f>
        <v>33488.862437440817</v>
      </c>
      <c r="AV112" s="8">
        <f>+MINVU_Mes_Corriente!AV112*MINVU_Mes_Constante!$AP$1</f>
        <v>33488.862437440817</v>
      </c>
      <c r="AW112" s="8">
        <f>+MINVU_Mes_Corriente!AW112*MINVU_Mes_Constante!$AP$1</f>
        <v>44380.871094278365</v>
      </c>
      <c r="AX112" s="8">
        <f>+MINVU_Mes_Corriente!AX112*MINVU_Mes_Constante!$AP$1</f>
        <v>44380.871094278365</v>
      </c>
      <c r="AY112" s="8">
        <f>+MINVU_Mes_Corriente!AY112*MINVU_Mes_Constante!$AP$1</f>
        <v>423490.75503854995</v>
      </c>
      <c r="AZ112" s="8">
        <f>+MINVU_Mes_Corriente!AZ112*MINVU_Mes_Constante!$AP$1</f>
        <v>423490.75503854995</v>
      </c>
      <c r="BA112" s="8">
        <f>+MINVU_Mes_Corriente!BA112*MINVU_Mes_Constante!$AP$1</f>
        <v>427249.01528472878</v>
      </c>
      <c r="BB112" s="9">
        <f t="shared" si="79"/>
        <v>427249.01528472878</v>
      </c>
      <c r="BC112" s="8">
        <f>+MINVU_Mes_Corriente!BC112*MINVU_Mes_Constante!$BC$1</f>
        <v>42058.544111829098</v>
      </c>
      <c r="BD112" s="8">
        <f>+MINVU_Mes_Corriente!BD112*MINVU_Mes_Constante!$BC$1</f>
        <v>42058.544111829098</v>
      </c>
      <c r="BE112" s="8">
        <f>+MINVU_Mes_Corriente!BE112*MINVU_Mes_Constante!$BC$1</f>
        <v>42058.544111829098</v>
      </c>
      <c r="BF112" s="8">
        <f>+MINVU_Mes_Corriente!BF112*MINVU_Mes_Constante!$BC$1</f>
        <v>42058.544111829098</v>
      </c>
      <c r="BG112" s="8">
        <f>+MINVU_Mes_Corriente!BG112*MINVU_Mes_Constante!$BC$1</f>
        <v>42058.544111829098</v>
      </c>
      <c r="BH112" s="8">
        <f>+MINVU_Mes_Corriente!BH112*MINVU_Mes_Constante!$BC$1</f>
        <v>42058.544111829098</v>
      </c>
      <c r="BI112" s="8">
        <f>+MINVU_Mes_Corriente!BI112*MINVU_Mes_Constante!$BC$1</f>
        <v>35486.806540946862</v>
      </c>
      <c r="BJ112" s="8">
        <f>+MINVU_Mes_Corriente!BJ112*MINVU_Mes_Constante!$BC$1</f>
        <v>35486.806540946862</v>
      </c>
      <c r="BK112" s="8">
        <f>+MINVU_Mes_Corriente!BK112*MINVU_Mes_Constante!$BC$1</f>
        <v>35486.806540946862</v>
      </c>
      <c r="BL112" s="8">
        <f>+MINVU_Mes_Corriente!BL112*MINVU_Mes_Constante!$BC$1</f>
        <v>35486.806540946862</v>
      </c>
      <c r="BM112" s="8">
        <f>+MINVU_Mes_Corriente!BM112*MINVU_Mes_Constante!$BC$1</f>
        <v>35486.806540946862</v>
      </c>
      <c r="BN112" s="8">
        <f>+MINVU_Mes_Corriente!BN112*MINVU_Mes_Constante!$BC$1</f>
        <v>35486.806540946862</v>
      </c>
      <c r="BO112" s="9">
        <f t="shared" si="80"/>
        <v>35486.806540946862</v>
      </c>
      <c r="BP112" s="8">
        <f>+MINVU_Mes_Corriente!BP112*MINVU_Mes_Constante!$BP$1</f>
        <v>31593.067605633805</v>
      </c>
      <c r="BQ112" s="8">
        <f>+MINVU_Mes_Corriente!BQ112*MINVU_Mes_Constante!$BP$1</f>
        <v>31593.067605633805</v>
      </c>
      <c r="BR112" s="8">
        <f>+MINVU_Mes_Corriente!BR112*MINVU_Mes_Constante!$BP$1</f>
        <v>31593.067605633805</v>
      </c>
      <c r="BS112" s="8">
        <f>+MINVU_Mes_Corriente!BS112*MINVU_Mes_Constante!$BP$1</f>
        <v>31593.067605633805</v>
      </c>
      <c r="BT112" s="8">
        <f>+MINVU_Mes_Corriente!BT112*MINVU_Mes_Constante!$BP$1</f>
        <v>31593.067605633805</v>
      </c>
      <c r="BU112" s="8">
        <f>+MINVU_Mes_Corriente!BU112*MINVU_Mes_Constante!$BP$1</f>
        <v>31593.067605633805</v>
      </c>
      <c r="BV112" s="8">
        <f>+MINVU_Mes_Corriente!BV112*MINVU_Mes_Constante!$BP$1</f>
        <v>31593.067605633805</v>
      </c>
      <c r="BW112" s="8">
        <f>+MINVU_Mes_Corriente!BW112*MINVU_Mes_Constante!$BP$1</f>
        <v>31593.067605633805</v>
      </c>
      <c r="BX112" s="8">
        <f>+MINVU_Mes_Corriente!BX112*MINVU_Mes_Constante!$BP$1</f>
        <v>31593.067605633805</v>
      </c>
      <c r="BY112" s="8">
        <f>+MINVU_Mes_Corriente!BY112*MINVU_Mes_Constante!$BP$1</f>
        <v>31593.067605633805</v>
      </c>
      <c r="BZ112" s="8">
        <f>+MINVU_Mes_Corriente!BZ112*MINVU_Mes_Constante!$BP$1</f>
        <v>31593.067605633805</v>
      </c>
      <c r="CA112" s="8">
        <f>+MINVU_Mes_Corriente!CA112*MINVU_Mes_Constante!$BP$1</f>
        <v>4215754.4312419975</v>
      </c>
      <c r="CB112" s="9">
        <f t="shared" si="81"/>
        <v>4215754.4312419975</v>
      </c>
      <c r="CC112" s="8">
        <f>+MINVU_Mes_Corriente!CC112*MINVU_Mes_Constante!$CC$1</f>
        <v>31476.606490115631</v>
      </c>
      <c r="CD112" s="8">
        <f>+MINVU_Mes_Corriente!CD112*MINVU_Mes_Constante!$CC$1</f>
        <v>31476.606490115631</v>
      </c>
      <c r="CE112" s="8">
        <f>+MINVU_Mes_Corriente!CE112*MINVU_Mes_Constante!$CC$1</f>
        <v>31476.606490115631</v>
      </c>
      <c r="CF112" s="8">
        <f>+MINVU_Mes_Corriente!CF112*MINVU_Mes_Constante!$CC$1</f>
        <v>22032.673629242821</v>
      </c>
      <c r="CG112" s="8">
        <f>+MINVU_Mes_Corriente!CG112*MINVU_Mes_Constante!$CC$1</f>
        <v>18420.559492726596</v>
      </c>
      <c r="CH112" s="8">
        <f>+MINVU_Mes_Corriente!CH112*MINVU_Mes_Constante!$CC$1</f>
        <v>18420.559492726596</v>
      </c>
      <c r="CI112" s="8">
        <f>+MINVU_Mes_Corriente!CI112*MINVU_Mes_Constante!$CC$1</f>
        <v>202552.79820962329</v>
      </c>
      <c r="CJ112" s="8">
        <f>+MINVU_Mes_Corriente!CJ112*MINVU_Mes_Constante!$CC$1</f>
        <v>202552.79820962329</v>
      </c>
      <c r="CK112" s="8">
        <f>+MINVU_Mes_Corriente!CK112*MINVU_Mes_Constante!$CC$1</f>
        <v>2158507.8485639687</v>
      </c>
      <c r="CL112" s="8">
        <f>+MINVU_Mes_Corriente!CL112*MINVU_Mes_Constante!$CC$1</f>
        <v>2158507.8485639687</v>
      </c>
      <c r="CM112" s="8">
        <f>+MINVU_Mes_Corriente!CM112*MINVU_Mes_Constante!$CC$1</f>
        <v>2171563.895561358</v>
      </c>
      <c r="CN112" s="8">
        <f>+MINVU_Mes_Corriente!CN112*MINVU_Mes_Constante!$CC$1</f>
        <v>2171563.895561358</v>
      </c>
      <c r="CO112" s="9">
        <f t="shared" si="82"/>
        <v>2171563.895561358</v>
      </c>
      <c r="CP112" s="8">
        <f>+MINVU_Mes_Corriente!CP112*MINVU_Mes_Constante!$CP$1</f>
        <v>23522.587935034797</v>
      </c>
      <c r="CQ112" s="8">
        <f>+MINVU_Mes_Corriente!CQ112*MINVU_Mes_Constante!$CP$1</f>
        <v>23522.587935034797</v>
      </c>
      <c r="CR112" s="8">
        <f>+MINVU_Mes_Corriente!CR112*MINVU_Mes_Constante!$CP$1</f>
        <v>23522.587935034797</v>
      </c>
      <c r="CS112" s="8">
        <f>+MINVU_Mes_Corriente!CS112*MINVU_Mes_Constante!$CP$1</f>
        <v>23522.587935034797</v>
      </c>
      <c r="CT112" s="8">
        <f>+MINVU_Mes_Corriente!CT112*MINVU_Mes_Constante!$CP$1</f>
        <v>23522.587935034797</v>
      </c>
      <c r="CU112" s="8">
        <f>+MINVU_Mes_Corriente!CU112*MINVU_Mes_Constante!$CP$1</f>
        <v>23522.587935034797</v>
      </c>
      <c r="CV112" s="8">
        <f>+MINVU_Mes_Corriente!CV112*MINVU_Mes_Constante!$CP$1</f>
        <v>23522.587935034797</v>
      </c>
      <c r="CW112" s="8">
        <f>+MINVU_Mes_Corriente!CW112*MINVU_Mes_Constante!$CP$1</f>
        <v>23522.587935034797</v>
      </c>
      <c r="CX112" s="8">
        <f>+MINVU_Mes_Corriente!CX112*MINVU_Mes_Constante!$CP$1</f>
        <v>23522.587935034797</v>
      </c>
      <c r="CY112" s="8">
        <f>+MINVU_Mes_Corriente!CY112*MINVU_Mes_Constante!$CP$1</f>
        <v>214920.25058004636</v>
      </c>
      <c r="CZ112" s="8">
        <f>+MINVU_Mes_Corriente!CZ112*MINVU_Mes_Constante!$CP$1</f>
        <v>214920.25058004636</v>
      </c>
      <c r="DA112" s="8">
        <f>+MINVU_Mes_Corriente!DA112*MINVU_Mes_Constante!$CP$1</f>
        <v>214920.25058004636</v>
      </c>
      <c r="DB112" s="9">
        <f t="shared" si="83"/>
        <v>214920.25058004636</v>
      </c>
      <c r="DC112" s="8">
        <f>+MINVU_Mes_Corriente!DC112*MINVU_Mes_Constante!$DC$1</f>
        <v>0</v>
      </c>
      <c r="DD112" s="8">
        <f>+MINVU_Mes_Corriente!DD112*MINVU_Mes_Constante!$DC$1</f>
        <v>0</v>
      </c>
      <c r="DE112" s="8">
        <f>+MINVU_Mes_Corriente!DE112*MINVU_Mes_Constante!$DC$1</f>
        <v>0</v>
      </c>
      <c r="DF112" s="8">
        <f>+MINVU_Mes_Corriente!DF112*MINVU_Mes_Constante!$DC$1</f>
        <v>0</v>
      </c>
      <c r="DG112" s="8">
        <f>+MINVU_Mes_Corriente!DG112*MINVU_Mes_Constante!$DC$1</f>
        <v>0</v>
      </c>
      <c r="DH112" s="8">
        <f>+MINVU_Mes_Corriente!DH112*MINVU_Mes_Constante!$DC$1</f>
        <v>0</v>
      </c>
      <c r="DI112" s="8">
        <f>+MINVU_Mes_Corriente!DI112*MINVU_Mes_Constante!$DC$1</f>
        <v>0</v>
      </c>
      <c r="DJ112" s="8">
        <f>+MINVU_Mes_Corriente!DJ112*MINVU_Mes_Constante!$DC$1</f>
        <v>0</v>
      </c>
      <c r="DK112" s="8">
        <f>+MINVU_Mes_Corriente!DK112*MINVU_Mes_Constante!$DC$1</f>
        <v>5192989.21592429</v>
      </c>
      <c r="DL112" s="8">
        <f>+MINVU_Mes_Corriente!DL112*MINVU_Mes_Constante!$DC$1</f>
        <v>5192989.21592429</v>
      </c>
      <c r="DM112" s="8">
        <f>+MINVU_Mes_Corriente!DM112*MINVU_Mes_Constante!$DC$1</f>
        <v>12866398.479786037</v>
      </c>
      <c r="DN112" s="8">
        <f>+MINVU_Mes_Corriente!DN112*MINVU_Mes_Constante!$DC$1</f>
        <v>12866398.479786037</v>
      </c>
      <c r="DO112" s="9">
        <f t="shared" si="84"/>
        <v>12866398.479786037</v>
      </c>
      <c r="DP112" s="8">
        <f>+MINVU_Mes_Corriente!DP112*MINVU_Mes_Constante!$DP$1</f>
        <v>0</v>
      </c>
      <c r="DQ112" s="8">
        <f>+MINVU_Mes_Corriente!DQ112*MINVU_Mes_Constante!$DP$1</f>
        <v>0</v>
      </c>
      <c r="DR112" s="8">
        <f>+MINVU_Mes_Corriente!DR112*MINVU_Mes_Constante!$DP$1</f>
        <v>0</v>
      </c>
      <c r="DS112" s="8">
        <f>+MINVU_Mes_Corriente!DS112*MINVU_Mes_Constante!$DP$1</f>
        <v>0</v>
      </c>
      <c r="DT112" s="8">
        <f>+MINVU_Mes_Corriente!DT112*MINVU_Mes_Constante!$DP$1</f>
        <v>0</v>
      </c>
      <c r="DU112" s="8">
        <f>+MINVU_Mes_Corriente!DU112*MINVU_Mes_Constante!$DP$1</f>
        <v>0</v>
      </c>
      <c r="DV112" s="8">
        <f>+MINVU_Mes_Corriente!DV112*MINVU_Mes_Constante!$DP$1</f>
        <v>0</v>
      </c>
      <c r="DW112" s="8">
        <f>+MINVU_Mes_Corriente!DW112*MINVU_Mes_Constante!$DP$1</f>
        <v>0</v>
      </c>
      <c r="DX112" s="8">
        <f>+MINVU_Mes_Corriente!DX112*MINVU_Mes_Constante!$DP$1</f>
        <v>0</v>
      </c>
      <c r="DY112" s="8">
        <f>+MINVU_Mes_Corriente!DY112*MINVU_Mes_Constante!$DP$1</f>
        <v>0</v>
      </c>
      <c r="DZ112" s="8">
        <f>+MINVU_Mes_Corriente!DZ112*MINVU_Mes_Constante!$DP$1</f>
        <v>0</v>
      </c>
      <c r="EA112" s="8">
        <f>+MINVU_Mes_Corriente!EA112*MINVU_Mes_Constante!$DP$1</f>
        <v>0</v>
      </c>
      <c r="EB112" s="9">
        <f t="shared" si="85"/>
        <v>0</v>
      </c>
      <c r="EC112" s="8">
        <f>+MINVU_Mes_Corriente!EC112*MINVU_Mes_Constante!$EC$1</f>
        <v>0</v>
      </c>
      <c r="ED112" s="8">
        <f>+MINVU_Mes_Corriente!ED112*MINVU_Mes_Constante!$EC$1</f>
        <v>0</v>
      </c>
      <c r="EE112" s="8">
        <f>+MINVU_Mes_Corriente!EE112*MINVU_Mes_Constante!$EC$1</f>
        <v>0</v>
      </c>
      <c r="EF112" s="8">
        <f>+MINVU_Mes_Corriente!EF112*MINVU_Mes_Constante!$EC$1</f>
        <v>0</v>
      </c>
      <c r="EG112" s="8">
        <f>+MINVU_Mes_Corriente!EG112*MINVU_Mes_Constante!$EC$1</f>
        <v>10509.111342548757</v>
      </c>
      <c r="EH112" s="8">
        <f>+MINVU_Mes_Corriente!EH112*MINVU_Mes_Constante!$EC$1</f>
        <v>10509.111342548757</v>
      </c>
      <c r="EI112" s="8">
        <f>+MINVU_Mes_Corriente!EI112*MINVU_Mes_Constante!$EC$1</f>
        <v>10509.111342548757</v>
      </c>
      <c r="EJ112" s="8">
        <f>+MINVU_Mes_Corriente!EJ112*MINVU_Mes_Constante!$EC$1</f>
        <v>10509.111342548757</v>
      </c>
      <c r="EK112" s="8">
        <f>+MINVU_Mes_Corriente!EK112*MINVU_Mes_Constante!$EC$1</f>
        <v>10509.111342548757</v>
      </c>
      <c r="EL112" s="8">
        <f>+MINVU_Mes_Corriente!EL112*MINVU_Mes_Constante!$EC$1</f>
        <v>12580.106608596852</v>
      </c>
      <c r="EM112" s="8">
        <f>+MINVU_Mes_Corriente!EM112*MINVU_Mes_Constante!$EC$1</f>
        <v>12580.106608596852</v>
      </c>
      <c r="EN112" s="8">
        <f>+MINVU_Mes_Corriente!EN112*MINVU_Mes_Constante!$EC$1</f>
        <v>12580.106608596852</v>
      </c>
      <c r="EO112" s="9">
        <f t="shared" si="86"/>
        <v>12580.106608596852</v>
      </c>
      <c r="EP112" s="8">
        <f>+MINVU_Mes_Corriente!EP112*MINVU_Mes_Constante!$EP$1</f>
        <v>6929</v>
      </c>
      <c r="EQ112" s="8">
        <f>+MINVU_Mes_Corriente!EQ112*MINVU_Mes_Constante!$EP$1</f>
        <v>6929</v>
      </c>
      <c r="ER112" s="8">
        <f>+MINVU_Mes_Corriente!ER112*MINVU_Mes_Constante!$EP$1</f>
        <v>6929</v>
      </c>
      <c r="ES112" s="8">
        <f>+MINVU_Mes_Corriente!ES112*MINVU_Mes_Constante!$EP$1</f>
        <v>6929</v>
      </c>
      <c r="ET112" s="8">
        <f>+MINVU_Mes_Corriente!ET112*MINVU_Mes_Constante!$EP$1</f>
        <v>6929</v>
      </c>
      <c r="EU112" s="8">
        <f>+MINVU_Mes_Corriente!EU112*MINVU_Mes_Constante!$EP$1</f>
        <v>6929</v>
      </c>
      <c r="EV112" s="8">
        <f>+MINVU_Mes_Corriente!EV112*MINVU_Mes_Constante!$EP$1</f>
        <v>6929</v>
      </c>
      <c r="EW112" s="8">
        <f>+MINVU_Mes_Corriente!EW112*MINVU_Mes_Constante!$EP$1</f>
        <v>6929</v>
      </c>
      <c r="EX112" s="8">
        <f>+MINVU_Mes_Corriente!EX112*MINVU_Mes_Constante!$EP$1</f>
        <v>6929</v>
      </c>
      <c r="EY112" s="8">
        <f>+MINVU_Mes_Corriente!EY112*MINVU_Mes_Constante!$EP$1</f>
        <v>6929</v>
      </c>
      <c r="EZ112" s="8">
        <f>+MINVU_Mes_Corriente!EZ112*MINVU_Mes_Constante!$EP$1</f>
        <v>6929</v>
      </c>
      <c r="FA112" s="8">
        <f>+MINVU_Mes_Corriente!FA112*MINVU_Mes_Constante!$EP$1</f>
        <v>6929</v>
      </c>
      <c r="FB112" s="9">
        <f t="shared" si="87"/>
        <v>6929</v>
      </c>
      <c r="FC112" s="8">
        <f>+MINVU_Mes_Corriente!FC112*MINVU_Mes_Constante!$FC$1</f>
        <v>10</v>
      </c>
      <c r="FD112" s="8">
        <f>+MINVU_Mes_Corriente!FD112*MINVU_Mes_Constante!$FC$1</f>
        <v>10</v>
      </c>
      <c r="FE112" s="8">
        <f>+MINVU_Mes_Corriente!FE112*MINVU_Mes_Constante!$FC$1</f>
        <v>10</v>
      </c>
      <c r="FF112" s="8">
        <f>+MINVU_Mes_Corriente!FF112*MINVU_Mes_Constante!$FC$1</f>
        <v>10</v>
      </c>
      <c r="FG112" s="8">
        <f>+MINVU_Mes_Corriente!FG112*MINVU_Mes_Constante!$FC$1</f>
        <v>10</v>
      </c>
      <c r="FH112" s="8">
        <f>+MINVU_Mes_Corriente!FH112*MINVU_Mes_Constante!$FC$1</f>
        <v>10</v>
      </c>
      <c r="FI112" s="8">
        <f>+MINVU_Mes_Corriente!FI112*MINVU_Mes_Constante!$FC$1</f>
        <v>10</v>
      </c>
      <c r="FJ112" s="8"/>
      <c r="FK112" s="8"/>
      <c r="FL112" s="8"/>
      <c r="FM112" s="8"/>
      <c r="FN112" s="8"/>
      <c r="FO112" s="9">
        <f t="shared" si="88"/>
        <v>10</v>
      </c>
    </row>
    <row r="113" spans="2:171" ht="14.25" customHeight="1" x14ac:dyDescent="0.3">
      <c r="B113" s="7" t="s">
        <v>57</v>
      </c>
      <c r="C113" s="8">
        <f>+MINVU_Mes_Corriente!C113*MINVU_Mes_Constante!$C$1</f>
        <v>17507.84962183005</v>
      </c>
      <c r="D113" s="8">
        <f>+MINVU_Mes_Corriente!D113*MINVU_Mes_Constante!$C$1</f>
        <v>17507.84962183005</v>
      </c>
      <c r="E113" s="8">
        <f>+MINVU_Mes_Corriente!E113*MINVU_Mes_Constante!$C$1</f>
        <v>17507.84962183005</v>
      </c>
      <c r="F113" s="8">
        <f>+MINVU_Mes_Corriente!F113*MINVU_Mes_Constante!$C$1</f>
        <v>17507.84962183005</v>
      </c>
      <c r="G113" s="8">
        <f>+MINVU_Mes_Corriente!G113*MINVU_Mes_Constante!$C$1</f>
        <v>17507.84962183005</v>
      </c>
      <c r="H113" s="8">
        <f>+MINVU_Mes_Corriente!H113*MINVU_Mes_Constante!$C$1</f>
        <v>27229.931781106337</v>
      </c>
      <c r="I113" s="8">
        <f>+MINVU_Mes_Corriente!I113*MINVU_Mes_Constante!$C$1</f>
        <v>27229.931781106337</v>
      </c>
      <c r="J113" s="8">
        <f>+MINVU_Mes_Corriente!J113*MINVU_Mes_Constante!$C$1</f>
        <v>27229.931781106337</v>
      </c>
      <c r="K113" s="8">
        <f>+MINVU_Mes_Corriente!K113*MINVU_Mes_Constante!$C$1</f>
        <v>27229.931781106337</v>
      </c>
      <c r="L113" s="8">
        <f>+MINVU_Mes_Corriente!L113*MINVU_Mes_Constante!$C$1</f>
        <v>27229.931781106337</v>
      </c>
      <c r="M113" s="8">
        <f>+MINVU_Mes_Corriente!M113*MINVU_Mes_Constante!$C$1</f>
        <v>27229.931781106337</v>
      </c>
      <c r="N113" s="8">
        <f>+MINVU_Mes_Corriente!N113*MINVU_Mes_Constante!$C$1</f>
        <v>27229.931781106337</v>
      </c>
      <c r="O113" s="9">
        <f t="shared" si="76"/>
        <v>27229.931781106337</v>
      </c>
      <c r="P113" s="8">
        <f>+MINVU_Mes_Corriente!P113*MINVU_Mes_Constante!$P$1</f>
        <v>18058.400909220054</v>
      </c>
      <c r="Q113" s="8">
        <f>+MINVU_Mes_Corriente!Q113*MINVU_Mes_Constante!$P$1</f>
        <v>18058.400909220054</v>
      </c>
      <c r="R113" s="8">
        <f>+MINVU_Mes_Corriente!R113*MINVU_Mes_Constante!$P$1</f>
        <v>18058.400909220054</v>
      </c>
      <c r="S113" s="8">
        <f>+MINVU_Mes_Corriente!S113*MINVU_Mes_Constante!$P$1</f>
        <v>18058.400909220054</v>
      </c>
      <c r="T113" s="8">
        <f>+MINVU_Mes_Corriente!T113*MINVU_Mes_Constante!$P$1</f>
        <v>18058.400909220054</v>
      </c>
      <c r="U113" s="8">
        <f>+MINVU_Mes_Corriente!U113*MINVU_Mes_Constante!$P$1</f>
        <v>18058.400909220054</v>
      </c>
      <c r="V113" s="8">
        <f>+MINVU_Mes_Corriente!V113*MINVU_Mes_Constante!$P$1</f>
        <v>18058.400909220054</v>
      </c>
      <c r="W113" s="8">
        <f>+MINVU_Mes_Corriente!W113*MINVU_Mes_Constante!$P$1</f>
        <v>18058.400909220054</v>
      </c>
      <c r="X113" s="8">
        <f>+MINVU_Mes_Corriente!X113*MINVU_Mes_Constante!$P$1</f>
        <v>18058.400909220054</v>
      </c>
      <c r="Y113" s="8">
        <f>+MINVU_Mes_Corriente!Y113*MINVU_Mes_Constante!$P$1</f>
        <v>18058.400909220054</v>
      </c>
      <c r="Z113" s="8">
        <f>+MINVU_Mes_Corriente!Z113*MINVU_Mes_Constante!$P$1</f>
        <v>18058.400909220054</v>
      </c>
      <c r="AA113" s="8">
        <f>+MINVU_Mes_Corriente!AA113*MINVU_Mes_Constante!$P$1</f>
        <v>18058.400909220054</v>
      </c>
      <c r="AB113" s="9">
        <f t="shared" si="77"/>
        <v>18058.400909220054</v>
      </c>
      <c r="AC113" s="8">
        <f>+MINVU_Mes_Corriente!AC113*MINVU_Mes_Constante!$AC$1</f>
        <v>961178.16046479461</v>
      </c>
      <c r="AD113" s="8">
        <f>+MINVU_Mes_Corriente!AD113*MINVU_Mes_Constante!$AC$1</f>
        <v>961178.16046479461</v>
      </c>
      <c r="AE113" s="8">
        <f>+MINVU_Mes_Corriente!AE113*MINVU_Mes_Constante!$AC$1</f>
        <v>961178.16046479461</v>
      </c>
      <c r="AF113" s="8">
        <f>+MINVU_Mes_Corriente!AF113*MINVU_Mes_Constante!$AC$1</f>
        <v>962689.57283165026</v>
      </c>
      <c r="AG113" s="8">
        <f>+MINVU_Mes_Corriente!AG113*MINVU_Mes_Constante!$AC$1</f>
        <v>962689.57283165026</v>
      </c>
      <c r="AH113" s="8">
        <f>+MINVU_Mes_Corriente!AH113*MINVU_Mes_Constante!$AC$1</f>
        <v>962689.57283165026</v>
      </c>
      <c r="AI113" s="8">
        <f>+MINVU_Mes_Corriente!AI113*MINVU_Mes_Constante!$AC$1</f>
        <v>962689.57283165026</v>
      </c>
      <c r="AJ113" s="8">
        <f>+MINVU_Mes_Corriente!AJ113*MINVU_Mes_Constante!$AC$1</f>
        <v>962689.57283165026</v>
      </c>
      <c r="AK113" s="8">
        <f>+MINVU_Mes_Corriente!AK113*MINVU_Mes_Constante!$AC$1</f>
        <v>962689.57283165026</v>
      </c>
      <c r="AL113" s="8">
        <f>+MINVU_Mes_Corriente!AL113*MINVU_Mes_Constante!$AC$1</f>
        <v>962689.57283165026</v>
      </c>
      <c r="AM113" s="8">
        <f>+MINVU_Mes_Corriente!AM113*MINVU_Mes_Constante!$AC$1</f>
        <v>962689.57283165026</v>
      </c>
      <c r="AN113" s="8">
        <f>+MINVU_Mes_Corriente!AN113*MINVU_Mes_Constante!$AC$1</f>
        <v>962689.57283165026</v>
      </c>
      <c r="AO113" s="9">
        <f t="shared" si="78"/>
        <v>962689.57283165026</v>
      </c>
      <c r="AP113" s="8">
        <f>+MINVU_Mes_Corriente!AP113*MINVU_Mes_Constante!$AP$1</f>
        <v>21311.094278371431</v>
      </c>
      <c r="AQ113" s="8">
        <f>+MINVU_Mes_Corriente!AQ113*MINVU_Mes_Constante!$AP$1</f>
        <v>21311.094278371431</v>
      </c>
      <c r="AR113" s="8">
        <f>+MINVU_Mes_Corriente!AR113*MINVU_Mes_Constante!$AP$1</f>
        <v>21311.094278371431</v>
      </c>
      <c r="AS113" s="8">
        <f>+MINVU_Mes_Corriente!AS113*MINVU_Mes_Constante!$AP$1</f>
        <v>21311.094278371431</v>
      </c>
      <c r="AT113" s="8">
        <f>+MINVU_Mes_Corriente!AT113*MINVU_Mes_Constante!$AP$1</f>
        <v>22197.824969565805</v>
      </c>
      <c r="AU113" s="8">
        <f>+MINVU_Mes_Corriente!AU113*MINVU_Mes_Constante!$AP$1</f>
        <v>22197.824969565805</v>
      </c>
      <c r="AV113" s="8">
        <f>+MINVU_Mes_Corriente!AV113*MINVU_Mes_Constante!$AP$1</f>
        <v>22197.824969565805</v>
      </c>
      <c r="AW113" s="8">
        <f>+MINVU_Mes_Corriente!AW113*MINVU_Mes_Constante!$AP$1</f>
        <v>3957978.5997565263</v>
      </c>
      <c r="AX113" s="8">
        <f>+MINVU_Mes_Corriente!AX113*MINVU_Mes_Constante!$AP$1</f>
        <v>3957978.5997565263</v>
      </c>
      <c r="AY113" s="8">
        <f>+MINVU_Mes_Corriente!AY113*MINVU_Mes_Constante!$AP$1</f>
        <v>3957978.5997565263</v>
      </c>
      <c r="AZ113" s="8">
        <f>+MINVU_Mes_Corriente!AZ113*MINVU_Mes_Constante!$AP$1</f>
        <v>3957978.5997565263</v>
      </c>
      <c r="BA113" s="8">
        <f>+MINVU_Mes_Corriente!BA113*MINVU_Mes_Constante!$AP$1</f>
        <v>3957978.5997565263</v>
      </c>
      <c r="BB113" s="9">
        <f t="shared" si="79"/>
        <v>3957978.5997565263</v>
      </c>
      <c r="BC113" s="8">
        <f>+MINVU_Mes_Corriente!BC113*MINVU_Mes_Constante!$BC$1</f>
        <v>24395.108268495325</v>
      </c>
      <c r="BD113" s="8">
        <f>+MINVU_Mes_Corriente!BD113*MINVU_Mes_Constante!$BC$1</f>
        <v>24395.108268495325</v>
      </c>
      <c r="BE113" s="8">
        <f>+MINVU_Mes_Corriente!BE113*MINVU_Mes_Constante!$BC$1</f>
        <v>24395.108268495325</v>
      </c>
      <c r="BF113" s="8">
        <f>+MINVU_Mes_Corriente!BF113*MINVU_Mes_Constante!$BC$1</f>
        <v>24395.108268495325</v>
      </c>
      <c r="BG113" s="8">
        <f>+MINVU_Mes_Corriente!BG113*MINVU_Mes_Constante!$BC$1</f>
        <v>24395.108268495325</v>
      </c>
      <c r="BH113" s="8">
        <f>+MINVU_Mes_Corriente!BH113*MINVU_Mes_Constante!$BC$1</f>
        <v>24395.108268495325</v>
      </c>
      <c r="BI113" s="8">
        <f>+MINVU_Mes_Corriente!BI113*MINVU_Mes_Constante!$BC$1</f>
        <v>20085.512330212321</v>
      </c>
      <c r="BJ113" s="8">
        <f>+MINVU_Mes_Corriente!BJ113*MINVU_Mes_Constante!$BC$1</f>
        <v>20085.512330212321</v>
      </c>
      <c r="BK113" s="8">
        <f>+MINVU_Mes_Corriente!BK113*MINVU_Mes_Constante!$BC$1</f>
        <v>20085.512330212321</v>
      </c>
      <c r="BL113" s="8">
        <f>+MINVU_Mes_Corriente!BL113*MINVU_Mes_Constante!$BC$1</f>
        <v>20085.512330212321</v>
      </c>
      <c r="BM113" s="8">
        <f>+MINVU_Mes_Corriente!BM113*MINVU_Mes_Constante!$BC$1</f>
        <v>20085.512330212321</v>
      </c>
      <c r="BN113" s="8">
        <f>+MINVU_Mes_Corriente!BN113*MINVU_Mes_Constante!$BC$1</f>
        <v>20085.512330212321</v>
      </c>
      <c r="BO113" s="9">
        <f t="shared" si="80"/>
        <v>20085.512330212321</v>
      </c>
      <c r="BP113" s="8">
        <f>+MINVU_Mes_Corriente!BP113*MINVU_Mes_Constante!$BP$1</f>
        <v>19228.920614596675</v>
      </c>
      <c r="BQ113" s="8">
        <f>+MINVU_Mes_Corriente!BQ113*MINVU_Mes_Constante!$BP$1</f>
        <v>19228.920614596675</v>
      </c>
      <c r="BR113" s="8">
        <f>+MINVU_Mes_Corriente!BR113*MINVU_Mes_Constante!$BP$1</f>
        <v>19228.920614596675</v>
      </c>
      <c r="BS113" s="8">
        <f>+MINVU_Mes_Corriente!BS113*MINVU_Mes_Constante!$BP$1</f>
        <v>19228.920614596675</v>
      </c>
      <c r="BT113" s="8">
        <f>+MINVU_Mes_Corriente!BT113*MINVU_Mes_Constante!$BP$1</f>
        <v>19228.920614596675</v>
      </c>
      <c r="BU113" s="8">
        <f>+MINVU_Mes_Corriente!BU113*MINVU_Mes_Constante!$BP$1</f>
        <v>19228.920614596675</v>
      </c>
      <c r="BV113" s="8">
        <f>+MINVU_Mes_Corriente!BV113*MINVU_Mes_Constante!$BP$1</f>
        <v>19228.920614596675</v>
      </c>
      <c r="BW113" s="8">
        <f>+MINVU_Mes_Corriente!BW113*MINVU_Mes_Constante!$BP$1</f>
        <v>19228.920614596675</v>
      </c>
      <c r="BX113" s="8">
        <f>+MINVU_Mes_Corriente!BX113*MINVU_Mes_Constante!$BP$1</f>
        <v>19228.920614596675</v>
      </c>
      <c r="BY113" s="8">
        <f>+MINVU_Mes_Corriente!BY113*MINVU_Mes_Constante!$BP$1</f>
        <v>19228.920614596675</v>
      </c>
      <c r="BZ113" s="8">
        <f>+MINVU_Mes_Corriente!BZ113*MINVU_Mes_Constante!$BP$1</f>
        <v>19228.920614596675</v>
      </c>
      <c r="CA113" s="8">
        <f>+MINVU_Mes_Corriente!CA113*MINVU_Mes_Constante!$BP$1</f>
        <v>3792935.0189500647</v>
      </c>
      <c r="CB113" s="9">
        <f t="shared" si="81"/>
        <v>3792935.0189500647</v>
      </c>
      <c r="CC113" s="8">
        <f>+MINVU_Mes_Corriente!CC113*MINVU_Mes_Constante!$CC$1</f>
        <v>425524.43342036556</v>
      </c>
      <c r="CD113" s="8">
        <f>+MINVU_Mes_Corriente!CD113*MINVU_Mes_Constante!$CC$1</f>
        <v>425524.43342036556</v>
      </c>
      <c r="CE113" s="8">
        <f>+MINVU_Mes_Corriente!CE113*MINVU_Mes_Constante!$CC$1</f>
        <v>425524.43342036556</v>
      </c>
      <c r="CF113" s="8">
        <f>+MINVU_Mes_Corriente!CF113*MINVU_Mes_Constante!$CC$1</f>
        <v>419789.06452816119</v>
      </c>
      <c r="CG113" s="8">
        <f>+MINVU_Mes_Corriente!CG113*MINVU_Mes_Constante!$CC$1</f>
        <v>214974.4498321522</v>
      </c>
      <c r="CH113" s="8">
        <f>+MINVU_Mes_Corriente!CH113*MINVU_Mes_Constante!$CC$1</f>
        <v>214974.4498321522</v>
      </c>
      <c r="CI113" s="8">
        <f>+MINVU_Mes_Corriente!CI113*MINVU_Mes_Constante!$CC$1</f>
        <v>214974.4498321522</v>
      </c>
      <c r="CJ113" s="8">
        <f>+MINVU_Mes_Corriente!CJ113*MINVU_Mes_Constante!$CC$1</f>
        <v>214974.4498321522</v>
      </c>
      <c r="CK113" s="8">
        <f>+MINVU_Mes_Corriente!CK113*MINVU_Mes_Constante!$CC$1</f>
        <v>214974.4498321522</v>
      </c>
      <c r="CL113" s="8">
        <f>+MINVU_Mes_Corriente!CL113*MINVU_Mes_Constante!$CC$1</f>
        <v>214974.4498321522</v>
      </c>
      <c r="CM113" s="8">
        <f>+MINVU_Mes_Corriente!CM113*MINVU_Mes_Constante!$CC$1</f>
        <v>1270677.6344647522</v>
      </c>
      <c r="CN113" s="8">
        <f>+MINVU_Mes_Corriente!CN113*MINVU_Mes_Constante!$CC$1</f>
        <v>1260379.2375979114</v>
      </c>
      <c r="CO113" s="9">
        <f t="shared" si="82"/>
        <v>1260379.2375979114</v>
      </c>
      <c r="CP113" s="8">
        <f>+MINVU_Mes_Corriente!CP113*MINVU_Mes_Constante!$CP$1</f>
        <v>17473.994895591644</v>
      </c>
      <c r="CQ113" s="8">
        <f>+MINVU_Mes_Corriente!CQ113*MINVU_Mes_Constante!$CP$1</f>
        <v>17473.994895591644</v>
      </c>
      <c r="CR113" s="8">
        <f>+MINVU_Mes_Corriente!CR113*MINVU_Mes_Constante!$CP$1</f>
        <v>17473.994895591644</v>
      </c>
      <c r="CS113" s="8">
        <f>+MINVU_Mes_Corriente!CS113*MINVU_Mes_Constante!$CP$1</f>
        <v>17473.994895591644</v>
      </c>
      <c r="CT113" s="8">
        <f>+MINVU_Mes_Corriente!CT113*MINVU_Mes_Constante!$CP$1</f>
        <v>2424261.3870069599</v>
      </c>
      <c r="CU113" s="8">
        <f>+MINVU_Mes_Corriente!CU113*MINVU_Mes_Constante!$CP$1</f>
        <v>2424261.3870069599</v>
      </c>
      <c r="CV113" s="8">
        <f>+MINVU_Mes_Corriente!CV113*MINVU_Mes_Constante!$CP$1</f>
        <v>2424261.3870069599</v>
      </c>
      <c r="CW113" s="8">
        <f>+MINVU_Mes_Corriente!CW113*MINVU_Mes_Constante!$CP$1</f>
        <v>2424261.3870069599</v>
      </c>
      <c r="CX113" s="8">
        <f>+MINVU_Mes_Corriente!CX113*MINVU_Mes_Constante!$CP$1</f>
        <v>2424261.3870069599</v>
      </c>
      <c r="CY113" s="8">
        <f>+MINVU_Mes_Corriente!CY113*MINVU_Mes_Constante!$CP$1</f>
        <v>2424261.3870069599</v>
      </c>
      <c r="CZ113" s="8">
        <f>+MINVU_Mes_Corriente!CZ113*MINVU_Mes_Constante!$CP$1</f>
        <v>2424261.3870069599</v>
      </c>
      <c r="DA113" s="8">
        <f>+MINVU_Mes_Corriente!DA113*MINVU_Mes_Constante!$CP$1</f>
        <v>3507384.1593967509</v>
      </c>
      <c r="DB113" s="9">
        <f t="shared" si="83"/>
        <v>3507384.1593967509</v>
      </c>
      <c r="DC113" s="8">
        <f>+MINVU_Mes_Corriente!DC113*MINVU_Mes_Constante!$DC$1</f>
        <v>0</v>
      </c>
      <c r="DD113" s="8">
        <f>+MINVU_Mes_Corriente!DD113*MINVU_Mes_Constante!$DC$1</f>
        <v>0</v>
      </c>
      <c r="DE113" s="8">
        <f>+MINVU_Mes_Corriente!DE113*MINVU_Mes_Constante!$DC$1</f>
        <v>914946.00493776402</v>
      </c>
      <c r="DF113" s="8">
        <f>+MINVU_Mes_Corriente!DF113*MINVU_Mes_Constante!$DC$1</f>
        <v>914946.00493776402</v>
      </c>
      <c r="DG113" s="8">
        <f>+MINVU_Mes_Corriente!DG113*MINVU_Mes_Constante!$DC$1</f>
        <v>1412023.3689949601</v>
      </c>
      <c r="DH113" s="8">
        <f>+MINVU_Mes_Corriente!DH113*MINVU_Mes_Constante!$DC$1</f>
        <v>1412023.3689949601</v>
      </c>
      <c r="DI113" s="8">
        <f>+MINVU_Mes_Corriente!DI113*MINVU_Mes_Constante!$DC$1</f>
        <v>1412023.3689949601</v>
      </c>
      <c r="DJ113" s="8">
        <f>+MINVU_Mes_Corriente!DJ113*MINVU_Mes_Constante!$DC$1</f>
        <v>1412023.3689949601</v>
      </c>
      <c r="DK113" s="8">
        <f>+MINVU_Mes_Corriente!DK113*MINVU_Mes_Constante!$DC$1</f>
        <v>1412023.3689949601</v>
      </c>
      <c r="DL113" s="8">
        <f>+MINVU_Mes_Corriente!DL113*MINVU_Mes_Constante!$DC$1</f>
        <v>3263361.6298734713</v>
      </c>
      <c r="DM113" s="8">
        <f>+MINVU_Mes_Corriente!DM113*MINVU_Mes_Constante!$DC$1</f>
        <v>3263361.6298734713</v>
      </c>
      <c r="DN113" s="8">
        <f>+MINVU_Mes_Corriente!DN113*MINVU_Mes_Constante!$DC$1</f>
        <v>3380480.347289375</v>
      </c>
      <c r="DO113" s="9">
        <f t="shared" si="84"/>
        <v>3380480.347289375</v>
      </c>
      <c r="DP113" s="8">
        <f>+MINVU_Mes_Corriente!DP113*MINVU_Mes_Constante!$DP$1</f>
        <v>0</v>
      </c>
      <c r="DQ113" s="8">
        <f>+MINVU_Mes_Corriente!DQ113*MINVU_Mes_Constante!$DP$1</f>
        <v>0</v>
      </c>
      <c r="DR113" s="8">
        <f>+MINVU_Mes_Corriente!DR113*MINVU_Mes_Constante!$DP$1</f>
        <v>0</v>
      </c>
      <c r="DS113" s="8">
        <f>+MINVU_Mes_Corriente!DS113*MINVU_Mes_Constante!$DP$1</f>
        <v>0</v>
      </c>
      <c r="DT113" s="8">
        <f>+MINVU_Mes_Corriente!DT113*MINVU_Mes_Constante!$DP$1</f>
        <v>0</v>
      </c>
      <c r="DU113" s="8">
        <f>+MINVU_Mes_Corriente!DU113*MINVU_Mes_Constante!$DP$1</f>
        <v>0</v>
      </c>
      <c r="DV113" s="8">
        <f>+MINVU_Mes_Corriente!DV113*MINVU_Mes_Constante!$DP$1</f>
        <v>0</v>
      </c>
      <c r="DW113" s="8">
        <f>+MINVU_Mes_Corriente!DW113*MINVU_Mes_Constante!$DP$1</f>
        <v>0</v>
      </c>
      <c r="DX113" s="8">
        <f>+MINVU_Mes_Corriente!DX113*MINVU_Mes_Constante!$DP$1</f>
        <v>0</v>
      </c>
      <c r="DY113" s="8">
        <f>+MINVU_Mes_Corriente!DY113*MINVU_Mes_Constante!$DP$1</f>
        <v>0</v>
      </c>
      <c r="DZ113" s="8">
        <f>+MINVU_Mes_Corriente!DZ113*MINVU_Mes_Constante!$DP$1</f>
        <v>0</v>
      </c>
      <c r="EA113" s="8">
        <f>+MINVU_Mes_Corriente!EA113*MINVU_Mes_Constante!$DP$1</f>
        <v>0</v>
      </c>
      <c r="EB113" s="9">
        <f t="shared" si="85"/>
        <v>0</v>
      </c>
      <c r="EC113" s="8">
        <f>+MINVU_Mes_Corriente!EC113*MINVU_Mes_Constante!$EC$1</f>
        <v>0</v>
      </c>
      <c r="ED113" s="8">
        <f>+MINVU_Mes_Corriente!ED113*MINVU_Mes_Constante!$EC$1</f>
        <v>0</v>
      </c>
      <c r="EE113" s="8">
        <f>+MINVU_Mes_Corriente!EE113*MINVU_Mes_Constante!$EC$1</f>
        <v>0</v>
      </c>
      <c r="EF113" s="8">
        <f>+MINVU_Mes_Corriente!EF113*MINVU_Mes_Constante!$EC$1</f>
        <v>0</v>
      </c>
      <c r="EG113" s="8">
        <f>+MINVU_Mes_Corriente!EG113*MINVU_Mes_Constante!$EC$1</f>
        <v>7881.574891119104</v>
      </c>
      <c r="EH113" s="8">
        <f>+MINVU_Mes_Corriente!EH113*MINVU_Mes_Constante!$EC$1</f>
        <v>7881.574891119104</v>
      </c>
      <c r="EI113" s="8">
        <f>+MINVU_Mes_Corriente!EI113*MINVU_Mes_Constante!$EC$1</f>
        <v>7881.574891119104</v>
      </c>
      <c r="EJ113" s="8">
        <f>+MINVU_Mes_Corriente!EJ113*MINVU_Mes_Constante!$EC$1</f>
        <v>7881.574891119104</v>
      </c>
      <c r="EK113" s="8">
        <f>+MINVU_Mes_Corriente!EK113*MINVU_Mes_Constante!$EC$1</f>
        <v>7881.574891119104</v>
      </c>
      <c r="EL113" s="8">
        <f>+MINVU_Mes_Corriente!EL113*MINVU_Mes_Constante!$EC$1</f>
        <v>9533.612573376251</v>
      </c>
      <c r="EM113" s="8">
        <f>+MINVU_Mes_Corriente!EM113*MINVU_Mes_Constante!$EC$1</f>
        <v>9533.612573376251</v>
      </c>
      <c r="EN113" s="8">
        <f>+MINVU_Mes_Corriente!EN113*MINVU_Mes_Constante!$EC$1</f>
        <v>9533.612573376251</v>
      </c>
      <c r="EO113" s="9">
        <f t="shared" si="86"/>
        <v>9533.612573376251</v>
      </c>
      <c r="EP113" s="8">
        <f>+MINVU_Mes_Corriente!EP113*MINVU_Mes_Constante!$EP$1</f>
        <v>5890</v>
      </c>
      <c r="EQ113" s="8">
        <f>+MINVU_Mes_Corriente!EQ113*MINVU_Mes_Constante!$EP$1</f>
        <v>5890</v>
      </c>
      <c r="ER113" s="8">
        <f>+MINVU_Mes_Corriente!ER113*MINVU_Mes_Constante!$EP$1</f>
        <v>5890</v>
      </c>
      <c r="ES113" s="8">
        <f>+MINVU_Mes_Corriente!ES113*MINVU_Mes_Constante!$EP$1</f>
        <v>5890</v>
      </c>
      <c r="ET113" s="8">
        <f>+MINVU_Mes_Corriente!ET113*MINVU_Mes_Constante!$EP$1</f>
        <v>5890</v>
      </c>
      <c r="EU113" s="8">
        <f>+MINVU_Mes_Corriente!EU113*MINVU_Mes_Constante!$EP$1</f>
        <v>5890</v>
      </c>
      <c r="EV113" s="8">
        <f>+MINVU_Mes_Corriente!EV113*MINVU_Mes_Constante!$EP$1</f>
        <v>5890</v>
      </c>
      <c r="EW113" s="8">
        <f>+MINVU_Mes_Corriente!EW113*MINVU_Mes_Constante!$EP$1</f>
        <v>5890</v>
      </c>
      <c r="EX113" s="8">
        <f>+MINVU_Mes_Corriente!EX113*MINVU_Mes_Constante!$EP$1</f>
        <v>5890</v>
      </c>
      <c r="EY113" s="8">
        <f>+MINVU_Mes_Corriente!EY113*MINVU_Mes_Constante!$EP$1</f>
        <v>5890</v>
      </c>
      <c r="EZ113" s="8">
        <f>+MINVU_Mes_Corriente!EZ113*MINVU_Mes_Constante!$EP$1</f>
        <v>5890</v>
      </c>
      <c r="FA113" s="8">
        <f>+MINVU_Mes_Corriente!FA113*MINVU_Mes_Constante!$EP$1</f>
        <v>5890</v>
      </c>
      <c r="FB113" s="9">
        <f t="shared" si="87"/>
        <v>5890</v>
      </c>
      <c r="FC113" s="8">
        <f>+MINVU_Mes_Corriente!FC113*MINVU_Mes_Constante!$FC$1</f>
        <v>10</v>
      </c>
      <c r="FD113" s="8">
        <f>+MINVU_Mes_Corriente!FD113*MINVU_Mes_Constante!$FC$1</f>
        <v>10</v>
      </c>
      <c r="FE113" s="8">
        <f>+MINVU_Mes_Corriente!FE113*MINVU_Mes_Constante!$FC$1</f>
        <v>10</v>
      </c>
      <c r="FF113" s="8">
        <f>+MINVU_Mes_Corriente!FF113*MINVU_Mes_Constante!$FC$1</f>
        <v>10</v>
      </c>
      <c r="FG113" s="8">
        <f>+MINVU_Mes_Corriente!FG113*MINVU_Mes_Constante!$FC$1</f>
        <v>10</v>
      </c>
      <c r="FH113" s="8">
        <f>+MINVU_Mes_Corriente!FH113*MINVU_Mes_Constante!$FC$1</f>
        <v>10</v>
      </c>
      <c r="FI113" s="8">
        <f>+MINVU_Mes_Corriente!FI113*MINVU_Mes_Constante!$FC$1</f>
        <v>10</v>
      </c>
      <c r="FJ113" s="8"/>
      <c r="FK113" s="8"/>
      <c r="FL113" s="8"/>
      <c r="FM113" s="8"/>
      <c r="FN113" s="8"/>
      <c r="FO113" s="9">
        <f t="shared" si="88"/>
        <v>10</v>
      </c>
    </row>
    <row r="114" spans="2:171" ht="14.25" customHeight="1" x14ac:dyDescent="0.3">
      <c r="B114" s="7" t="s">
        <v>58</v>
      </c>
      <c r="C114" s="8">
        <f>+MINVU_Mes_Corriente!C114*MINVU_Mes_Constante!$C$1</f>
        <v>17540.25656236097</v>
      </c>
      <c r="D114" s="8">
        <f>+MINVU_Mes_Corriente!D114*MINVU_Mes_Constante!$C$1</f>
        <v>17540.25656236097</v>
      </c>
      <c r="E114" s="8">
        <f>+MINVU_Mes_Corriente!E114*MINVU_Mes_Constante!$C$1</f>
        <v>17540.25656236097</v>
      </c>
      <c r="F114" s="8">
        <f>+MINVU_Mes_Corriente!F114*MINVU_Mes_Constante!$C$1</f>
        <v>17540.25656236097</v>
      </c>
      <c r="G114" s="8">
        <f>+MINVU_Mes_Corriente!G114*MINVU_Mes_Constante!$C$1</f>
        <v>17540.25656236097</v>
      </c>
      <c r="H114" s="8">
        <f>+MINVU_Mes_Corriente!H114*MINVU_Mes_Constante!$C$1</f>
        <v>17540.25656236097</v>
      </c>
      <c r="I114" s="8">
        <f>+MINVU_Mes_Corriente!I114*MINVU_Mes_Constante!$C$1</f>
        <v>17540.25656236097</v>
      </c>
      <c r="J114" s="8">
        <f>+MINVU_Mes_Corriente!J114*MINVU_Mes_Constante!$C$1</f>
        <v>17540.25656236097</v>
      </c>
      <c r="K114" s="8">
        <f>+MINVU_Mes_Corriente!K114*MINVU_Mes_Constante!$C$1</f>
        <v>17540.25656236097</v>
      </c>
      <c r="L114" s="8">
        <f>+MINVU_Mes_Corriente!L114*MINVU_Mes_Constante!$C$1</f>
        <v>17540.25656236097</v>
      </c>
      <c r="M114" s="8">
        <f>+MINVU_Mes_Corriente!M114*MINVU_Mes_Constante!$C$1</f>
        <v>17540.25656236097</v>
      </c>
      <c r="N114" s="8">
        <f>+MINVU_Mes_Corriente!N114*MINVU_Mes_Constante!$C$1</f>
        <v>17540.25656236097</v>
      </c>
      <c r="O114" s="9">
        <f t="shared" si="76"/>
        <v>17540.25656236097</v>
      </c>
      <c r="P114" s="8">
        <f>+MINVU_Mes_Corriente!P114*MINVU_Mes_Constante!$P$1</f>
        <v>18693.254439551067</v>
      </c>
      <c r="Q114" s="8">
        <f>+MINVU_Mes_Corriente!Q114*MINVU_Mes_Constante!$P$1</f>
        <v>18693.254439551067</v>
      </c>
      <c r="R114" s="8">
        <f>+MINVU_Mes_Corriente!R114*MINVU_Mes_Constante!$P$1</f>
        <v>18693.254439551067</v>
      </c>
      <c r="S114" s="8">
        <f>+MINVU_Mes_Corriente!S114*MINVU_Mes_Constante!$P$1</f>
        <v>18693.254439551067</v>
      </c>
      <c r="T114" s="8">
        <f>+MINVU_Mes_Corriente!T114*MINVU_Mes_Constante!$P$1</f>
        <v>18693.254439551067</v>
      </c>
      <c r="U114" s="8">
        <f>+MINVU_Mes_Corriente!U114*MINVU_Mes_Constante!$P$1</f>
        <v>18693.254439551067</v>
      </c>
      <c r="V114" s="8">
        <f>+MINVU_Mes_Corriente!V114*MINVU_Mes_Constante!$P$1</f>
        <v>18693.254439551067</v>
      </c>
      <c r="W114" s="8">
        <f>+MINVU_Mes_Corriente!W114*MINVU_Mes_Constante!$P$1</f>
        <v>18693.254439551067</v>
      </c>
      <c r="X114" s="8">
        <f>+MINVU_Mes_Corriente!X114*MINVU_Mes_Constante!$P$1</f>
        <v>18693.254439551067</v>
      </c>
      <c r="Y114" s="8">
        <f>+MINVU_Mes_Corriente!Y114*MINVU_Mes_Constante!$P$1</f>
        <v>18693.254439551067</v>
      </c>
      <c r="Z114" s="8">
        <f>+MINVU_Mes_Corriente!Z114*MINVU_Mes_Constante!$P$1</f>
        <v>18693.254439551067</v>
      </c>
      <c r="AA114" s="8">
        <f>+MINVU_Mes_Corriente!AA114*MINVU_Mes_Constante!$P$1</f>
        <v>18693.254439551067</v>
      </c>
      <c r="AB114" s="9">
        <f t="shared" si="77"/>
        <v>18693.254439551067</v>
      </c>
      <c r="AC114" s="8">
        <f>+MINVU_Mes_Corriente!AC114*MINVU_Mes_Constante!$AC$1</f>
        <v>21235.343754322865</v>
      </c>
      <c r="AD114" s="8">
        <f>+MINVU_Mes_Corriente!AD114*MINVU_Mes_Constante!$AC$1</f>
        <v>21235.343754322865</v>
      </c>
      <c r="AE114" s="8">
        <f>+MINVU_Mes_Corriente!AE114*MINVU_Mes_Constante!$AC$1</f>
        <v>21235.343754322865</v>
      </c>
      <c r="AF114" s="8">
        <f>+MINVU_Mes_Corriente!AF114*MINVU_Mes_Constante!$AC$1</f>
        <v>22746.756121178587</v>
      </c>
      <c r="AG114" s="8">
        <f>+MINVU_Mes_Corriente!AG114*MINVU_Mes_Constante!$AC$1</f>
        <v>459294.03568958363</v>
      </c>
      <c r="AH114" s="8">
        <f>+MINVU_Mes_Corriente!AH114*MINVU_Mes_Constante!$AC$1</f>
        <v>471642.27472679486</v>
      </c>
      <c r="AI114" s="8">
        <f>+MINVU_Mes_Corriente!AI114*MINVU_Mes_Constante!$AC$1</f>
        <v>471642.27472679486</v>
      </c>
      <c r="AJ114" s="8">
        <f>+MINVU_Mes_Corriente!AJ114*MINVU_Mes_Constante!$AC$1</f>
        <v>743696.50076082442</v>
      </c>
      <c r="AK114" s="8">
        <f>+MINVU_Mes_Corriente!AK114*MINVU_Mes_Constante!$AC$1</f>
        <v>743696.50076082442</v>
      </c>
      <c r="AL114" s="8">
        <f>+MINVU_Mes_Corriente!AL114*MINVU_Mes_Constante!$AC$1</f>
        <v>743696.50076082442</v>
      </c>
      <c r="AM114" s="8">
        <f>+MINVU_Mes_Corriente!AM114*MINVU_Mes_Constante!$AC$1</f>
        <v>1322626.3823488725</v>
      </c>
      <c r="AN114" s="8">
        <f>+MINVU_Mes_Corriente!AN114*MINVU_Mes_Constante!$AC$1</f>
        <v>1322626.3823488725</v>
      </c>
      <c r="AO114" s="9">
        <f t="shared" si="78"/>
        <v>1322626.3823488725</v>
      </c>
      <c r="AP114" s="8">
        <f>+MINVU_Mes_Corriente!AP114*MINVU_Mes_Constante!$AP$1</f>
        <v>19788.873258487758</v>
      </c>
      <c r="AQ114" s="8">
        <f>+MINVU_Mes_Corriente!AQ114*MINVU_Mes_Constante!$AP$1</f>
        <v>19788.873258487758</v>
      </c>
      <c r="AR114" s="8">
        <f>+MINVU_Mes_Corriente!AR114*MINVU_Mes_Constante!$AP$1</f>
        <v>19788.873258487758</v>
      </c>
      <c r="AS114" s="8">
        <f>+MINVU_Mes_Corriente!AS114*MINVU_Mes_Constante!$AP$1</f>
        <v>19788.873258487758</v>
      </c>
      <c r="AT114" s="8">
        <f>+MINVU_Mes_Corriente!AT114*MINVU_Mes_Constante!$AP$1</f>
        <v>21266.757743811711</v>
      </c>
      <c r="AU114" s="8">
        <f>+MINVU_Mes_Corriente!AU114*MINVU_Mes_Constante!$AP$1</f>
        <v>21266.757743811711</v>
      </c>
      <c r="AV114" s="8">
        <f>+MINVU_Mes_Corriente!AV114*MINVU_Mes_Constante!$AP$1</f>
        <v>21266.757743811711</v>
      </c>
      <c r="AW114" s="8">
        <f>+MINVU_Mes_Corriente!AW114*MINVU_Mes_Constante!$AP$1</f>
        <v>21266.757743811711</v>
      </c>
      <c r="AX114" s="8">
        <f>+MINVU_Mes_Corriente!AX114*MINVU_Mes_Constante!$AP$1</f>
        <v>21266.757743811711</v>
      </c>
      <c r="AY114" s="8">
        <f>+MINVU_Mes_Corriente!AY114*MINVU_Mes_Constante!$AP$1</f>
        <v>1986853.1232246719</v>
      </c>
      <c r="AZ114" s="8">
        <f>+MINVU_Mes_Corriente!AZ114*MINVU_Mes_Constante!$AP$1</f>
        <v>1986853.1232246719</v>
      </c>
      <c r="BA114" s="8">
        <f>+MINVU_Mes_Corriente!BA114*MINVU_Mes_Constante!$AP$1</f>
        <v>4942622.0938725816</v>
      </c>
      <c r="BB114" s="9">
        <f t="shared" si="79"/>
        <v>4942622.0938725816</v>
      </c>
      <c r="BC114" s="8">
        <f>+MINVU_Mes_Corriente!BC114*MINVU_Mes_Constante!$BC$1</f>
        <v>21027.831201371493</v>
      </c>
      <c r="BD114" s="8">
        <f>+MINVU_Mes_Corriente!BD114*MINVU_Mes_Constante!$BC$1</f>
        <v>21027.831201371493</v>
      </c>
      <c r="BE114" s="8">
        <f>+MINVU_Mes_Corriente!BE114*MINVU_Mes_Constante!$BC$1</f>
        <v>21027.831201371493</v>
      </c>
      <c r="BF114" s="8">
        <f>+MINVU_Mes_Corriente!BF114*MINVU_Mes_Constante!$BC$1</f>
        <v>21027.831201371493</v>
      </c>
      <c r="BG114" s="8">
        <f>+MINVU_Mes_Corriente!BG114*MINVU_Mes_Constante!$BC$1</f>
        <v>21027.831201371493</v>
      </c>
      <c r="BH114" s="8">
        <f>+MINVU_Mes_Corriente!BH114*MINVU_Mes_Constante!$BC$1</f>
        <v>21027.831201371493</v>
      </c>
      <c r="BI114" s="8">
        <f>+MINVU_Mes_Corriente!BI114*MINVU_Mes_Constante!$BC$1</f>
        <v>17356.533825662671</v>
      </c>
      <c r="BJ114" s="8">
        <f>+MINVU_Mes_Corriente!BJ114*MINVU_Mes_Constante!$BC$1</f>
        <v>17356.533825662671</v>
      </c>
      <c r="BK114" s="8">
        <f>+MINVU_Mes_Corriente!BK114*MINVU_Mes_Constante!$BC$1</f>
        <v>17356.533825662671</v>
      </c>
      <c r="BL114" s="8">
        <f>+MINVU_Mes_Corriente!BL114*MINVU_Mes_Constante!$BC$1</f>
        <v>17356.533825662671</v>
      </c>
      <c r="BM114" s="8">
        <f>+MINVU_Mes_Corriente!BM114*MINVU_Mes_Constante!$BC$1</f>
        <v>17356.533825662671</v>
      </c>
      <c r="BN114" s="8">
        <f>+MINVU_Mes_Corriente!BN114*MINVU_Mes_Constante!$BC$1</f>
        <v>17356.533825662671</v>
      </c>
      <c r="BO114" s="9">
        <f t="shared" si="80"/>
        <v>17356.533825662671</v>
      </c>
      <c r="BP114" s="8">
        <f>+MINVU_Mes_Corriente!BP114*MINVU_Mes_Constante!$BP$1</f>
        <v>9340.9605633802821</v>
      </c>
      <c r="BQ114" s="8">
        <f>+MINVU_Mes_Corriente!BQ114*MINVU_Mes_Constante!$BP$1</f>
        <v>9340.9605633802821</v>
      </c>
      <c r="BR114" s="8">
        <f>+MINVU_Mes_Corriente!BR114*MINVU_Mes_Constante!$BP$1</f>
        <v>9340.9605633802821</v>
      </c>
      <c r="BS114" s="8">
        <f>+MINVU_Mes_Corriente!BS114*MINVU_Mes_Constante!$BP$1</f>
        <v>9340.9605633802821</v>
      </c>
      <c r="BT114" s="8">
        <f>+MINVU_Mes_Corriente!BT114*MINVU_Mes_Constante!$BP$1</f>
        <v>9340.9605633802821</v>
      </c>
      <c r="BU114" s="8">
        <f>+MINVU_Mes_Corriente!BU114*MINVU_Mes_Constante!$BP$1</f>
        <v>9340.9605633802821</v>
      </c>
      <c r="BV114" s="8">
        <f>+MINVU_Mes_Corriente!BV114*MINVU_Mes_Constante!$BP$1</f>
        <v>9340.9605633802821</v>
      </c>
      <c r="BW114" s="8">
        <f>+MINVU_Mes_Corriente!BW114*MINVU_Mes_Constante!$BP$1</f>
        <v>9340.9605633802821</v>
      </c>
      <c r="BX114" s="8">
        <f>+MINVU_Mes_Corriente!BX114*MINVU_Mes_Constante!$BP$1</f>
        <v>9340.9605633802821</v>
      </c>
      <c r="BY114" s="8">
        <f>+MINVU_Mes_Corriente!BY114*MINVU_Mes_Constante!$BP$1</f>
        <v>9340.9605633802821</v>
      </c>
      <c r="BZ114" s="8">
        <f>+MINVU_Mes_Corriente!BZ114*MINVU_Mes_Constante!$BP$1</f>
        <v>9340.9605633802821</v>
      </c>
      <c r="CA114" s="8">
        <f>+MINVU_Mes_Corriente!CA114*MINVU_Mes_Constante!$BP$1</f>
        <v>9340.9605633802821</v>
      </c>
      <c r="CB114" s="9">
        <f t="shared" si="81"/>
        <v>9340.9605633802821</v>
      </c>
      <c r="CC114" s="8">
        <f>+MINVU_Mes_Corriente!CC114*MINVU_Mes_Constante!$CC$1</f>
        <v>9306.7295785154802</v>
      </c>
      <c r="CD114" s="8">
        <f>+MINVU_Mes_Corriente!CD114*MINVU_Mes_Constante!$CC$1</f>
        <v>9306.7295785154802</v>
      </c>
      <c r="CE114" s="8">
        <f>+MINVU_Mes_Corriente!CE114*MINVU_Mes_Constante!$CC$1</f>
        <v>9306.7295785154802</v>
      </c>
      <c r="CF114" s="8">
        <f>+MINVU_Mes_Corriente!CF114*MINVU_Mes_Constante!$CC$1</f>
        <v>6515.1182394628877</v>
      </c>
      <c r="CG114" s="8">
        <f>+MINVU_Mes_Corriente!CG114*MINVU_Mes_Constante!$CC$1</f>
        <v>1881391.1794106679</v>
      </c>
      <c r="CH114" s="8">
        <f>+MINVU_Mes_Corriente!CH114*MINVU_Mes_Constante!$CC$1</f>
        <v>1881391.1794106679</v>
      </c>
      <c r="CI114" s="8">
        <f>+MINVU_Mes_Corriente!CI114*MINVU_Mes_Constante!$CC$1</f>
        <v>1881391.1794106679</v>
      </c>
      <c r="CJ114" s="8">
        <f>+MINVU_Mes_Corriente!CJ114*MINVU_Mes_Constante!$CC$1</f>
        <v>1881391.1794106679</v>
      </c>
      <c r="CK114" s="8">
        <f>+MINVU_Mes_Corriente!CK114*MINVU_Mes_Constante!$CC$1</f>
        <v>1881391.1794106679</v>
      </c>
      <c r="CL114" s="8">
        <f>+MINVU_Mes_Corriente!CL114*MINVU_Mes_Constante!$CC$1</f>
        <v>2804250.3424095488</v>
      </c>
      <c r="CM114" s="8">
        <f>+MINVU_Mes_Corriente!CM114*MINVU_Mes_Constante!$CC$1</f>
        <v>2809455.9164490863</v>
      </c>
      <c r="CN114" s="8">
        <f>+MINVU_Mes_Corriente!CN114*MINVU_Mes_Constante!$CC$1</f>
        <v>2854284.7116747485</v>
      </c>
      <c r="CO114" s="9">
        <f t="shared" si="82"/>
        <v>2854284.7116747485</v>
      </c>
      <c r="CP114" s="8">
        <f>+MINVU_Mes_Corriente!CP114*MINVU_Mes_Constante!$CP$1</f>
        <v>12014.797447795821</v>
      </c>
      <c r="CQ114" s="8">
        <f>+MINVU_Mes_Corriente!CQ114*MINVU_Mes_Constante!$CP$1</f>
        <v>12014.797447795821</v>
      </c>
      <c r="CR114" s="8">
        <f>+MINVU_Mes_Corriente!CR114*MINVU_Mes_Constante!$CP$1</f>
        <v>12014.797447795821</v>
      </c>
      <c r="CS114" s="8">
        <f>+MINVU_Mes_Corriente!CS114*MINVU_Mes_Constante!$CP$1</f>
        <v>12014.797447795821</v>
      </c>
      <c r="CT114" s="8">
        <f>+MINVU_Mes_Corriente!CT114*MINVU_Mes_Constante!$CP$1</f>
        <v>12014.797447795821</v>
      </c>
      <c r="CU114" s="8">
        <f>+MINVU_Mes_Corriente!CU114*MINVU_Mes_Constante!$CP$1</f>
        <v>12014.797447795821</v>
      </c>
      <c r="CV114" s="8">
        <f>+MINVU_Mes_Corriente!CV114*MINVU_Mes_Constante!$CP$1</f>
        <v>12014.797447795821</v>
      </c>
      <c r="CW114" s="8">
        <f>+MINVU_Mes_Corriente!CW114*MINVU_Mes_Constante!$CP$1</f>
        <v>12014.797447795821</v>
      </c>
      <c r="CX114" s="8">
        <f>+MINVU_Mes_Corriente!CX114*MINVU_Mes_Constante!$CP$1</f>
        <v>12014.797447795821</v>
      </c>
      <c r="CY114" s="8">
        <f>+MINVU_Mes_Corriente!CY114*MINVU_Mes_Constante!$CP$1</f>
        <v>12014.797447795821</v>
      </c>
      <c r="CZ114" s="8">
        <f>+MINVU_Mes_Corriente!CZ114*MINVU_Mes_Constante!$CP$1</f>
        <v>12014.797447795821</v>
      </c>
      <c r="DA114" s="8">
        <f>+MINVU_Mes_Corriente!DA114*MINVU_Mes_Constante!$CP$1</f>
        <v>402581.27192575397</v>
      </c>
      <c r="DB114" s="9">
        <f t="shared" si="83"/>
        <v>402581.27192575397</v>
      </c>
      <c r="DC114" s="8">
        <f>+MINVU_Mes_Corriente!DC114*MINVU_Mes_Constante!$DC$1</f>
        <v>0</v>
      </c>
      <c r="DD114" s="8">
        <f>+MINVU_Mes_Corriente!DD114*MINVU_Mes_Constante!$DC$1</f>
        <v>0</v>
      </c>
      <c r="DE114" s="8">
        <f>+MINVU_Mes_Corriente!DE114*MINVU_Mes_Constante!$DC$1</f>
        <v>0</v>
      </c>
      <c r="DF114" s="8">
        <f>+MINVU_Mes_Corriente!DF114*MINVU_Mes_Constante!$DC$1</f>
        <v>0</v>
      </c>
      <c r="DG114" s="8">
        <f>+MINVU_Mes_Corriente!DG114*MINVU_Mes_Constante!$DC$1</f>
        <v>0</v>
      </c>
      <c r="DH114" s="8">
        <f>+MINVU_Mes_Corriente!DH114*MINVU_Mes_Constante!$DC$1</f>
        <v>0</v>
      </c>
      <c r="DI114" s="8">
        <f>+MINVU_Mes_Corriente!DI114*MINVU_Mes_Constante!$DC$1</f>
        <v>0</v>
      </c>
      <c r="DJ114" s="8">
        <f>+MINVU_Mes_Corriente!DJ114*MINVU_Mes_Constante!$DC$1</f>
        <v>0</v>
      </c>
      <c r="DK114" s="8">
        <f>+MINVU_Mes_Corriente!DK114*MINVU_Mes_Constante!$DC$1</f>
        <v>0</v>
      </c>
      <c r="DL114" s="8">
        <f>+MINVU_Mes_Corriente!DL114*MINVU_Mes_Constante!$DC$1</f>
        <v>0</v>
      </c>
      <c r="DM114" s="8">
        <f>+MINVU_Mes_Corriente!DM114*MINVU_Mes_Constante!$DC$1</f>
        <v>8063520.6270959815</v>
      </c>
      <c r="DN114" s="8">
        <f>+MINVU_Mes_Corriente!DN114*MINVU_Mes_Constante!$DC$1</f>
        <v>8063520.6270959815</v>
      </c>
      <c r="DO114" s="9">
        <f t="shared" si="84"/>
        <v>8063520.6270959815</v>
      </c>
      <c r="DP114" s="8">
        <f>+MINVU_Mes_Corriente!DP114*MINVU_Mes_Constante!$DP$1</f>
        <v>0</v>
      </c>
      <c r="DQ114" s="8">
        <f>+MINVU_Mes_Corriente!DQ114*MINVU_Mes_Constante!$DP$1</f>
        <v>0</v>
      </c>
      <c r="DR114" s="8">
        <f>+MINVU_Mes_Corriente!DR114*MINVU_Mes_Constante!$DP$1</f>
        <v>0</v>
      </c>
      <c r="DS114" s="8">
        <f>+MINVU_Mes_Corriente!DS114*MINVU_Mes_Constante!$DP$1</f>
        <v>0</v>
      </c>
      <c r="DT114" s="8">
        <f>+MINVU_Mes_Corriente!DT114*MINVU_Mes_Constante!$DP$1</f>
        <v>0</v>
      </c>
      <c r="DU114" s="8">
        <f>+MINVU_Mes_Corriente!DU114*MINVU_Mes_Constante!$DP$1</f>
        <v>0</v>
      </c>
      <c r="DV114" s="8">
        <f>+MINVU_Mes_Corriente!DV114*MINVU_Mes_Constante!$DP$1</f>
        <v>0</v>
      </c>
      <c r="DW114" s="8">
        <f>+MINVU_Mes_Corriente!DW114*MINVU_Mes_Constante!$DP$1</f>
        <v>0</v>
      </c>
      <c r="DX114" s="8">
        <f>+MINVU_Mes_Corriente!DX114*MINVU_Mes_Constante!$DP$1</f>
        <v>0</v>
      </c>
      <c r="DY114" s="8">
        <f>+MINVU_Mes_Corriente!DY114*MINVU_Mes_Constante!$DP$1</f>
        <v>0</v>
      </c>
      <c r="DZ114" s="8">
        <f>+MINVU_Mes_Corriente!DZ114*MINVU_Mes_Constante!$DP$1</f>
        <v>0</v>
      </c>
      <c r="EA114" s="8">
        <f>+MINVU_Mes_Corriente!EA114*MINVU_Mes_Constante!$DP$1</f>
        <v>0</v>
      </c>
      <c r="EB114" s="9">
        <f t="shared" si="85"/>
        <v>0</v>
      </c>
      <c r="EC114" s="8">
        <f>+MINVU_Mes_Corriente!EC114*MINVU_Mes_Constante!$EC$1</f>
        <v>0</v>
      </c>
      <c r="ED114" s="8">
        <f>+MINVU_Mes_Corriente!ED114*MINVU_Mes_Constante!$EC$1</f>
        <v>0</v>
      </c>
      <c r="EE114" s="8">
        <f>+MINVU_Mes_Corriente!EE114*MINVU_Mes_Constante!$EC$1</f>
        <v>0</v>
      </c>
      <c r="EF114" s="8">
        <f>+MINVU_Mes_Corriente!EF114*MINVU_Mes_Constante!$EC$1</f>
        <v>0</v>
      </c>
      <c r="EG114" s="8">
        <f>+MINVU_Mes_Corriente!EG114*MINVU_Mes_Constante!$EC$1</f>
        <v>12260.457489111906</v>
      </c>
      <c r="EH114" s="8">
        <f>+MINVU_Mes_Corriente!EH114*MINVU_Mes_Constante!$EC$1</f>
        <v>12260.457489111906</v>
      </c>
      <c r="EI114" s="8">
        <f>+MINVU_Mes_Corriente!EI114*MINVU_Mes_Constante!$EC$1</f>
        <v>12260.457489111906</v>
      </c>
      <c r="EJ114" s="8">
        <f>+MINVU_Mes_Corriente!EJ114*MINVU_Mes_Constante!$EC$1</f>
        <v>1665838.4554061724</v>
      </c>
      <c r="EK114" s="8">
        <f>+MINVU_Mes_Corriente!EK114*MINVU_Mes_Constante!$EC$1</f>
        <v>1665838.4554061724</v>
      </c>
      <c r="EL114" s="8">
        <f>+MINVU_Mes_Corriente!EL114*MINVU_Mes_Constante!$EC$1</f>
        <v>1668302.5466767652</v>
      </c>
      <c r="EM114" s="8">
        <f>+MINVU_Mes_Corriente!EM114*MINVU_Mes_Constante!$EC$1</f>
        <v>8233325.4716909649</v>
      </c>
      <c r="EN114" s="8">
        <f>+MINVU_Mes_Corriente!EN114*MINVU_Mes_Constante!$EC$1</f>
        <v>9581507.1836773306</v>
      </c>
      <c r="EO114" s="9">
        <f t="shared" si="86"/>
        <v>9581507.1836773306</v>
      </c>
      <c r="EP114" s="8">
        <f>+MINVU_Mes_Corriente!EP114*MINVU_Mes_Constante!$EP$1</f>
        <v>1980</v>
      </c>
      <c r="EQ114" s="8">
        <f>+MINVU_Mes_Corriente!EQ114*MINVU_Mes_Constante!$EP$1</f>
        <v>1980</v>
      </c>
      <c r="ER114" s="8">
        <f>+MINVU_Mes_Corriente!ER114*MINVU_Mes_Constante!$EP$1</f>
        <v>1980</v>
      </c>
      <c r="ES114" s="8">
        <f>+MINVU_Mes_Corriente!ES114*MINVU_Mes_Constante!$EP$1</f>
        <v>1980</v>
      </c>
      <c r="ET114" s="8">
        <f>+MINVU_Mes_Corriente!ET114*MINVU_Mes_Constante!$EP$1</f>
        <v>1980</v>
      </c>
      <c r="EU114" s="8">
        <f>+MINVU_Mes_Corriente!EU114*MINVU_Mes_Constante!$EP$1</f>
        <v>1980</v>
      </c>
      <c r="EV114" s="8">
        <f>+MINVU_Mes_Corriente!EV114*MINVU_Mes_Constante!$EP$1</f>
        <v>1980</v>
      </c>
      <c r="EW114" s="8">
        <f>+MINVU_Mes_Corriente!EW114*MINVU_Mes_Constante!$EP$1</f>
        <v>1980</v>
      </c>
      <c r="EX114" s="8">
        <f>+MINVU_Mes_Corriente!EX114*MINVU_Mes_Constante!$EP$1</f>
        <v>1980</v>
      </c>
      <c r="EY114" s="8">
        <f>+MINVU_Mes_Corriente!EY114*MINVU_Mes_Constante!$EP$1</f>
        <v>1980</v>
      </c>
      <c r="EZ114" s="8">
        <f>+MINVU_Mes_Corriente!EZ114*MINVU_Mes_Constante!$EP$1</f>
        <v>1980</v>
      </c>
      <c r="FA114" s="8">
        <f>+MINVU_Mes_Corriente!FA114*MINVU_Mes_Constante!$EP$1</f>
        <v>1980</v>
      </c>
      <c r="FB114" s="9">
        <f t="shared" si="87"/>
        <v>1980</v>
      </c>
      <c r="FC114" s="8">
        <f>+MINVU_Mes_Corriente!FC114*MINVU_Mes_Constante!$FC$1</f>
        <v>10</v>
      </c>
      <c r="FD114" s="8">
        <f>+MINVU_Mes_Corriente!FD114*MINVU_Mes_Constante!$FC$1</f>
        <v>10</v>
      </c>
      <c r="FE114" s="8">
        <f>+MINVU_Mes_Corriente!FE114*MINVU_Mes_Constante!$FC$1</f>
        <v>10</v>
      </c>
      <c r="FF114" s="8">
        <f>+MINVU_Mes_Corriente!FF114*MINVU_Mes_Constante!$FC$1</f>
        <v>10</v>
      </c>
      <c r="FG114" s="8">
        <f>+MINVU_Mes_Corriente!FG114*MINVU_Mes_Constante!$FC$1</f>
        <v>10</v>
      </c>
      <c r="FH114" s="8">
        <f>+MINVU_Mes_Corriente!FH114*MINVU_Mes_Constante!$FC$1</f>
        <v>10</v>
      </c>
      <c r="FI114" s="8">
        <f>+MINVU_Mes_Corriente!FI114*MINVU_Mes_Constante!$FC$1</f>
        <v>10</v>
      </c>
      <c r="FJ114" s="8"/>
      <c r="FK114" s="8"/>
      <c r="FL114" s="8"/>
      <c r="FM114" s="8"/>
      <c r="FN114" s="8"/>
      <c r="FO114" s="9">
        <f t="shared" si="88"/>
        <v>10</v>
      </c>
    </row>
    <row r="115" spans="2:171" ht="14.25" customHeight="1" x14ac:dyDescent="0.3">
      <c r="B115" s="7" t="s">
        <v>59</v>
      </c>
      <c r="C115" s="8">
        <f>+MINVU_Mes_Corriente!C115*MINVU_Mes_Constante!$C$1</f>
        <v>13871.790894260717</v>
      </c>
      <c r="D115" s="8">
        <f>+MINVU_Mes_Corriente!D115*MINVU_Mes_Constante!$C$1</f>
        <v>13871.790894260717</v>
      </c>
      <c r="E115" s="8">
        <f>+MINVU_Mes_Corriente!E115*MINVU_Mes_Constante!$C$1</f>
        <v>13871.790894260717</v>
      </c>
      <c r="F115" s="8">
        <f>+MINVU_Mes_Corriente!F115*MINVU_Mes_Constante!$C$1</f>
        <v>13871.790894260717</v>
      </c>
      <c r="G115" s="8">
        <f>+MINVU_Mes_Corriente!G115*MINVU_Mes_Constante!$C$1</f>
        <v>13871.790894260717</v>
      </c>
      <c r="H115" s="8">
        <f>+MINVU_Mes_Corriente!H115*MINVU_Mes_Constante!$C$1</f>
        <v>13871.790894260717</v>
      </c>
      <c r="I115" s="8">
        <f>+MINVU_Mes_Corriente!I115*MINVU_Mes_Constante!$C$1</f>
        <v>13871.790894260717</v>
      </c>
      <c r="J115" s="8">
        <f>+MINVU_Mes_Corriente!J115*MINVU_Mes_Constante!$C$1</f>
        <v>13871.790894260717</v>
      </c>
      <c r="K115" s="8">
        <f>+MINVU_Mes_Corriente!K115*MINVU_Mes_Constante!$C$1</f>
        <v>13871.790894260717</v>
      </c>
      <c r="L115" s="8">
        <f>+MINVU_Mes_Corriente!L115*MINVU_Mes_Constante!$C$1</f>
        <v>13871.790894260717</v>
      </c>
      <c r="M115" s="8">
        <f>+MINVU_Mes_Corriente!M115*MINVU_Mes_Constante!$C$1</f>
        <v>13871.790894260717</v>
      </c>
      <c r="N115" s="8">
        <f>+MINVU_Mes_Corriente!N115*MINVU_Mes_Constante!$C$1</f>
        <v>13871.790894260717</v>
      </c>
      <c r="O115" s="9">
        <f t="shared" si="76"/>
        <v>13871.790894260717</v>
      </c>
      <c r="P115" s="8">
        <f>+MINVU_Mes_Corriente!P115*MINVU_Mes_Constante!$P$1</f>
        <v>24815.167211251588</v>
      </c>
      <c r="Q115" s="8">
        <f>+MINVU_Mes_Corriente!Q115*MINVU_Mes_Constante!$P$1</f>
        <v>24815.167211251588</v>
      </c>
      <c r="R115" s="8">
        <f>+MINVU_Mes_Corriente!R115*MINVU_Mes_Constante!$P$1</f>
        <v>24815.167211251588</v>
      </c>
      <c r="S115" s="8">
        <f>+MINVU_Mes_Corriente!S115*MINVU_Mes_Constante!$P$1</f>
        <v>24815.167211251588</v>
      </c>
      <c r="T115" s="8">
        <f>+MINVU_Mes_Corriente!T115*MINVU_Mes_Constante!$P$1</f>
        <v>24815.167211251588</v>
      </c>
      <c r="U115" s="8">
        <f>+MINVU_Mes_Corriente!U115*MINVU_Mes_Constante!$P$1</f>
        <v>24815.167211251588</v>
      </c>
      <c r="V115" s="8">
        <f>+MINVU_Mes_Corriente!V115*MINVU_Mes_Constante!$P$1</f>
        <v>24815.167211251588</v>
      </c>
      <c r="W115" s="8">
        <f>+MINVU_Mes_Corriente!W115*MINVU_Mes_Constante!$P$1</f>
        <v>24815.167211251588</v>
      </c>
      <c r="X115" s="8">
        <f>+MINVU_Mes_Corriente!X115*MINVU_Mes_Constante!$P$1</f>
        <v>24815.167211251588</v>
      </c>
      <c r="Y115" s="8">
        <f>+MINVU_Mes_Corriente!Y115*MINVU_Mes_Constante!$P$1</f>
        <v>24815.167211251588</v>
      </c>
      <c r="Z115" s="8">
        <f>+MINVU_Mes_Corriente!Z115*MINVU_Mes_Constante!$P$1</f>
        <v>24815.167211251588</v>
      </c>
      <c r="AA115" s="8">
        <f>+MINVU_Mes_Corriente!AA115*MINVU_Mes_Constante!$P$1</f>
        <v>24815.167211251588</v>
      </c>
      <c r="AB115" s="9">
        <f t="shared" si="77"/>
        <v>24815.167211251588</v>
      </c>
      <c r="AC115" s="8">
        <f>+MINVU_Mes_Corriente!AC115*MINVU_Mes_Constante!$AC$1</f>
        <v>26892.560243463828</v>
      </c>
      <c r="AD115" s="8">
        <f>+MINVU_Mes_Corriente!AD115*MINVU_Mes_Constante!$AC$1</f>
        <v>26892.560243463828</v>
      </c>
      <c r="AE115" s="8">
        <f>+MINVU_Mes_Corriente!AE115*MINVU_Mes_Constante!$AC$1</f>
        <v>26892.560243463828</v>
      </c>
      <c r="AF115" s="8">
        <f>+MINVU_Mes_Corriente!AF115*MINVU_Mes_Constante!$AC$1</f>
        <v>28403.972610319546</v>
      </c>
      <c r="AG115" s="8">
        <f>+MINVU_Mes_Corriente!AG115*MINVU_Mes_Constante!$AC$1</f>
        <v>28403.972610319546</v>
      </c>
      <c r="AH115" s="8">
        <f>+MINVU_Mes_Corriente!AH115*MINVU_Mes_Constante!$AC$1</f>
        <v>47750.050906072764</v>
      </c>
      <c r="AI115" s="8">
        <f>+MINVU_Mes_Corriente!AI115*MINVU_Mes_Constante!$AC$1</f>
        <v>47750.050906072764</v>
      </c>
      <c r="AJ115" s="8">
        <f>+MINVU_Mes_Corriente!AJ115*MINVU_Mes_Constante!$AC$1</f>
        <v>47750.050906072764</v>
      </c>
      <c r="AK115" s="8">
        <f>+MINVU_Mes_Corriente!AK115*MINVU_Mes_Constante!$AC$1</f>
        <v>47750.050906072764</v>
      </c>
      <c r="AL115" s="8">
        <f>+MINVU_Mes_Corriente!AL115*MINVU_Mes_Constante!$AC$1</f>
        <v>47750.050906072764</v>
      </c>
      <c r="AM115" s="8">
        <f>+MINVU_Mes_Corriente!AM115*MINVU_Mes_Constante!$AC$1</f>
        <v>47750.050906072764</v>
      </c>
      <c r="AN115" s="8">
        <f>+MINVU_Mes_Corriente!AN115*MINVU_Mes_Constante!$AC$1</f>
        <v>47750.050906072764</v>
      </c>
      <c r="AO115" s="9">
        <f t="shared" si="78"/>
        <v>47750.050906072764</v>
      </c>
      <c r="AP115" s="8">
        <f>+MINVU_Mes_Corriente!AP115*MINVU_Mes_Constante!$AP$1</f>
        <v>18266.652238604085</v>
      </c>
      <c r="AQ115" s="8">
        <f>+MINVU_Mes_Corriente!AQ115*MINVU_Mes_Constante!$AP$1</f>
        <v>18266.652238604085</v>
      </c>
      <c r="AR115" s="8">
        <f>+MINVU_Mes_Corriente!AR115*MINVU_Mes_Constante!$AP$1</f>
        <v>18266.652238604085</v>
      </c>
      <c r="AS115" s="8">
        <f>+MINVU_Mes_Corriente!AS115*MINVU_Mes_Constante!$AP$1</f>
        <v>18266.652238604085</v>
      </c>
      <c r="AT115" s="8">
        <f>+MINVU_Mes_Corriente!AT115*MINVU_Mes_Constante!$AP$1</f>
        <v>18266.652238604085</v>
      </c>
      <c r="AU115" s="8">
        <f>+MINVU_Mes_Corriente!AU115*MINVU_Mes_Constante!$AP$1</f>
        <v>18266.652238604085</v>
      </c>
      <c r="AV115" s="8">
        <f>+MINVU_Mes_Corriente!AV115*MINVU_Mes_Constante!$AP$1</f>
        <v>18266.652238604085</v>
      </c>
      <c r="AW115" s="8">
        <f>+MINVU_Mes_Corriente!AW115*MINVU_Mes_Constante!$AP$1</f>
        <v>18266.652238604085</v>
      </c>
      <c r="AX115" s="8">
        <f>+MINVU_Mes_Corriente!AX115*MINVU_Mes_Constante!$AP$1</f>
        <v>18266.652238604085</v>
      </c>
      <c r="AY115" s="8">
        <f>+MINVU_Mes_Corriente!AY115*MINVU_Mes_Constante!$AP$1</f>
        <v>557694.48938184767</v>
      </c>
      <c r="AZ115" s="8">
        <f>+MINVU_Mes_Corriente!AZ115*MINVU_Mes_Constante!$AP$1</f>
        <v>557694.48938184767</v>
      </c>
      <c r="BA115" s="8">
        <f>+MINVU_Mes_Corriente!BA115*MINVU_Mes_Constante!$AP$1</f>
        <v>557694.48938184767</v>
      </c>
      <c r="BB115" s="9">
        <f t="shared" si="79"/>
        <v>557694.48938184767</v>
      </c>
      <c r="BC115" s="8">
        <f>+MINVU_Mes_Corriente!BC115*MINVU_Mes_Constante!$BC$1</f>
        <v>18271.476460503764</v>
      </c>
      <c r="BD115" s="8">
        <f>+MINVU_Mes_Corriente!BD115*MINVU_Mes_Constante!$BC$1</f>
        <v>18271.476460503764</v>
      </c>
      <c r="BE115" s="8">
        <f>+MINVU_Mes_Corriente!BE115*MINVU_Mes_Constante!$BC$1</f>
        <v>18271.476460503764</v>
      </c>
      <c r="BF115" s="8">
        <f>+MINVU_Mes_Corriente!BF115*MINVU_Mes_Constante!$BC$1</f>
        <v>18271.476460503764</v>
      </c>
      <c r="BG115" s="8">
        <f>+MINVU_Mes_Corriente!BG115*MINVU_Mes_Constante!$BC$1</f>
        <v>18271.476460503764</v>
      </c>
      <c r="BH115" s="8">
        <f>+MINVU_Mes_Corriente!BH115*MINVU_Mes_Constante!$BC$1</f>
        <v>18271.476460503764</v>
      </c>
      <c r="BI115" s="8">
        <f>+MINVU_Mes_Corriente!BI115*MINVU_Mes_Constante!$BC$1</f>
        <v>18271.476460503764</v>
      </c>
      <c r="BJ115" s="8">
        <f>+MINVU_Mes_Corriente!BJ115*MINVU_Mes_Constante!$BC$1</f>
        <v>18271.476460503764</v>
      </c>
      <c r="BK115" s="8">
        <f>+MINVU_Mes_Corriente!BK115*MINVU_Mes_Constante!$BC$1</f>
        <v>18271.476460503764</v>
      </c>
      <c r="BL115" s="8">
        <f>+MINVU_Mes_Corriente!BL115*MINVU_Mes_Constante!$BC$1</f>
        <v>18271.476460503764</v>
      </c>
      <c r="BM115" s="8">
        <f>+MINVU_Mes_Corriente!BM115*MINVU_Mes_Constante!$BC$1</f>
        <v>18271.476460503764</v>
      </c>
      <c r="BN115" s="8">
        <f>+MINVU_Mes_Corriente!BN115*MINVU_Mes_Constante!$BC$1</f>
        <v>2998450.0029012272</v>
      </c>
      <c r="BO115" s="9">
        <f t="shared" si="80"/>
        <v>2998450.0029012272</v>
      </c>
      <c r="BP115" s="8">
        <f>+MINVU_Mes_Corriente!BP115*MINVU_Mes_Constante!$BP$1</f>
        <v>11001.544686299618</v>
      </c>
      <c r="BQ115" s="8">
        <f>+MINVU_Mes_Corriente!BQ115*MINVU_Mes_Constante!$BP$1</f>
        <v>11001.544686299618</v>
      </c>
      <c r="BR115" s="8">
        <f>+MINVU_Mes_Corriente!BR115*MINVU_Mes_Constante!$BP$1</f>
        <v>11001.544686299618</v>
      </c>
      <c r="BS115" s="8">
        <f>+MINVU_Mes_Corriente!BS115*MINVU_Mes_Constante!$BP$1</f>
        <v>11001.544686299618</v>
      </c>
      <c r="BT115" s="8">
        <f>+MINVU_Mes_Corriente!BT115*MINVU_Mes_Constante!$BP$1</f>
        <v>2937292.1193341874</v>
      </c>
      <c r="BU115" s="8">
        <f>+MINVU_Mes_Corriente!BU115*MINVU_Mes_Constante!$BP$1</f>
        <v>2937292.1193341874</v>
      </c>
      <c r="BV115" s="8">
        <f>+MINVU_Mes_Corriente!BV115*MINVU_Mes_Constante!$BP$1</f>
        <v>2937292.1193341874</v>
      </c>
      <c r="BW115" s="8">
        <f>+MINVU_Mes_Corriente!BW115*MINVU_Mes_Constante!$BP$1</f>
        <v>2937292.1193341874</v>
      </c>
      <c r="BX115" s="8">
        <f>+MINVU_Mes_Corriente!BX115*MINVU_Mes_Constante!$BP$1</f>
        <v>2937292.1193341874</v>
      </c>
      <c r="BY115" s="8">
        <f>+MINVU_Mes_Corriente!BY115*MINVU_Mes_Constante!$BP$1</f>
        <v>2937292.1193341874</v>
      </c>
      <c r="BZ115" s="8">
        <f>+MINVU_Mes_Corriente!BZ115*MINVU_Mes_Constante!$BP$1</f>
        <v>2937292.1193341874</v>
      </c>
      <c r="CA115" s="8">
        <f>+MINVU_Mes_Corriente!CA115*MINVU_Mes_Constante!$BP$1</f>
        <v>2903292.8135723434</v>
      </c>
      <c r="CB115" s="9">
        <f t="shared" si="81"/>
        <v>2903292.8135723434</v>
      </c>
      <c r="CC115" s="8">
        <f>+MINVU_Mes_Corriente!CC115*MINVU_Mes_Constante!$CC$1</f>
        <v>10959.96120850429</v>
      </c>
      <c r="CD115" s="8">
        <f>+MINVU_Mes_Corriente!CD115*MINVU_Mes_Constante!$CC$1</f>
        <v>10959.96120850429</v>
      </c>
      <c r="CE115" s="8">
        <f>+MINVU_Mes_Corriente!CE115*MINVU_Mes_Constante!$CC$1</f>
        <v>10959.96120850429</v>
      </c>
      <c r="CF115" s="8">
        <f>+MINVU_Mes_Corriente!CF115*MINVU_Mes_Constante!$CC$1</f>
        <v>7671.1577769489004</v>
      </c>
      <c r="CG115" s="8">
        <f>+MINVU_Mes_Corriente!CG115*MINVU_Mes_Constante!$CC$1</f>
        <v>3834.8996643043643</v>
      </c>
      <c r="CH115" s="8">
        <f>+MINVU_Mes_Corriente!CH115*MINVU_Mes_Constante!$CC$1</f>
        <v>3834.8996643043643</v>
      </c>
      <c r="CI115" s="8">
        <f>+MINVU_Mes_Corriente!CI115*MINVU_Mes_Constante!$CC$1</f>
        <v>3834.8996643043643</v>
      </c>
      <c r="CJ115" s="8">
        <f>+MINVU_Mes_Corriente!CJ115*MINVU_Mes_Constante!$CC$1</f>
        <v>3834.8996643043643</v>
      </c>
      <c r="CK115" s="8">
        <f>+MINVU_Mes_Corriente!CK115*MINVU_Mes_Constante!$CC$1</f>
        <v>3834.8996643043643</v>
      </c>
      <c r="CL115" s="8">
        <f>+MINVU_Mes_Corriente!CL115*MINVU_Mes_Constante!$CC$1</f>
        <v>3834.8996643043643</v>
      </c>
      <c r="CM115" s="8">
        <f>+MINVU_Mes_Corriente!CM115*MINVU_Mes_Constante!$CC$1</f>
        <v>10959.96120850429</v>
      </c>
      <c r="CN115" s="8">
        <f>+MINVU_Mes_Corriente!CN115*MINVU_Mes_Constante!$CC$1</f>
        <v>10959.96120850429</v>
      </c>
      <c r="CO115" s="9">
        <f t="shared" si="82"/>
        <v>10959.96120850429</v>
      </c>
      <c r="CP115" s="8">
        <f>+MINVU_Mes_Corriente!CP115*MINVU_Mes_Constante!$CP$1</f>
        <v>8036.060324825984</v>
      </c>
      <c r="CQ115" s="8">
        <f>+MINVU_Mes_Corriente!CQ115*MINVU_Mes_Constante!$CP$1</f>
        <v>8036.060324825984</v>
      </c>
      <c r="CR115" s="8">
        <f>+MINVU_Mes_Corriente!CR115*MINVU_Mes_Constante!$CP$1</f>
        <v>8036.060324825984</v>
      </c>
      <c r="CS115" s="8">
        <f>+MINVU_Mes_Corriente!CS115*MINVU_Mes_Constante!$CP$1</f>
        <v>8036.060324825984</v>
      </c>
      <c r="CT115" s="8">
        <f>+MINVU_Mes_Corriente!CT115*MINVU_Mes_Constante!$CP$1</f>
        <v>8036.060324825984</v>
      </c>
      <c r="CU115" s="8">
        <f>+MINVU_Mes_Corriente!CU115*MINVU_Mes_Constante!$CP$1</f>
        <v>9595.1067285382815</v>
      </c>
      <c r="CV115" s="8">
        <f>+MINVU_Mes_Corriente!CV115*MINVU_Mes_Constante!$CP$1</f>
        <v>9595.1067285382815</v>
      </c>
      <c r="CW115" s="8">
        <f>+MINVU_Mes_Corriente!CW115*MINVU_Mes_Constante!$CP$1</f>
        <v>9595.1067285382815</v>
      </c>
      <c r="CX115" s="8">
        <f>+MINVU_Mes_Corriente!CX115*MINVU_Mes_Constante!$CP$1</f>
        <v>9595.1067285382815</v>
      </c>
      <c r="CY115" s="8">
        <f>+MINVU_Mes_Corriente!CY115*MINVU_Mes_Constante!$CP$1</f>
        <v>9595.1067285382815</v>
      </c>
      <c r="CZ115" s="8">
        <f>+MINVU_Mes_Corriente!CZ115*MINVU_Mes_Constante!$CP$1</f>
        <v>9595.1067285382815</v>
      </c>
      <c r="DA115" s="8">
        <f>+MINVU_Mes_Corriente!DA115*MINVU_Mes_Constante!$CP$1</f>
        <v>9595.1067285382815</v>
      </c>
      <c r="DB115" s="9">
        <f t="shared" si="83"/>
        <v>9595.1067285382815</v>
      </c>
      <c r="DC115" s="8">
        <f>+MINVU_Mes_Corriente!DC115*MINVU_Mes_Constante!$DC$1</f>
        <v>0</v>
      </c>
      <c r="DD115" s="8">
        <f>+MINVU_Mes_Corriente!DD115*MINVU_Mes_Constante!$DC$1</f>
        <v>0</v>
      </c>
      <c r="DE115" s="8">
        <f>+MINVU_Mes_Corriente!DE115*MINVU_Mes_Constante!$DC$1</f>
        <v>0</v>
      </c>
      <c r="DF115" s="8">
        <f>+MINVU_Mes_Corriente!DF115*MINVU_Mes_Constante!$DC$1</f>
        <v>0</v>
      </c>
      <c r="DG115" s="8">
        <f>+MINVU_Mes_Corriente!DG115*MINVU_Mes_Constante!$DC$1</f>
        <v>0</v>
      </c>
      <c r="DH115" s="8">
        <f>+MINVU_Mes_Corriente!DH115*MINVU_Mes_Constante!$DC$1</f>
        <v>0</v>
      </c>
      <c r="DI115" s="8">
        <f>+MINVU_Mes_Corriente!DI115*MINVU_Mes_Constante!$DC$1</f>
        <v>0</v>
      </c>
      <c r="DJ115" s="8">
        <f>+MINVU_Mes_Corriente!DJ115*MINVU_Mes_Constante!$DC$1</f>
        <v>0</v>
      </c>
      <c r="DK115" s="8">
        <f>+MINVU_Mes_Corriente!DK115*MINVU_Mes_Constante!$DC$1</f>
        <v>0</v>
      </c>
      <c r="DL115" s="8">
        <f>+MINVU_Mes_Corriente!DL115*MINVU_Mes_Constante!$DC$1</f>
        <v>0</v>
      </c>
      <c r="DM115" s="8">
        <f>+MINVU_Mes_Corriente!DM115*MINVU_Mes_Constante!$DC$1</f>
        <v>782080.62977060012</v>
      </c>
      <c r="DN115" s="8">
        <f>+MINVU_Mes_Corriente!DN115*MINVU_Mes_Constante!$DC$1</f>
        <v>782080.62977060012</v>
      </c>
      <c r="DO115" s="9">
        <f t="shared" si="84"/>
        <v>782080.62977060012</v>
      </c>
      <c r="DP115" s="8">
        <f>+MINVU_Mes_Corriente!DP115*MINVU_Mes_Constante!$DP$1</f>
        <v>0</v>
      </c>
      <c r="DQ115" s="8">
        <f>+MINVU_Mes_Corriente!DQ115*MINVU_Mes_Constante!$DP$1</f>
        <v>0</v>
      </c>
      <c r="DR115" s="8">
        <f>+MINVU_Mes_Corriente!DR115*MINVU_Mes_Constante!$DP$1</f>
        <v>0</v>
      </c>
      <c r="DS115" s="8">
        <f>+MINVU_Mes_Corriente!DS115*MINVU_Mes_Constante!$DP$1</f>
        <v>0</v>
      </c>
      <c r="DT115" s="8">
        <f>+MINVU_Mes_Corriente!DT115*MINVU_Mes_Constante!$DP$1</f>
        <v>0</v>
      </c>
      <c r="DU115" s="8">
        <f>+MINVU_Mes_Corriente!DU115*MINVU_Mes_Constante!$DP$1</f>
        <v>0</v>
      </c>
      <c r="DV115" s="8">
        <f>+MINVU_Mes_Corriente!DV115*MINVU_Mes_Constante!$DP$1</f>
        <v>0</v>
      </c>
      <c r="DW115" s="8">
        <f>+MINVU_Mes_Corriente!DW115*MINVU_Mes_Constante!$DP$1</f>
        <v>0</v>
      </c>
      <c r="DX115" s="8">
        <f>+MINVU_Mes_Corriente!DX115*MINVU_Mes_Constante!$DP$1</f>
        <v>0</v>
      </c>
      <c r="DY115" s="8">
        <f>+MINVU_Mes_Corriente!DY115*MINVU_Mes_Constante!$DP$1</f>
        <v>0</v>
      </c>
      <c r="DZ115" s="8">
        <f>+MINVU_Mes_Corriente!DZ115*MINVU_Mes_Constante!$DP$1</f>
        <v>0</v>
      </c>
      <c r="EA115" s="8">
        <f>+MINVU_Mes_Corriente!EA115*MINVU_Mes_Constante!$DP$1</f>
        <v>0</v>
      </c>
      <c r="EB115" s="9">
        <f t="shared" si="85"/>
        <v>0</v>
      </c>
      <c r="EC115" s="8">
        <f>+MINVU_Mes_Corriente!EC115*MINVU_Mes_Constante!$EC$1</f>
        <v>0</v>
      </c>
      <c r="ED115" s="8">
        <f>+MINVU_Mes_Corriente!ED115*MINVU_Mes_Constante!$EC$1</f>
        <v>0</v>
      </c>
      <c r="EE115" s="8">
        <f>+MINVU_Mes_Corriente!EE115*MINVU_Mes_Constante!$EC$1</f>
        <v>0</v>
      </c>
      <c r="EF115" s="8">
        <f>+MINVU_Mes_Corriente!EF115*MINVU_Mes_Constante!$EC$1</f>
        <v>0</v>
      </c>
      <c r="EG115" s="8">
        <f>+MINVU_Mes_Corriente!EG115*MINVU_Mes_Constante!$EC$1</f>
        <v>5255.072902859305</v>
      </c>
      <c r="EH115" s="8">
        <f>+MINVU_Mes_Corriente!EH115*MINVU_Mes_Constante!$EC$1</f>
        <v>5255.072902859305</v>
      </c>
      <c r="EI115" s="8">
        <f>+MINVU_Mes_Corriente!EI115*MINVU_Mes_Constante!$EC$1</f>
        <v>5255.072902859305</v>
      </c>
      <c r="EJ115" s="8">
        <f>+MINVU_Mes_Corriente!EJ115*MINVU_Mes_Constante!$EC$1</f>
        <v>5255.072902859305</v>
      </c>
      <c r="EK115" s="8">
        <f>+MINVU_Mes_Corriente!EK115*MINVU_Mes_Constante!$EC$1</f>
        <v>5255.072902859305</v>
      </c>
      <c r="EL115" s="8">
        <f>+MINVU_Mes_Corriente!EL115*MINVU_Mes_Constante!$EC$1</f>
        <v>6486.0840749857962</v>
      </c>
      <c r="EM115" s="8">
        <f>+MINVU_Mes_Corriente!EM115*MINVU_Mes_Constante!$EC$1</f>
        <v>21599.59098655557</v>
      </c>
      <c r="EN115" s="8">
        <f>+MINVU_Mes_Corriente!EN115*MINVU_Mes_Constante!$EC$1</f>
        <v>6486.0840749857962</v>
      </c>
      <c r="EO115" s="9">
        <f t="shared" si="86"/>
        <v>6486.0840749857962</v>
      </c>
      <c r="EP115" s="8">
        <f>+MINVU_Mes_Corriente!EP115*MINVU_Mes_Constante!$EP$1</f>
        <v>3960</v>
      </c>
      <c r="EQ115" s="8">
        <f>+MINVU_Mes_Corriente!EQ115*MINVU_Mes_Constante!$EP$1</f>
        <v>3960</v>
      </c>
      <c r="ER115" s="8">
        <f>+MINVU_Mes_Corriente!ER115*MINVU_Mes_Constante!$EP$1</f>
        <v>3960</v>
      </c>
      <c r="ES115" s="8">
        <f>+MINVU_Mes_Corriente!ES115*MINVU_Mes_Constante!$EP$1</f>
        <v>3960</v>
      </c>
      <c r="ET115" s="8">
        <f>+MINVU_Mes_Corriente!ET115*MINVU_Mes_Constante!$EP$1</f>
        <v>3960</v>
      </c>
      <c r="EU115" s="8">
        <f>+MINVU_Mes_Corriente!EU115*MINVU_Mes_Constante!$EP$1</f>
        <v>3960</v>
      </c>
      <c r="EV115" s="8">
        <f>+MINVU_Mes_Corriente!EV115*MINVU_Mes_Constante!$EP$1</f>
        <v>3960</v>
      </c>
      <c r="EW115" s="8">
        <f>+MINVU_Mes_Corriente!EW115*MINVU_Mes_Constante!$EP$1</f>
        <v>3960</v>
      </c>
      <c r="EX115" s="8">
        <f>+MINVU_Mes_Corriente!EX115*MINVU_Mes_Constante!$EP$1</f>
        <v>3960</v>
      </c>
      <c r="EY115" s="8">
        <f>+MINVU_Mes_Corriente!EY115*MINVU_Mes_Constante!$EP$1</f>
        <v>3960</v>
      </c>
      <c r="EZ115" s="8">
        <f>+MINVU_Mes_Corriente!EZ115*MINVU_Mes_Constante!$EP$1</f>
        <v>3960</v>
      </c>
      <c r="FA115" s="8">
        <f>+MINVU_Mes_Corriente!FA115*MINVU_Mes_Constante!$EP$1</f>
        <v>3960</v>
      </c>
      <c r="FB115" s="9">
        <f t="shared" si="87"/>
        <v>3960</v>
      </c>
      <c r="FC115" s="8">
        <f>+MINVU_Mes_Corriente!FC115*MINVU_Mes_Constante!$FC$1</f>
        <v>10</v>
      </c>
      <c r="FD115" s="8">
        <f>+MINVU_Mes_Corriente!FD115*MINVU_Mes_Constante!$FC$1</f>
        <v>10</v>
      </c>
      <c r="FE115" s="8">
        <f>+MINVU_Mes_Corriente!FE115*MINVU_Mes_Constante!$FC$1</f>
        <v>10</v>
      </c>
      <c r="FF115" s="8">
        <f>+MINVU_Mes_Corriente!FF115*MINVU_Mes_Constante!$FC$1</f>
        <v>10</v>
      </c>
      <c r="FG115" s="8">
        <f>+MINVU_Mes_Corriente!FG115*MINVU_Mes_Constante!$FC$1</f>
        <v>10</v>
      </c>
      <c r="FH115" s="8">
        <f>+MINVU_Mes_Corriente!FH115*MINVU_Mes_Constante!$FC$1</f>
        <v>10</v>
      </c>
      <c r="FI115" s="8">
        <f>+MINVU_Mes_Corriente!FI115*MINVU_Mes_Constante!$FC$1</f>
        <v>10</v>
      </c>
      <c r="FJ115" s="8"/>
      <c r="FK115" s="8"/>
      <c r="FL115" s="8"/>
      <c r="FM115" s="8"/>
      <c r="FN115" s="8"/>
      <c r="FO115" s="9">
        <f t="shared" si="88"/>
        <v>10</v>
      </c>
    </row>
    <row r="116" spans="2:171" ht="14.25" customHeight="1" x14ac:dyDescent="0.3">
      <c r="B116" s="7" t="s">
        <v>60</v>
      </c>
      <c r="C116" s="8">
        <f>+MINVU_Mes_Corriente!C116*MINVU_Mes_Constante!$C$1</f>
        <v>12645.18819516536</v>
      </c>
      <c r="D116" s="8">
        <f>+MINVU_Mes_Corriente!D116*MINVU_Mes_Constante!$C$1</f>
        <v>12645.18819516536</v>
      </c>
      <c r="E116" s="8">
        <f>+MINVU_Mes_Corriente!E116*MINVU_Mes_Constante!$C$1</f>
        <v>12645.18819516536</v>
      </c>
      <c r="F116" s="8">
        <f>+MINVU_Mes_Corriente!F116*MINVU_Mes_Constante!$C$1</f>
        <v>12645.18819516536</v>
      </c>
      <c r="G116" s="8">
        <f>+MINVU_Mes_Corriente!G116*MINVU_Mes_Constante!$C$1</f>
        <v>12645.18819516536</v>
      </c>
      <c r="H116" s="8">
        <f>+MINVU_Mes_Corriente!H116*MINVU_Mes_Constante!$C$1</f>
        <v>12645.18819516536</v>
      </c>
      <c r="I116" s="8">
        <f>+MINVU_Mes_Corriente!I116*MINVU_Mes_Constante!$C$1</f>
        <v>12645.18819516536</v>
      </c>
      <c r="J116" s="8">
        <f>+MINVU_Mes_Corriente!J116*MINVU_Mes_Constante!$C$1</f>
        <v>12645.18819516536</v>
      </c>
      <c r="K116" s="8">
        <f>+MINVU_Mes_Corriente!K116*MINVU_Mes_Constante!$C$1</f>
        <v>12645.18819516536</v>
      </c>
      <c r="L116" s="8">
        <f>+MINVU_Mes_Corriente!L116*MINVU_Mes_Constante!$C$1</f>
        <v>12645.18819516536</v>
      </c>
      <c r="M116" s="8">
        <f>+MINVU_Mes_Corriente!M116*MINVU_Mes_Constante!$C$1</f>
        <v>12645.18819516536</v>
      </c>
      <c r="N116" s="8">
        <f>+MINVU_Mes_Corriente!N116*MINVU_Mes_Constante!$C$1</f>
        <v>12645.18819516536</v>
      </c>
      <c r="O116" s="9">
        <f t="shared" si="76"/>
        <v>12645.18819516536</v>
      </c>
      <c r="P116" s="8">
        <f>+MINVU_Mes_Corriente!P116*MINVU_Mes_Constante!$P$1</f>
        <v>21813.19477198465</v>
      </c>
      <c r="Q116" s="8">
        <f>+MINVU_Mes_Corriente!Q116*MINVU_Mes_Constante!$P$1</f>
        <v>21813.19477198465</v>
      </c>
      <c r="R116" s="8">
        <f>+MINVU_Mes_Corriente!R116*MINVU_Mes_Constante!$P$1</f>
        <v>21813.19477198465</v>
      </c>
      <c r="S116" s="8">
        <f>+MINVU_Mes_Corriente!S116*MINVU_Mes_Constante!$P$1</f>
        <v>21813.19477198465</v>
      </c>
      <c r="T116" s="8">
        <f>+MINVU_Mes_Corriente!T116*MINVU_Mes_Constante!$P$1</f>
        <v>2462351.5951129412</v>
      </c>
      <c r="U116" s="8">
        <f>+MINVU_Mes_Corriente!U116*MINVU_Mes_Constante!$P$1</f>
        <v>2462351.5951129412</v>
      </c>
      <c r="V116" s="8">
        <f>+MINVU_Mes_Corriente!V116*MINVU_Mes_Constante!$P$1</f>
        <v>2462351.5951129412</v>
      </c>
      <c r="W116" s="8">
        <f>+MINVU_Mes_Corriente!W116*MINVU_Mes_Constante!$P$1</f>
        <v>2462351.5951129412</v>
      </c>
      <c r="X116" s="8">
        <f>+MINVU_Mes_Corriente!X116*MINVU_Mes_Constante!$P$1</f>
        <v>2462351.5951129412</v>
      </c>
      <c r="Y116" s="8">
        <f>+MINVU_Mes_Corriente!Y116*MINVU_Mes_Constante!$P$1</f>
        <v>6861526.447790877</v>
      </c>
      <c r="Z116" s="8">
        <f>+MINVU_Mes_Corriente!Z116*MINVU_Mes_Constante!$P$1</f>
        <v>6861526.447790877</v>
      </c>
      <c r="AA116" s="8">
        <f>+MINVU_Mes_Corriente!AA116*MINVU_Mes_Constante!$P$1</f>
        <v>6861526.447790877</v>
      </c>
      <c r="AB116" s="9">
        <f t="shared" si="77"/>
        <v>6861526.447790877</v>
      </c>
      <c r="AC116" s="8">
        <f>+MINVU_Mes_Corriente!AC116*MINVU_Mes_Constante!$AC$1</f>
        <v>24394.19560105132</v>
      </c>
      <c r="AD116" s="8">
        <f>+MINVU_Mes_Corriente!AD116*MINVU_Mes_Constante!$AC$1</f>
        <v>24394.19560105132</v>
      </c>
      <c r="AE116" s="8">
        <f>+MINVU_Mes_Corriente!AE116*MINVU_Mes_Constante!$AC$1</f>
        <v>24394.19560105132</v>
      </c>
      <c r="AF116" s="8">
        <f>+MINVU_Mes_Corriente!AF116*MINVU_Mes_Constante!$AC$1</f>
        <v>74624.474201134319</v>
      </c>
      <c r="AG116" s="8">
        <f>+MINVU_Mes_Corriente!AG116*MINVU_Mes_Constante!$AC$1</f>
        <v>74624.474201134319</v>
      </c>
      <c r="AH116" s="8">
        <f>+MINVU_Mes_Corriente!AH116*MINVU_Mes_Constante!$AC$1</f>
        <v>74624.474201134319</v>
      </c>
      <c r="AI116" s="8">
        <f>+MINVU_Mes_Corriente!AI116*MINVU_Mes_Constante!$AC$1</f>
        <v>74624.474201134319</v>
      </c>
      <c r="AJ116" s="8">
        <f>+MINVU_Mes_Corriente!AJ116*MINVU_Mes_Constante!$AC$1</f>
        <v>74624.474201134319</v>
      </c>
      <c r="AK116" s="8">
        <f>+MINVU_Mes_Corriente!AK116*MINVU_Mes_Constante!$AC$1</f>
        <v>74624.474201134319</v>
      </c>
      <c r="AL116" s="8">
        <f>+MINVU_Mes_Corriente!AL116*MINVU_Mes_Constante!$AC$1</f>
        <v>74624.474201134319</v>
      </c>
      <c r="AM116" s="8">
        <f>+MINVU_Mes_Corriente!AM116*MINVU_Mes_Constante!$AC$1</f>
        <v>165983.30612809517</v>
      </c>
      <c r="AN116" s="8">
        <f>+MINVU_Mes_Corriente!AN116*MINVU_Mes_Constante!$AC$1</f>
        <v>165983.30612809517</v>
      </c>
      <c r="AO116" s="9">
        <f t="shared" si="78"/>
        <v>165983.30612809517</v>
      </c>
      <c r="AP116" s="8">
        <f>+MINVU_Mes_Corriente!AP116*MINVU_Mes_Constante!$AP$1</f>
        <v>24355.53631813878</v>
      </c>
      <c r="AQ116" s="8">
        <f>+MINVU_Mes_Corriente!AQ116*MINVU_Mes_Constante!$AP$1</f>
        <v>24355.53631813878</v>
      </c>
      <c r="AR116" s="8">
        <f>+MINVU_Mes_Corriente!AR116*MINVU_Mes_Constante!$AP$1</f>
        <v>24355.53631813878</v>
      </c>
      <c r="AS116" s="8">
        <f>+MINVU_Mes_Corriente!AS116*MINVU_Mes_Constante!$AP$1</f>
        <v>24355.53631813878</v>
      </c>
      <c r="AT116" s="8">
        <f>+MINVU_Mes_Corriente!AT116*MINVU_Mes_Constante!$AP$1</f>
        <v>24355.53631813878</v>
      </c>
      <c r="AU116" s="8">
        <f>+MINVU_Mes_Corriente!AU116*MINVU_Mes_Constante!$AP$1</f>
        <v>24355.53631813878</v>
      </c>
      <c r="AV116" s="8">
        <f>+MINVU_Mes_Corriente!AV116*MINVU_Mes_Constante!$AP$1</f>
        <v>24355.53631813878</v>
      </c>
      <c r="AW116" s="8">
        <f>+MINVU_Mes_Corriente!AW116*MINVU_Mes_Constante!$AP$1</f>
        <v>24355.53631813878</v>
      </c>
      <c r="AX116" s="8">
        <f>+MINVU_Mes_Corriente!AX116*MINVU_Mes_Constante!$AP$1</f>
        <v>24355.53631813878</v>
      </c>
      <c r="AY116" s="8">
        <f>+MINVU_Mes_Corriente!AY116*MINVU_Mes_Constante!$AP$1</f>
        <v>43995.143243608814</v>
      </c>
      <c r="AZ116" s="8">
        <f>+MINVU_Mes_Corriente!AZ116*MINVU_Mes_Constante!$AP$1</f>
        <v>43995.143243608814</v>
      </c>
      <c r="BA116" s="8">
        <f>+MINVU_Mes_Corriente!BA116*MINVU_Mes_Constante!$AP$1</f>
        <v>142946.89895847422</v>
      </c>
      <c r="BB116" s="9">
        <f t="shared" si="79"/>
        <v>142946.89895847422</v>
      </c>
      <c r="BC116" s="8">
        <f>+MINVU_Mes_Corriente!BC116*MINVU_Mes_Constante!$BC$1</f>
        <v>35620.806013451147</v>
      </c>
      <c r="BD116" s="8">
        <f>+MINVU_Mes_Corriente!BD116*MINVU_Mes_Constante!$BC$1</f>
        <v>35620.806013451147</v>
      </c>
      <c r="BE116" s="8">
        <f>+MINVU_Mes_Corriente!BE116*MINVU_Mes_Constante!$BC$1</f>
        <v>35620.806013451147</v>
      </c>
      <c r="BF116" s="8">
        <f>+MINVU_Mes_Corriente!BF116*MINVU_Mes_Constante!$BC$1</f>
        <v>35620.806013451147</v>
      </c>
      <c r="BG116" s="8">
        <f>+MINVU_Mes_Corriente!BG116*MINVU_Mes_Constante!$BC$1</f>
        <v>35620.806013451147</v>
      </c>
      <c r="BH116" s="8">
        <f>+MINVU_Mes_Corriente!BH116*MINVU_Mes_Constante!$BC$1</f>
        <v>35620.806013451147</v>
      </c>
      <c r="BI116" s="8">
        <f>+MINVU_Mes_Corriente!BI116*MINVU_Mes_Constante!$BC$1</f>
        <v>30201.752077014382</v>
      </c>
      <c r="BJ116" s="8">
        <f>+MINVU_Mes_Corriente!BJ116*MINVU_Mes_Constante!$BC$1</f>
        <v>30201.752077014382</v>
      </c>
      <c r="BK116" s="8">
        <f>+MINVU_Mes_Corriente!BK116*MINVU_Mes_Constante!$BC$1</f>
        <v>30201.752077014382</v>
      </c>
      <c r="BL116" s="8">
        <f>+MINVU_Mes_Corriente!BL116*MINVU_Mes_Constante!$BC$1</f>
        <v>30201.752077014382</v>
      </c>
      <c r="BM116" s="8">
        <f>+MINVU_Mes_Corriente!BM116*MINVU_Mes_Constante!$BC$1</f>
        <v>646633.90610576305</v>
      </c>
      <c r="BN116" s="8">
        <f>+MINVU_Mes_Corriente!BN116*MINVU_Mes_Constante!$BC$1</f>
        <v>646633.90610576305</v>
      </c>
      <c r="BO116" s="9">
        <f t="shared" si="80"/>
        <v>646633.90610576305</v>
      </c>
      <c r="BP116" s="8">
        <f>+MINVU_Mes_Corriente!BP116*MINVU_Mes_Constante!$BP$1</f>
        <v>17296.935211267606</v>
      </c>
      <c r="BQ116" s="8">
        <f>+MINVU_Mes_Corriente!BQ116*MINVU_Mes_Constante!$BP$1</f>
        <v>17296.935211267606</v>
      </c>
      <c r="BR116" s="8">
        <f>+MINVU_Mes_Corriente!BR116*MINVU_Mes_Constante!$BP$1</f>
        <v>17296.935211267606</v>
      </c>
      <c r="BS116" s="8">
        <f>+MINVU_Mes_Corriente!BS116*MINVU_Mes_Constante!$BP$1</f>
        <v>17296.935211267606</v>
      </c>
      <c r="BT116" s="8">
        <f>+MINVU_Mes_Corriente!BT116*MINVU_Mes_Constante!$BP$1</f>
        <v>17296.935211267606</v>
      </c>
      <c r="BU116" s="8">
        <f>+MINVU_Mes_Corriente!BU116*MINVU_Mes_Constante!$BP$1</f>
        <v>17296.935211267606</v>
      </c>
      <c r="BV116" s="8">
        <f>+MINVU_Mes_Corriente!BV116*MINVU_Mes_Constante!$BP$1</f>
        <v>17296.935211267606</v>
      </c>
      <c r="BW116" s="8">
        <f>+MINVU_Mes_Corriente!BW116*MINVU_Mes_Constante!$BP$1</f>
        <v>17296.935211267606</v>
      </c>
      <c r="BX116" s="8">
        <f>+MINVU_Mes_Corriente!BX116*MINVU_Mes_Constante!$BP$1</f>
        <v>17296.935211267606</v>
      </c>
      <c r="BY116" s="8">
        <f>+MINVU_Mes_Corriente!BY116*MINVU_Mes_Constante!$BP$1</f>
        <v>17296.935211267606</v>
      </c>
      <c r="BZ116" s="8">
        <f>+MINVU_Mes_Corriente!BZ116*MINVU_Mes_Constante!$BP$1</f>
        <v>17296.935211267606</v>
      </c>
      <c r="CA116" s="8">
        <f>+MINVU_Mes_Corriente!CA116*MINVU_Mes_Constante!$BP$1</f>
        <v>17296.935211267606</v>
      </c>
      <c r="CB116" s="9">
        <f t="shared" si="81"/>
        <v>17296.935211267606</v>
      </c>
      <c r="CC116" s="8">
        <f>+MINVU_Mes_Corriente!CC116*MINVU_Mes_Constante!$CC$1</f>
        <v>17231.917195076465</v>
      </c>
      <c r="CD116" s="8">
        <f>+MINVU_Mes_Corriente!CD116*MINVU_Mes_Constante!$CC$1</f>
        <v>17231.917195076465</v>
      </c>
      <c r="CE116" s="8">
        <f>+MINVU_Mes_Corriente!CE116*MINVU_Mes_Constante!$CC$1</f>
        <v>17231.917195076465</v>
      </c>
      <c r="CF116" s="8">
        <f>+MINVU_Mes_Corriente!CF116*MINVU_Mes_Constante!$CC$1</f>
        <v>12061.66281238344</v>
      </c>
      <c r="CG116" s="8">
        <f>+MINVU_Mes_Corriente!CG116*MINVU_Mes_Constante!$CC$1</f>
        <v>6030.152182021634</v>
      </c>
      <c r="CH116" s="8">
        <f>+MINVU_Mes_Corriente!CH116*MINVU_Mes_Constante!$CC$1</f>
        <v>6030.152182021634</v>
      </c>
      <c r="CI116" s="8">
        <f>+MINVU_Mes_Corriente!CI116*MINVU_Mes_Constante!$CC$1</f>
        <v>6030.152182021634</v>
      </c>
      <c r="CJ116" s="8">
        <f>+MINVU_Mes_Corriente!CJ116*MINVU_Mes_Constante!$CC$1</f>
        <v>6030.152182021634</v>
      </c>
      <c r="CK116" s="8">
        <f>+MINVU_Mes_Corriente!CK116*MINVU_Mes_Constante!$CC$1</f>
        <v>6030.152182021634</v>
      </c>
      <c r="CL116" s="8">
        <f>+MINVU_Mes_Corriente!CL116*MINVU_Mes_Constante!$CC$1</f>
        <v>6030.152182021634</v>
      </c>
      <c r="CM116" s="8">
        <f>+MINVU_Mes_Corriente!CM116*MINVU_Mes_Constante!$CC$1</f>
        <v>17231.917195076465</v>
      </c>
      <c r="CN116" s="8">
        <f>+MINVU_Mes_Corriente!CN116*MINVU_Mes_Constante!$CC$1</f>
        <v>17231.917195076465</v>
      </c>
      <c r="CO116" s="9">
        <f t="shared" si="82"/>
        <v>17231.917195076465</v>
      </c>
      <c r="CP116" s="8">
        <f>+MINVU_Mes_Corriente!CP116*MINVU_Mes_Constante!$CP$1</f>
        <v>11090.777262180973</v>
      </c>
      <c r="CQ116" s="8">
        <f>+MINVU_Mes_Corriente!CQ116*MINVU_Mes_Constante!$CP$1</f>
        <v>11090.777262180973</v>
      </c>
      <c r="CR116" s="8">
        <f>+MINVU_Mes_Corriente!CR116*MINVU_Mes_Constante!$CP$1</f>
        <v>11090.777262180973</v>
      </c>
      <c r="CS116" s="8">
        <f>+MINVU_Mes_Corriente!CS116*MINVU_Mes_Constante!$CP$1</f>
        <v>11090.777262180973</v>
      </c>
      <c r="CT116" s="8">
        <f>+MINVU_Mes_Corriente!CT116*MINVU_Mes_Constante!$CP$1</f>
        <v>11090.777262180973</v>
      </c>
      <c r="CU116" s="8">
        <f>+MINVU_Mes_Corriente!CU116*MINVU_Mes_Constante!$CP$1</f>
        <v>17174.860788863105</v>
      </c>
      <c r="CV116" s="8">
        <f>+MINVU_Mes_Corriente!CV116*MINVU_Mes_Constante!$CP$1</f>
        <v>17174.860788863105</v>
      </c>
      <c r="CW116" s="8">
        <f>+MINVU_Mes_Corriente!CW116*MINVU_Mes_Constante!$CP$1</f>
        <v>17174.860788863105</v>
      </c>
      <c r="CX116" s="8">
        <f>+MINVU_Mes_Corriente!CX116*MINVU_Mes_Constante!$CP$1</f>
        <v>17174.860788863105</v>
      </c>
      <c r="CY116" s="8">
        <f>+MINVU_Mes_Corriente!CY116*MINVU_Mes_Constante!$CP$1</f>
        <v>17174.860788863105</v>
      </c>
      <c r="CZ116" s="8">
        <f>+MINVU_Mes_Corriente!CZ116*MINVU_Mes_Constante!$CP$1</f>
        <v>17174.860788863105</v>
      </c>
      <c r="DA116" s="8">
        <f>+MINVU_Mes_Corriente!DA116*MINVU_Mes_Constante!$CP$1</f>
        <v>17174.860788863105</v>
      </c>
      <c r="DB116" s="9">
        <f t="shared" si="83"/>
        <v>17174.860788863105</v>
      </c>
      <c r="DC116" s="8">
        <f>+MINVU_Mes_Corriente!DC116*MINVU_Mes_Constante!$DC$1</f>
        <v>0</v>
      </c>
      <c r="DD116" s="8">
        <f>+MINVU_Mes_Corriente!DD116*MINVU_Mes_Constante!$DC$1</f>
        <v>0</v>
      </c>
      <c r="DE116" s="8">
        <f>+MINVU_Mes_Corriente!DE116*MINVU_Mes_Constante!$DC$1</f>
        <v>0</v>
      </c>
      <c r="DF116" s="8">
        <f>+MINVU_Mes_Corriente!DF116*MINVU_Mes_Constante!$DC$1</f>
        <v>0</v>
      </c>
      <c r="DG116" s="8">
        <f>+MINVU_Mes_Corriente!DG116*MINVU_Mes_Constante!$DC$1</f>
        <v>0</v>
      </c>
      <c r="DH116" s="8">
        <f>+MINVU_Mes_Corriente!DH116*MINVU_Mes_Constante!$DC$1</f>
        <v>0</v>
      </c>
      <c r="DI116" s="8">
        <f>+MINVU_Mes_Corriente!DI116*MINVU_Mes_Constante!$DC$1</f>
        <v>0</v>
      </c>
      <c r="DJ116" s="8">
        <f>+MINVU_Mes_Corriente!DJ116*MINVU_Mes_Constante!$DC$1</f>
        <v>0</v>
      </c>
      <c r="DK116" s="8">
        <f>+MINVU_Mes_Corriente!DK116*MINVU_Mes_Constante!$DC$1</f>
        <v>0</v>
      </c>
      <c r="DL116" s="8">
        <f>+MINVU_Mes_Corriente!DL116*MINVU_Mes_Constante!$DC$1</f>
        <v>0</v>
      </c>
      <c r="DM116" s="8">
        <f>+MINVU_Mes_Corriente!DM116*MINVU_Mes_Constante!$DC$1</f>
        <v>0</v>
      </c>
      <c r="DN116" s="8">
        <f>+MINVU_Mes_Corriente!DN116*MINVU_Mes_Constante!$DC$1</f>
        <v>0</v>
      </c>
      <c r="DO116" s="9">
        <f t="shared" si="84"/>
        <v>0</v>
      </c>
      <c r="DP116" s="8">
        <f>+MINVU_Mes_Corriente!DP116*MINVU_Mes_Constante!$DP$1</f>
        <v>0</v>
      </c>
      <c r="DQ116" s="8">
        <f>+MINVU_Mes_Corriente!DQ116*MINVU_Mes_Constante!$DP$1</f>
        <v>0</v>
      </c>
      <c r="DR116" s="8">
        <f>+MINVU_Mes_Corriente!DR116*MINVU_Mes_Constante!$DP$1</f>
        <v>0</v>
      </c>
      <c r="DS116" s="8">
        <f>+MINVU_Mes_Corriente!DS116*MINVU_Mes_Constante!$DP$1</f>
        <v>0</v>
      </c>
      <c r="DT116" s="8">
        <f>+MINVU_Mes_Corriente!DT116*MINVU_Mes_Constante!$DP$1</f>
        <v>0</v>
      </c>
      <c r="DU116" s="8">
        <f>+MINVU_Mes_Corriente!DU116*MINVU_Mes_Constante!$DP$1</f>
        <v>0</v>
      </c>
      <c r="DV116" s="8">
        <f>+MINVU_Mes_Corriente!DV116*MINVU_Mes_Constante!$DP$1</f>
        <v>0</v>
      </c>
      <c r="DW116" s="8">
        <f>+MINVU_Mes_Corriente!DW116*MINVU_Mes_Constante!$DP$1</f>
        <v>0</v>
      </c>
      <c r="DX116" s="8">
        <f>+MINVU_Mes_Corriente!DX116*MINVU_Mes_Constante!$DP$1</f>
        <v>0</v>
      </c>
      <c r="DY116" s="8">
        <f>+MINVU_Mes_Corriente!DY116*MINVU_Mes_Constante!$DP$1</f>
        <v>0</v>
      </c>
      <c r="DZ116" s="8">
        <f>+MINVU_Mes_Corriente!DZ116*MINVU_Mes_Constante!$DP$1</f>
        <v>0</v>
      </c>
      <c r="EA116" s="8">
        <f>+MINVU_Mes_Corriente!EA116*MINVU_Mes_Constante!$DP$1</f>
        <v>0</v>
      </c>
      <c r="EB116" s="9">
        <f t="shared" si="85"/>
        <v>0</v>
      </c>
      <c r="EC116" s="8">
        <f>+MINVU_Mes_Corriente!EC116*MINVU_Mes_Constante!$EC$1</f>
        <v>0</v>
      </c>
      <c r="ED116" s="8">
        <f>+MINVU_Mes_Corriente!ED116*MINVU_Mes_Constante!$EC$1</f>
        <v>0</v>
      </c>
      <c r="EE116" s="8">
        <f>+MINVU_Mes_Corriente!EE116*MINVU_Mes_Constante!$EC$1</f>
        <v>0</v>
      </c>
      <c r="EF116" s="8">
        <f>+MINVU_Mes_Corriente!EF116*MINVU_Mes_Constante!$EC$1</f>
        <v>0</v>
      </c>
      <c r="EG116" s="8">
        <f>+MINVU_Mes_Corriente!EG116*MINVU_Mes_Constante!$EC$1</f>
        <v>7006.4190494224558</v>
      </c>
      <c r="EH116" s="8">
        <f>+MINVU_Mes_Corriente!EH116*MINVU_Mes_Constante!$EC$1</f>
        <v>7006.4190494224558</v>
      </c>
      <c r="EI116" s="8">
        <f>+MINVU_Mes_Corriente!EI116*MINVU_Mes_Constante!$EC$1</f>
        <v>7006.4190494224558</v>
      </c>
      <c r="EJ116" s="8">
        <f>+MINVU_Mes_Corriente!EJ116*MINVU_Mes_Constante!$EC$1</f>
        <v>7006.4190494224558</v>
      </c>
      <c r="EK116" s="8">
        <f>+MINVU_Mes_Corriente!EK116*MINVU_Mes_Constante!$EC$1</f>
        <v>7006.4190494224558</v>
      </c>
      <c r="EL116" s="8">
        <f>+MINVU_Mes_Corriente!EL116*MINVU_Mes_Constante!$EC$1</f>
        <v>8630.5262260935397</v>
      </c>
      <c r="EM116" s="8">
        <f>+MINVU_Mes_Corriente!EM116*MINVU_Mes_Constante!$EC$1</f>
        <v>8630.5262260935397</v>
      </c>
      <c r="EN116" s="8">
        <f>+MINVU_Mes_Corriente!EN116*MINVU_Mes_Constante!$EC$1</f>
        <v>8630.5262260935397</v>
      </c>
      <c r="EO116" s="9">
        <f t="shared" si="86"/>
        <v>8630.5262260935397</v>
      </c>
      <c r="EP116" s="8">
        <f>+MINVU_Mes_Corriente!EP116*MINVU_Mes_Constante!$EP$1</f>
        <v>3960</v>
      </c>
      <c r="EQ116" s="8">
        <f>+MINVU_Mes_Corriente!EQ116*MINVU_Mes_Constante!$EP$1</f>
        <v>3960</v>
      </c>
      <c r="ER116" s="8">
        <f>+MINVU_Mes_Corriente!ER116*MINVU_Mes_Constante!$EP$1</f>
        <v>3960</v>
      </c>
      <c r="ES116" s="8">
        <f>+MINVU_Mes_Corriente!ES116*MINVU_Mes_Constante!$EP$1</f>
        <v>3960</v>
      </c>
      <c r="ET116" s="8">
        <f>+MINVU_Mes_Corriente!ET116*MINVU_Mes_Constante!$EP$1</f>
        <v>3960</v>
      </c>
      <c r="EU116" s="8">
        <f>+MINVU_Mes_Corriente!EU116*MINVU_Mes_Constante!$EP$1</f>
        <v>3960</v>
      </c>
      <c r="EV116" s="8">
        <f>+MINVU_Mes_Corriente!EV116*MINVU_Mes_Constante!$EP$1</f>
        <v>3960</v>
      </c>
      <c r="EW116" s="8">
        <f>+MINVU_Mes_Corriente!EW116*MINVU_Mes_Constante!$EP$1</f>
        <v>3960</v>
      </c>
      <c r="EX116" s="8">
        <f>+MINVU_Mes_Corriente!EX116*MINVU_Mes_Constante!$EP$1</f>
        <v>3960</v>
      </c>
      <c r="EY116" s="8">
        <f>+MINVU_Mes_Corriente!EY116*MINVU_Mes_Constante!$EP$1</f>
        <v>11799960</v>
      </c>
      <c r="EZ116" s="8">
        <f>+MINVU_Mes_Corriente!EZ116*MINVU_Mes_Constante!$EP$1</f>
        <v>21799960</v>
      </c>
      <c r="FA116" s="8">
        <f>+MINVU_Mes_Corriente!FA116*MINVU_Mes_Constante!$EP$1</f>
        <v>21799960</v>
      </c>
      <c r="FB116" s="9">
        <f t="shared" si="87"/>
        <v>21799960</v>
      </c>
      <c r="FC116" s="8">
        <f>+MINVU_Mes_Corriente!FC116*MINVU_Mes_Constante!$FC$1</f>
        <v>10</v>
      </c>
      <c r="FD116" s="8">
        <f>+MINVU_Mes_Corriente!FD116*MINVU_Mes_Constante!$FC$1</f>
        <v>10</v>
      </c>
      <c r="FE116" s="8">
        <f>+MINVU_Mes_Corriente!FE116*MINVU_Mes_Constante!$FC$1</f>
        <v>10</v>
      </c>
      <c r="FF116" s="8">
        <f>+MINVU_Mes_Corriente!FF116*MINVU_Mes_Constante!$FC$1</f>
        <v>10</v>
      </c>
      <c r="FG116" s="8">
        <f>+MINVU_Mes_Corriente!FG116*MINVU_Mes_Constante!$FC$1</f>
        <v>10</v>
      </c>
      <c r="FH116" s="8">
        <f>+MINVU_Mes_Corriente!FH116*MINVU_Mes_Constante!$FC$1</f>
        <v>10</v>
      </c>
      <c r="FI116" s="8">
        <f>+MINVU_Mes_Corriente!FI116*MINVU_Mes_Constante!$FC$1</f>
        <v>10</v>
      </c>
      <c r="FJ116" s="8"/>
      <c r="FK116" s="8"/>
      <c r="FL116" s="8"/>
      <c r="FM116" s="8"/>
      <c r="FN116" s="8"/>
      <c r="FO116" s="9">
        <f t="shared" si="88"/>
        <v>10</v>
      </c>
    </row>
    <row r="117" spans="2:171" ht="14.25" customHeight="1" thickBot="1" x14ac:dyDescent="0.35">
      <c r="B117" s="14" t="s">
        <v>70</v>
      </c>
      <c r="C117" s="16">
        <f t="shared" ref="C117:AH117" si="89">SUM(C99:C116)</f>
        <v>7213237.2848880338</v>
      </c>
      <c r="D117" s="16">
        <f t="shared" si="89"/>
        <v>7213237.2848880338</v>
      </c>
      <c r="E117" s="16">
        <f t="shared" si="89"/>
        <v>26282744.963962629</v>
      </c>
      <c r="F117" s="16">
        <f t="shared" si="89"/>
        <v>26282744.963962629</v>
      </c>
      <c r="G117" s="16">
        <f t="shared" si="89"/>
        <v>26872551.281625394</v>
      </c>
      <c r="H117" s="16">
        <f t="shared" si="89"/>
        <v>49427726.799347483</v>
      </c>
      <c r="I117" s="16">
        <f t="shared" si="89"/>
        <v>49427726.799347483</v>
      </c>
      <c r="J117" s="16">
        <f t="shared" si="89"/>
        <v>49427726.799347483</v>
      </c>
      <c r="K117" s="16">
        <f t="shared" si="89"/>
        <v>56722529.112857789</v>
      </c>
      <c r="L117" s="16">
        <f t="shared" si="89"/>
        <v>73881534.223342746</v>
      </c>
      <c r="M117" s="16">
        <f t="shared" si="89"/>
        <v>76463800.262197852</v>
      </c>
      <c r="N117" s="16">
        <f t="shared" si="89"/>
        <v>87463624.893074334</v>
      </c>
      <c r="O117" s="16">
        <f t="shared" si="89"/>
        <v>87463624.893074334</v>
      </c>
      <c r="P117" s="16">
        <f t="shared" si="89"/>
        <v>18504172.085523508</v>
      </c>
      <c r="Q117" s="16">
        <f t="shared" si="89"/>
        <v>24452493.550220191</v>
      </c>
      <c r="R117" s="16">
        <f t="shared" si="89"/>
        <v>26496662.933939472</v>
      </c>
      <c r="S117" s="16">
        <f t="shared" si="89"/>
        <v>31269232.55604488</v>
      </c>
      <c r="T117" s="16">
        <f t="shared" si="89"/>
        <v>33802903.503622659</v>
      </c>
      <c r="U117" s="16">
        <f t="shared" si="89"/>
        <v>34175567.18255432</v>
      </c>
      <c r="V117" s="16">
        <f t="shared" si="89"/>
        <v>41087554.39664723</v>
      </c>
      <c r="W117" s="16">
        <f t="shared" si="89"/>
        <v>41110980.336695537</v>
      </c>
      <c r="X117" s="16">
        <f t="shared" si="89"/>
        <v>41950574.906662866</v>
      </c>
      <c r="Y117" s="16">
        <f t="shared" si="89"/>
        <v>51306329.116067596</v>
      </c>
      <c r="Z117" s="16">
        <f t="shared" si="89"/>
        <v>55945529.826111645</v>
      </c>
      <c r="AA117" s="16">
        <f t="shared" si="89"/>
        <v>69957026.638158798</v>
      </c>
      <c r="AB117" s="16">
        <f t="shared" si="89"/>
        <v>69957026.638158798</v>
      </c>
      <c r="AC117" s="16">
        <f t="shared" si="89"/>
        <v>9734269.4856826682</v>
      </c>
      <c r="AD117" s="16">
        <f t="shared" si="89"/>
        <v>9763793.4148568269</v>
      </c>
      <c r="AE117" s="16">
        <f t="shared" si="89"/>
        <v>9870851.287038317</v>
      </c>
      <c r="AF117" s="16">
        <f t="shared" si="89"/>
        <v>10732911.024484711</v>
      </c>
      <c r="AG117" s="16">
        <f t="shared" si="89"/>
        <v>24194940.06307926</v>
      </c>
      <c r="AH117" s="16">
        <f t="shared" si="89"/>
        <v>24194940.06307926</v>
      </c>
      <c r="AI117" s="16">
        <f t="shared" ref="AI117:BN117" si="90">SUM(AI99:AI116)</f>
        <v>24301725.881034717</v>
      </c>
      <c r="AJ117" s="16">
        <f t="shared" si="90"/>
        <v>30098374.69525522</v>
      </c>
      <c r="AK117" s="16">
        <f t="shared" si="90"/>
        <v>32015743.355374184</v>
      </c>
      <c r="AL117" s="16">
        <f t="shared" si="90"/>
        <v>34671931.188546136</v>
      </c>
      <c r="AM117" s="16">
        <f t="shared" si="90"/>
        <v>36566463.919214271</v>
      </c>
      <c r="AN117" s="16">
        <f t="shared" si="90"/>
        <v>41054429.130170129</v>
      </c>
      <c r="AO117" s="16">
        <f t="shared" si="90"/>
        <v>41054429.130170129</v>
      </c>
      <c r="AP117" s="16">
        <f t="shared" si="90"/>
        <v>8299376.5946165277</v>
      </c>
      <c r="AQ117" s="16">
        <f t="shared" si="90"/>
        <v>8299376.5946165277</v>
      </c>
      <c r="AR117" s="16">
        <f t="shared" si="90"/>
        <v>8299376.5946165277</v>
      </c>
      <c r="AS117" s="16">
        <f t="shared" si="90"/>
        <v>18078770.261869334</v>
      </c>
      <c r="AT117" s="16">
        <f t="shared" si="90"/>
        <v>18078770.261869337</v>
      </c>
      <c r="AU117" s="16">
        <f t="shared" si="90"/>
        <v>19085239.154064659</v>
      </c>
      <c r="AV117" s="16">
        <f t="shared" si="90"/>
        <v>19085239.154064659</v>
      </c>
      <c r="AW117" s="16">
        <f t="shared" si="90"/>
        <v>23946406.166644126</v>
      </c>
      <c r="AX117" s="16">
        <f t="shared" si="90"/>
        <v>27445455.819288518</v>
      </c>
      <c r="AY117" s="16">
        <f t="shared" si="90"/>
        <v>30810096.311646145</v>
      </c>
      <c r="AZ117" s="16">
        <f t="shared" si="90"/>
        <v>30810096.311646145</v>
      </c>
      <c r="BA117" s="16">
        <f t="shared" si="90"/>
        <v>51152645.691600159</v>
      </c>
      <c r="BB117" s="16">
        <f t="shared" si="90"/>
        <v>51152645.691600159</v>
      </c>
      <c r="BC117" s="16">
        <f t="shared" si="90"/>
        <v>11473606.855070556</v>
      </c>
      <c r="BD117" s="16">
        <f t="shared" si="90"/>
        <v>11473606.855070556</v>
      </c>
      <c r="BE117" s="16">
        <f t="shared" si="90"/>
        <v>13032225.321640514</v>
      </c>
      <c r="BF117" s="16">
        <f t="shared" si="90"/>
        <v>13032225.321640514</v>
      </c>
      <c r="BG117" s="16">
        <f t="shared" si="90"/>
        <v>13612757.143874459</v>
      </c>
      <c r="BH117" s="16">
        <f t="shared" si="90"/>
        <v>13612757.143874459</v>
      </c>
      <c r="BI117" s="16">
        <f t="shared" si="90"/>
        <v>17391885.191876572</v>
      </c>
      <c r="BJ117" s="16">
        <f t="shared" si="90"/>
        <v>17391885.191876572</v>
      </c>
      <c r="BK117" s="16">
        <f t="shared" si="90"/>
        <v>15833266.725306612</v>
      </c>
      <c r="BL117" s="16">
        <f t="shared" si="90"/>
        <v>15833266.725306612</v>
      </c>
      <c r="BM117" s="16">
        <f t="shared" si="90"/>
        <v>16493314.987208232</v>
      </c>
      <c r="BN117" s="16">
        <f t="shared" si="90"/>
        <v>21097486.432546489</v>
      </c>
      <c r="BO117" s="16">
        <f t="shared" ref="BO117:CT117" si="91">SUM(BO99:BO116)</f>
        <v>21097486.432546489</v>
      </c>
      <c r="BP117" s="16">
        <f t="shared" si="91"/>
        <v>8582567.4576184377</v>
      </c>
      <c r="BQ117" s="16">
        <f t="shared" si="91"/>
        <v>8582567.4576184377</v>
      </c>
      <c r="BR117" s="16">
        <f t="shared" si="91"/>
        <v>8582567.4576184377</v>
      </c>
      <c r="BS117" s="16">
        <f t="shared" si="91"/>
        <v>8582567.4576184377</v>
      </c>
      <c r="BT117" s="16">
        <f t="shared" si="91"/>
        <v>11719340.917029452</v>
      </c>
      <c r="BU117" s="16">
        <f t="shared" si="91"/>
        <v>46369889.439948812</v>
      </c>
      <c r="BV117" s="16">
        <f t="shared" si="91"/>
        <v>46487725.160819486</v>
      </c>
      <c r="BW117" s="16">
        <f t="shared" si="91"/>
        <v>51994694.966197208</v>
      </c>
      <c r="BX117" s="16">
        <f t="shared" si="91"/>
        <v>53699741.333930895</v>
      </c>
      <c r="BY117" s="16">
        <f t="shared" si="91"/>
        <v>53699741.333930895</v>
      </c>
      <c r="BZ117" s="16">
        <f t="shared" si="91"/>
        <v>54726090.043021798</v>
      </c>
      <c r="CA117" s="16">
        <f t="shared" si="91"/>
        <v>62211397.512676075</v>
      </c>
      <c r="CB117" s="16">
        <f t="shared" si="91"/>
        <v>62211397.512676075</v>
      </c>
      <c r="CC117" s="16">
        <f t="shared" si="91"/>
        <v>12085244.117120476</v>
      </c>
      <c r="CD117" s="16">
        <f t="shared" si="91"/>
        <v>12085244.117120476</v>
      </c>
      <c r="CE117" s="16">
        <f t="shared" si="91"/>
        <v>12085244.117120476</v>
      </c>
      <c r="CF117" s="16">
        <f t="shared" si="91"/>
        <v>11031994.290190229</v>
      </c>
      <c r="CG117" s="16">
        <f t="shared" si="91"/>
        <v>9404219.9820962362</v>
      </c>
      <c r="CH117" s="16">
        <f t="shared" si="91"/>
        <v>12442365.242819846</v>
      </c>
      <c r="CI117" s="16">
        <f t="shared" si="91"/>
        <v>13218425.044386426</v>
      </c>
      <c r="CJ117" s="16">
        <f t="shared" si="91"/>
        <v>13218425.044386426</v>
      </c>
      <c r="CK117" s="16">
        <f t="shared" si="91"/>
        <v>26458935.741887361</v>
      </c>
      <c r="CL117" s="16">
        <f t="shared" si="91"/>
        <v>29932192.005967923</v>
      </c>
      <c r="CM117" s="16">
        <f t="shared" si="91"/>
        <v>37807626.452070132</v>
      </c>
      <c r="CN117" s="16">
        <f t="shared" si="91"/>
        <v>40580872.928011946</v>
      </c>
      <c r="CO117" s="16">
        <f t="shared" si="91"/>
        <v>40580872.928011946</v>
      </c>
      <c r="CP117" s="16">
        <f t="shared" si="91"/>
        <v>5357910.1322505781</v>
      </c>
      <c r="CQ117" s="16">
        <f t="shared" si="91"/>
        <v>5357910.1322505781</v>
      </c>
      <c r="CR117" s="16">
        <f t="shared" si="91"/>
        <v>5357910.1322505781</v>
      </c>
      <c r="CS117" s="16">
        <f t="shared" si="91"/>
        <v>6326584.9559164708</v>
      </c>
      <c r="CT117" s="16">
        <f t="shared" si="91"/>
        <v>24668921.800232012</v>
      </c>
      <c r="CU117" s="16">
        <f t="shared" ref="CU117:DZ117" si="92">SUM(CU99:CU116)</f>
        <v>24668921.800232016</v>
      </c>
      <c r="CV117" s="16">
        <f t="shared" si="92"/>
        <v>24690420.162877027</v>
      </c>
      <c r="CW117" s="16">
        <f t="shared" si="92"/>
        <v>26524156.600232013</v>
      </c>
      <c r="CX117" s="16">
        <f t="shared" si="92"/>
        <v>26606242.294663571</v>
      </c>
      <c r="CY117" s="16">
        <f t="shared" si="92"/>
        <v>33270163.064269137</v>
      </c>
      <c r="CZ117" s="16">
        <f t="shared" si="92"/>
        <v>41191956.69535961</v>
      </c>
      <c r="DA117" s="16">
        <f t="shared" si="92"/>
        <v>46302575.450116001</v>
      </c>
      <c r="DB117" s="16">
        <f t="shared" si="92"/>
        <v>46302575.450116001</v>
      </c>
      <c r="DC117" s="16">
        <f t="shared" si="92"/>
        <v>4170798.4684703243</v>
      </c>
      <c r="DD117" s="16">
        <f t="shared" si="92"/>
        <v>4170798.4684703243</v>
      </c>
      <c r="DE117" s="16">
        <f t="shared" si="92"/>
        <v>6310538.8453862807</v>
      </c>
      <c r="DF117" s="16">
        <f t="shared" si="92"/>
        <v>9136749.2033741437</v>
      </c>
      <c r="DG117" s="16">
        <f t="shared" si="92"/>
        <v>19662551.43709496</v>
      </c>
      <c r="DH117" s="16">
        <f t="shared" si="92"/>
        <v>19741228.527929235</v>
      </c>
      <c r="DI117" s="16">
        <f t="shared" si="92"/>
        <v>19741228.527929235</v>
      </c>
      <c r="DJ117" s="16">
        <f t="shared" si="92"/>
        <v>19741228.527929235</v>
      </c>
      <c r="DK117" s="16">
        <f t="shared" si="92"/>
        <v>34222044.944964528</v>
      </c>
      <c r="DL117" s="16">
        <f t="shared" si="92"/>
        <v>90381297.179302588</v>
      </c>
      <c r="DM117" s="16">
        <f t="shared" si="92"/>
        <v>193607963.57596964</v>
      </c>
      <c r="DN117" s="16">
        <f t="shared" si="92"/>
        <v>217423607.76422185</v>
      </c>
      <c r="DO117" s="16">
        <f t="shared" si="92"/>
        <v>217423607.76422185</v>
      </c>
      <c r="DP117" s="16">
        <f t="shared" si="92"/>
        <v>33200296.820665088</v>
      </c>
      <c r="DQ117" s="16">
        <f t="shared" si="92"/>
        <v>37502188.724465564</v>
      </c>
      <c r="DR117" s="16">
        <f t="shared" si="92"/>
        <v>37502188.724465564</v>
      </c>
      <c r="DS117" s="16">
        <f t="shared" si="92"/>
        <v>37502188.724465564</v>
      </c>
      <c r="DT117" s="16">
        <f t="shared" si="92"/>
        <v>37502188.724465564</v>
      </c>
      <c r="DU117" s="16">
        <f t="shared" si="92"/>
        <v>37502188.724465564</v>
      </c>
      <c r="DV117" s="16">
        <f t="shared" si="92"/>
        <v>37502188.724465564</v>
      </c>
      <c r="DW117" s="16">
        <f t="shared" si="92"/>
        <v>37502188.724465564</v>
      </c>
      <c r="DX117" s="16">
        <f t="shared" si="92"/>
        <v>37502188.724465564</v>
      </c>
      <c r="DY117" s="16">
        <f t="shared" si="92"/>
        <v>37502188.724465564</v>
      </c>
      <c r="DZ117" s="16">
        <f t="shared" si="92"/>
        <v>37502188.724465564</v>
      </c>
      <c r="EA117" s="16">
        <f t="shared" ref="EA117:FF117" si="93">SUM(EA99:EA116)</f>
        <v>37266585.495249406</v>
      </c>
      <c r="EB117" s="16">
        <f t="shared" si="93"/>
        <v>37266585.495249406</v>
      </c>
      <c r="EC117" s="16">
        <f t="shared" si="93"/>
        <v>31731903.257337615</v>
      </c>
      <c r="ED117" s="16">
        <f t="shared" si="93"/>
        <v>31731903.257337615</v>
      </c>
      <c r="EE117" s="16">
        <f t="shared" si="93"/>
        <v>31731903.257337615</v>
      </c>
      <c r="EF117" s="16">
        <f t="shared" si="93"/>
        <v>31731903.257337615</v>
      </c>
      <c r="EG117" s="16">
        <f t="shared" si="93"/>
        <v>31933325.65006626</v>
      </c>
      <c r="EH117" s="16">
        <f t="shared" si="93"/>
        <v>35089677.604999028</v>
      </c>
      <c r="EI117" s="16">
        <f t="shared" si="93"/>
        <v>35089677.604999028</v>
      </c>
      <c r="EJ117" s="16">
        <f t="shared" si="93"/>
        <v>36985472.050747938</v>
      </c>
      <c r="EK117" s="16">
        <f t="shared" si="93"/>
        <v>36985472.050747938</v>
      </c>
      <c r="EL117" s="16">
        <f t="shared" si="93"/>
        <v>36985472.050747968</v>
      </c>
      <c r="EM117" s="16">
        <f t="shared" si="93"/>
        <v>18682574.499526598</v>
      </c>
      <c r="EN117" s="16">
        <f t="shared" si="93"/>
        <v>19879926.309032369</v>
      </c>
      <c r="EO117" s="16">
        <f t="shared" si="93"/>
        <v>19879926.309032369</v>
      </c>
      <c r="EP117" s="16">
        <f t="shared" si="93"/>
        <v>4543724</v>
      </c>
      <c r="EQ117" s="16">
        <f t="shared" si="93"/>
        <v>4543724</v>
      </c>
      <c r="ER117" s="16">
        <f t="shared" si="93"/>
        <v>4543724</v>
      </c>
      <c r="ES117" s="16">
        <f t="shared" si="93"/>
        <v>4543724</v>
      </c>
      <c r="ET117" s="16">
        <f t="shared" si="93"/>
        <v>4543724</v>
      </c>
      <c r="EU117" s="16">
        <f t="shared" si="93"/>
        <v>4543724</v>
      </c>
      <c r="EV117" s="16">
        <f t="shared" si="93"/>
        <v>4543724</v>
      </c>
      <c r="EW117" s="16">
        <f t="shared" si="93"/>
        <v>4543724</v>
      </c>
      <c r="EX117" s="16">
        <f t="shared" si="93"/>
        <v>4543724</v>
      </c>
      <c r="EY117" s="16">
        <f t="shared" si="93"/>
        <v>16339724</v>
      </c>
      <c r="EZ117" s="16">
        <f t="shared" si="93"/>
        <v>26339724</v>
      </c>
      <c r="FA117" s="16">
        <f t="shared" si="93"/>
        <v>37330628</v>
      </c>
      <c r="FB117" s="16">
        <f t="shared" si="93"/>
        <v>37330628</v>
      </c>
      <c r="FC117" s="16">
        <f t="shared" si="93"/>
        <v>4182864</v>
      </c>
      <c r="FD117" s="16">
        <f t="shared" si="93"/>
        <v>4182864</v>
      </c>
      <c r="FE117" s="16">
        <f t="shared" si="93"/>
        <v>4182864</v>
      </c>
      <c r="FF117" s="16">
        <f t="shared" si="93"/>
        <v>4182864</v>
      </c>
      <c r="FG117" s="16">
        <f t="shared" ref="FG117:GL117" si="94">SUM(FG99:FG116)</f>
        <v>4182864</v>
      </c>
      <c r="FH117" s="16">
        <f t="shared" si="94"/>
        <v>4182864</v>
      </c>
      <c r="FI117" s="16">
        <f t="shared" si="94"/>
        <v>4182864</v>
      </c>
      <c r="FJ117" s="16">
        <f t="shared" si="94"/>
        <v>0</v>
      </c>
      <c r="FK117" s="16">
        <f t="shared" si="94"/>
        <v>0</v>
      </c>
      <c r="FL117" s="16">
        <f t="shared" si="94"/>
        <v>0</v>
      </c>
      <c r="FM117" s="16">
        <f t="shared" si="94"/>
        <v>0</v>
      </c>
      <c r="FN117" s="16">
        <f t="shared" si="94"/>
        <v>0</v>
      </c>
      <c r="FO117" s="16">
        <f t="shared" si="94"/>
        <v>4182864</v>
      </c>
    </row>
    <row r="118" spans="2:171" ht="14.25" customHeight="1" thickTop="1" x14ac:dyDescent="0.3">
      <c r="B118" s="4" t="s">
        <v>71</v>
      </c>
    </row>
    <row r="119" spans="2:171" ht="14.25" customHeight="1" x14ac:dyDescent="0.3">
      <c r="C119" s="33" t="s">
        <v>4</v>
      </c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3" t="s">
        <v>5</v>
      </c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3" t="s">
        <v>6</v>
      </c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3" t="s">
        <v>7</v>
      </c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3" t="s">
        <v>8</v>
      </c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3" t="s">
        <v>9</v>
      </c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3" t="s">
        <v>10</v>
      </c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3" t="s">
        <v>11</v>
      </c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3" t="s">
        <v>12</v>
      </c>
      <c r="DD119" s="34"/>
      <c r="DE119" s="34"/>
      <c r="DF119" s="34"/>
      <c r="DG119" s="34"/>
      <c r="DH119" s="34"/>
      <c r="DI119" s="34"/>
      <c r="DJ119" s="34"/>
      <c r="DK119" s="34"/>
      <c r="DL119" s="34"/>
      <c r="DM119" s="34"/>
      <c r="DN119" s="34"/>
      <c r="DO119" s="34"/>
      <c r="DP119" s="33" t="s">
        <v>13</v>
      </c>
      <c r="DQ119" s="34"/>
      <c r="DR119" s="34"/>
      <c r="DS119" s="34"/>
      <c r="DT119" s="34"/>
      <c r="DU119" s="34"/>
      <c r="DV119" s="34"/>
      <c r="DW119" s="34"/>
      <c r="DX119" s="34"/>
      <c r="DY119" s="34"/>
      <c r="DZ119" s="34"/>
      <c r="EA119" s="34"/>
      <c r="EB119" s="34"/>
      <c r="EC119" s="33" t="s">
        <v>14</v>
      </c>
      <c r="ED119" s="34"/>
      <c r="EE119" s="34"/>
      <c r="EF119" s="34"/>
      <c r="EG119" s="34"/>
      <c r="EH119" s="34"/>
      <c r="EI119" s="34"/>
      <c r="EJ119" s="34"/>
      <c r="EK119" s="34"/>
      <c r="EL119" s="34"/>
      <c r="EM119" s="34"/>
      <c r="EN119" s="34"/>
      <c r="EO119" s="34"/>
      <c r="EP119" s="33" t="s">
        <v>15</v>
      </c>
      <c r="EQ119" s="34"/>
      <c r="ER119" s="34"/>
      <c r="ES119" s="34"/>
      <c r="ET119" s="34"/>
      <c r="EU119" s="34"/>
      <c r="EV119" s="34"/>
      <c r="EW119" s="34"/>
      <c r="EX119" s="34"/>
      <c r="EY119" s="34"/>
      <c r="EZ119" s="34"/>
      <c r="FA119" s="34"/>
      <c r="FB119" s="34"/>
      <c r="FC119" s="33" t="s">
        <v>16</v>
      </c>
      <c r="FD119" s="34"/>
      <c r="FE119" s="34"/>
      <c r="FF119" s="34"/>
      <c r="FG119" s="34"/>
      <c r="FH119" s="34"/>
      <c r="FI119" s="34"/>
      <c r="FJ119" s="34"/>
      <c r="FK119" s="34"/>
      <c r="FL119" s="34"/>
      <c r="FM119" s="34"/>
      <c r="FN119" s="34"/>
      <c r="FO119" s="34"/>
    </row>
    <row r="120" spans="2:171" ht="14.25" customHeight="1" x14ac:dyDescent="0.3">
      <c r="B120" s="5" t="s">
        <v>17</v>
      </c>
      <c r="C120" s="6" t="s">
        <v>18</v>
      </c>
      <c r="D120" s="6" t="s">
        <v>19</v>
      </c>
      <c r="E120" s="6" t="s">
        <v>20</v>
      </c>
      <c r="F120" s="6" t="s">
        <v>21</v>
      </c>
      <c r="G120" s="6" t="s">
        <v>22</v>
      </c>
      <c r="H120" s="6" t="s">
        <v>23</v>
      </c>
      <c r="I120" s="6" t="s">
        <v>24</v>
      </c>
      <c r="J120" s="6" t="s">
        <v>25</v>
      </c>
      <c r="K120" s="6" t="s">
        <v>26</v>
      </c>
      <c r="L120" s="6" t="s">
        <v>27</v>
      </c>
      <c r="M120" s="6" t="s">
        <v>28</v>
      </c>
      <c r="N120" s="6" t="s">
        <v>29</v>
      </c>
      <c r="O120" s="6" t="s">
        <v>30</v>
      </c>
      <c r="P120" s="6" t="s">
        <v>18</v>
      </c>
      <c r="Q120" s="6" t="s">
        <v>19</v>
      </c>
      <c r="R120" s="6" t="s">
        <v>20</v>
      </c>
      <c r="S120" s="6" t="s">
        <v>21</v>
      </c>
      <c r="T120" s="6" t="s">
        <v>22</v>
      </c>
      <c r="U120" s="6" t="s">
        <v>23</v>
      </c>
      <c r="V120" s="6" t="s">
        <v>24</v>
      </c>
      <c r="W120" s="6" t="s">
        <v>25</v>
      </c>
      <c r="X120" s="6" t="s">
        <v>26</v>
      </c>
      <c r="Y120" s="6" t="s">
        <v>27</v>
      </c>
      <c r="Z120" s="6" t="s">
        <v>28</v>
      </c>
      <c r="AA120" s="6" t="s">
        <v>29</v>
      </c>
      <c r="AB120" s="6" t="s">
        <v>31</v>
      </c>
      <c r="AC120" s="6" t="s">
        <v>18</v>
      </c>
      <c r="AD120" s="6" t="s">
        <v>19</v>
      </c>
      <c r="AE120" s="6" t="s">
        <v>20</v>
      </c>
      <c r="AF120" s="6" t="s">
        <v>21</v>
      </c>
      <c r="AG120" s="6" t="s">
        <v>22</v>
      </c>
      <c r="AH120" s="6" t="s">
        <v>23</v>
      </c>
      <c r="AI120" s="6" t="s">
        <v>24</v>
      </c>
      <c r="AJ120" s="6" t="s">
        <v>25</v>
      </c>
      <c r="AK120" s="6" t="s">
        <v>26</v>
      </c>
      <c r="AL120" s="6" t="s">
        <v>27</v>
      </c>
      <c r="AM120" s="6" t="s">
        <v>28</v>
      </c>
      <c r="AN120" s="6" t="s">
        <v>29</v>
      </c>
      <c r="AO120" s="6" t="s">
        <v>32</v>
      </c>
      <c r="AP120" s="6" t="s">
        <v>18</v>
      </c>
      <c r="AQ120" s="6" t="s">
        <v>19</v>
      </c>
      <c r="AR120" s="6" t="s">
        <v>20</v>
      </c>
      <c r="AS120" s="6" t="s">
        <v>21</v>
      </c>
      <c r="AT120" s="6" t="s">
        <v>22</v>
      </c>
      <c r="AU120" s="6" t="s">
        <v>23</v>
      </c>
      <c r="AV120" s="6" t="s">
        <v>24</v>
      </c>
      <c r="AW120" s="6" t="s">
        <v>25</v>
      </c>
      <c r="AX120" s="6" t="s">
        <v>26</v>
      </c>
      <c r="AY120" s="6" t="s">
        <v>27</v>
      </c>
      <c r="AZ120" s="6" t="s">
        <v>28</v>
      </c>
      <c r="BA120" s="6" t="s">
        <v>29</v>
      </c>
      <c r="BB120" s="6" t="s">
        <v>33</v>
      </c>
      <c r="BC120" s="6" t="s">
        <v>18</v>
      </c>
      <c r="BD120" s="6" t="s">
        <v>19</v>
      </c>
      <c r="BE120" s="6" t="s">
        <v>20</v>
      </c>
      <c r="BF120" s="6" t="s">
        <v>21</v>
      </c>
      <c r="BG120" s="6" t="s">
        <v>22</v>
      </c>
      <c r="BH120" s="6" t="s">
        <v>23</v>
      </c>
      <c r="BI120" s="6" t="s">
        <v>24</v>
      </c>
      <c r="BJ120" s="6" t="s">
        <v>25</v>
      </c>
      <c r="BK120" s="6" t="s">
        <v>26</v>
      </c>
      <c r="BL120" s="6" t="s">
        <v>27</v>
      </c>
      <c r="BM120" s="6" t="s">
        <v>28</v>
      </c>
      <c r="BN120" s="6" t="s">
        <v>29</v>
      </c>
      <c r="BO120" s="6" t="s">
        <v>34</v>
      </c>
      <c r="BP120" s="6" t="s">
        <v>18</v>
      </c>
      <c r="BQ120" s="6" t="s">
        <v>19</v>
      </c>
      <c r="BR120" s="6" t="s">
        <v>20</v>
      </c>
      <c r="BS120" s="6" t="s">
        <v>21</v>
      </c>
      <c r="BT120" s="6" t="s">
        <v>22</v>
      </c>
      <c r="BU120" s="6" t="s">
        <v>23</v>
      </c>
      <c r="BV120" s="6" t="s">
        <v>24</v>
      </c>
      <c r="BW120" s="6" t="s">
        <v>25</v>
      </c>
      <c r="BX120" s="6" t="s">
        <v>26</v>
      </c>
      <c r="BY120" s="6" t="s">
        <v>27</v>
      </c>
      <c r="BZ120" s="6" t="s">
        <v>28</v>
      </c>
      <c r="CA120" s="6" t="s">
        <v>29</v>
      </c>
      <c r="CB120" s="6" t="s">
        <v>35</v>
      </c>
      <c r="CC120" s="6" t="s">
        <v>18</v>
      </c>
      <c r="CD120" s="6" t="s">
        <v>19</v>
      </c>
      <c r="CE120" s="6" t="s">
        <v>20</v>
      </c>
      <c r="CF120" s="6" t="s">
        <v>21</v>
      </c>
      <c r="CG120" s="6" t="s">
        <v>22</v>
      </c>
      <c r="CH120" s="6" t="s">
        <v>23</v>
      </c>
      <c r="CI120" s="6" t="s">
        <v>24</v>
      </c>
      <c r="CJ120" s="6" t="s">
        <v>25</v>
      </c>
      <c r="CK120" s="6" t="s">
        <v>26</v>
      </c>
      <c r="CL120" s="6" t="s">
        <v>27</v>
      </c>
      <c r="CM120" s="6" t="s">
        <v>28</v>
      </c>
      <c r="CN120" s="6" t="s">
        <v>29</v>
      </c>
      <c r="CO120" s="6" t="s">
        <v>36</v>
      </c>
      <c r="CP120" s="6" t="s">
        <v>18</v>
      </c>
      <c r="CQ120" s="6" t="s">
        <v>19</v>
      </c>
      <c r="CR120" s="6" t="s">
        <v>20</v>
      </c>
      <c r="CS120" s="6" t="s">
        <v>21</v>
      </c>
      <c r="CT120" s="6" t="s">
        <v>22</v>
      </c>
      <c r="CU120" s="6" t="s">
        <v>23</v>
      </c>
      <c r="CV120" s="6" t="s">
        <v>24</v>
      </c>
      <c r="CW120" s="6" t="s">
        <v>25</v>
      </c>
      <c r="CX120" s="6" t="s">
        <v>26</v>
      </c>
      <c r="CY120" s="6" t="s">
        <v>27</v>
      </c>
      <c r="CZ120" s="6" t="s">
        <v>28</v>
      </c>
      <c r="DA120" s="6" t="s">
        <v>29</v>
      </c>
      <c r="DB120" s="6" t="s">
        <v>37</v>
      </c>
      <c r="DC120" s="6" t="s">
        <v>18</v>
      </c>
      <c r="DD120" s="6" t="s">
        <v>19</v>
      </c>
      <c r="DE120" s="6" t="s">
        <v>20</v>
      </c>
      <c r="DF120" s="6" t="s">
        <v>21</v>
      </c>
      <c r="DG120" s="6" t="s">
        <v>22</v>
      </c>
      <c r="DH120" s="6" t="s">
        <v>23</v>
      </c>
      <c r="DI120" s="6" t="s">
        <v>24</v>
      </c>
      <c r="DJ120" s="6" t="s">
        <v>25</v>
      </c>
      <c r="DK120" s="6" t="s">
        <v>26</v>
      </c>
      <c r="DL120" s="6" t="s">
        <v>27</v>
      </c>
      <c r="DM120" s="6" t="s">
        <v>28</v>
      </c>
      <c r="DN120" s="6" t="s">
        <v>29</v>
      </c>
      <c r="DO120" s="6" t="s">
        <v>38</v>
      </c>
      <c r="DP120" s="6" t="s">
        <v>18</v>
      </c>
      <c r="DQ120" s="6" t="s">
        <v>19</v>
      </c>
      <c r="DR120" s="6" t="s">
        <v>20</v>
      </c>
      <c r="DS120" s="6" t="s">
        <v>21</v>
      </c>
      <c r="DT120" s="6" t="s">
        <v>22</v>
      </c>
      <c r="DU120" s="6" t="s">
        <v>23</v>
      </c>
      <c r="DV120" s="6" t="s">
        <v>24</v>
      </c>
      <c r="DW120" s="6" t="s">
        <v>25</v>
      </c>
      <c r="DX120" s="6" t="s">
        <v>26</v>
      </c>
      <c r="DY120" s="6" t="s">
        <v>27</v>
      </c>
      <c r="DZ120" s="6" t="s">
        <v>28</v>
      </c>
      <c r="EA120" s="6" t="s">
        <v>29</v>
      </c>
      <c r="EB120" s="6" t="s">
        <v>39</v>
      </c>
      <c r="EC120" s="6" t="s">
        <v>18</v>
      </c>
      <c r="ED120" s="6" t="s">
        <v>19</v>
      </c>
      <c r="EE120" s="6" t="s">
        <v>20</v>
      </c>
      <c r="EF120" s="6" t="s">
        <v>21</v>
      </c>
      <c r="EG120" s="6" t="s">
        <v>22</v>
      </c>
      <c r="EH120" s="6" t="s">
        <v>23</v>
      </c>
      <c r="EI120" s="6" t="s">
        <v>24</v>
      </c>
      <c r="EJ120" s="6" t="s">
        <v>25</v>
      </c>
      <c r="EK120" s="6" t="s">
        <v>26</v>
      </c>
      <c r="EL120" s="6" t="s">
        <v>27</v>
      </c>
      <c r="EM120" s="6" t="s">
        <v>28</v>
      </c>
      <c r="EN120" s="6" t="s">
        <v>29</v>
      </c>
      <c r="EO120" s="6" t="s">
        <v>40</v>
      </c>
      <c r="EP120" s="6" t="s">
        <v>18</v>
      </c>
      <c r="EQ120" s="6" t="s">
        <v>19</v>
      </c>
      <c r="ER120" s="6" t="s">
        <v>20</v>
      </c>
      <c r="ES120" s="6" t="s">
        <v>21</v>
      </c>
      <c r="ET120" s="6" t="s">
        <v>22</v>
      </c>
      <c r="EU120" s="6" t="s">
        <v>23</v>
      </c>
      <c r="EV120" s="6" t="s">
        <v>24</v>
      </c>
      <c r="EW120" s="6" t="s">
        <v>25</v>
      </c>
      <c r="EX120" s="6" t="s">
        <v>26</v>
      </c>
      <c r="EY120" s="6" t="s">
        <v>27</v>
      </c>
      <c r="EZ120" s="6" t="s">
        <v>28</v>
      </c>
      <c r="FA120" s="6" t="s">
        <v>29</v>
      </c>
      <c r="FB120" s="6" t="s">
        <v>41</v>
      </c>
      <c r="FC120" s="6" t="s">
        <v>18</v>
      </c>
      <c r="FD120" s="6" t="s">
        <v>19</v>
      </c>
      <c r="FE120" s="6" t="s">
        <v>20</v>
      </c>
      <c r="FF120" s="6" t="s">
        <v>21</v>
      </c>
      <c r="FG120" s="6" t="s">
        <v>22</v>
      </c>
      <c r="FH120" s="6" t="s">
        <v>23</v>
      </c>
      <c r="FI120" s="6" t="s">
        <v>24</v>
      </c>
      <c r="FJ120" s="6" t="s">
        <v>25</v>
      </c>
      <c r="FK120" s="6" t="s">
        <v>26</v>
      </c>
      <c r="FL120" s="6" t="s">
        <v>27</v>
      </c>
      <c r="FM120" s="6" t="s">
        <v>28</v>
      </c>
      <c r="FN120" s="6" t="s">
        <v>29</v>
      </c>
      <c r="FO120" s="6" t="s">
        <v>42</v>
      </c>
    </row>
    <row r="121" spans="2:171" ht="14.25" customHeight="1" x14ac:dyDescent="0.3">
      <c r="B121" s="7" t="s">
        <v>43</v>
      </c>
      <c r="C121" s="8">
        <f>+MINVU_Mes_Corriente!C121*MINVU_Mes_Constante!$C$1</f>
        <v>684060.28384991852</v>
      </c>
      <c r="D121" s="8">
        <f>+MINVU_Mes_Corriente!D121*MINVU_Mes_Constante!$C$1</f>
        <v>719609.07726531231</v>
      </c>
      <c r="E121" s="8">
        <f>+MINVU_Mes_Corriente!E121*MINVU_Mes_Constante!$C$1</f>
        <v>721605.34480201697</v>
      </c>
      <c r="F121" s="8">
        <f>+MINVU_Mes_Corriente!F121*MINVU_Mes_Constante!$C$1</f>
        <v>774161.30060803809</v>
      </c>
      <c r="G121" s="8">
        <f>+MINVU_Mes_Corriente!G121*MINVU_Mes_Constante!$C$1</f>
        <v>1026713.4492065847</v>
      </c>
      <c r="H121" s="8">
        <f>+MINVU_Mes_Corriente!H121*MINVU_Mes_Constante!$C$1</f>
        <v>1173727.5349251076</v>
      </c>
      <c r="I121" s="8">
        <f>+MINVU_Mes_Corriente!I121*MINVU_Mes_Constante!$C$1</f>
        <v>1593488.1542340207</v>
      </c>
      <c r="J121" s="8">
        <f>+MINVU_Mes_Corriente!J121*MINVU_Mes_Constante!$C$1</f>
        <v>2571448.6021058881</v>
      </c>
      <c r="K121" s="8">
        <f>+MINVU_Mes_Corriente!K121*MINVU_Mes_Constante!$C$1</f>
        <v>4322944.8966335468</v>
      </c>
      <c r="L121" s="8">
        <f>+MINVU_Mes_Corriente!L121*MINVU_Mes_Constante!$C$1</f>
        <v>4458196.8832863718</v>
      </c>
      <c r="M121" s="8">
        <f>+MINVU_Mes_Corriente!M121*MINVU_Mes_Constante!$C$1</f>
        <v>4859378.603588908</v>
      </c>
      <c r="N121" s="8">
        <f>+MINVU_Mes_Corriente!N121*MINVU_Mes_Constante!$C$1</f>
        <v>7677627.1223491039</v>
      </c>
      <c r="O121" s="9">
        <f t="shared" ref="O121:O138" si="95">N121</f>
        <v>7677627.1223491039</v>
      </c>
      <c r="P121" s="8">
        <f>+MINVU_Mes_Corriente!P121*MINVU_Mes_Constante!$P$1</f>
        <v>16974.958943031674</v>
      </c>
      <c r="Q121" s="8">
        <f>+MINVU_Mes_Corriente!Q121*MINVU_Mes_Constante!$P$1</f>
        <v>661574.81034237798</v>
      </c>
      <c r="R121" s="8">
        <f>+MINVU_Mes_Corriente!R121*MINVU_Mes_Constante!$P$1</f>
        <v>854295.54254865716</v>
      </c>
      <c r="S121" s="8">
        <f>+MINVU_Mes_Corriente!S121*MINVU_Mes_Constante!$P$1</f>
        <v>1274632.2202017328</v>
      </c>
      <c r="T121" s="8">
        <f>+MINVU_Mes_Corriente!T121*MINVU_Mes_Constante!$P$1</f>
        <v>1401543.942321352</v>
      </c>
      <c r="U121" s="8">
        <f>+MINVU_Mes_Corriente!U121*MINVU_Mes_Constante!$P$1</f>
        <v>1968190.2994743565</v>
      </c>
      <c r="V121" s="8">
        <f>+MINVU_Mes_Corriente!V121*MINVU_Mes_Constante!$P$1</f>
        <v>2135769.9005540553</v>
      </c>
      <c r="W121" s="8">
        <f>+MINVU_Mes_Corriente!W121*MINVU_Mes_Constante!$P$1</f>
        <v>2388562.6779372059</v>
      </c>
      <c r="X121" s="8">
        <f>+MINVU_Mes_Corriente!X121*MINVU_Mes_Constante!$P$1</f>
        <v>2817273.5237959926</v>
      </c>
      <c r="Y121" s="8">
        <f>+MINVU_Mes_Corriente!Y121*MINVU_Mes_Constante!$P$1</f>
        <v>3121383.8869157541</v>
      </c>
      <c r="Z121" s="8">
        <f>+MINVU_Mes_Corriente!Z121*MINVU_Mes_Constante!$P$1</f>
        <v>3365442.3835772113</v>
      </c>
      <c r="AA121" s="8">
        <f>+MINVU_Mes_Corriente!AA121*MINVU_Mes_Constante!$P$1</f>
        <v>7275038.0619406141</v>
      </c>
      <c r="AB121" s="9">
        <f t="shared" ref="AB121:AB138" si="96">AA121</f>
        <v>7275038.0619406141</v>
      </c>
      <c r="AC121" s="8">
        <f>+MINVU_Mes_Corriente!AC121*MINVU_Mes_Constante!$AC$1</f>
        <v>8389.8500484161013</v>
      </c>
      <c r="AD121" s="8">
        <f>+MINVU_Mes_Corriente!AD121*MINVU_Mes_Constante!$AC$1</f>
        <v>447929.72610319545</v>
      </c>
      <c r="AE121" s="8">
        <f>+MINVU_Mes_Corriente!AE121*MINVU_Mes_Constante!$AC$1</f>
        <v>704927.26213860838</v>
      </c>
      <c r="AF121" s="8">
        <f>+MINVU_Mes_Corriente!AF121*MINVU_Mes_Constante!$AC$1</f>
        <v>926796.5519435606</v>
      </c>
      <c r="AG121" s="8">
        <f>+MINVU_Mes_Corriente!AG121*MINVU_Mes_Constante!$AC$1</f>
        <v>1285911.1531332135</v>
      </c>
      <c r="AH121" s="8">
        <f>+MINVU_Mes_Corriente!AH121*MINVU_Mes_Constante!$AC$1</f>
        <v>1771757.6812837184</v>
      </c>
      <c r="AI121" s="8">
        <f>+MINVU_Mes_Corriente!AI121*MINVU_Mes_Constante!$AC$1</f>
        <v>1786515.1116336975</v>
      </c>
      <c r="AJ121" s="8">
        <f>+MINVU_Mes_Corriente!AJ121*MINVU_Mes_Constante!$AC$1</f>
        <v>2005056.2714068335</v>
      </c>
      <c r="AK121" s="8">
        <f>+MINVU_Mes_Corriente!AK121*MINVU_Mes_Constante!$AC$1</f>
        <v>2087394.9943283994</v>
      </c>
      <c r="AL121" s="8">
        <f>+MINVU_Mes_Corriente!AL121*MINVU_Mes_Constante!$AC$1</f>
        <v>2252545.5122423572</v>
      </c>
      <c r="AM121" s="8">
        <f>+MINVU_Mes_Corriente!AM121*MINVU_Mes_Constante!$AC$1</f>
        <v>2513833.9479872733</v>
      </c>
      <c r="AN121" s="8">
        <f>+MINVU_Mes_Corriente!AN121*MINVU_Mes_Constante!$AC$1</f>
        <v>5711562.3436159911</v>
      </c>
      <c r="AO121" s="9">
        <f t="shared" ref="AO121:AO138" si="97">AN121</f>
        <v>5711562.3436159911</v>
      </c>
      <c r="AP121" s="8">
        <f>+MINVU_Mes_Corriente!AP121*MINVU_Mes_Constante!$AP$1</f>
        <v>138.92114162045178</v>
      </c>
      <c r="AQ121" s="8">
        <f>+MINVU_Mes_Corriente!AQ121*MINVU_Mes_Constante!$AP$1</f>
        <v>846286.90436899767</v>
      </c>
      <c r="AR121" s="8">
        <f>+MINVU_Mes_Corriente!AR121*MINVU_Mes_Constante!$AP$1</f>
        <v>973806.16718517512</v>
      </c>
      <c r="AS121" s="8">
        <f>+MINVU_Mes_Corriente!AS121*MINVU_Mes_Constante!$AP$1</f>
        <v>1148033.9691600162</v>
      </c>
      <c r="AT121" s="8">
        <f>+MINVU_Mes_Corriente!AT121*MINVU_Mes_Constante!$AP$1</f>
        <v>1321240.5529554985</v>
      </c>
      <c r="AU121" s="8">
        <f>+MINVU_Mes_Corriente!AU121*MINVU_Mes_Constante!$AP$1</f>
        <v>1505936.2107398889</v>
      </c>
      <c r="AV121" s="8">
        <f>+MINVU_Mes_Corriente!AV121*MINVU_Mes_Constante!$AP$1</f>
        <v>1732110.1744893817</v>
      </c>
      <c r="AW121" s="8">
        <f>+MINVU_Mes_Corriente!AW121*MINVU_Mes_Constante!$AP$1</f>
        <v>1969615.0785878533</v>
      </c>
      <c r="AX121" s="8">
        <f>+MINVU_Mes_Corriente!AX121*MINVU_Mes_Constante!$AP$1</f>
        <v>2120433.1903151628</v>
      </c>
      <c r="AY121" s="8">
        <f>+MINVU_Mes_Corriente!AY121*MINVU_Mes_Constante!$AP$1</f>
        <v>3023122.078182064</v>
      </c>
      <c r="AZ121" s="8">
        <f>+MINVU_Mes_Corriente!AZ121*MINVU_Mes_Constante!$AP$1</f>
        <v>3629440.4450155552</v>
      </c>
      <c r="BA121" s="8">
        <f>+MINVU_Mes_Corriente!BA121*MINVU_Mes_Constante!$AP$1</f>
        <v>6391761.7259569857</v>
      </c>
      <c r="BB121" s="9">
        <f t="shared" ref="BB121:BB138" si="98">BA121</f>
        <v>6391761.7259569857</v>
      </c>
      <c r="BC121" s="8">
        <f>+MINVU_Mes_Corriente!BC121*MINVU_Mes_Constante!$BC$1</f>
        <v>907.73836212580795</v>
      </c>
      <c r="BD121" s="8">
        <f>+MINVU_Mes_Corriente!BD121*MINVU_Mes_Constante!$BC$1</f>
        <v>105799.0673875775</v>
      </c>
      <c r="BE121" s="8">
        <f>+MINVU_Mes_Corriente!BE121*MINVU_Mes_Constante!$BC$1</f>
        <v>1135043.2522748255</v>
      </c>
      <c r="BF121" s="8">
        <f>+MINVU_Mes_Corriente!BF121*MINVU_Mes_Constante!$BC$1</f>
        <v>1193628.3979955167</v>
      </c>
      <c r="BG121" s="8">
        <f>+MINVU_Mes_Corriente!BG121*MINVU_Mes_Constante!$BC$1</f>
        <v>1541591.8884346569</v>
      </c>
      <c r="BH121" s="8">
        <f>+MINVU_Mes_Corriente!BH121*MINVU_Mes_Constante!$BC$1</f>
        <v>1799594.1846235003</v>
      </c>
      <c r="BI121" s="8">
        <f>+MINVU_Mes_Corriente!BI121*MINVU_Mes_Constante!$BC$1</f>
        <v>2070886.9231175003</v>
      </c>
      <c r="BJ121" s="8">
        <f>+MINVU_Mes_Corriente!BJ121*MINVU_Mes_Constante!$BC$1</f>
        <v>2295896.5319794281</v>
      </c>
      <c r="BK121" s="8">
        <f>+MINVU_Mes_Corriente!BK121*MINVU_Mes_Constante!$BC$1</f>
        <v>2556649.4194909674</v>
      </c>
      <c r="BL121" s="8">
        <f>+MINVU_Mes_Corriente!BL121*MINVU_Mes_Constante!$BC$1</f>
        <v>2776493.5648160367</v>
      </c>
      <c r="BM121" s="8">
        <f>+MINVU_Mes_Corriente!BM121*MINVU_Mes_Constante!$BC$1</f>
        <v>3100832.8041672171</v>
      </c>
      <c r="BN121" s="8">
        <f>+MINVU_Mes_Corriente!BN121*MINVU_Mes_Constante!$BC$1</f>
        <v>5712545.9208756443</v>
      </c>
      <c r="BO121" s="9">
        <f t="shared" ref="BO121:BO138" si="99">BN121</f>
        <v>5712545.9208756443</v>
      </c>
      <c r="BP121" s="8">
        <f>+MINVU_Mes_Corriente!BP121*MINVU_Mes_Constante!$BP$1</f>
        <v>67721.614340588989</v>
      </c>
      <c r="BQ121" s="8">
        <f>+MINVU_Mes_Corriente!BQ121*MINVU_Mes_Constante!$BP$1</f>
        <v>151728.70448143408</v>
      </c>
      <c r="BR121" s="8">
        <f>+MINVU_Mes_Corriente!BR121*MINVU_Mes_Constante!$BP$1</f>
        <v>1284942.367221511</v>
      </c>
      <c r="BS121" s="8">
        <f>+MINVU_Mes_Corriente!BS121*MINVU_Mes_Constante!$BP$1</f>
        <v>1776655.7354673496</v>
      </c>
      <c r="BT121" s="8">
        <f>+MINVU_Mes_Corriente!BT121*MINVU_Mes_Constante!$BP$1</f>
        <v>1911757.6140845073</v>
      </c>
      <c r="BU121" s="8">
        <f>+MINVU_Mes_Corriente!BU121*MINVU_Mes_Constante!$BP$1</f>
        <v>2186829.8066581311</v>
      </c>
      <c r="BV121" s="8">
        <f>+MINVU_Mes_Corriente!BV121*MINVU_Mes_Constante!$BP$1</f>
        <v>2295181.8714468633</v>
      </c>
      <c r="BW121" s="8">
        <f>+MINVU_Mes_Corriente!BW121*MINVU_Mes_Constante!$BP$1</f>
        <v>2507792.5982074267</v>
      </c>
      <c r="BX121" s="8">
        <f>+MINVU_Mes_Corriente!BX121*MINVU_Mes_Constante!$BP$1</f>
        <v>2577850.5019206149</v>
      </c>
      <c r="BY121" s="8">
        <f>+MINVU_Mes_Corriente!BY121*MINVU_Mes_Constante!$BP$1</f>
        <v>2665773.3249679902</v>
      </c>
      <c r="BZ121" s="8">
        <f>+MINVU_Mes_Corriente!BZ121*MINVU_Mes_Constante!$BP$1</f>
        <v>3449045.8140845075</v>
      </c>
      <c r="CA121" s="8">
        <f>+MINVU_Mes_Corriente!CA121*MINVU_Mes_Constante!$BP$1</f>
        <v>4834717.2276568506</v>
      </c>
      <c r="CB121" s="9">
        <f t="shared" ref="CB121:CB138" si="100">CA121</f>
        <v>4834717.2276568506</v>
      </c>
      <c r="CC121" s="8">
        <f>+MINVU_Mes_Corriente!CC121*MINVU_Mes_Constante!$CC$1</f>
        <v>2667.9925400969792</v>
      </c>
      <c r="CD121" s="8">
        <f>+MINVU_Mes_Corriente!CD121*MINVU_Mes_Constante!$CC$1</f>
        <v>1141657.6449086163</v>
      </c>
      <c r="CE121" s="8">
        <f>+MINVU_Mes_Corriente!CE121*MINVU_Mes_Constante!$CC$1</f>
        <v>1148675.3890339427</v>
      </c>
      <c r="CF121" s="8">
        <f>+MINVU_Mes_Corriente!CF121*MINVU_Mes_Constante!$CC$1</f>
        <v>1337098.9660574414</v>
      </c>
      <c r="CG121" s="8">
        <f>+MINVU_Mes_Corriente!CG121*MINVU_Mes_Constante!$CC$1</f>
        <v>1974497.8701976875</v>
      </c>
      <c r="CH121" s="8">
        <f>+MINVU_Mes_Corriente!CH121*MINVU_Mes_Constante!$CC$1</f>
        <v>2042087.4673629245</v>
      </c>
      <c r="CI121" s="8">
        <f>+MINVU_Mes_Corriente!CI121*MINVU_Mes_Constante!$CC$1</f>
        <v>2049283.1682208134</v>
      </c>
      <c r="CJ121" s="8">
        <f>+MINVU_Mes_Corriente!CJ121*MINVU_Mes_Constante!$CC$1</f>
        <v>2068907.3129429319</v>
      </c>
      <c r="CK121" s="8">
        <f>+MINVU_Mes_Corriente!CK121*MINVU_Mes_Constante!$CC$1</f>
        <v>2212390.7019768744</v>
      </c>
      <c r="CL121" s="8">
        <f>+MINVU_Mes_Corriente!CL121*MINVU_Mes_Constante!$CC$1</f>
        <v>2291654.8041775459</v>
      </c>
      <c r="CM121" s="8">
        <f>+MINVU_Mes_Corriente!CM121*MINVU_Mes_Constante!$CC$1</f>
        <v>2392757.3218948157</v>
      </c>
      <c r="CN121" s="8">
        <f>+MINVU_Mes_Corriente!CN121*MINVU_Mes_Constante!$CC$1</f>
        <v>3859694.0634091762</v>
      </c>
      <c r="CO121" s="9">
        <f t="shared" ref="CO121:CO138" si="101">CN121</f>
        <v>3859694.0634091762</v>
      </c>
      <c r="CP121" s="8">
        <f>+MINVU_Mes_Corriente!CP121*MINVU_Mes_Constante!$CP$1</f>
        <v>33187.408120649648</v>
      </c>
      <c r="CQ121" s="8">
        <f>+MINVU_Mes_Corriente!CQ121*MINVU_Mes_Constante!$CP$1</f>
        <v>477570.13642691408</v>
      </c>
      <c r="CR121" s="8">
        <f>+MINVU_Mes_Corriente!CR121*MINVU_Mes_Constante!$CP$1</f>
        <v>479475.21508120641</v>
      </c>
      <c r="CS121" s="8">
        <f>+MINVU_Mes_Corriente!CS121*MINVU_Mes_Constante!$CP$1</f>
        <v>565485.14338747086</v>
      </c>
      <c r="CT121" s="8">
        <f>+MINVU_Mes_Corriente!CT121*MINVU_Mes_Constante!$CP$1</f>
        <v>574228.47842227365</v>
      </c>
      <c r="CU121" s="8">
        <f>+MINVU_Mes_Corriente!CU121*MINVU_Mes_Constante!$CP$1</f>
        <v>1685638.4366589324</v>
      </c>
      <c r="CV121" s="8">
        <f>+MINVU_Mes_Corriente!CV121*MINVU_Mes_Constante!$CP$1</f>
        <v>1705212.7078886307</v>
      </c>
      <c r="CW121" s="8">
        <f>+MINVU_Mes_Corriente!CW121*MINVU_Mes_Constante!$CP$1</f>
        <v>1758542.2350348025</v>
      </c>
      <c r="CX121" s="8">
        <f>+MINVU_Mes_Corriente!CX121*MINVU_Mes_Constante!$CP$1</f>
        <v>1854056.0088167049</v>
      </c>
      <c r="CY121" s="8">
        <f>+MINVU_Mes_Corriente!CY121*MINVU_Mes_Constante!$CP$1</f>
        <v>1896050.127842227</v>
      </c>
      <c r="CZ121" s="8">
        <f>+MINVU_Mes_Corriente!CZ121*MINVU_Mes_Constante!$CP$1</f>
        <v>1915220.0610208812</v>
      </c>
      <c r="DA121" s="8">
        <f>+MINVU_Mes_Corriente!DA121*MINVU_Mes_Constante!$CP$1</f>
        <v>3432178.549419953</v>
      </c>
      <c r="DB121" s="9">
        <f t="shared" ref="DB121:DB138" si="102">DA121</f>
        <v>3432178.549419953</v>
      </c>
      <c r="DC121" s="8">
        <f>+MINVU_Mes_Corriente!DC121*MINVU_Mes_Constante!$DC$1</f>
        <v>77425.001131570869</v>
      </c>
      <c r="DD121" s="8">
        <f>+MINVU_Mes_Corriente!DD121*MINVU_Mes_Constante!$DC$1</f>
        <v>77762.188663717767</v>
      </c>
      <c r="DE121" s="8">
        <f>+MINVU_Mes_Corriente!DE121*MINVU_Mes_Constante!$DC$1</f>
        <v>233313.54099372504</v>
      </c>
      <c r="DF121" s="8">
        <f>+MINVU_Mes_Corriente!DF121*MINVU_Mes_Constante!$DC$1</f>
        <v>404363.15625964425</v>
      </c>
      <c r="DG121" s="8">
        <f>+MINVU_Mes_Corriente!DG121*MINVU_Mes_Constante!$DC$1</f>
        <v>412399.45910914533</v>
      </c>
      <c r="DH121" s="8">
        <f>+MINVU_Mes_Corriente!DH121*MINVU_Mes_Constante!$DC$1</f>
        <v>436191.41137743049</v>
      </c>
      <c r="DI121" s="8">
        <f>+MINVU_Mes_Corriente!DI121*MINVU_Mes_Constante!$DC$1</f>
        <v>444580.63717724534</v>
      </c>
      <c r="DJ121" s="8">
        <f>+MINVU_Mes_Corriente!DJ121*MINVU_Mes_Constante!$DC$1</f>
        <v>2038534.663100505</v>
      </c>
      <c r="DK121" s="8">
        <f>+MINVU_Mes_Corriente!DK121*MINVU_Mes_Constante!$DC$1</f>
        <v>2136772.0026746229</v>
      </c>
      <c r="DL121" s="8">
        <f>+MINVU_Mes_Corriente!DL121*MINVU_Mes_Constante!$DC$1</f>
        <v>2245896.0037033237</v>
      </c>
      <c r="DM121" s="8">
        <f>+MINVU_Mes_Corriente!DM121*MINVU_Mes_Constante!$DC$1</f>
        <v>2825686.5933545944</v>
      </c>
      <c r="DN121" s="8">
        <f>+MINVU_Mes_Corriente!DN121*MINVU_Mes_Constante!$DC$1</f>
        <v>3939956.5120872357</v>
      </c>
      <c r="DO121" s="9">
        <f t="shared" ref="DO121:DO138" si="103">DN121</f>
        <v>3939956.5120872357</v>
      </c>
      <c r="DP121" s="8">
        <f>+MINVU_Mes_Corriente!DP121*MINVU_Mes_Constante!$DP$1</f>
        <v>1352607.2244655583</v>
      </c>
      <c r="DQ121" s="8">
        <f>+MINVU_Mes_Corriente!DQ121*MINVU_Mes_Constante!$DP$1</f>
        <v>1506015.660926366</v>
      </c>
      <c r="DR121" s="8">
        <f>+MINVU_Mes_Corriente!DR121*MINVU_Mes_Constante!$DP$1</f>
        <v>1549856.9928741094</v>
      </c>
      <c r="DS121" s="8">
        <f>+MINVU_Mes_Corriente!DS121*MINVU_Mes_Constante!$DP$1</f>
        <v>1603679.2214964372</v>
      </c>
      <c r="DT121" s="8">
        <f>+MINVU_Mes_Corriente!DT121*MINVU_Mes_Constante!$DP$1</f>
        <v>1641295.1989311166</v>
      </c>
      <c r="DU121" s="8">
        <f>+MINVU_Mes_Corriente!DU121*MINVU_Mes_Constante!$DP$1</f>
        <v>1817157.9495249407</v>
      </c>
      <c r="DV121" s="8">
        <f>+MINVU_Mes_Corriente!DV121*MINVU_Mes_Constante!$DP$1</f>
        <v>1848976.7885985749</v>
      </c>
      <c r="DW121" s="8">
        <f>+MINVU_Mes_Corriente!DW121*MINVU_Mes_Constante!$DP$1</f>
        <v>2059667.7862232781</v>
      </c>
      <c r="DX121" s="8">
        <f>+MINVU_Mes_Corriente!DX121*MINVU_Mes_Constante!$DP$1</f>
        <v>2101595.1217339667</v>
      </c>
      <c r="DY121" s="8">
        <f>+MINVU_Mes_Corriente!DY121*MINVU_Mes_Constante!$DP$1</f>
        <v>2288792.624109264</v>
      </c>
      <c r="DZ121" s="8">
        <f>+MINVU_Mes_Corriente!DZ121*MINVU_Mes_Constante!$DP$1</f>
        <v>2973045.2690023757</v>
      </c>
      <c r="EA121" s="8">
        <f>+MINVU_Mes_Corriente!EA121*MINVU_Mes_Constante!$DP$1</f>
        <v>3504875.6722090263</v>
      </c>
      <c r="EB121" s="9">
        <f t="shared" ref="EB121:EB138" si="104">EA121</f>
        <v>3504875.6722090263</v>
      </c>
      <c r="EC121" s="8">
        <f>+MINVU_Mes_Corriente!EC121*MINVU_Mes_Constante!$EC$1</f>
        <v>1524077.6915356936</v>
      </c>
      <c r="ED121" s="8">
        <f>+MINVU_Mes_Corriente!ED121*MINVU_Mes_Constante!$EC$1</f>
        <v>1524077.6915356936</v>
      </c>
      <c r="EE121" s="8">
        <f>+MINVU_Mes_Corriente!EE121*MINVU_Mes_Constante!$EC$1</f>
        <v>1666806.7129331562</v>
      </c>
      <c r="EF121" s="8">
        <f>+MINVU_Mes_Corriente!EF121*MINVU_Mes_Constante!$EC$1</f>
        <v>1687997.6909676192</v>
      </c>
      <c r="EG121" s="8">
        <f>+MINVU_Mes_Corriente!EG121*MINVU_Mes_Constante!$EC$1</f>
        <v>1807211.2955879562</v>
      </c>
      <c r="EH121" s="8">
        <f>+MINVU_Mes_Corriente!EH121*MINVU_Mes_Constante!$EC$1</f>
        <v>1811638.7979549321</v>
      </c>
      <c r="EI121" s="8">
        <f>+MINVU_Mes_Corriente!EI121*MINVU_Mes_Constante!$EC$1</f>
        <v>1927646.601211891</v>
      </c>
      <c r="EJ121" s="8">
        <f>+MINVU_Mes_Corriente!EJ121*MINVU_Mes_Constante!$EC$1</f>
        <v>2082964.0049233094</v>
      </c>
      <c r="EK121" s="8">
        <f>+MINVU_Mes_Corriente!EK121*MINVU_Mes_Constante!$EC$1</f>
        <v>2115682.0060594575</v>
      </c>
      <c r="EL121" s="8">
        <f>+MINVU_Mes_Corriente!EL121*MINVU_Mes_Constante!$EC$1</f>
        <v>2142027.7140693045</v>
      </c>
      <c r="EM121" s="8">
        <f>+MINVU_Mes_Corriente!EM121*MINVU_Mes_Constante!$EC$1</f>
        <v>2742932.8869532277</v>
      </c>
      <c r="EN121" s="8">
        <f>+MINVU_Mes_Corriente!EN121*MINVU_Mes_Constante!$EC$1</f>
        <v>3176878.8076121937</v>
      </c>
      <c r="EO121" s="9">
        <f t="shared" ref="EO121:EO138" si="105">EN121</f>
        <v>3176878.8076121937</v>
      </c>
      <c r="EP121" s="8">
        <f>+MINVU_Mes_Corriente!EP121*MINVU_Mes_Constante!$EP$1</f>
        <v>0</v>
      </c>
      <c r="EQ121" s="8">
        <f>+MINVU_Mes_Corriente!EQ121*MINVU_Mes_Constante!$EP$1</f>
        <v>757870</v>
      </c>
      <c r="ER121" s="8">
        <f>+MINVU_Mes_Corriente!ER121*MINVU_Mes_Constante!$EP$1</f>
        <v>826766</v>
      </c>
      <c r="ES121" s="8">
        <f>+MINVU_Mes_Corriente!ES121*MINVU_Mes_Constante!$EP$1</f>
        <v>839136</v>
      </c>
      <c r="ET121" s="8">
        <f>+MINVU_Mes_Corriente!ET121*MINVU_Mes_Constante!$EP$1</f>
        <v>878206</v>
      </c>
      <c r="EU121" s="8">
        <f>+MINVU_Mes_Corriente!EU121*MINVU_Mes_Constante!$EP$1</f>
        <v>887434</v>
      </c>
      <c r="EV121" s="8">
        <f>+MINVU_Mes_Corriente!EV121*MINVU_Mes_Constante!$EP$1</f>
        <v>948168</v>
      </c>
      <c r="EW121" s="8">
        <f>+MINVU_Mes_Corriente!EW121*MINVU_Mes_Constante!$EP$1</f>
        <v>2168256</v>
      </c>
      <c r="EX121" s="8">
        <f>+MINVU_Mes_Corriente!EX121*MINVU_Mes_Constante!$EP$1</f>
        <v>2230134</v>
      </c>
      <c r="EY121" s="8">
        <f>+MINVU_Mes_Corriente!EY121*MINVU_Mes_Constante!$EP$1</f>
        <v>2896737</v>
      </c>
      <c r="EZ121" s="8">
        <f>+MINVU_Mes_Corriente!EZ121*MINVU_Mes_Constante!$EP$1</f>
        <v>3126309</v>
      </c>
      <c r="FA121" s="8">
        <f>+MINVU_Mes_Corriente!FA121*MINVU_Mes_Constante!$EP$1</f>
        <v>4077223</v>
      </c>
      <c r="FB121" s="9">
        <f t="shared" ref="FB121:FB138" si="106">FA121</f>
        <v>4077223</v>
      </c>
      <c r="FC121" s="8">
        <f>+MINVU_Mes_Corriente!FC121*MINVU_Mes_Constante!$FC$1</f>
        <v>1719166</v>
      </c>
      <c r="FD121" s="8">
        <f>+MINVU_Mes_Corriente!FD121*MINVU_Mes_Constante!$FC$1</f>
        <v>1719166</v>
      </c>
      <c r="FE121" s="8">
        <f>+MINVU_Mes_Corriente!FE121*MINVU_Mes_Constante!$FC$1</f>
        <v>1866021</v>
      </c>
      <c r="FF121" s="8">
        <f>+MINVU_Mes_Corriente!FF121*MINVU_Mes_Constante!$FC$1</f>
        <v>1873924</v>
      </c>
      <c r="FG121" s="8">
        <f>+MINVU_Mes_Corriente!FG121*MINVU_Mes_Constante!$FC$1</f>
        <v>1910136</v>
      </c>
      <c r="FH121" s="8">
        <f>+MINVU_Mes_Corriente!FH121*MINVU_Mes_Constante!$FC$1</f>
        <v>1978750</v>
      </c>
      <c r="FI121" s="8">
        <f>+MINVU_Mes_Corriente!FI121*MINVU_Mes_Constante!$FC$1</f>
        <v>1989460</v>
      </c>
      <c r="FJ121" s="8"/>
      <c r="FK121" s="8"/>
      <c r="FL121" s="8"/>
      <c r="FM121" s="8"/>
      <c r="FN121" s="8"/>
      <c r="FO121" s="9">
        <f t="shared" ref="FO121:FO138" si="107">FI121</f>
        <v>1989460</v>
      </c>
    </row>
    <row r="122" spans="2:171" ht="14.25" customHeight="1" x14ac:dyDescent="0.3">
      <c r="B122" s="7" t="s">
        <v>44</v>
      </c>
      <c r="C122" s="8">
        <f>+MINVU_Mes_Corriente!C122*MINVU_Mes_Constante!$C$1</f>
        <v>0</v>
      </c>
      <c r="D122" s="8">
        <f>+MINVU_Mes_Corriente!D122*MINVU_Mes_Constante!$C$1</f>
        <v>0</v>
      </c>
      <c r="E122" s="8">
        <f>+MINVU_Mes_Corriente!E122*MINVU_Mes_Constante!$C$1</f>
        <v>0</v>
      </c>
      <c r="F122" s="8">
        <f>+MINVU_Mes_Corriente!F122*MINVU_Mes_Constante!$C$1</f>
        <v>925.21815215779338</v>
      </c>
      <c r="G122" s="8">
        <f>+MINVU_Mes_Corriente!G122*MINVU_Mes_Constante!$C$1</f>
        <v>7294.8023135103085</v>
      </c>
      <c r="H122" s="8">
        <f>+MINVU_Mes_Corriente!H122*MINVU_Mes_Constante!$C$1</f>
        <v>7294.8023135103085</v>
      </c>
      <c r="I122" s="8">
        <f>+MINVU_Mes_Corriente!I122*MINVU_Mes_Constante!$C$1</f>
        <v>7294.8023135103085</v>
      </c>
      <c r="J122" s="8">
        <f>+MINVU_Mes_Corriente!J122*MINVU_Mes_Constante!$C$1</f>
        <v>7294.8023135103085</v>
      </c>
      <c r="K122" s="8">
        <f>+MINVU_Mes_Corriente!K122*MINVU_Mes_Constante!$C$1</f>
        <v>10715.354886549016</v>
      </c>
      <c r="L122" s="8">
        <f>+MINVU_Mes_Corriente!L122*MINVU_Mes_Constante!$C$1</f>
        <v>24519.0912056948</v>
      </c>
      <c r="M122" s="8">
        <f>+MINVU_Mes_Corriente!M122*MINVU_Mes_Constante!$C$1</f>
        <v>29258.606258341988</v>
      </c>
      <c r="N122" s="8">
        <f>+MINVU_Mes_Corriente!N122*MINVU_Mes_Constante!$C$1</f>
        <v>88323.496069998524</v>
      </c>
      <c r="O122" s="9">
        <f t="shared" si="95"/>
        <v>88323.496069998524</v>
      </c>
      <c r="P122" s="8">
        <f>+MINVU_Mes_Corriente!P122*MINVU_Mes_Constante!$P$1</f>
        <v>1781.9360704645539</v>
      </c>
      <c r="Q122" s="8">
        <f>+MINVU_Mes_Corriente!Q122*MINVU_Mes_Constante!$P$1</f>
        <v>2581.3237675806213</v>
      </c>
      <c r="R122" s="8">
        <f>+MINVU_Mes_Corriente!R122*MINVU_Mes_Constante!$P$1</f>
        <v>3040.7776672822833</v>
      </c>
      <c r="S122" s="8">
        <f>+MINVU_Mes_Corriente!S122*MINVU_Mes_Constante!$P$1</f>
        <v>7720.6881659326582</v>
      </c>
      <c r="T122" s="8">
        <f>+MINVU_Mes_Corriente!T122*MINVU_Mes_Constante!$P$1</f>
        <v>12583.759340815452</v>
      </c>
      <c r="U122" s="8">
        <f>+MINVU_Mes_Corriente!U122*MINVU_Mes_Constante!$P$1</f>
        <v>18382.81261542832</v>
      </c>
      <c r="V122" s="8">
        <f>+MINVU_Mes_Corriente!V122*MINVU_Mes_Constante!$P$1</f>
        <v>21954.445801960497</v>
      </c>
      <c r="W122" s="8">
        <f>+MINVU_Mes_Corriente!W122*MINVU_Mes_Constante!$P$1</f>
        <v>22670.014206563425</v>
      </c>
      <c r="X122" s="8">
        <f>+MINVU_Mes_Corriente!X122*MINVU_Mes_Constante!$P$1</f>
        <v>25701.478619122026</v>
      </c>
      <c r="Y122" s="8">
        <f>+MINVU_Mes_Corriente!Y122*MINVU_Mes_Constante!$P$1</f>
        <v>31955.329166074716</v>
      </c>
      <c r="Z122" s="8">
        <f>+MINVU_Mes_Corriente!Z122*MINVU_Mes_Constante!$P$1</f>
        <v>36810.639295354442</v>
      </c>
      <c r="AA122" s="8">
        <f>+MINVU_Mes_Corriente!AA122*MINVU_Mes_Constante!$P$1</f>
        <v>180186.6435573234</v>
      </c>
      <c r="AB122" s="9">
        <f t="shared" si="96"/>
        <v>180186.6435573234</v>
      </c>
      <c r="AC122" s="8">
        <f>+MINVU_Mes_Corriente!AC122*MINVU_Mes_Constante!$AC$1</f>
        <v>0</v>
      </c>
      <c r="AD122" s="8">
        <f>+MINVU_Mes_Corriente!AD122*MINVU_Mes_Constante!$AC$1</f>
        <v>400.52427721676582</v>
      </c>
      <c r="AE122" s="8">
        <f>+MINVU_Mes_Corriente!AE122*MINVU_Mes_Constante!$AC$1</f>
        <v>1242.3809655554019</v>
      </c>
      <c r="AF122" s="8">
        <f>+MINVU_Mes_Corriente!AF122*MINVU_Mes_Constante!$AC$1</f>
        <v>7132.3549591921428</v>
      </c>
      <c r="AG122" s="8">
        <f>+MINVU_Mes_Corriente!AG122*MINVU_Mes_Constante!$AC$1</f>
        <v>22798.144141651679</v>
      </c>
      <c r="AH122" s="8">
        <f>+MINVU_Mes_Corriente!AH122*MINVU_Mes_Constante!$AC$1</f>
        <v>28342.004703278461</v>
      </c>
      <c r="AI122" s="8">
        <f>+MINVU_Mes_Corriente!AI122*MINVU_Mes_Constante!$AC$1</f>
        <v>33072.725411536863</v>
      </c>
      <c r="AJ122" s="8">
        <f>+MINVU_Mes_Corriente!AJ122*MINVU_Mes_Constante!$AC$1</f>
        <v>36367.604371282338</v>
      </c>
      <c r="AK122" s="8">
        <f>+MINVU_Mes_Corriente!AK122*MINVU_Mes_Constante!$AC$1</f>
        <v>38048.294923225898</v>
      </c>
      <c r="AL122" s="8">
        <f>+MINVU_Mes_Corriente!AL122*MINVU_Mes_Constante!$AC$1</f>
        <v>39264.98187854475</v>
      </c>
      <c r="AM122" s="8">
        <f>+MINVU_Mes_Corriente!AM122*MINVU_Mes_Constante!$AC$1</f>
        <v>61159.301424816709</v>
      </c>
      <c r="AN122" s="8">
        <f>+MINVU_Mes_Corriente!AN122*MINVU_Mes_Constante!$AC$1</f>
        <v>88097.204039286211</v>
      </c>
      <c r="AO122" s="9">
        <f t="shared" si="97"/>
        <v>88097.204039286211</v>
      </c>
      <c r="AP122" s="8">
        <f>+MINVU_Mes_Corriente!AP122*MINVU_Mes_Constante!$AP$1</f>
        <v>0</v>
      </c>
      <c r="AQ122" s="8">
        <f>+MINVU_Mes_Corriente!AQ122*MINVU_Mes_Constante!$AP$1</f>
        <v>0</v>
      </c>
      <c r="AR122" s="8">
        <f>+MINVU_Mes_Corriente!AR122*MINVU_Mes_Constante!$AP$1</f>
        <v>394.59515758149598</v>
      </c>
      <c r="AS122" s="8">
        <f>+MINVU_Mes_Corriente!AS122*MINVU_Mes_Constante!$AP$1</f>
        <v>394.59515758149598</v>
      </c>
      <c r="AT122" s="8">
        <f>+MINVU_Mes_Corriente!AT122*MINVU_Mes_Constante!$AP$1</f>
        <v>2469.5449749763288</v>
      </c>
      <c r="AU122" s="8">
        <f>+MINVU_Mes_Corriente!AU122*MINVU_Mes_Constante!$AP$1</f>
        <v>18145.465710807519</v>
      </c>
      <c r="AV122" s="8">
        <f>+MINVU_Mes_Corriente!AV122*MINVU_Mes_Constante!$AP$1</f>
        <v>29736.5137292033</v>
      </c>
      <c r="AW122" s="8">
        <f>+MINVU_Mes_Corriente!AW122*MINVU_Mes_Constante!$AP$1</f>
        <v>50267.284999323681</v>
      </c>
      <c r="AX122" s="8">
        <f>+MINVU_Mes_Corriente!AX122*MINVU_Mes_Constante!$AP$1</f>
        <v>54556.105775733799</v>
      </c>
      <c r="AY122" s="8">
        <f>+MINVU_Mes_Corriente!AY122*MINVU_Mes_Constante!$AP$1</f>
        <v>59820.330312457729</v>
      </c>
      <c r="AZ122" s="8">
        <f>+MINVU_Mes_Corriente!AZ122*MINVU_Mes_Constante!$AP$1</f>
        <v>65745.169214121459</v>
      </c>
      <c r="BA122" s="8">
        <f>+MINVU_Mes_Corriente!BA122*MINVU_Mes_Constante!$AP$1</f>
        <v>116531.19166779386</v>
      </c>
      <c r="BB122" s="9">
        <f t="shared" si="98"/>
        <v>116531.19166779386</v>
      </c>
      <c r="BC122" s="8">
        <f>+MINVU_Mes_Corriente!BC122*MINVU_Mes_Constante!$BC$1</f>
        <v>870.27614400633013</v>
      </c>
      <c r="BD122" s="8">
        <f>+MINVU_Mes_Corriente!BD122*MINVU_Mes_Constante!$BC$1</f>
        <v>1051.8238164314917</v>
      </c>
      <c r="BE122" s="8">
        <f>+MINVU_Mes_Corriente!BE122*MINVU_Mes_Constante!$BC$1</f>
        <v>1165.651325332982</v>
      </c>
      <c r="BF122" s="8">
        <f>+MINVU_Mes_Corriente!BF122*MINVU_Mes_Constante!$BC$1</f>
        <v>3661.2113939074252</v>
      </c>
      <c r="BG122" s="8">
        <f>+MINVU_Mes_Corriente!BG122*MINVU_Mes_Constante!$BC$1</f>
        <v>33260.686271924045</v>
      </c>
      <c r="BH122" s="8">
        <f>+MINVU_Mes_Corriente!BH122*MINVU_Mes_Constante!$BC$1</f>
        <v>45297.585124620877</v>
      </c>
      <c r="BI122" s="8">
        <f>+MINVU_Mes_Corriente!BI122*MINVU_Mes_Constante!$BC$1</f>
        <v>54209.270473427416</v>
      </c>
      <c r="BJ122" s="8">
        <f>+MINVU_Mes_Corriente!BJ122*MINVU_Mes_Constante!$BC$1</f>
        <v>56357.584597125162</v>
      </c>
      <c r="BK122" s="8">
        <f>+MINVU_Mes_Corriente!BK122*MINVU_Mes_Constante!$BC$1</f>
        <v>57049.194777792443</v>
      </c>
      <c r="BL122" s="8">
        <f>+MINVU_Mes_Corriente!BL122*MINVU_Mes_Constante!$BC$1</f>
        <v>59289.723592245828</v>
      </c>
      <c r="BM122" s="8">
        <f>+MINVU_Mes_Corriente!BM122*MINVU_Mes_Constante!$BC$1</f>
        <v>113488.90808387185</v>
      </c>
      <c r="BN122" s="8">
        <f>+MINVU_Mes_Corriente!BN122*MINVU_Mes_Constante!$BC$1</f>
        <v>129440.6087300541</v>
      </c>
      <c r="BO122" s="9">
        <f t="shared" si="99"/>
        <v>129440.6087300541</v>
      </c>
      <c r="BP122" s="8">
        <f>+MINVU_Mes_Corriente!BP122*MINVU_Mes_Constante!$BP$1</f>
        <v>9347.9554417413583</v>
      </c>
      <c r="BQ122" s="8">
        <f>+MINVU_Mes_Corriente!BQ122*MINVU_Mes_Constante!$BP$1</f>
        <v>9347.9554417413583</v>
      </c>
      <c r="BR122" s="8">
        <f>+MINVU_Mes_Corriente!BR122*MINVU_Mes_Constante!$BP$1</f>
        <v>9347.9554417413583</v>
      </c>
      <c r="BS122" s="8">
        <f>+MINVU_Mes_Corriente!BS122*MINVU_Mes_Constante!$BP$1</f>
        <v>9347.9554417413583</v>
      </c>
      <c r="BT122" s="8">
        <f>+MINVU_Mes_Corriente!BT122*MINVU_Mes_Constante!$BP$1</f>
        <v>9347.9554417413583</v>
      </c>
      <c r="BU122" s="8">
        <f>+MINVU_Mes_Corriente!BU122*MINVU_Mes_Constante!$BP$1</f>
        <v>14438.82791293214</v>
      </c>
      <c r="BV122" s="8">
        <f>+MINVU_Mes_Corriente!BV122*MINVU_Mes_Constante!$BP$1</f>
        <v>29107.087836107559</v>
      </c>
      <c r="BW122" s="8">
        <f>+MINVU_Mes_Corriente!BW122*MINVU_Mes_Constante!$BP$1</f>
        <v>42584.819462227919</v>
      </c>
      <c r="BX122" s="8">
        <f>+MINVU_Mes_Corriente!BX122*MINVU_Mes_Constante!$BP$1</f>
        <v>50048.354673495523</v>
      </c>
      <c r="BY122" s="8">
        <f>+MINVU_Mes_Corriente!BY122*MINVU_Mes_Constante!$BP$1</f>
        <v>67518.762868117803</v>
      </c>
      <c r="BZ122" s="8">
        <f>+MINVU_Mes_Corriente!BZ122*MINVU_Mes_Constante!$BP$1</f>
        <v>83236.254545454562</v>
      </c>
      <c r="CA122" s="8">
        <f>+MINVU_Mes_Corriente!CA122*MINVU_Mes_Constante!$BP$1</f>
        <v>197592.72291933422</v>
      </c>
      <c r="CB122" s="9">
        <f t="shared" si="100"/>
        <v>197592.72291933422</v>
      </c>
      <c r="CC122" s="8">
        <f>+MINVU_Mes_Corriente!CC122*MINVU_Mes_Constante!$CC$1</f>
        <v>2150.4237224916078</v>
      </c>
      <c r="CD122" s="8">
        <f>+MINVU_Mes_Corriente!CD122*MINVU_Mes_Constante!$CC$1</f>
        <v>2543.0152928011939</v>
      </c>
      <c r="CE122" s="8">
        <f>+MINVU_Mes_Corriente!CE122*MINVU_Mes_Constante!$CC$1</f>
        <v>2904.3625512868334</v>
      </c>
      <c r="CF122" s="8">
        <f>+MINVU_Mes_Corriente!CF122*MINVU_Mes_Constante!$CC$1</f>
        <v>3288.80343155539</v>
      </c>
      <c r="CG122" s="8">
        <f>+MINVU_Mes_Corriente!CG122*MINVU_Mes_Constante!$CC$1</f>
        <v>5883.4397612831035</v>
      </c>
      <c r="CH122" s="8">
        <f>+MINVU_Mes_Corriente!CH122*MINVU_Mes_Constante!$CC$1</f>
        <v>15562.384185005596</v>
      </c>
      <c r="CI122" s="8">
        <f>+MINVU_Mes_Corriente!CI122*MINVU_Mes_Constante!$CC$1</f>
        <v>16217.156284968298</v>
      </c>
      <c r="CJ122" s="8">
        <f>+MINVU_Mes_Corriente!CJ122*MINVU_Mes_Constante!$CC$1</f>
        <v>19395.925400969791</v>
      </c>
      <c r="CK122" s="8">
        <f>+MINVU_Mes_Corriente!CK122*MINVU_Mes_Constante!$CC$1</f>
        <v>19395.925400969791</v>
      </c>
      <c r="CL122" s="8">
        <f>+MINVU_Mes_Corriente!CL122*MINVU_Mes_Constante!$CC$1</f>
        <v>36627.842596046255</v>
      </c>
      <c r="CM122" s="8">
        <f>+MINVU_Mes_Corriente!CM122*MINVU_Mes_Constante!$CC$1</f>
        <v>46271.46736292429</v>
      </c>
      <c r="CN122" s="8">
        <f>+MINVU_Mes_Corriente!CN122*MINVU_Mes_Constante!$CC$1</f>
        <v>184391.70234986948</v>
      </c>
      <c r="CO122" s="9">
        <f t="shared" si="101"/>
        <v>184391.70234986948</v>
      </c>
      <c r="CP122" s="8">
        <f>+MINVU_Mes_Corriente!CP122*MINVU_Mes_Constante!$CP$1</f>
        <v>0</v>
      </c>
      <c r="CQ122" s="8">
        <f>+MINVU_Mes_Corriente!CQ122*MINVU_Mes_Constante!$CP$1</f>
        <v>2024.2252900232015</v>
      </c>
      <c r="CR122" s="8">
        <f>+MINVU_Mes_Corriente!CR122*MINVU_Mes_Constante!$CP$1</f>
        <v>5644.2549883990705</v>
      </c>
      <c r="CS122" s="8">
        <f>+MINVU_Mes_Corriente!CS122*MINVU_Mes_Constante!$CP$1</f>
        <v>22694.899071925749</v>
      </c>
      <c r="CT122" s="8">
        <f>+MINVU_Mes_Corriente!CT122*MINVU_Mes_Constante!$CP$1</f>
        <v>27676.242459396744</v>
      </c>
      <c r="CU122" s="8">
        <f>+MINVU_Mes_Corriente!CU122*MINVU_Mes_Constante!$CP$1</f>
        <v>36964.609976798136</v>
      </c>
      <c r="CV122" s="8">
        <f>+MINVU_Mes_Corriente!CV122*MINVU_Mes_Constante!$CP$1</f>
        <v>39878.632482598601</v>
      </c>
      <c r="CW122" s="8">
        <f>+MINVU_Mes_Corriente!CW122*MINVU_Mes_Constante!$CP$1</f>
        <v>48270.865197215768</v>
      </c>
      <c r="CX122" s="8">
        <f>+MINVU_Mes_Corriente!CX122*MINVU_Mes_Constante!$CP$1</f>
        <v>55510.924593967509</v>
      </c>
      <c r="CY122" s="8">
        <f>+MINVU_Mes_Corriente!CY122*MINVU_Mes_Constante!$CP$1</f>
        <v>60384.529002320174</v>
      </c>
      <c r="CZ122" s="8">
        <f>+MINVU_Mes_Corriente!CZ122*MINVU_Mes_Constante!$CP$1</f>
        <v>67646.136194895575</v>
      </c>
      <c r="DA122" s="8">
        <f>+MINVU_Mes_Corriente!DA122*MINVU_Mes_Constante!$CP$1</f>
        <v>93893.886542923414</v>
      </c>
      <c r="DB122" s="9">
        <f t="shared" si="102"/>
        <v>93893.886542923414</v>
      </c>
      <c r="DC122" s="8">
        <f>+MINVU_Mes_Corriente!DC122*MINVU_Mes_Constante!$DC$1</f>
        <v>0</v>
      </c>
      <c r="DD122" s="8">
        <f>+MINVU_Mes_Corriente!DD122*MINVU_Mes_Constante!$DC$1</f>
        <v>0</v>
      </c>
      <c r="DE122" s="8">
        <f>+MINVU_Mes_Corriente!DE122*MINVU_Mes_Constante!$DC$1</f>
        <v>0</v>
      </c>
      <c r="DF122" s="8">
        <f>+MINVU_Mes_Corriente!DF122*MINVU_Mes_Constante!$DC$1</f>
        <v>66.313547988890065</v>
      </c>
      <c r="DG122" s="8">
        <f>+MINVU_Mes_Corriente!DG122*MINVU_Mes_Constante!$DC$1</f>
        <v>1758.9949593663212</v>
      </c>
      <c r="DH122" s="8">
        <f>+MINVU_Mes_Corriente!DH122*MINVU_Mes_Constante!$DC$1</f>
        <v>2405.271062647877</v>
      </c>
      <c r="DI122" s="8">
        <f>+MINVU_Mes_Corriente!DI122*MINVU_Mes_Constante!$DC$1</f>
        <v>5609.6765764839038</v>
      </c>
      <c r="DJ122" s="8">
        <f>+MINVU_Mes_Corriente!DJ122*MINVU_Mes_Constante!$DC$1</f>
        <v>6086.2349552515207</v>
      </c>
      <c r="DK122" s="8">
        <f>+MINVU_Mes_Corriente!DK122*MINVU_Mes_Constante!$DC$1</f>
        <v>8449.9195556012801</v>
      </c>
      <c r="DL122" s="8">
        <f>+MINVU_Mes_Corriente!DL122*MINVU_Mes_Constante!$DC$1</f>
        <v>18565.54552000824</v>
      </c>
      <c r="DM122" s="8">
        <f>+MINVU_Mes_Corriente!DM122*MINVU_Mes_Constante!$DC$1</f>
        <v>30220.994547886035</v>
      </c>
      <c r="DN122" s="8">
        <f>+MINVU_Mes_Corriente!DN122*MINVU_Mes_Constante!$DC$1</f>
        <v>37331.155642423633</v>
      </c>
      <c r="DO122" s="9">
        <f t="shared" si="103"/>
        <v>37331.155642423633</v>
      </c>
      <c r="DP122" s="8">
        <f>+MINVU_Mes_Corriente!DP122*MINVU_Mes_Constante!$DP$1</f>
        <v>0</v>
      </c>
      <c r="DQ122" s="8">
        <f>+MINVU_Mes_Corriente!DQ122*MINVU_Mes_Constante!$DP$1</f>
        <v>0</v>
      </c>
      <c r="DR122" s="8">
        <f>+MINVU_Mes_Corriente!DR122*MINVU_Mes_Constante!$DP$1</f>
        <v>0</v>
      </c>
      <c r="DS122" s="8">
        <f>+MINVU_Mes_Corriente!DS122*MINVU_Mes_Constante!$DP$1</f>
        <v>0</v>
      </c>
      <c r="DT122" s="8">
        <f>+MINVU_Mes_Corriente!DT122*MINVU_Mes_Constante!$DP$1</f>
        <v>0</v>
      </c>
      <c r="DU122" s="8">
        <f>+MINVU_Mes_Corriente!DU122*MINVU_Mes_Constante!$DP$1</f>
        <v>0</v>
      </c>
      <c r="DV122" s="8">
        <f>+MINVU_Mes_Corriente!DV122*MINVU_Mes_Constante!$DP$1</f>
        <v>0</v>
      </c>
      <c r="DW122" s="8">
        <f>+MINVU_Mes_Corriente!DW122*MINVU_Mes_Constante!$DP$1</f>
        <v>0</v>
      </c>
      <c r="DX122" s="8">
        <f>+MINVU_Mes_Corriente!DX122*MINVU_Mes_Constante!$DP$1</f>
        <v>0</v>
      </c>
      <c r="DY122" s="8">
        <f>+MINVU_Mes_Corriente!DY122*MINVU_Mes_Constante!$DP$1</f>
        <v>0</v>
      </c>
      <c r="DZ122" s="8">
        <f>+MINVU_Mes_Corriente!DZ122*MINVU_Mes_Constante!$DP$1</f>
        <v>0</v>
      </c>
      <c r="EA122" s="8">
        <f>+MINVU_Mes_Corriente!EA122*MINVU_Mes_Constante!$DP$1</f>
        <v>0</v>
      </c>
      <c r="EB122" s="9">
        <f t="shared" si="104"/>
        <v>0</v>
      </c>
      <c r="EC122" s="8">
        <f>+MINVU_Mes_Corriente!EC122*MINVU_Mes_Constante!$EC$1</f>
        <v>0</v>
      </c>
      <c r="ED122" s="8">
        <f>+MINVU_Mes_Corriente!ED122*MINVU_Mes_Constante!$EC$1</f>
        <v>0</v>
      </c>
      <c r="EE122" s="8">
        <f>+MINVU_Mes_Corriente!EE122*MINVU_Mes_Constante!$EC$1</f>
        <v>0</v>
      </c>
      <c r="EF122" s="8">
        <f>+MINVU_Mes_Corriente!EF122*MINVU_Mes_Constante!$EC$1</f>
        <v>0</v>
      </c>
      <c r="EG122" s="8">
        <f>+MINVU_Mes_Corriente!EG122*MINVU_Mes_Constante!$EC$1</f>
        <v>0</v>
      </c>
      <c r="EH122" s="8">
        <f>+MINVU_Mes_Corriente!EH122*MINVU_Mes_Constante!$EC$1</f>
        <v>0</v>
      </c>
      <c r="EI122" s="8">
        <f>+MINVU_Mes_Corriente!EI122*MINVU_Mes_Constante!$EC$1</f>
        <v>0</v>
      </c>
      <c r="EJ122" s="8">
        <f>+MINVU_Mes_Corriente!EJ122*MINVU_Mes_Constante!$EC$1</f>
        <v>0</v>
      </c>
      <c r="EK122" s="8">
        <f>+MINVU_Mes_Corriente!EK122*MINVU_Mes_Constante!$EC$1</f>
        <v>0</v>
      </c>
      <c r="EL122" s="8">
        <f>+MINVU_Mes_Corriente!EL122*MINVU_Mes_Constante!$EC$1</f>
        <v>58859.91990153378</v>
      </c>
      <c r="EM122" s="8">
        <f>+MINVU_Mes_Corriente!EM122*MINVU_Mes_Constante!$EC$1</f>
        <v>107494.17136905885</v>
      </c>
      <c r="EN122" s="8">
        <f>+MINVU_Mes_Corriente!EN122*MINVU_Mes_Constante!$EC$1</f>
        <v>248486.32910433621</v>
      </c>
      <c r="EO122" s="9">
        <f t="shared" si="105"/>
        <v>248486.32910433621</v>
      </c>
      <c r="EP122" s="8">
        <f>+MINVU_Mes_Corriente!EP122*MINVU_Mes_Constante!$EP$1</f>
        <v>0</v>
      </c>
      <c r="EQ122" s="8">
        <f>+MINVU_Mes_Corriente!EQ122*MINVU_Mes_Constante!$EP$1</f>
        <v>0</v>
      </c>
      <c r="ER122" s="8">
        <f>+MINVU_Mes_Corriente!ER122*MINVU_Mes_Constante!$EP$1</f>
        <v>144</v>
      </c>
      <c r="ES122" s="8">
        <f>+MINVU_Mes_Corriente!ES122*MINVU_Mes_Constante!$EP$1</f>
        <v>144</v>
      </c>
      <c r="ET122" s="8">
        <f>+MINVU_Mes_Corriente!ET122*MINVU_Mes_Constante!$EP$1</f>
        <v>144</v>
      </c>
      <c r="EU122" s="8">
        <f>+MINVU_Mes_Corriente!EU122*MINVU_Mes_Constante!$EP$1</f>
        <v>144</v>
      </c>
      <c r="EV122" s="8">
        <f>+MINVU_Mes_Corriente!EV122*MINVU_Mes_Constante!$EP$1</f>
        <v>144</v>
      </c>
      <c r="EW122" s="8">
        <f>+MINVU_Mes_Corriente!EW122*MINVU_Mes_Constante!$EP$1</f>
        <v>144</v>
      </c>
      <c r="EX122" s="8">
        <f>+MINVU_Mes_Corriente!EX122*MINVU_Mes_Constante!$EP$1</f>
        <v>144</v>
      </c>
      <c r="EY122" s="8">
        <f>+MINVU_Mes_Corriente!EY122*MINVU_Mes_Constante!$EP$1</f>
        <v>6463</v>
      </c>
      <c r="EZ122" s="8">
        <f>+MINVU_Mes_Corriente!EZ122*MINVU_Mes_Constante!$EP$1</f>
        <v>6723</v>
      </c>
      <c r="FA122" s="8">
        <f>+MINVU_Mes_Corriente!FA122*MINVU_Mes_Constante!$EP$1</f>
        <v>6723</v>
      </c>
      <c r="FB122" s="9">
        <f t="shared" si="106"/>
        <v>6723</v>
      </c>
      <c r="FC122" s="8">
        <f>+MINVU_Mes_Corriente!FC122*MINVU_Mes_Constante!$FC$1</f>
        <v>0</v>
      </c>
      <c r="FD122" s="8">
        <f>+MINVU_Mes_Corriente!FD122*MINVU_Mes_Constante!$FC$1</f>
        <v>0</v>
      </c>
      <c r="FE122" s="8">
        <f>+MINVU_Mes_Corriente!FE122*MINVU_Mes_Constante!$FC$1</f>
        <v>0</v>
      </c>
      <c r="FF122" s="8">
        <f>+MINVU_Mes_Corriente!FF122*MINVU_Mes_Constante!$FC$1</f>
        <v>0</v>
      </c>
      <c r="FG122" s="8">
        <f>+MINVU_Mes_Corriente!FG122*MINVU_Mes_Constante!$FC$1</f>
        <v>0</v>
      </c>
      <c r="FH122" s="8">
        <f>+MINVU_Mes_Corriente!FH122*MINVU_Mes_Constante!$FC$1</f>
        <v>0</v>
      </c>
      <c r="FI122" s="8">
        <f>+MINVU_Mes_Corriente!FI122*MINVU_Mes_Constante!$FC$1</f>
        <v>0</v>
      </c>
      <c r="FJ122" s="8"/>
      <c r="FK122" s="8"/>
      <c r="FL122" s="8"/>
      <c r="FM122" s="8"/>
      <c r="FN122" s="8"/>
      <c r="FO122" s="9">
        <f t="shared" si="107"/>
        <v>0</v>
      </c>
    </row>
    <row r="123" spans="2:171" ht="14.25" customHeight="1" x14ac:dyDescent="0.3">
      <c r="B123" s="7" t="s">
        <v>45</v>
      </c>
      <c r="C123" s="8">
        <f>+MINVU_Mes_Corriente!C123*MINVU_Mes_Constante!$C$1</f>
        <v>0</v>
      </c>
      <c r="D123" s="8">
        <f>+MINVU_Mes_Corriente!D123*MINVU_Mes_Constante!$C$1</f>
        <v>0</v>
      </c>
      <c r="E123" s="8">
        <f>+MINVU_Mes_Corriente!E123*MINVU_Mes_Constante!$C$1</f>
        <v>852.3025359632212</v>
      </c>
      <c r="F123" s="8">
        <f>+MINVU_Mes_Corriente!F123*MINVU_Mes_Constante!$C$1</f>
        <v>852.3025359632212</v>
      </c>
      <c r="G123" s="8">
        <f>+MINVU_Mes_Corriente!G123*MINVU_Mes_Constante!$C$1</f>
        <v>1555.533145484206</v>
      </c>
      <c r="H123" s="8">
        <f>+MINVU_Mes_Corriente!H123*MINVU_Mes_Constante!$C$1</f>
        <v>9827.4047160017817</v>
      </c>
      <c r="I123" s="8">
        <f>+MINVU_Mes_Corriente!I123*MINVU_Mes_Constante!$C$1</f>
        <v>10597.069553611154</v>
      </c>
      <c r="J123" s="8">
        <f>+MINVU_Mes_Corriente!J123*MINVU_Mes_Constante!$C$1</f>
        <v>10597.069553611154</v>
      </c>
      <c r="K123" s="8">
        <f>+MINVU_Mes_Corriente!K123*MINVU_Mes_Constante!$C$1</f>
        <v>10597.069553611154</v>
      </c>
      <c r="L123" s="8">
        <f>+MINVU_Mes_Corriente!L123*MINVU_Mes_Constante!$C$1</f>
        <v>17368.499777547087</v>
      </c>
      <c r="M123" s="8">
        <f>+MINVU_Mes_Corriente!M123*MINVU_Mes_Constante!$C$1</f>
        <v>8484749.5221711416</v>
      </c>
      <c r="N123" s="8">
        <f>+MINVU_Mes_Corriente!N123*MINVU_Mes_Constante!$C$1</f>
        <v>8512672.96247961</v>
      </c>
      <c r="O123" s="9">
        <f t="shared" si="95"/>
        <v>8512672.96247961</v>
      </c>
      <c r="P123" s="8">
        <f>+MINVU_Mes_Corriente!P123*MINVU_Mes_Constante!$P$1</f>
        <v>0</v>
      </c>
      <c r="Q123" s="8">
        <f>+MINVU_Mes_Corriente!Q123*MINVU_Mes_Constante!$P$1</f>
        <v>0</v>
      </c>
      <c r="R123" s="8">
        <f>+MINVU_Mes_Corriente!R123*MINVU_Mes_Constante!$P$1</f>
        <v>0</v>
      </c>
      <c r="S123" s="8">
        <f>+MINVU_Mes_Corriente!S123*MINVU_Mes_Constante!$P$1</f>
        <v>338.38158829379159</v>
      </c>
      <c r="T123" s="8">
        <f>+MINVU_Mes_Corriente!T123*MINVU_Mes_Constante!$P$1</f>
        <v>678.31538570819691</v>
      </c>
      <c r="U123" s="8">
        <f>+MINVU_Mes_Corriente!U123*MINVU_Mes_Constante!$P$1</f>
        <v>2233.6289245631474</v>
      </c>
      <c r="V123" s="8">
        <f>+MINVU_Mes_Corriente!V123*MINVU_Mes_Constante!$P$1</f>
        <v>2988.0025571814167</v>
      </c>
      <c r="W123" s="8">
        <f>+MINVU_Mes_Corriente!W123*MINVU_Mes_Constante!$P$1</f>
        <v>2988.0025571814167</v>
      </c>
      <c r="X123" s="8">
        <f>+MINVU_Mes_Corriente!X123*MINVU_Mes_Constante!$P$1</f>
        <v>2988.0025571814167</v>
      </c>
      <c r="Y123" s="8">
        <f>+MINVU_Mes_Corriente!Y123*MINVU_Mes_Constante!$P$1</f>
        <v>4055.922432163658</v>
      </c>
      <c r="Z123" s="8">
        <f>+MINVU_Mes_Corriente!Z123*MINVU_Mes_Constante!$P$1</f>
        <v>4055.922432163658</v>
      </c>
      <c r="AA123" s="8">
        <f>+MINVU_Mes_Corriente!AA123*MINVU_Mes_Constante!$P$1</f>
        <v>5890799.6991049843</v>
      </c>
      <c r="AB123" s="9">
        <f t="shared" si="96"/>
        <v>5890799.6991049843</v>
      </c>
      <c r="AC123" s="8">
        <f>+MINVU_Mes_Corriente!AC123*MINVU_Mes_Constante!$AC$1</f>
        <v>0</v>
      </c>
      <c r="AD123" s="8">
        <f>+MINVU_Mes_Corriente!AD123*MINVU_Mes_Constante!$AC$1</f>
        <v>0</v>
      </c>
      <c r="AE123" s="8">
        <f>+MINVU_Mes_Corriente!AE123*MINVU_Mes_Constante!$AC$1</f>
        <v>0</v>
      </c>
      <c r="AF123" s="8">
        <f>+MINVU_Mes_Corriente!AF123*MINVU_Mes_Constante!$AC$1</f>
        <v>6026.0011066537554</v>
      </c>
      <c r="AG123" s="8">
        <f>+MINVU_Mes_Corriente!AG123*MINVU_Mes_Constante!$AC$1</f>
        <v>6576.1552081892378</v>
      </c>
      <c r="AH123" s="8">
        <f>+MINVU_Mes_Corriente!AH123*MINVU_Mes_Constante!$AC$1</f>
        <v>8500.1831511965702</v>
      </c>
      <c r="AI123" s="8">
        <f>+MINVU_Mes_Corriente!AI123*MINVU_Mes_Constante!$AC$1</f>
        <v>8500.1831511965702</v>
      </c>
      <c r="AJ123" s="8">
        <f>+MINVU_Mes_Corriente!AJ123*MINVU_Mes_Constante!$AC$1</f>
        <v>9219.6154378198917</v>
      </c>
      <c r="AK123" s="8">
        <f>+MINVU_Mes_Corriente!AK123*MINVU_Mes_Constante!$AC$1</f>
        <v>11192.008576566606</v>
      </c>
      <c r="AL123" s="8">
        <f>+MINVU_Mes_Corriente!AL123*MINVU_Mes_Constante!$AC$1</f>
        <v>11192.008576566606</v>
      </c>
      <c r="AM123" s="8">
        <f>+MINVU_Mes_Corriente!AM123*MINVU_Mes_Constante!$AC$1</f>
        <v>270563.97344030987</v>
      </c>
      <c r="AN123" s="8">
        <f>+MINVU_Mes_Corriente!AN123*MINVU_Mes_Constante!$AC$1</f>
        <v>307156.77825425367</v>
      </c>
      <c r="AO123" s="9">
        <f t="shared" si="97"/>
        <v>307156.77825425367</v>
      </c>
      <c r="AP123" s="8">
        <f>+MINVU_Mes_Corriente!AP123*MINVU_Mes_Constante!$AP$1</f>
        <v>103.45191397267685</v>
      </c>
      <c r="AQ123" s="8">
        <f>+MINVU_Mes_Corriente!AQ123*MINVU_Mes_Constante!$AP$1</f>
        <v>103.45191397267685</v>
      </c>
      <c r="AR123" s="8">
        <f>+MINVU_Mes_Corriente!AR123*MINVU_Mes_Constante!$AP$1</f>
        <v>1080.3335587718111</v>
      </c>
      <c r="AS123" s="8">
        <f>+MINVU_Mes_Corriente!AS123*MINVU_Mes_Constante!$AP$1</f>
        <v>1773.461382388746</v>
      </c>
      <c r="AT123" s="8">
        <f>+MINVU_Mes_Corriente!AT123*MINVU_Mes_Constante!$AP$1</f>
        <v>2441.4651697551735</v>
      </c>
      <c r="AU123" s="8">
        <f>+MINVU_Mes_Corriente!AU123*MINVU_Mes_Constante!$AP$1</f>
        <v>2441.4651697551735</v>
      </c>
      <c r="AV123" s="8">
        <f>+MINVU_Mes_Corriente!AV123*MINVU_Mes_Constante!$AP$1</f>
        <v>2441.4651697551735</v>
      </c>
      <c r="AW123" s="8">
        <f>+MINVU_Mes_Corriente!AW123*MINVU_Mes_Constante!$AP$1</f>
        <v>2441.4651697551735</v>
      </c>
      <c r="AX123" s="8">
        <f>+MINVU_Mes_Corriente!AX123*MINVU_Mes_Constante!$AP$1</f>
        <v>3608.9939131610981</v>
      </c>
      <c r="AY123" s="8">
        <f>+MINVU_Mes_Corriente!AY123*MINVU_Mes_Constante!$AP$1</f>
        <v>7423.4137697822262</v>
      </c>
      <c r="AZ123" s="8">
        <f>+MINVU_Mes_Corriente!AZ123*MINVU_Mes_Constante!$AP$1</f>
        <v>375152.10929257405</v>
      </c>
      <c r="BA123" s="8">
        <f>+MINVU_Mes_Corriente!BA123*MINVU_Mes_Constante!$AP$1</f>
        <v>568911.63262545643</v>
      </c>
      <c r="BB123" s="9">
        <f t="shared" si="98"/>
        <v>568911.63262545643</v>
      </c>
      <c r="BC123" s="8">
        <f>+MINVU_Mes_Corriente!BC123*MINVU_Mes_Constante!$BC$1</f>
        <v>0</v>
      </c>
      <c r="BD123" s="8">
        <f>+MINVU_Mes_Corriente!BD123*MINVU_Mes_Constante!$BC$1</f>
        <v>0</v>
      </c>
      <c r="BE123" s="8">
        <f>+MINVU_Mes_Corriente!BE123*MINVU_Mes_Constante!$BC$1</f>
        <v>2777.9675590135839</v>
      </c>
      <c r="BF123" s="8">
        <f>+MINVU_Mes_Corriente!BF123*MINVU_Mes_Constante!$BC$1</f>
        <v>2777.9675590135839</v>
      </c>
      <c r="BG123" s="8">
        <f>+MINVU_Mes_Corriente!BG123*MINVU_Mes_Constante!$BC$1</f>
        <v>4394.6063563233556</v>
      </c>
      <c r="BH123" s="8">
        <f>+MINVU_Mes_Corriente!BH123*MINVU_Mes_Constante!$BC$1</f>
        <v>4648.1967559013592</v>
      </c>
      <c r="BI123" s="8">
        <f>+MINVU_Mes_Corriente!BI123*MINVU_Mes_Constante!$BC$1</f>
        <v>6764.8120796518542</v>
      </c>
      <c r="BJ123" s="8">
        <f>+MINVU_Mes_Corriente!BJ123*MINVU_Mes_Constante!$BC$1</f>
        <v>7296.4874060398279</v>
      </c>
      <c r="BK123" s="8">
        <f>+MINVU_Mes_Corriente!BK123*MINVU_Mes_Constante!$BC$1</f>
        <v>8462.1387313728101</v>
      </c>
      <c r="BL123" s="8">
        <f>+MINVU_Mes_Corriente!BL123*MINVU_Mes_Constante!$BC$1</f>
        <v>13711.171831728871</v>
      </c>
      <c r="BM123" s="8">
        <f>+MINVU_Mes_Corriente!BM123*MINVU_Mes_Constante!$BC$1</f>
        <v>16100.108664117108</v>
      </c>
      <c r="BN123" s="8">
        <f>+MINVU_Mes_Corriente!BN123*MINVU_Mes_Constante!$BC$1</f>
        <v>21439.915600685748</v>
      </c>
      <c r="BO123" s="9">
        <f t="shared" si="99"/>
        <v>21439.915600685748</v>
      </c>
      <c r="BP123" s="8">
        <f>+MINVU_Mes_Corriente!BP123*MINVU_Mes_Constante!$BP$1</f>
        <v>0</v>
      </c>
      <c r="BQ123" s="8">
        <f>+MINVU_Mes_Corriente!BQ123*MINVU_Mes_Constante!$BP$1</f>
        <v>2911.2683738796418</v>
      </c>
      <c r="BR123" s="8">
        <f>+MINVU_Mes_Corriente!BR123*MINVU_Mes_Constante!$BP$1</f>
        <v>2911.2683738796418</v>
      </c>
      <c r="BS123" s="8">
        <f>+MINVU_Mes_Corriente!BS123*MINVU_Mes_Constante!$BP$1</f>
        <v>2911.2683738796418</v>
      </c>
      <c r="BT123" s="8">
        <f>+MINVU_Mes_Corriente!BT123*MINVU_Mes_Constante!$BP$1</f>
        <v>5829.5316261203589</v>
      </c>
      <c r="BU123" s="8">
        <f>+MINVU_Mes_Corriente!BU123*MINVU_Mes_Constante!$BP$1</f>
        <v>5829.5316261203589</v>
      </c>
      <c r="BV123" s="8">
        <f>+MINVU_Mes_Corriente!BV123*MINVU_Mes_Constante!$BP$1</f>
        <v>6994.8783610755454</v>
      </c>
      <c r="BW123" s="8">
        <f>+MINVU_Mes_Corriente!BW123*MINVU_Mes_Constante!$BP$1</f>
        <v>6994.8783610755454</v>
      </c>
      <c r="BX123" s="8">
        <f>+MINVU_Mes_Corriente!BX123*MINVU_Mes_Constante!$BP$1</f>
        <v>8393.8540332906541</v>
      </c>
      <c r="BY123" s="8">
        <f>+MINVU_Mes_Corriente!BY123*MINVU_Mes_Constante!$BP$1</f>
        <v>8393.8540332906541</v>
      </c>
      <c r="BZ123" s="8">
        <f>+MINVU_Mes_Corriente!BZ123*MINVU_Mes_Constante!$BP$1</f>
        <v>9890.7580025608204</v>
      </c>
      <c r="CA123" s="8">
        <f>+MINVU_Mes_Corriente!CA123*MINVU_Mes_Constante!$BP$1</f>
        <v>225226.68937259927</v>
      </c>
      <c r="CB123" s="9">
        <f t="shared" si="100"/>
        <v>225226.68937259927</v>
      </c>
      <c r="CC123" s="8">
        <f>+MINVU_Mes_Corriente!CC123*MINVU_Mes_Constante!$CC$1</f>
        <v>0</v>
      </c>
      <c r="CD123" s="8">
        <f>+MINVU_Mes_Corriente!CD123*MINVU_Mes_Constante!$CC$1</f>
        <v>0</v>
      </c>
      <c r="CE123" s="8">
        <f>+MINVU_Mes_Corriente!CE123*MINVU_Mes_Constante!$CC$1</f>
        <v>0</v>
      </c>
      <c r="CF123" s="8">
        <f>+MINVU_Mes_Corriente!CF123*MINVU_Mes_Constante!$CC$1</f>
        <v>0</v>
      </c>
      <c r="CG123" s="8">
        <f>+MINVU_Mes_Corriente!CG123*MINVU_Mes_Constante!$CC$1</f>
        <v>614.01864975755325</v>
      </c>
      <c r="CH123" s="8">
        <f>+MINVU_Mes_Corriente!CH123*MINVU_Mes_Constante!$CC$1</f>
        <v>614.01864975755325</v>
      </c>
      <c r="CI123" s="8">
        <f>+MINVU_Mes_Corriente!CI123*MINVU_Mes_Constante!$CC$1</f>
        <v>1687.1928384930998</v>
      </c>
      <c r="CJ123" s="8">
        <f>+MINVU_Mes_Corriente!CJ123*MINVU_Mes_Constante!$CC$1</f>
        <v>1687.1928384930998</v>
      </c>
      <c r="CK123" s="8">
        <f>+MINVU_Mes_Corriente!CK123*MINVU_Mes_Constante!$CC$1</f>
        <v>2897.5703095859758</v>
      </c>
      <c r="CL123" s="8">
        <f>+MINVU_Mes_Corriente!CL123*MINVU_Mes_Constante!$CC$1</f>
        <v>3347.2167101827681</v>
      </c>
      <c r="CM123" s="8">
        <f>+MINVU_Mes_Corriente!CM123*MINVU_Mes_Constante!$CC$1</f>
        <v>116277.74412532638</v>
      </c>
      <c r="CN123" s="8">
        <f>+MINVU_Mes_Corriente!CN123*MINVU_Mes_Constante!$CC$1</f>
        <v>128342.12383439016</v>
      </c>
      <c r="CO123" s="9">
        <f t="shared" si="101"/>
        <v>128342.12383439016</v>
      </c>
      <c r="CP123" s="8">
        <f>+MINVU_Mes_Corriente!CP123*MINVU_Mes_Constante!$CP$1</f>
        <v>0</v>
      </c>
      <c r="CQ123" s="8">
        <f>+MINVU_Mes_Corriente!CQ123*MINVU_Mes_Constante!$CP$1</f>
        <v>0</v>
      </c>
      <c r="CR123" s="8">
        <f>+MINVU_Mes_Corriente!CR123*MINVU_Mes_Constante!$CP$1</f>
        <v>0</v>
      </c>
      <c r="CS123" s="8">
        <f>+MINVU_Mes_Corriente!CS123*MINVU_Mes_Constante!$CP$1</f>
        <v>0</v>
      </c>
      <c r="CT123" s="8">
        <f>+MINVU_Mes_Corriente!CT123*MINVU_Mes_Constante!$CP$1</f>
        <v>0</v>
      </c>
      <c r="CU123" s="8">
        <f>+MINVU_Mes_Corriente!CU123*MINVU_Mes_Constante!$CP$1</f>
        <v>0</v>
      </c>
      <c r="CV123" s="8">
        <f>+MINVU_Mes_Corriente!CV123*MINVU_Mes_Constante!$CP$1</f>
        <v>1600.8744779582364</v>
      </c>
      <c r="CW123" s="8">
        <f>+MINVU_Mes_Corriente!CW123*MINVU_Mes_Constante!$CP$1</f>
        <v>1600.8744779582364</v>
      </c>
      <c r="CX123" s="8">
        <f>+MINVU_Mes_Corriente!CX123*MINVU_Mes_Constante!$CP$1</f>
        <v>1600.8744779582364</v>
      </c>
      <c r="CY123" s="8">
        <f>+MINVU_Mes_Corriente!CY123*MINVU_Mes_Constante!$CP$1</f>
        <v>1600.8744779582364</v>
      </c>
      <c r="CZ123" s="8">
        <f>+MINVU_Mes_Corriente!CZ123*MINVU_Mes_Constante!$CP$1</f>
        <v>4435.043387470997</v>
      </c>
      <c r="DA123" s="8">
        <f>+MINVU_Mes_Corriente!DA123*MINVU_Mes_Constante!$CP$1</f>
        <v>7909852.3496519709</v>
      </c>
      <c r="DB123" s="9">
        <f t="shared" si="102"/>
        <v>7909852.3496519709</v>
      </c>
      <c r="DC123" s="8">
        <f>+MINVU_Mes_Corriente!DC123*MINVU_Mes_Constante!$DC$1</f>
        <v>0</v>
      </c>
      <c r="DD123" s="8">
        <f>+MINVU_Mes_Corriente!DD123*MINVU_Mes_Constante!$DC$1</f>
        <v>0</v>
      </c>
      <c r="DE123" s="8">
        <f>+MINVU_Mes_Corriente!DE123*MINVU_Mes_Constante!$DC$1</f>
        <v>0</v>
      </c>
      <c r="DF123" s="8">
        <f>+MINVU_Mes_Corriente!DF123*MINVU_Mes_Constante!$DC$1</f>
        <v>0</v>
      </c>
      <c r="DG123" s="8">
        <f>+MINVU_Mes_Corriente!DG123*MINVU_Mes_Constante!$DC$1</f>
        <v>0</v>
      </c>
      <c r="DH123" s="8">
        <f>+MINVU_Mes_Corriente!DH123*MINVU_Mes_Constante!$DC$1</f>
        <v>0</v>
      </c>
      <c r="DI123" s="8">
        <f>+MINVU_Mes_Corriente!DI123*MINVU_Mes_Constante!$DC$1</f>
        <v>0</v>
      </c>
      <c r="DJ123" s="8">
        <f>+MINVU_Mes_Corriente!DJ123*MINVU_Mes_Constante!$DC$1</f>
        <v>0</v>
      </c>
      <c r="DK123" s="8">
        <f>+MINVU_Mes_Corriente!DK123*MINVU_Mes_Constante!$DC$1</f>
        <v>0</v>
      </c>
      <c r="DL123" s="8">
        <f>+MINVU_Mes_Corriente!DL123*MINVU_Mes_Constante!$DC$1</f>
        <v>0</v>
      </c>
      <c r="DM123" s="8">
        <f>+MINVU_Mes_Corriente!DM123*MINVU_Mes_Constante!$DC$1</f>
        <v>0</v>
      </c>
      <c r="DN123" s="8">
        <f>+MINVU_Mes_Corriente!DN123*MINVU_Mes_Constante!$DC$1</f>
        <v>10470394.454479996</v>
      </c>
      <c r="DO123" s="9">
        <f t="shared" si="103"/>
        <v>10470394.454479996</v>
      </c>
      <c r="DP123" s="8">
        <f>+MINVU_Mes_Corriente!DP123*MINVU_Mes_Constante!$DP$1</f>
        <v>0</v>
      </c>
      <c r="DQ123" s="8">
        <f>+MINVU_Mes_Corriente!DQ123*MINVU_Mes_Constante!$DP$1</f>
        <v>0</v>
      </c>
      <c r="DR123" s="8">
        <f>+MINVU_Mes_Corriente!DR123*MINVU_Mes_Constante!$DP$1</f>
        <v>0</v>
      </c>
      <c r="DS123" s="8">
        <f>+MINVU_Mes_Corriente!DS123*MINVU_Mes_Constante!$DP$1</f>
        <v>0</v>
      </c>
      <c r="DT123" s="8">
        <f>+MINVU_Mes_Corriente!DT123*MINVU_Mes_Constante!$DP$1</f>
        <v>0</v>
      </c>
      <c r="DU123" s="8">
        <f>+MINVU_Mes_Corriente!DU123*MINVU_Mes_Constante!$DP$1</f>
        <v>0</v>
      </c>
      <c r="DV123" s="8">
        <f>+MINVU_Mes_Corriente!DV123*MINVU_Mes_Constante!$DP$1</f>
        <v>0</v>
      </c>
      <c r="DW123" s="8">
        <f>+MINVU_Mes_Corriente!DW123*MINVU_Mes_Constante!$DP$1</f>
        <v>0</v>
      </c>
      <c r="DX123" s="8">
        <f>+MINVU_Mes_Corriente!DX123*MINVU_Mes_Constante!$DP$1</f>
        <v>0</v>
      </c>
      <c r="DY123" s="8">
        <f>+MINVU_Mes_Corriente!DY123*MINVU_Mes_Constante!$DP$1</f>
        <v>0</v>
      </c>
      <c r="DZ123" s="8">
        <f>+MINVU_Mes_Corriente!DZ123*MINVU_Mes_Constante!$DP$1</f>
        <v>0</v>
      </c>
      <c r="EA123" s="8">
        <f>+MINVU_Mes_Corriente!EA123*MINVU_Mes_Constante!$DP$1</f>
        <v>0</v>
      </c>
      <c r="EB123" s="9">
        <f t="shared" si="104"/>
        <v>0</v>
      </c>
      <c r="EC123" s="8">
        <f>+MINVU_Mes_Corriente!EC123*MINVU_Mes_Constante!$EC$1</f>
        <v>0</v>
      </c>
      <c r="ED123" s="8">
        <f>+MINVU_Mes_Corriente!ED123*MINVU_Mes_Constante!$EC$1</f>
        <v>0</v>
      </c>
      <c r="EE123" s="8">
        <f>+MINVU_Mes_Corriente!EE123*MINVU_Mes_Constante!$EC$1</f>
        <v>0</v>
      </c>
      <c r="EF123" s="8">
        <f>+MINVU_Mes_Corriente!EF123*MINVU_Mes_Constante!$EC$1</f>
        <v>0</v>
      </c>
      <c r="EG123" s="8">
        <f>+MINVU_Mes_Corriente!EG123*MINVU_Mes_Constante!$EC$1</f>
        <v>0</v>
      </c>
      <c r="EH123" s="8">
        <f>+MINVU_Mes_Corriente!EH123*MINVU_Mes_Constante!$EC$1</f>
        <v>0</v>
      </c>
      <c r="EI123" s="8">
        <f>+MINVU_Mes_Corriente!EI123*MINVU_Mes_Constante!$EC$1</f>
        <v>0</v>
      </c>
      <c r="EJ123" s="8">
        <f>+MINVU_Mes_Corriente!EJ123*MINVU_Mes_Constante!$EC$1</f>
        <v>0</v>
      </c>
      <c r="EK123" s="8">
        <f>+MINVU_Mes_Corriente!EK123*MINVU_Mes_Constante!$EC$1</f>
        <v>0</v>
      </c>
      <c r="EL123" s="8">
        <f>+MINVU_Mes_Corriente!EL123*MINVU_Mes_Constante!$EC$1</f>
        <v>5575.7564855141054</v>
      </c>
      <c r="EM123" s="8">
        <f>+MINVU_Mes_Corriente!EM123*MINVU_Mes_Constante!$EC$1</f>
        <v>5575.7564855141054</v>
      </c>
      <c r="EN123" s="8">
        <f>+MINVU_Mes_Corriente!EN123*MINVU_Mes_Constante!$EC$1</f>
        <v>7687.0958151865152</v>
      </c>
      <c r="EO123" s="9">
        <f t="shared" si="105"/>
        <v>7687.0958151865152</v>
      </c>
      <c r="EP123" s="8">
        <f>+MINVU_Mes_Corriente!EP123*MINVU_Mes_Constante!$EP$1</f>
        <v>0</v>
      </c>
      <c r="EQ123" s="8">
        <f>+MINVU_Mes_Corriente!EQ123*MINVU_Mes_Constante!$EP$1</f>
        <v>0</v>
      </c>
      <c r="ER123" s="8">
        <f>+MINVU_Mes_Corriente!ER123*MINVU_Mes_Constante!$EP$1</f>
        <v>0</v>
      </c>
      <c r="ES123" s="8">
        <f>+MINVU_Mes_Corriente!ES123*MINVU_Mes_Constante!$EP$1</f>
        <v>0</v>
      </c>
      <c r="ET123" s="8">
        <f>+MINVU_Mes_Corriente!ET123*MINVU_Mes_Constante!$EP$1</f>
        <v>0</v>
      </c>
      <c r="EU123" s="8">
        <f>+MINVU_Mes_Corriente!EU123*MINVU_Mes_Constante!$EP$1</f>
        <v>0</v>
      </c>
      <c r="EV123" s="8">
        <f>+MINVU_Mes_Corriente!EV123*MINVU_Mes_Constante!$EP$1</f>
        <v>2970</v>
      </c>
      <c r="EW123" s="8">
        <f>+MINVU_Mes_Corriente!EW123*MINVU_Mes_Constante!$EP$1</f>
        <v>2970</v>
      </c>
      <c r="EX123" s="8">
        <f>+MINVU_Mes_Corriente!EX123*MINVU_Mes_Constante!$EP$1</f>
        <v>2970</v>
      </c>
      <c r="EY123" s="8">
        <f>+MINVU_Mes_Corriente!EY123*MINVU_Mes_Constante!$EP$1</f>
        <v>2970</v>
      </c>
      <c r="EZ123" s="8">
        <f>+MINVU_Mes_Corriente!EZ123*MINVU_Mes_Constante!$EP$1</f>
        <v>2970</v>
      </c>
      <c r="FA123" s="8">
        <f>+MINVU_Mes_Corriente!FA123*MINVU_Mes_Constante!$EP$1</f>
        <v>2970</v>
      </c>
      <c r="FB123" s="9">
        <f t="shared" si="106"/>
        <v>2970</v>
      </c>
      <c r="FC123" s="8">
        <f>+MINVU_Mes_Corriente!FC123*MINVU_Mes_Constante!$FC$1</f>
        <v>0</v>
      </c>
      <c r="FD123" s="8">
        <f>+MINVU_Mes_Corriente!FD123*MINVU_Mes_Constante!$FC$1</f>
        <v>0</v>
      </c>
      <c r="FE123" s="8">
        <f>+MINVU_Mes_Corriente!FE123*MINVU_Mes_Constante!$FC$1</f>
        <v>0</v>
      </c>
      <c r="FF123" s="8">
        <f>+MINVU_Mes_Corriente!FF123*MINVU_Mes_Constante!$FC$1</f>
        <v>0</v>
      </c>
      <c r="FG123" s="8">
        <f>+MINVU_Mes_Corriente!FG123*MINVU_Mes_Constante!$FC$1</f>
        <v>0</v>
      </c>
      <c r="FH123" s="8">
        <f>+MINVU_Mes_Corriente!FH123*MINVU_Mes_Constante!$FC$1</f>
        <v>0</v>
      </c>
      <c r="FI123" s="8">
        <f>+MINVU_Mes_Corriente!FI123*MINVU_Mes_Constante!$FC$1</f>
        <v>0</v>
      </c>
      <c r="FJ123" s="8"/>
      <c r="FK123" s="8"/>
      <c r="FL123" s="8"/>
      <c r="FM123" s="8"/>
      <c r="FN123" s="8"/>
      <c r="FO123" s="9">
        <f t="shared" si="107"/>
        <v>0</v>
      </c>
    </row>
    <row r="124" spans="2:171" ht="14.25" customHeight="1" x14ac:dyDescent="0.3">
      <c r="B124" s="7" t="s">
        <v>46</v>
      </c>
      <c r="C124" s="8">
        <f>+MINVU_Mes_Corriente!C124*MINVU_Mes_Constante!$C$1</f>
        <v>0</v>
      </c>
      <c r="D124" s="8">
        <f>+MINVU_Mes_Corriente!D124*MINVU_Mes_Constante!$C$1</f>
        <v>0</v>
      </c>
      <c r="E124" s="8">
        <f>+MINVU_Mes_Corriente!E124*MINVU_Mes_Constante!$C$1</f>
        <v>0</v>
      </c>
      <c r="F124" s="8">
        <f>+MINVU_Mes_Corriente!F124*MINVU_Mes_Constante!$C$1</f>
        <v>0</v>
      </c>
      <c r="G124" s="8">
        <f>+MINVU_Mes_Corriente!G124*MINVU_Mes_Constante!$C$1</f>
        <v>0</v>
      </c>
      <c r="H124" s="8">
        <f>+MINVU_Mes_Corriente!H124*MINVU_Mes_Constante!$C$1</f>
        <v>150.69227346878247</v>
      </c>
      <c r="I124" s="8">
        <f>+MINVU_Mes_Corriente!I124*MINVU_Mes_Constante!$C$1</f>
        <v>150.69227346878247</v>
      </c>
      <c r="J124" s="8">
        <f>+MINVU_Mes_Corriente!J124*MINVU_Mes_Constante!$C$1</f>
        <v>150.69227346878247</v>
      </c>
      <c r="K124" s="8">
        <f>+MINVU_Mes_Corriente!K124*MINVU_Mes_Constante!$C$1</f>
        <v>8954.0376686934615</v>
      </c>
      <c r="L124" s="8">
        <f>+MINVU_Mes_Corriente!L124*MINVU_Mes_Constante!$C$1</f>
        <v>8954.0376686934615</v>
      </c>
      <c r="M124" s="8">
        <f>+MINVU_Mes_Corriente!M124*MINVU_Mes_Constante!$C$1</f>
        <v>15080.569776064069</v>
      </c>
      <c r="N124" s="8">
        <f>+MINVU_Mes_Corriente!N124*MINVU_Mes_Constante!$C$1</f>
        <v>2711315.3370903162</v>
      </c>
      <c r="O124" s="9">
        <f t="shared" si="95"/>
        <v>2711315.3370903162</v>
      </c>
      <c r="P124" s="8">
        <f>+MINVU_Mes_Corriente!P124*MINVU_Mes_Constante!$P$1</f>
        <v>0</v>
      </c>
      <c r="Q124" s="8">
        <f>+MINVU_Mes_Corriente!Q124*MINVU_Mes_Constante!$P$1</f>
        <v>813.35757920159085</v>
      </c>
      <c r="R124" s="8">
        <f>+MINVU_Mes_Corriente!R124*MINVU_Mes_Constante!$P$1</f>
        <v>15455.346213950839</v>
      </c>
      <c r="S124" s="8">
        <f>+MINVU_Mes_Corriente!S124*MINVU_Mes_Constante!$P$1</f>
        <v>2386099.3220627923</v>
      </c>
      <c r="T124" s="8">
        <f>+MINVU_Mes_Corriente!T124*MINVU_Mes_Constante!$P$1</f>
        <v>3814611.3456456871</v>
      </c>
      <c r="U124" s="8">
        <f>+MINVU_Mes_Corriente!U124*MINVU_Mes_Constante!$P$1</f>
        <v>3827812.8842165065</v>
      </c>
      <c r="V124" s="8">
        <f>+MINVU_Mes_Corriente!V124*MINVU_Mes_Constante!$P$1</f>
        <v>4180404.9470095169</v>
      </c>
      <c r="W124" s="8">
        <f>+MINVU_Mes_Corriente!W124*MINVU_Mes_Constante!$P$1</f>
        <v>4180923.3848558017</v>
      </c>
      <c r="X124" s="8">
        <f>+MINVU_Mes_Corriente!X124*MINVU_Mes_Constante!$P$1</f>
        <v>7399962.9563858472</v>
      </c>
      <c r="Y124" s="8">
        <f>+MINVU_Mes_Corriente!Y124*MINVU_Mes_Constante!$P$1</f>
        <v>7608139.0348060774</v>
      </c>
      <c r="Z124" s="8">
        <f>+MINVU_Mes_Corriente!Z124*MINVU_Mes_Constante!$P$1</f>
        <v>14593017.989203006</v>
      </c>
      <c r="AA124" s="8">
        <f>+MINVU_Mes_Corriente!AA124*MINVU_Mes_Constante!$P$1</f>
        <v>17534620.359141916</v>
      </c>
      <c r="AB124" s="9">
        <f t="shared" si="96"/>
        <v>17534620.359141916</v>
      </c>
      <c r="AC124" s="8">
        <f>+MINVU_Mes_Corriente!AC124*MINVU_Mes_Constante!$AC$1</f>
        <v>0</v>
      </c>
      <c r="AD124" s="8">
        <f>+MINVU_Mes_Corriente!AD124*MINVU_Mes_Constante!$AC$1</f>
        <v>0</v>
      </c>
      <c r="AE124" s="8">
        <f>+MINVU_Mes_Corriente!AE124*MINVU_Mes_Constante!$AC$1</f>
        <v>0</v>
      </c>
      <c r="AF124" s="8">
        <f>+MINVU_Mes_Corriente!AF124*MINVU_Mes_Constante!$AC$1</f>
        <v>24717.637847558446</v>
      </c>
      <c r="AG124" s="8">
        <f>+MINVU_Mes_Corriente!AG124*MINVU_Mes_Constante!$AC$1</f>
        <v>1012129.3827638677</v>
      </c>
      <c r="AH124" s="8">
        <f>+MINVU_Mes_Corriente!AH124*MINVU_Mes_Constante!$AC$1</f>
        <v>1448842.9176926268</v>
      </c>
      <c r="AI124" s="8">
        <f>+MINVU_Mes_Corriente!AI124*MINVU_Mes_Constante!$AC$1</f>
        <v>2531008.1267118552</v>
      </c>
      <c r="AJ124" s="8">
        <f>+MINVU_Mes_Corriente!AJ124*MINVU_Mes_Constante!$AC$1</f>
        <v>5929464.175957947</v>
      </c>
      <c r="AK124" s="8">
        <f>+MINVU_Mes_Corriente!AK124*MINVU_Mes_Constante!$AC$1</f>
        <v>6694980.9370590672</v>
      </c>
      <c r="AL124" s="8">
        <f>+MINVU_Mes_Corriente!AL124*MINVU_Mes_Constante!$AC$1</f>
        <v>13275236.606999585</v>
      </c>
      <c r="AM124" s="8">
        <f>+MINVU_Mes_Corriente!AM124*MINVU_Mes_Constante!$AC$1</f>
        <v>13282037.962650435</v>
      </c>
      <c r="AN124" s="8">
        <f>+MINVU_Mes_Corriente!AN124*MINVU_Mes_Constante!$AC$1</f>
        <v>13286635.679070411</v>
      </c>
      <c r="AO124" s="9">
        <f t="shared" si="97"/>
        <v>13286635.679070411</v>
      </c>
      <c r="AP124" s="8">
        <f>+MINVU_Mes_Corriente!AP124*MINVU_Mes_Constante!$AP$1</f>
        <v>0</v>
      </c>
      <c r="AQ124" s="8">
        <f>+MINVU_Mes_Corriente!AQ124*MINVU_Mes_Constante!$AP$1</f>
        <v>232.02786419586093</v>
      </c>
      <c r="AR124" s="8">
        <f>+MINVU_Mes_Corriente!AR124*MINVU_Mes_Constante!$AP$1</f>
        <v>1839.966184228324</v>
      </c>
      <c r="AS124" s="8">
        <f>+MINVU_Mes_Corriente!AS124*MINVU_Mes_Constante!$AP$1</f>
        <v>1839.966184228324</v>
      </c>
      <c r="AT124" s="8">
        <f>+MINVU_Mes_Corriente!AT124*MINVU_Mes_Constante!$AP$1</f>
        <v>4064.1823346408764</v>
      </c>
      <c r="AU124" s="8">
        <f>+MINVU_Mes_Corriente!AU124*MINVU_Mes_Constante!$AP$1</f>
        <v>566866.24049776816</v>
      </c>
      <c r="AV124" s="8">
        <f>+MINVU_Mes_Corriente!AV124*MINVU_Mes_Constante!$AP$1</f>
        <v>721343.59421073983</v>
      </c>
      <c r="AW124" s="8">
        <f>+MINVU_Mes_Corriente!AW124*MINVU_Mes_Constante!$AP$1</f>
        <v>729834.04057892598</v>
      </c>
      <c r="AX124" s="8">
        <f>+MINVU_Mes_Corriente!AX124*MINVU_Mes_Constante!$AP$1</f>
        <v>652530.33680508588</v>
      </c>
      <c r="AY124" s="8">
        <f>+MINVU_Mes_Corriente!AY124*MINVU_Mes_Constante!$AP$1</f>
        <v>674151.78682537528</v>
      </c>
      <c r="AZ124" s="8">
        <f>+MINVU_Mes_Corriente!AZ124*MINVU_Mes_Constante!$AP$1</f>
        <v>674701.55985391582</v>
      </c>
      <c r="BA124" s="8">
        <f>+MINVU_Mes_Corriente!BA124*MINVU_Mes_Constante!$AP$1</f>
        <v>1002352.9839036926</v>
      </c>
      <c r="BB124" s="9">
        <f t="shared" si="98"/>
        <v>1002352.9839036926</v>
      </c>
      <c r="BC124" s="8">
        <f>+MINVU_Mes_Corriente!BC124*MINVU_Mes_Constante!$BC$1</f>
        <v>1397.6289067651328</v>
      </c>
      <c r="BD124" s="8">
        <f>+MINVU_Mes_Corriente!BD124*MINVU_Mes_Constante!$BC$1</f>
        <v>1397.6289067651328</v>
      </c>
      <c r="BE124" s="8">
        <f>+MINVU_Mes_Corriente!BE124*MINVU_Mes_Constante!$BC$1</f>
        <v>1397.6289067651328</v>
      </c>
      <c r="BF124" s="8">
        <f>+MINVU_Mes_Corriente!BF124*MINVU_Mes_Constante!$BC$1</f>
        <v>2531.5814321508642</v>
      </c>
      <c r="BG124" s="8">
        <f>+MINVU_Mes_Corriente!BG124*MINVU_Mes_Constante!$BC$1</f>
        <v>3881.6621389951215</v>
      </c>
      <c r="BH124" s="8">
        <f>+MINVU_Mes_Corriente!BH124*MINVU_Mes_Constante!$BC$1</f>
        <v>5306.6672820783342</v>
      </c>
      <c r="BI124" s="8">
        <f>+MINVU_Mes_Corriente!BI124*MINVU_Mes_Constante!$BC$1</f>
        <v>5306.6672820783342</v>
      </c>
      <c r="BJ124" s="8">
        <f>+MINVU_Mes_Corriente!BJ124*MINVU_Mes_Constante!$BC$1</f>
        <v>6361.3728075959398</v>
      </c>
      <c r="BK124" s="8">
        <f>+MINVU_Mes_Corriente!BK124*MINVU_Mes_Constante!$BC$1</f>
        <v>12228.532506923384</v>
      </c>
      <c r="BL124" s="8">
        <f>+MINVU_Mes_Corriente!BL124*MINVU_Mes_Constante!$BC$1</f>
        <v>14487.792430436506</v>
      </c>
      <c r="BM124" s="8">
        <f>+MINVU_Mes_Corriente!BM124*MINVU_Mes_Constante!$BC$1</f>
        <v>17785.90847949361</v>
      </c>
      <c r="BN124" s="8">
        <f>+MINVU_Mes_Corriente!BN124*MINVU_Mes_Constante!$BC$1</f>
        <v>18007.800079124361</v>
      </c>
      <c r="BO124" s="9">
        <f t="shared" si="99"/>
        <v>18007.800079124361</v>
      </c>
      <c r="BP124" s="8">
        <f>+MINVU_Mes_Corriente!BP124*MINVU_Mes_Constante!$BP$1</f>
        <v>0</v>
      </c>
      <c r="BQ124" s="8">
        <f>+MINVU_Mes_Corriente!BQ124*MINVU_Mes_Constante!$BP$1</f>
        <v>0</v>
      </c>
      <c r="BR124" s="8">
        <f>+MINVU_Mes_Corriente!BR124*MINVU_Mes_Constante!$BP$1</f>
        <v>6026.7871959026897</v>
      </c>
      <c r="BS124" s="8">
        <f>+MINVU_Mes_Corriente!BS124*MINVU_Mes_Constante!$BP$1</f>
        <v>15160.699359795137</v>
      </c>
      <c r="BT124" s="8">
        <f>+MINVU_Mes_Corriente!BT124*MINVU_Mes_Constante!$BP$1</f>
        <v>15160.699359795137</v>
      </c>
      <c r="BU124" s="8">
        <f>+MINVU_Mes_Corriente!BU124*MINVU_Mes_Constante!$BP$1</f>
        <v>18416.115749039694</v>
      </c>
      <c r="BV124" s="8">
        <f>+MINVU_Mes_Corriente!BV124*MINVU_Mes_Constante!$BP$1</f>
        <v>18416.115749039694</v>
      </c>
      <c r="BW124" s="8">
        <f>+MINVU_Mes_Corriente!BW124*MINVU_Mes_Constante!$BP$1</f>
        <v>18416.115749039694</v>
      </c>
      <c r="BX124" s="8">
        <f>+MINVU_Mes_Corriente!BX124*MINVU_Mes_Constante!$BP$1</f>
        <v>18416.115749039694</v>
      </c>
      <c r="BY124" s="8">
        <f>+MINVU_Mes_Corriente!BY124*MINVU_Mes_Constante!$BP$1</f>
        <v>18416.115749039694</v>
      </c>
      <c r="BZ124" s="8">
        <f>+MINVU_Mes_Corriente!BZ124*MINVU_Mes_Constante!$BP$1</f>
        <v>18416.115749039694</v>
      </c>
      <c r="CA124" s="8">
        <f>+MINVU_Mes_Corriente!CA124*MINVU_Mes_Constante!$BP$1</f>
        <v>80130.528553137017</v>
      </c>
      <c r="CB124" s="9">
        <f t="shared" si="100"/>
        <v>80130.528553137017</v>
      </c>
      <c r="CC124" s="8">
        <f>+MINVU_Mes_Corriente!CC124*MINVU_Mes_Constante!$CC$1</f>
        <v>0</v>
      </c>
      <c r="CD124" s="8">
        <f>+MINVU_Mes_Corriente!CD124*MINVU_Mes_Constante!$CC$1</f>
        <v>0</v>
      </c>
      <c r="CE124" s="8">
        <f>+MINVU_Mes_Corriente!CE124*MINVU_Mes_Constante!$CC$1</f>
        <v>0</v>
      </c>
      <c r="CF124" s="8">
        <f>+MINVU_Mes_Corriente!CF124*MINVU_Mes_Constante!$CC$1</f>
        <v>0</v>
      </c>
      <c r="CG124" s="8">
        <f>+MINVU_Mes_Corriente!CG124*MINVU_Mes_Constante!$CC$1</f>
        <v>2101.5195822454311</v>
      </c>
      <c r="CH124" s="8">
        <f>+MINVU_Mes_Corriente!CH124*MINVU_Mes_Constante!$CC$1</f>
        <v>3897.3882879522571</v>
      </c>
      <c r="CI124" s="8">
        <f>+MINVU_Mes_Corriente!CI124*MINVU_Mes_Constante!$CC$1</f>
        <v>8710.3707571801569</v>
      </c>
      <c r="CJ124" s="8">
        <f>+MINVU_Mes_Corriente!CJ124*MINVU_Mes_Constante!$CC$1</f>
        <v>9374.6519955240583</v>
      </c>
      <c r="CK124" s="8">
        <f>+MINVU_Mes_Corriente!CK124*MINVU_Mes_Constante!$CC$1</f>
        <v>9727.8485639686696</v>
      </c>
      <c r="CL124" s="8">
        <f>+MINVU_Mes_Corriente!CL124*MINVU_Mes_Constante!$CC$1</f>
        <v>2680378.8720626635</v>
      </c>
      <c r="CM124" s="8">
        <f>+MINVU_Mes_Corriente!CM124*MINVU_Mes_Constante!$CC$1</f>
        <v>2680378.8720626635</v>
      </c>
      <c r="CN124" s="8">
        <f>+MINVU_Mes_Corriente!CN124*MINVU_Mes_Constante!$CC$1</f>
        <v>2878702.8205893324</v>
      </c>
      <c r="CO124" s="9">
        <f t="shared" si="101"/>
        <v>2878702.8205893324</v>
      </c>
      <c r="CP124" s="8">
        <f>+MINVU_Mes_Corriente!CP124*MINVU_Mes_Constante!$CP$1</f>
        <v>3656.7877030162404</v>
      </c>
      <c r="CQ124" s="8">
        <f>+MINVU_Mes_Corriente!CQ124*MINVU_Mes_Constante!$CP$1</f>
        <v>3656.7877030162404</v>
      </c>
      <c r="CR124" s="8">
        <f>+MINVU_Mes_Corriente!CR124*MINVU_Mes_Constante!$CP$1</f>
        <v>3656.7877030162404</v>
      </c>
      <c r="CS124" s="8">
        <f>+MINVU_Mes_Corriente!CS124*MINVU_Mes_Constante!$CP$1</f>
        <v>5610.0320185614837</v>
      </c>
      <c r="CT124" s="8">
        <f>+MINVU_Mes_Corriente!CT124*MINVU_Mes_Constante!$CP$1</f>
        <v>5610.0320185614837</v>
      </c>
      <c r="CU124" s="8">
        <f>+MINVU_Mes_Corriente!CU124*MINVU_Mes_Constante!$CP$1</f>
        <v>6027.0452436194882</v>
      </c>
      <c r="CV124" s="8">
        <f>+MINVU_Mes_Corriente!CV124*MINVU_Mes_Constante!$CP$1</f>
        <v>12908.397215777259</v>
      </c>
      <c r="CW124" s="8">
        <f>+MINVU_Mes_Corriente!CW124*MINVU_Mes_Constante!$CP$1</f>
        <v>12908.397215777259</v>
      </c>
      <c r="CX124" s="8">
        <f>+MINVU_Mes_Corriente!CX124*MINVU_Mes_Constante!$CP$1</f>
        <v>14672.781438515078</v>
      </c>
      <c r="CY124" s="8">
        <f>+MINVU_Mes_Corriente!CY124*MINVU_Mes_Constante!$CP$1</f>
        <v>14672.781438515078</v>
      </c>
      <c r="CZ124" s="8">
        <f>+MINVU_Mes_Corriente!CZ124*MINVU_Mes_Constante!$CP$1</f>
        <v>47296.144315545236</v>
      </c>
      <c r="DA124" s="8">
        <f>+MINVU_Mes_Corriente!DA124*MINVU_Mes_Constante!$CP$1</f>
        <v>96804.1064965197</v>
      </c>
      <c r="DB124" s="9">
        <f t="shared" si="102"/>
        <v>96804.1064965197</v>
      </c>
      <c r="DC124" s="8">
        <f>+MINVU_Mes_Corriente!DC124*MINVU_Mes_Constante!$DC$1</f>
        <v>0</v>
      </c>
      <c r="DD124" s="8">
        <f>+MINVU_Mes_Corriente!DD124*MINVU_Mes_Constante!$DC$1</f>
        <v>0</v>
      </c>
      <c r="DE124" s="8">
        <f>+MINVU_Mes_Corriente!DE124*MINVU_Mes_Constante!$DC$1</f>
        <v>0</v>
      </c>
      <c r="DF124" s="8">
        <f>+MINVU_Mes_Corriente!DF124*MINVU_Mes_Constante!$DC$1</f>
        <v>0</v>
      </c>
      <c r="DG124" s="8">
        <f>+MINVU_Mes_Corriente!DG124*MINVU_Mes_Constante!$DC$1</f>
        <v>0</v>
      </c>
      <c r="DH124" s="8">
        <f>+MINVU_Mes_Corriente!DH124*MINVU_Mes_Constante!$DC$1</f>
        <v>0</v>
      </c>
      <c r="DI124" s="8">
        <f>+MINVU_Mes_Corriente!DI124*MINVU_Mes_Constante!$DC$1</f>
        <v>0</v>
      </c>
      <c r="DJ124" s="8">
        <f>+MINVU_Mes_Corriente!DJ124*MINVU_Mes_Constante!$DC$1</f>
        <v>0</v>
      </c>
      <c r="DK124" s="8">
        <f>+MINVU_Mes_Corriente!DK124*MINVU_Mes_Constante!$DC$1</f>
        <v>0</v>
      </c>
      <c r="DL124" s="8">
        <f>+MINVU_Mes_Corriente!DL124*MINVU_Mes_Constante!$DC$1</f>
        <v>0</v>
      </c>
      <c r="DM124" s="8">
        <f>+MINVU_Mes_Corriente!DM124*MINVU_Mes_Constante!$DC$1</f>
        <v>0</v>
      </c>
      <c r="DN124" s="8">
        <f>+MINVU_Mes_Corriente!DN124*MINVU_Mes_Constante!$DC$1</f>
        <v>0</v>
      </c>
      <c r="DO124" s="9">
        <f t="shared" si="103"/>
        <v>0</v>
      </c>
      <c r="DP124" s="8">
        <f>+MINVU_Mes_Corriente!DP124*MINVU_Mes_Constante!$DP$1</f>
        <v>0</v>
      </c>
      <c r="DQ124" s="8">
        <f>+MINVU_Mes_Corriente!DQ124*MINVU_Mes_Constante!$DP$1</f>
        <v>0</v>
      </c>
      <c r="DR124" s="8">
        <f>+MINVU_Mes_Corriente!DR124*MINVU_Mes_Constante!$DP$1</f>
        <v>0</v>
      </c>
      <c r="DS124" s="8">
        <f>+MINVU_Mes_Corriente!DS124*MINVU_Mes_Constante!$DP$1</f>
        <v>0</v>
      </c>
      <c r="DT124" s="8">
        <f>+MINVU_Mes_Corriente!DT124*MINVU_Mes_Constante!$DP$1</f>
        <v>0</v>
      </c>
      <c r="DU124" s="8">
        <f>+MINVU_Mes_Corriente!DU124*MINVU_Mes_Constante!$DP$1</f>
        <v>0</v>
      </c>
      <c r="DV124" s="8">
        <f>+MINVU_Mes_Corriente!DV124*MINVU_Mes_Constante!$DP$1</f>
        <v>0</v>
      </c>
      <c r="DW124" s="8">
        <f>+MINVU_Mes_Corriente!DW124*MINVU_Mes_Constante!$DP$1</f>
        <v>0</v>
      </c>
      <c r="DX124" s="8">
        <f>+MINVU_Mes_Corriente!DX124*MINVU_Mes_Constante!$DP$1</f>
        <v>0</v>
      </c>
      <c r="DY124" s="8">
        <f>+MINVU_Mes_Corriente!DY124*MINVU_Mes_Constante!$DP$1</f>
        <v>0</v>
      </c>
      <c r="DZ124" s="8">
        <f>+MINVU_Mes_Corriente!DZ124*MINVU_Mes_Constante!$DP$1</f>
        <v>0</v>
      </c>
      <c r="EA124" s="8">
        <f>+MINVU_Mes_Corriente!EA124*MINVU_Mes_Constante!$DP$1</f>
        <v>4301891.9038004754</v>
      </c>
      <c r="EB124" s="9">
        <f t="shared" si="104"/>
        <v>4301891.9038004754</v>
      </c>
      <c r="EC124" s="8">
        <f>+MINVU_Mes_Corriente!EC124*MINVU_Mes_Constante!$EC$1</f>
        <v>0</v>
      </c>
      <c r="ED124" s="8">
        <f>+MINVU_Mes_Corriente!ED124*MINVU_Mes_Constante!$EC$1</f>
        <v>0</v>
      </c>
      <c r="EE124" s="8">
        <f>+MINVU_Mes_Corriente!EE124*MINVU_Mes_Constante!$EC$1</f>
        <v>0</v>
      </c>
      <c r="EF124" s="8">
        <f>+MINVU_Mes_Corriente!EF124*MINVU_Mes_Constante!$EC$1</f>
        <v>0</v>
      </c>
      <c r="EG124" s="8">
        <f>+MINVU_Mes_Corriente!EG124*MINVU_Mes_Constante!$EC$1</f>
        <v>0</v>
      </c>
      <c r="EH124" s="8">
        <f>+MINVU_Mes_Corriente!EH124*MINVU_Mes_Constante!$EC$1</f>
        <v>0</v>
      </c>
      <c r="EI124" s="8">
        <f>+MINVU_Mes_Corriente!EI124*MINVU_Mes_Constante!$EC$1</f>
        <v>677.57337625449702</v>
      </c>
      <c r="EJ124" s="8">
        <f>+MINVU_Mes_Corriente!EJ124*MINVU_Mes_Constante!$EC$1</f>
        <v>1720.3122514675244</v>
      </c>
      <c r="EK124" s="8">
        <f>+MINVU_Mes_Corriente!EK124*MINVU_Mes_Constante!$EC$1</f>
        <v>1720.3122514675244</v>
      </c>
      <c r="EL124" s="8">
        <f>+MINVU_Mes_Corriente!EL124*MINVU_Mes_Constante!$EC$1</f>
        <v>1720.3122514675244</v>
      </c>
      <c r="EM124" s="8">
        <f>+MINVU_Mes_Corriente!EM124*MINVU_Mes_Constante!$EC$1</f>
        <v>1720.3122514675244</v>
      </c>
      <c r="EN124" s="8">
        <f>+MINVU_Mes_Corriente!EN124*MINVU_Mes_Constante!$EC$1</f>
        <v>3455.1069873130077</v>
      </c>
      <c r="EO124" s="9">
        <f t="shared" si="105"/>
        <v>3455.1069873130077</v>
      </c>
      <c r="EP124" s="8">
        <f>+MINVU_Mes_Corriente!EP124*MINVU_Mes_Constante!$EP$1</f>
        <v>0</v>
      </c>
      <c r="EQ124" s="8">
        <f>+MINVU_Mes_Corriente!EQ124*MINVU_Mes_Constante!$EP$1</f>
        <v>0</v>
      </c>
      <c r="ER124" s="8">
        <f>+MINVU_Mes_Corriente!ER124*MINVU_Mes_Constante!$EP$1</f>
        <v>365</v>
      </c>
      <c r="ES124" s="8">
        <f>+MINVU_Mes_Corriente!ES124*MINVU_Mes_Constante!$EP$1</f>
        <v>365</v>
      </c>
      <c r="ET124" s="8">
        <f>+MINVU_Mes_Corriente!ET124*MINVU_Mes_Constante!$EP$1</f>
        <v>365</v>
      </c>
      <c r="EU124" s="8">
        <f>+MINVU_Mes_Corriente!EU124*MINVU_Mes_Constante!$EP$1</f>
        <v>5357</v>
      </c>
      <c r="EV124" s="8">
        <f>+MINVU_Mes_Corriente!EV124*MINVU_Mes_Constante!$EP$1</f>
        <v>5837</v>
      </c>
      <c r="EW124" s="8">
        <f>+MINVU_Mes_Corriente!EW124*MINVU_Mes_Constante!$EP$1</f>
        <v>5837</v>
      </c>
      <c r="EX124" s="8">
        <f>+MINVU_Mes_Corriente!EX124*MINVU_Mes_Constante!$EP$1</f>
        <v>5837</v>
      </c>
      <c r="EY124" s="8">
        <f>+MINVU_Mes_Corriente!EY124*MINVU_Mes_Constante!$EP$1</f>
        <v>5837</v>
      </c>
      <c r="EZ124" s="8">
        <f>+MINVU_Mes_Corriente!EZ124*MINVU_Mes_Constante!$EP$1</f>
        <v>5837</v>
      </c>
      <c r="FA124" s="8">
        <f>+MINVU_Mes_Corriente!FA124*MINVU_Mes_Constante!$EP$1</f>
        <v>5837</v>
      </c>
      <c r="FB124" s="9">
        <f t="shared" si="106"/>
        <v>5837</v>
      </c>
      <c r="FC124" s="8">
        <f>+MINVU_Mes_Corriente!FC124*MINVU_Mes_Constante!$FC$1</f>
        <v>0</v>
      </c>
      <c r="FD124" s="8">
        <f>+MINVU_Mes_Corriente!FD124*MINVU_Mes_Constante!$FC$1</f>
        <v>0</v>
      </c>
      <c r="FE124" s="8">
        <f>+MINVU_Mes_Corriente!FE124*MINVU_Mes_Constante!$FC$1</f>
        <v>0</v>
      </c>
      <c r="FF124" s="8">
        <f>+MINVU_Mes_Corriente!FF124*MINVU_Mes_Constante!$FC$1</f>
        <v>0</v>
      </c>
      <c r="FG124" s="8">
        <f>+MINVU_Mes_Corriente!FG124*MINVU_Mes_Constante!$FC$1</f>
        <v>0</v>
      </c>
      <c r="FH124" s="8">
        <f>+MINVU_Mes_Corriente!FH124*MINVU_Mes_Constante!$FC$1</f>
        <v>0</v>
      </c>
      <c r="FI124" s="8">
        <f>+MINVU_Mes_Corriente!FI124*MINVU_Mes_Constante!$FC$1</f>
        <v>0</v>
      </c>
      <c r="FJ124" s="8"/>
      <c r="FK124" s="8"/>
      <c r="FL124" s="8"/>
      <c r="FM124" s="8"/>
      <c r="FN124" s="8"/>
      <c r="FO124" s="9">
        <f t="shared" si="107"/>
        <v>0</v>
      </c>
    </row>
    <row r="125" spans="2:171" ht="14.25" customHeight="1" x14ac:dyDescent="0.3">
      <c r="B125" s="7" t="s">
        <v>47</v>
      </c>
      <c r="C125" s="8">
        <f>+MINVU_Mes_Corriente!C125*MINVU_Mes_Constante!$C$1</f>
        <v>0</v>
      </c>
      <c r="D125" s="8">
        <f>+MINVU_Mes_Corriente!D125*MINVU_Mes_Constante!$C$1</f>
        <v>502.3075782292749</v>
      </c>
      <c r="E125" s="8">
        <f>+MINVU_Mes_Corriente!E125*MINVU_Mes_Constante!$C$1</f>
        <v>4784.88476939048</v>
      </c>
      <c r="F125" s="8">
        <f>+MINVU_Mes_Corriente!F125*MINVU_Mes_Constante!$C$1</f>
        <v>5381.1724751594256</v>
      </c>
      <c r="G125" s="8">
        <f>+MINVU_Mes_Corriente!G125*MINVU_Mes_Constante!$C$1</f>
        <v>6116.8100252113309</v>
      </c>
      <c r="H125" s="8">
        <f>+MINVU_Mes_Corriente!H125*MINVU_Mes_Constante!$C$1</f>
        <v>6683.9314845024483</v>
      </c>
      <c r="I125" s="8">
        <f>+MINVU_Mes_Corriente!I125*MINVU_Mes_Constante!$C$1</f>
        <v>7038.7874833160322</v>
      </c>
      <c r="J125" s="8">
        <f>+MINVU_Mes_Corriente!J125*MINVU_Mes_Constante!$C$1</f>
        <v>7038.7874833160322</v>
      </c>
      <c r="K125" s="8">
        <f>+MINVU_Mes_Corriente!K125*MINVU_Mes_Constante!$C$1</f>
        <v>7897.5714073854379</v>
      </c>
      <c r="L125" s="8">
        <f>+MINVU_Mes_Corriente!L125*MINVU_Mes_Constante!$C$1</f>
        <v>9235.9780513124733</v>
      </c>
      <c r="M125" s="8">
        <f>+MINVU_Mes_Corriente!M125*MINVU_Mes_Constante!$C$1</f>
        <v>9923.0051905679975</v>
      </c>
      <c r="N125" s="8">
        <f>+MINVU_Mes_Corriente!N125*MINVU_Mes_Constante!$C$1</f>
        <v>10859.565771911613</v>
      </c>
      <c r="O125" s="9">
        <f t="shared" si="95"/>
        <v>10859.565771911613</v>
      </c>
      <c r="P125" s="8">
        <f>+MINVU_Mes_Corriente!P125*MINVU_Mes_Constante!$P$1</f>
        <v>0</v>
      </c>
      <c r="Q125" s="8">
        <f>+MINVU_Mes_Corriente!Q125*MINVU_Mes_Constante!$P$1</f>
        <v>0</v>
      </c>
      <c r="R125" s="8">
        <f>+MINVU_Mes_Corriente!R125*MINVU_Mes_Constante!$P$1</f>
        <v>943.7431453331435</v>
      </c>
      <c r="S125" s="8">
        <f>+MINVU_Mes_Corriente!S125*MINVU_Mes_Constante!$P$1</f>
        <v>1859.5465264952402</v>
      </c>
      <c r="T125" s="8">
        <f>+MINVU_Mes_Corriente!T125*MINVU_Mes_Constante!$P$1</f>
        <v>2030.2895297627497</v>
      </c>
      <c r="U125" s="8">
        <f>+MINVU_Mes_Corriente!U125*MINVU_Mes_Constante!$P$1</f>
        <v>2030.2895297627497</v>
      </c>
      <c r="V125" s="8">
        <f>+MINVU_Mes_Corriente!V125*MINVU_Mes_Constante!$P$1</f>
        <v>2030.2895297627497</v>
      </c>
      <c r="W125" s="8">
        <f>+MINVU_Mes_Corriente!W125*MINVU_Mes_Constante!$P$1</f>
        <v>4287.2015911351027</v>
      </c>
      <c r="X125" s="8">
        <f>+MINVU_Mes_Corriente!X125*MINVU_Mes_Constante!$P$1</f>
        <v>4648.8663162380999</v>
      </c>
      <c r="Y125" s="8">
        <f>+MINVU_Mes_Corriente!Y125*MINVU_Mes_Constante!$P$1</f>
        <v>4648.8663162380999</v>
      </c>
      <c r="Z125" s="8">
        <f>+MINVU_Mes_Corriente!Z125*MINVU_Mes_Constante!$P$1</f>
        <v>6236.7762466259392</v>
      </c>
      <c r="AA125" s="8">
        <f>+MINVU_Mes_Corriente!AA125*MINVU_Mes_Constante!$P$1</f>
        <v>24600.962352606894</v>
      </c>
      <c r="AB125" s="9">
        <f t="shared" si="96"/>
        <v>24600.962352606894</v>
      </c>
      <c r="AC125" s="8">
        <f>+MINVU_Mes_Corriente!AC125*MINVU_Mes_Constante!$AC$1</f>
        <v>211.5977313598008</v>
      </c>
      <c r="AD125" s="8">
        <f>+MINVU_Mes_Corriente!AD125*MINVU_Mes_Constante!$AC$1</f>
        <v>788.95725549868587</v>
      </c>
      <c r="AE125" s="8">
        <f>+MINVU_Mes_Corriente!AE125*MINVU_Mes_Constante!$AC$1</f>
        <v>3148.2719601604649</v>
      </c>
      <c r="AF125" s="8">
        <f>+MINVU_Mes_Corriente!AF125*MINVU_Mes_Constante!$AC$1</f>
        <v>7993.8600082999028</v>
      </c>
      <c r="AG125" s="8">
        <f>+MINVU_Mes_Corriente!AG125*MINVU_Mes_Constante!$AC$1</f>
        <v>7993.8600082999028</v>
      </c>
      <c r="AH125" s="8">
        <f>+MINVU_Mes_Corriente!AH125*MINVU_Mes_Constante!$AC$1</f>
        <v>8819.0911606031259</v>
      </c>
      <c r="AI125" s="8">
        <f>+MINVU_Mes_Corriente!AI125*MINVU_Mes_Constante!$AC$1</f>
        <v>9018.597593028082</v>
      </c>
      <c r="AJ125" s="8">
        <f>+MINVU_Mes_Corriente!AJ125*MINVU_Mes_Constante!$AC$1</f>
        <v>9018.597593028082</v>
      </c>
      <c r="AK125" s="8">
        <f>+MINVU_Mes_Corriente!AK125*MINVU_Mes_Constante!$AC$1</f>
        <v>11062.027113017015</v>
      </c>
      <c r="AL125" s="8">
        <f>+MINVU_Mes_Corriente!AL125*MINVU_Mes_Constante!$AC$1</f>
        <v>11062.027113017015</v>
      </c>
      <c r="AM125" s="8">
        <f>+MINVU_Mes_Corriente!AM125*MINVU_Mes_Constante!$AC$1</f>
        <v>12219.768986028495</v>
      </c>
      <c r="AN125" s="8">
        <f>+MINVU_Mes_Corriente!AN125*MINVU_Mes_Constante!$AC$1</f>
        <v>15165.511689030294</v>
      </c>
      <c r="AO125" s="9">
        <f t="shared" si="97"/>
        <v>15165.511689030294</v>
      </c>
      <c r="AP125" s="8">
        <f>+MINVU_Mes_Corriente!AP125*MINVU_Mes_Constante!$AP$1</f>
        <v>115.27498985526849</v>
      </c>
      <c r="AQ125" s="8">
        <f>+MINVU_Mes_Corriente!AQ125*MINVU_Mes_Constante!$AP$1</f>
        <v>115.27498985526849</v>
      </c>
      <c r="AR125" s="8">
        <f>+MINVU_Mes_Corriente!AR125*MINVU_Mes_Constante!$AP$1</f>
        <v>314.78939537400242</v>
      </c>
      <c r="AS125" s="8">
        <f>+MINVU_Mes_Corriente!AS125*MINVU_Mes_Constante!$AP$1</f>
        <v>4229.7053969971594</v>
      </c>
      <c r="AT125" s="8">
        <f>+MINVU_Mes_Corriente!AT125*MINVU_Mes_Constante!$AP$1</f>
        <v>4965.691870688489</v>
      </c>
      <c r="AU125" s="8">
        <f>+MINVU_Mes_Corriente!AU125*MINVU_Mes_Constante!$AP$1</f>
        <v>4965.691870688489</v>
      </c>
      <c r="AV125" s="8">
        <f>+MINVU_Mes_Corriente!AV125*MINVU_Mes_Constante!$AP$1</f>
        <v>10500.369268226701</v>
      </c>
      <c r="AW125" s="8">
        <f>+MINVU_Mes_Corriente!AW125*MINVU_Mes_Constante!$AP$1</f>
        <v>11494.985526849721</v>
      </c>
      <c r="AX125" s="8">
        <f>+MINVU_Mes_Corriente!AX125*MINVU_Mes_Constante!$AP$1</f>
        <v>11494.985526849721</v>
      </c>
      <c r="AY125" s="8">
        <f>+MINVU_Mes_Corriente!AY125*MINVU_Mes_Constante!$AP$1</f>
        <v>15805.974570539698</v>
      </c>
      <c r="AZ125" s="8">
        <f>+MINVU_Mes_Corriente!AZ125*MINVU_Mes_Constante!$AP$1</f>
        <v>15805.974570539698</v>
      </c>
      <c r="BA125" s="8">
        <f>+MINVU_Mes_Corriente!BA125*MINVU_Mes_Constante!$AP$1</f>
        <v>1684964.1815230623</v>
      </c>
      <c r="BB125" s="9">
        <f t="shared" si="98"/>
        <v>1684964.1815230623</v>
      </c>
      <c r="BC125" s="8">
        <f>+MINVU_Mes_Corriente!BC125*MINVU_Mes_Constante!$BC$1</f>
        <v>0</v>
      </c>
      <c r="BD125" s="8">
        <f>+MINVU_Mes_Corriente!BD125*MINVU_Mes_Constante!$BC$1</f>
        <v>42489.359620203097</v>
      </c>
      <c r="BE125" s="8">
        <f>+MINVU_Mes_Corriente!BE125*MINVU_Mes_Constante!$BC$1</f>
        <v>48502.045628379281</v>
      </c>
      <c r="BF125" s="8">
        <f>+MINVU_Mes_Corriente!BF125*MINVU_Mes_Constante!$BC$1</f>
        <v>50663.327442964539</v>
      </c>
      <c r="BG125" s="8">
        <f>+MINVU_Mes_Corriente!BG125*MINVU_Mes_Constante!$BC$1</f>
        <v>50663.327442964539</v>
      </c>
      <c r="BH125" s="8">
        <f>+MINVU_Mes_Corriente!BH125*MINVU_Mes_Constante!$BC$1</f>
        <v>1560902.2210207046</v>
      </c>
      <c r="BI125" s="8">
        <f>+MINVU_Mes_Corriente!BI125*MINVU_Mes_Constante!$BC$1</f>
        <v>1560902.2210207046</v>
      </c>
      <c r="BJ125" s="8">
        <f>+MINVU_Mes_Corriente!BJ125*MINVU_Mes_Constante!$BC$1</f>
        <v>1564435.19636028</v>
      </c>
      <c r="BK125" s="8">
        <f>+MINVU_Mes_Corriente!BK125*MINVU_Mes_Constante!$BC$1</f>
        <v>1564435.19636028</v>
      </c>
      <c r="BL125" s="8">
        <f>+MINVU_Mes_Corriente!BL125*MINVU_Mes_Constante!$BC$1</f>
        <v>1564435.19636028</v>
      </c>
      <c r="BM125" s="8">
        <f>+MINVU_Mes_Corriente!BM125*MINVU_Mes_Constante!$BC$1</f>
        <v>1564435.19636028</v>
      </c>
      <c r="BN125" s="8">
        <f>+MINVU_Mes_Corriente!BN125*MINVU_Mes_Constante!$BC$1</f>
        <v>1961789.7396808655</v>
      </c>
      <c r="BO125" s="9">
        <f t="shared" si="99"/>
        <v>1961789.7396808655</v>
      </c>
      <c r="BP125" s="8">
        <f>+MINVU_Mes_Corriente!BP125*MINVU_Mes_Constante!$BP$1</f>
        <v>0</v>
      </c>
      <c r="BQ125" s="8">
        <f>+MINVU_Mes_Corriente!BQ125*MINVU_Mes_Constante!$BP$1</f>
        <v>267.2043533930858</v>
      </c>
      <c r="BR125" s="8">
        <f>+MINVU_Mes_Corriente!BR125*MINVU_Mes_Constante!$BP$1</f>
        <v>267.2043533930858</v>
      </c>
      <c r="BS125" s="8">
        <f>+MINVU_Mes_Corriente!BS125*MINVU_Mes_Constante!$BP$1</f>
        <v>4524.2873239436622</v>
      </c>
      <c r="BT125" s="8">
        <f>+MINVU_Mes_Corriente!BT125*MINVU_Mes_Constante!$BP$1</f>
        <v>4746.7244558258644</v>
      </c>
      <c r="BU125" s="8">
        <f>+MINVU_Mes_Corriente!BU125*MINVU_Mes_Constante!$BP$1</f>
        <v>4746.7244558258644</v>
      </c>
      <c r="BV125" s="8">
        <f>+MINVU_Mes_Corriente!BV125*MINVU_Mes_Constante!$BP$1</f>
        <v>4746.7244558258644</v>
      </c>
      <c r="BW125" s="8">
        <f>+MINVU_Mes_Corriente!BW125*MINVU_Mes_Constante!$BP$1</f>
        <v>4746.7244558258644</v>
      </c>
      <c r="BX125" s="8">
        <f>+MINVU_Mes_Corriente!BX125*MINVU_Mes_Constante!$BP$1</f>
        <v>5879.8947503201034</v>
      </c>
      <c r="BY125" s="8">
        <f>+MINVU_Mes_Corriente!BY125*MINVU_Mes_Constante!$BP$1</f>
        <v>11671.654033290655</v>
      </c>
      <c r="BZ125" s="8">
        <f>+MINVU_Mes_Corriente!BZ125*MINVU_Mes_Constante!$BP$1</f>
        <v>882406.70320102444</v>
      </c>
      <c r="CA125" s="8">
        <f>+MINVU_Mes_Corriente!CA125*MINVU_Mes_Constante!$BP$1</f>
        <v>4282964.020486556</v>
      </c>
      <c r="CB125" s="9">
        <f t="shared" si="100"/>
        <v>4282964.020486556</v>
      </c>
      <c r="CC125" s="8">
        <f>+MINVU_Mes_Corriente!CC125*MINVU_Mes_Constante!$CC$1</f>
        <v>0</v>
      </c>
      <c r="CD125" s="8">
        <f>+MINVU_Mes_Corriente!CD125*MINVU_Mes_Constante!$CC$1</f>
        <v>0</v>
      </c>
      <c r="CE125" s="8">
        <f>+MINVU_Mes_Corriente!CE125*MINVU_Mes_Constante!$CC$1</f>
        <v>25.810518463259982</v>
      </c>
      <c r="CF125" s="8">
        <f>+MINVU_Mes_Corriente!CF125*MINVU_Mes_Constante!$CC$1</f>
        <v>51.621036926519963</v>
      </c>
      <c r="CG125" s="8">
        <f>+MINVU_Mes_Corriente!CG125*MINVU_Mes_Constante!$CC$1</f>
        <v>51.621036926519963</v>
      </c>
      <c r="CH125" s="8">
        <f>+MINVU_Mes_Corriente!CH125*MINVU_Mes_Constante!$CC$1</f>
        <v>51.621036926519963</v>
      </c>
      <c r="CI125" s="8">
        <f>+MINVU_Mes_Corriente!CI125*MINVU_Mes_Constante!$CC$1</f>
        <v>51.621036926519963</v>
      </c>
      <c r="CJ125" s="8">
        <f>+MINVU_Mes_Corriente!CJ125*MINVU_Mes_Constante!$CC$1</f>
        <v>51.621036926519963</v>
      </c>
      <c r="CK125" s="8">
        <f>+MINVU_Mes_Corriente!CK125*MINVU_Mes_Constante!$CC$1</f>
        <v>766.1648638567699</v>
      </c>
      <c r="CL125" s="8">
        <f>+MINVU_Mes_Corriente!CL125*MINVU_Mes_Constante!$CC$1</f>
        <v>896.57590451324143</v>
      </c>
      <c r="CM125" s="8">
        <f>+MINVU_Mes_Corriente!CM125*MINVU_Mes_Constante!$CC$1</f>
        <v>896.57590451324143</v>
      </c>
      <c r="CN125" s="8">
        <f>+MINVU_Mes_Corriente!CN125*MINVU_Mes_Constante!$CC$1</f>
        <v>125868.38940693773</v>
      </c>
      <c r="CO125" s="9">
        <f t="shared" si="101"/>
        <v>125868.38940693773</v>
      </c>
      <c r="CP125" s="8">
        <f>+MINVU_Mes_Corriente!CP125*MINVU_Mes_Constante!$CP$1</f>
        <v>0</v>
      </c>
      <c r="CQ125" s="8">
        <f>+MINVU_Mes_Corriente!CQ125*MINVU_Mes_Constante!$CP$1</f>
        <v>0</v>
      </c>
      <c r="CR125" s="8">
        <f>+MINVU_Mes_Corriente!CR125*MINVU_Mes_Constante!$CP$1</f>
        <v>0</v>
      </c>
      <c r="CS125" s="8">
        <f>+MINVU_Mes_Corriente!CS125*MINVU_Mes_Constante!$CP$1</f>
        <v>0</v>
      </c>
      <c r="CT125" s="8">
        <f>+MINVU_Mes_Corriente!CT125*MINVU_Mes_Constante!$CP$1</f>
        <v>0</v>
      </c>
      <c r="CU125" s="8">
        <f>+MINVU_Mes_Corriente!CU125*MINVU_Mes_Constante!$CP$1</f>
        <v>0</v>
      </c>
      <c r="CV125" s="8">
        <f>+MINVU_Mes_Corriente!CV125*MINVU_Mes_Constante!$CP$1</f>
        <v>0</v>
      </c>
      <c r="CW125" s="8">
        <f>+MINVU_Mes_Corriente!CW125*MINVU_Mes_Constante!$CP$1</f>
        <v>0</v>
      </c>
      <c r="CX125" s="8">
        <f>+MINVU_Mes_Corriente!CX125*MINVU_Mes_Constante!$CP$1</f>
        <v>0</v>
      </c>
      <c r="CY125" s="8">
        <f>+MINVU_Mes_Corriente!CY125*MINVU_Mes_Constante!$CP$1</f>
        <v>0</v>
      </c>
      <c r="CZ125" s="8">
        <f>+MINVU_Mes_Corriente!CZ125*MINVU_Mes_Constante!$CP$1</f>
        <v>0</v>
      </c>
      <c r="DA125" s="8">
        <f>+MINVU_Mes_Corriente!DA125*MINVU_Mes_Constante!$CP$1</f>
        <v>1225.6893271461715</v>
      </c>
      <c r="DB125" s="9">
        <f t="shared" si="102"/>
        <v>1225.6893271461715</v>
      </c>
      <c r="DC125" s="8">
        <f>+MINVU_Mes_Corriente!DC125*MINVU_Mes_Constante!$DC$1</f>
        <v>0</v>
      </c>
      <c r="DD125" s="8">
        <f>+MINVU_Mes_Corriente!DD125*MINVU_Mes_Constante!$DC$1</f>
        <v>0</v>
      </c>
      <c r="DE125" s="8">
        <f>+MINVU_Mes_Corriente!DE125*MINVU_Mes_Constante!$DC$1</f>
        <v>0</v>
      </c>
      <c r="DF125" s="8">
        <f>+MINVU_Mes_Corriente!DF125*MINVU_Mes_Constante!$DC$1</f>
        <v>0</v>
      </c>
      <c r="DG125" s="8">
        <f>+MINVU_Mes_Corriente!DG125*MINVU_Mes_Constante!$DC$1</f>
        <v>0</v>
      </c>
      <c r="DH125" s="8">
        <f>+MINVU_Mes_Corriente!DH125*MINVU_Mes_Constante!$DC$1</f>
        <v>0</v>
      </c>
      <c r="DI125" s="8">
        <f>+MINVU_Mes_Corriente!DI125*MINVU_Mes_Constante!$DC$1</f>
        <v>0</v>
      </c>
      <c r="DJ125" s="8">
        <f>+MINVU_Mes_Corriente!DJ125*MINVU_Mes_Constante!$DC$1</f>
        <v>0</v>
      </c>
      <c r="DK125" s="8">
        <f>+MINVU_Mes_Corriente!DK125*MINVU_Mes_Constante!$DC$1</f>
        <v>0</v>
      </c>
      <c r="DL125" s="8">
        <f>+MINVU_Mes_Corriente!DL125*MINVU_Mes_Constante!$DC$1</f>
        <v>0</v>
      </c>
      <c r="DM125" s="8">
        <f>+MINVU_Mes_Corriente!DM125*MINVU_Mes_Constante!$DC$1</f>
        <v>0</v>
      </c>
      <c r="DN125" s="8">
        <f>+MINVU_Mes_Corriente!DN125*MINVU_Mes_Constante!$DC$1</f>
        <v>6415595.2408188488</v>
      </c>
      <c r="DO125" s="9">
        <f t="shared" si="103"/>
        <v>6415595.2408188488</v>
      </c>
      <c r="DP125" s="8">
        <f>+MINVU_Mes_Corriente!DP125*MINVU_Mes_Constante!$DP$1</f>
        <v>0</v>
      </c>
      <c r="DQ125" s="8">
        <f>+MINVU_Mes_Corriente!DQ125*MINVU_Mes_Constante!$DP$1</f>
        <v>0</v>
      </c>
      <c r="DR125" s="8">
        <f>+MINVU_Mes_Corriente!DR125*MINVU_Mes_Constante!$DP$1</f>
        <v>0</v>
      </c>
      <c r="DS125" s="8">
        <f>+MINVU_Mes_Corriente!DS125*MINVU_Mes_Constante!$DP$1</f>
        <v>0</v>
      </c>
      <c r="DT125" s="8">
        <f>+MINVU_Mes_Corriente!DT125*MINVU_Mes_Constante!$DP$1</f>
        <v>0</v>
      </c>
      <c r="DU125" s="8">
        <f>+MINVU_Mes_Corriente!DU125*MINVU_Mes_Constante!$DP$1</f>
        <v>0</v>
      </c>
      <c r="DV125" s="8">
        <f>+MINVU_Mes_Corriente!DV125*MINVU_Mes_Constante!$DP$1</f>
        <v>0</v>
      </c>
      <c r="DW125" s="8">
        <f>+MINVU_Mes_Corriente!DW125*MINVU_Mes_Constante!$DP$1</f>
        <v>0</v>
      </c>
      <c r="DX125" s="8">
        <f>+MINVU_Mes_Corriente!DX125*MINVU_Mes_Constante!$DP$1</f>
        <v>0</v>
      </c>
      <c r="DY125" s="8">
        <f>+MINVU_Mes_Corriente!DY125*MINVU_Mes_Constante!$DP$1</f>
        <v>0</v>
      </c>
      <c r="DZ125" s="8">
        <f>+MINVU_Mes_Corriente!DZ125*MINVU_Mes_Constante!$DP$1</f>
        <v>0</v>
      </c>
      <c r="EA125" s="8">
        <f>+MINVU_Mes_Corriente!EA125*MINVU_Mes_Constante!$DP$1</f>
        <v>0</v>
      </c>
      <c r="EB125" s="9">
        <f t="shared" si="104"/>
        <v>0</v>
      </c>
      <c r="EC125" s="8">
        <f>+MINVU_Mes_Corriente!EC125*MINVU_Mes_Constante!$EC$1</f>
        <v>0</v>
      </c>
      <c r="ED125" s="8">
        <f>+MINVU_Mes_Corriente!ED125*MINVU_Mes_Constante!$EC$1</f>
        <v>0</v>
      </c>
      <c r="EE125" s="8">
        <f>+MINVU_Mes_Corriente!EE125*MINVU_Mes_Constante!$EC$1</f>
        <v>0</v>
      </c>
      <c r="EF125" s="8">
        <f>+MINVU_Mes_Corriente!EF125*MINVU_Mes_Constante!$EC$1</f>
        <v>0</v>
      </c>
      <c r="EG125" s="8">
        <f>+MINVU_Mes_Corriente!EG125*MINVU_Mes_Constante!$EC$1</f>
        <v>0</v>
      </c>
      <c r="EH125" s="8">
        <f>+MINVU_Mes_Corriente!EH125*MINVU_Mes_Constante!$EC$1</f>
        <v>0</v>
      </c>
      <c r="EI125" s="8">
        <f>+MINVU_Mes_Corriente!EI125*MINVU_Mes_Constante!$EC$1</f>
        <v>0</v>
      </c>
      <c r="EJ125" s="8">
        <f>+MINVU_Mes_Corriente!EJ125*MINVU_Mes_Constante!$EC$1</f>
        <v>0</v>
      </c>
      <c r="EK125" s="8">
        <f>+MINVU_Mes_Corriente!EK125*MINVU_Mes_Constante!$EC$1</f>
        <v>0</v>
      </c>
      <c r="EL125" s="8">
        <f>+MINVU_Mes_Corriente!EL125*MINVU_Mes_Constante!$EC$1</f>
        <v>0</v>
      </c>
      <c r="EM125" s="8">
        <f>+MINVU_Mes_Corriente!EM125*MINVU_Mes_Constante!$EC$1</f>
        <v>0</v>
      </c>
      <c r="EN125" s="8">
        <f>+MINVU_Mes_Corriente!EN125*MINVU_Mes_Constante!$EC$1</f>
        <v>4825.7706873698144</v>
      </c>
      <c r="EO125" s="9">
        <f t="shared" si="105"/>
        <v>4825.7706873698144</v>
      </c>
      <c r="EP125" s="8">
        <f>+MINVU_Mes_Corriente!EP125*MINVU_Mes_Constante!$EP$1</f>
        <v>0</v>
      </c>
      <c r="EQ125" s="8">
        <f>+MINVU_Mes_Corriente!EQ125*MINVU_Mes_Constante!$EP$1</f>
        <v>0</v>
      </c>
      <c r="ER125" s="8">
        <f>+MINVU_Mes_Corriente!ER125*MINVU_Mes_Constante!$EP$1</f>
        <v>0</v>
      </c>
      <c r="ES125" s="8">
        <f>+MINVU_Mes_Corriente!ES125*MINVU_Mes_Constante!$EP$1</f>
        <v>0</v>
      </c>
      <c r="ET125" s="8">
        <f>+MINVU_Mes_Corriente!ET125*MINVU_Mes_Constante!$EP$1</f>
        <v>0</v>
      </c>
      <c r="EU125" s="8">
        <f>+MINVU_Mes_Corriente!EU125*MINVU_Mes_Constante!$EP$1</f>
        <v>601</v>
      </c>
      <c r="EV125" s="8">
        <f>+MINVU_Mes_Corriente!EV125*MINVU_Mes_Constante!$EP$1</f>
        <v>601</v>
      </c>
      <c r="EW125" s="8">
        <f>+MINVU_Mes_Corriente!EW125*MINVU_Mes_Constante!$EP$1</f>
        <v>601</v>
      </c>
      <c r="EX125" s="8">
        <f>+MINVU_Mes_Corriente!EX125*MINVU_Mes_Constante!$EP$1</f>
        <v>601</v>
      </c>
      <c r="EY125" s="8">
        <f>+MINVU_Mes_Corriente!EY125*MINVU_Mes_Constante!$EP$1</f>
        <v>601</v>
      </c>
      <c r="EZ125" s="8">
        <f>+MINVU_Mes_Corriente!EZ125*MINVU_Mes_Constante!$EP$1</f>
        <v>707</v>
      </c>
      <c r="FA125" s="8">
        <f>+MINVU_Mes_Corriente!FA125*MINVU_Mes_Constante!$EP$1</f>
        <v>707</v>
      </c>
      <c r="FB125" s="9">
        <f t="shared" si="106"/>
        <v>707</v>
      </c>
      <c r="FC125" s="8">
        <f>+MINVU_Mes_Corriente!FC125*MINVU_Mes_Constante!$FC$1</f>
        <v>0</v>
      </c>
      <c r="FD125" s="8">
        <f>+MINVU_Mes_Corriente!FD125*MINVU_Mes_Constante!$FC$1</f>
        <v>0</v>
      </c>
      <c r="FE125" s="8">
        <f>+MINVU_Mes_Corriente!FE125*MINVU_Mes_Constante!$FC$1</f>
        <v>0</v>
      </c>
      <c r="FF125" s="8">
        <f>+MINVU_Mes_Corriente!FF125*MINVU_Mes_Constante!$FC$1</f>
        <v>0</v>
      </c>
      <c r="FG125" s="8">
        <f>+MINVU_Mes_Corriente!FG125*MINVU_Mes_Constante!$FC$1</f>
        <v>0</v>
      </c>
      <c r="FH125" s="8">
        <f>+MINVU_Mes_Corriente!FH125*MINVU_Mes_Constante!$FC$1</f>
        <v>0</v>
      </c>
      <c r="FI125" s="8">
        <f>+MINVU_Mes_Corriente!FI125*MINVU_Mes_Constante!$FC$1</f>
        <v>0</v>
      </c>
      <c r="FJ125" s="8"/>
      <c r="FK125" s="8"/>
      <c r="FL125" s="8"/>
      <c r="FM125" s="8"/>
      <c r="FN125" s="8"/>
      <c r="FO125" s="9">
        <f t="shared" si="107"/>
        <v>0</v>
      </c>
    </row>
    <row r="126" spans="2:171" ht="14.25" customHeight="1" x14ac:dyDescent="0.3">
      <c r="B126" s="7" t="s">
        <v>48</v>
      </c>
      <c r="C126" s="8">
        <f>+MINVU_Mes_Corriente!C126*MINVU_Mes_Constante!$C$1</f>
        <v>0</v>
      </c>
      <c r="D126" s="8">
        <f>+MINVU_Mes_Corriente!D126*MINVU_Mes_Constante!$C$1</f>
        <v>3182.3615601364381</v>
      </c>
      <c r="E126" s="8">
        <f>+MINVU_Mes_Corriente!E126*MINVU_Mes_Constante!$C$1</f>
        <v>3966.6095209847253</v>
      </c>
      <c r="F126" s="8">
        <f>+MINVU_Mes_Corriente!F126*MINVU_Mes_Constante!$C$1</f>
        <v>9010.7498146225735</v>
      </c>
      <c r="G126" s="8">
        <f>+MINVU_Mes_Corriente!G126*MINVU_Mes_Constante!$C$1</f>
        <v>9010.7498146225735</v>
      </c>
      <c r="H126" s="8">
        <f>+MINVU_Mes_Corriente!H126*MINVU_Mes_Constante!$C$1</f>
        <v>9336.4395669583282</v>
      </c>
      <c r="I126" s="8">
        <f>+MINVU_Mes_Corriente!I126*MINVU_Mes_Constante!$C$1</f>
        <v>9443.3824707103686</v>
      </c>
      <c r="J126" s="8">
        <f>+MINVU_Mes_Corriente!J126*MINVU_Mes_Constante!$C$1</f>
        <v>9443.3824707103686</v>
      </c>
      <c r="K126" s="8">
        <f>+MINVU_Mes_Corriente!K126*MINVU_Mes_Constante!$C$1</f>
        <v>9443.3824707103686</v>
      </c>
      <c r="L126" s="8">
        <f>+MINVU_Mes_Corriente!L126*MINVU_Mes_Constante!$C$1</f>
        <v>12880.138514014536</v>
      </c>
      <c r="M126" s="8">
        <f>+MINVU_Mes_Corriente!M126*MINVU_Mes_Constante!$C$1</f>
        <v>12880.138514014536</v>
      </c>
      <c r="N126" s="8">
        <f>+MINVU_Mes_Corriente!N126*MINVU_Mes_Constante!$C$1</f>
        <v>14212.063769835388</v>
      </c>
      <c r="O126" s="9">
        <f t="shared" si="95"/>
        <v>14212.063769835388</v>
      </c>
      <c r="P126" s="8">
        <f>+MINVU_Mes_Corriente!P126*MINVU_Mes_Constante!$P$1</f>
        <v>0</v>
      </c>
      <c r="Q126" s="8">
        <f>+MINVU_Mes_Corriente!Q126*MINVU_Mes_Constante!$P$1</f>
        <v>1190.5443955107255</v>
      </c>
      <c r="R126" s="8">
        <f>+MINVU_Mes_Corriente!R126*MINVU_Mes_Constante!$P$1</f>
        <v>1190.5443955107255</v>
      </c>
      <c r="S126" s="8">
        <f>+MINVU_Mes_Corriente!S126*MINVU_Mes_Constante!$P$1</f>
        <v>1409.4058815172605</v>
      </c>
      <c r="T126" s="8">
        <f>+MINVU_Mes_Corriente!T126*MINVU_Mes_Constante!$P$1</f>
        <v>1715.1910782781638</v>
      </c>
      <c r="U126" s="8">
        <f>+MINVU_Mes_Corriente!U126*MINVU_Mes_Constante!$P$1</f>
        <v>8782.3992044324441</v>
      </c>
      <c r="V126" s="8">
        <f>+MINVU_Mes_Corriente!V126*MINVU_Mes_Constante!$P$1</f>
        <v>8782.3992044324441</v>
      </c>
      <c r="W126" s="8">
        <f>+MINVU_Mes_Corriente!W126*MINVU_Mes_Constante!$P$1</f>
        <v>11759.536297769566</v>
      </c>
      <c r="X126" s="8">
        <f>+MINVU_Mes_Corriente!X126*MINVU_Mes_Constante!$P$1</f>
        <v>14645.093052990476</v>
      </c>
      <c r="Y126" s="8">
        <f>+MINVU_Mes_Corriente!Y126*MINVU_Mes_Constante!$P$1</f>
        <v>14645.093052990476</v>
      </c>
      <c r="Z126" s="8">
        <f>+MINVU_Mes_Corriente!Z126*MINVU_Mes_Constante!$P$1</f>
        <v>18278.814604347201</v>
      </c>
      <c r="AA126" s="8">
        <f>+MINVU_Mes_Corriente!AA126*MINVU_Mes_Constante!$P$1</f>
        <v>20586.949566699808</v>
      </c>
      <c r="AB126" s="9">
        <f t="shared" si="96"/>
        <v>20586.949566699808</v>
      </c>
      <c r="AC126" s="8">
        <f>+MINVU_Mes_Corriente!AC126*MINVU_Mes_Constante!$AC$1</f>
        <v>0</v>
      </c>
      <c r="AD126" s="8">
        <f>+MINVU_Mes_Corriente!AD126*MINVU_Mes_Constante!$AC$1</f>
        <v>285.65693733573107</v>
      </c>
      <c r="AE126" s="8">
        <f>+MINVU_Mes_Corriente!AE126*MINVU_Mes_Constante!$AC$1</f>
        <v>4455.6436574906629</v>
      </c>
      <c r="AF126" s="8">
        <f>+MINVU_Mes_Corriente!AF126*MINVU_Mes_Constante!$AC$1</f>
        <v>5244.6009129893482</v>
      </c>
      <c r="AG126" s="8">
        <f>+MINVU_Mes_Corriente!AG126*MINVU_Mes_Constante!$AC$1</f>
        <v>9624.6739521372256</v>
      </c>
      <c r="AH126" s="8">
        <f>+MINVU_Mes_Corriente!AH126*MINVU_Mes_Constante!$AC$1</f>
        <v>50162.265043574494</v>
      </c>
      <c r="AI126" s="8">
        <f>+MINVU_Mes_Corriente!AI126*MINVU_Mes_Constante!$AC$1</f>
        <v>110579.46299626504</v>
      </c>
      <c r="AJ126" s="8">
        <f>+MINVU_Mes_Corriente!AJ126*MINVU_Mes_Constante!$AC$1</f>
        <v>180851.06958085488</v>
      </c>
      <c r="AK126" s="8">
        <f>+MINVU_Mes_Corriente!AK126*MINVU_Mes_Constante!$AC$1</f>
        <v>209143.19767602711</v>
      </c>
      <c r="AL126" s="8">
        <f>+MINVU_Mes_Corriente!AL126*MINVU_Mes_Constante!$AC$1</f>
        <v>230877.30751141236</v>
      </c>
      <c r="AM126" s="8">
        <f>+MINVU_Mes_Corriente!AM126*MINVU_Mes_Constante!$AC$1</f>
        <v>276000.5237238899</v>
      </c>
      <c r="AN126" s="8">
        <f>+MINVU_Mes_Corriente!AN126*MINVU_Mes_Constante!$AC$1</f>
        <v>535307.4978558583</v>
      </c>
      <c r="AO126" s="9">
        <f t="shared" si="97"/>
        <v>535307.4978558583</v>
      </c>
      <c r="AP126" s="8">
        <f>+MINVU_Mes_Corriente!AP126*MINVU_Mes_Constante!$AP$1</f>
        <v>0</v>
      </c>
      <c r="AQ126" s="8">
        <f>+MINVU_Mes_Corriente!AQ126*MINVU_Mes_Constante!$AP$1</f>
        <v>665.04801839577976</v>
      </c>
      <c r="AR126" s="8">
        <f>+MINVU_Mes_Corriente!AR126*MINVU_Mes_Constante!$AP$1</f>
        <v>665.04801839577976</v>
      </c>
      <c r="AS126" s="8">
        <f>+MINVU_Mes_Corriente!AS126*MINVU_Mes_Constante!$AP$1</f>
        <v>3938.56215338834</v>
      </c>
      <c r="AT126" s="8">
        <f>+MINVU_Mes_Corriente!AT126*MINVU_Mes_Constante!$AP$1</f>
        <v>7293.3599350737177</v>
      </c>
      <c r="AU126" s="8">
        <f>+MINVU_Mes_Corriente!AU126*MINVU_Mes_Constante!$AP$1</f>
        <v>7293.3599350737177</v>
      </c>
      <c r="AV126" s="8">
        <f>+MINVU_Mes_Corriente!AV126*MINVU_Mes_Constante!$AP$1</f>
        <v>7293.3599350737177</v>
      </c>
      <c r="AW126" s="8">
        <f>+MINVU_Mes_Corriente!AW126*MINVU_Mes_Constante!$AP$1</f>
        <v>8045.6031381036109</v>
      </c>
      <c r="AX126" s="8">
        <f>+MINVU_Mes_Corriente!AX126*MINVU_Mes_Constante!$AP$1</f>
        <v>13600.970918436358</v>
      </c>
      <c r="AY126" s="8">
        <f>+MINVU_Mes_Corriente!AY126*MINVU_Mes_Constante!$AP$1</f>
        <v>17375.487893953738</v>
      </c>
      <c r="AZ126" s="8">
        <f>+MINVU_Mes_Corriente!AZ126*MINVU_Mes_Constante!$AP$1</f>
        <v>19228.755038549978</v>
      </c>
      <c r="BA126" s="8">
        <f>+MINVU_Mes_Corriente!BA126*MINVU_Mes_Constante!$AP$1</f>
        <v>1837444.9132963612</v>
      </c>
      <c r="BB126" s="9">
        <f t="shared" si="98"/>
        <v>1837444.9132963612</v>
      </c>
      <c r="BC126" s="8">
        <f>+MINVU_Mes_Corriente!BC126*MINVU_Mes_Constante!$BC$1</f>
        <v>0</v>
      </c>
      <c r="BD126" s="8">
        <f>+MINVU_Mes_Corriente!BD126*MINVU_Mes_Constante!$BC$1</f>
        <v>1963.8847421864702</v>
      </c>
      <c r="BE126" s="8">
        <f>+MINVU_Mes_Corriente!BE126*MINVU_Mes_Constante!$BC$1</f>
        <v>4947.8945008571818</v>
      </c>
      <c r="BF126" s="8">
        <f>+MINVU_Mes_Corriente!BF126*MINVU_Mes_Constante!$BC$1</f>
        <v>5027.1415007253081</v>
      </c>
      <c r="BG126" s="8">
        <f>+MINVU_Mes_Corriente!BG126*MINVU_Mes_Constante!$BC$1</f>
        <v>12627.649215350128</v>
      </c>
      <c r="BH126" s="8">
        <f>+MINVU_Mes_Corriente!BH126*MINVU_Mes_Constante!$BC$1</f>
        <v>13349.517341421604</v>
      </c>
      <c r="BI126" s="8">
        <f>+MINVU_Mes_Corriente!BI126*MINVU_Mes_Constante!$BC$1</f>
        <v>14113.170249241728</v>
      </c>
      <c r="BJ126" s="8">
        <f>+MINVU_Mes_Corriente!BJ126*MINVU_Mes_Constante!$BC$1</f>
        <v>14113.170249241728</v>
      </c>
      <c r="BK126" s="8">
        <f>+MINVU_Mes_Corriente!BK126*MINVU_Mes_Constante!$BC$1</f>
        <v>14113.170249241728</v>
      </c>
      <c r="BL126" s="8">
        <f>+MINVU_Mes_Corriente!BL126*MINVU_Mes_Constante!$BC$1</f>
        <v>20991.809837795074</v>
      </c>
      <c r="BM126" s="8">
        <f>+MINVU_Mes_Corriente!BM126*MINVU_Mes_Constante!$BC$1</f>
        <v>22124.32150863775</v>
      </c>
      <c r="BN126" s="8">
        <f>+MINVU_Mes_Corriente!BN126*MINVU_Mes_Constante!$BC$1</f>
        <v>22445.632071739423</v>
      </c>
      <c r="BO126" s="9">
        <f t="shared" si="99"/>
        <v>22445.632071739423</v>
      </c>
      <c r="BP126" s="8">
        <f>+MINVU_Mes_Corriente!BP126*MINVU_Mes_Constante!$BP$1</f>
        <v>0</v>
      </c>
      <c r="BQ126" s="8">
        <f>+MINVU_Mes_Corriente!BQ126*MINVU_Mes_Constante!$BP$1</f>
        <v>0</v>
      </c>
      <c r="BR126" s="8">
        <f>+MINVU_Mes_Corriente!BR126*MINVU_Mes_Constante!$BP$1</f>
        <v>0</v>
      </c>
      <c r="BS126" s="8">
        <f>+MINVU_Mes_Corriente!BS126*MINVU_Mes_Constante!$BP$1</f>
        <v>0</v>
      </c>
      <c r="BT126" s="8">
        <f>+MINVU_Mes_Corriente!BT126*MINVU_Mes_Constante!$BP$1</f>
        <v>893.9454545454546</v>
      </c>
      <c r="BU126" s="8">
        <f>+MINVU_Mes_Corriente!BU126*MINVU_Mes_Constante!$BP$1</f>
        <v>4490.7119078104997</v>
      </c>
      <c r="BV126" s="8">
        <f>+MINVU_Mes_Corriente!BV126*MINVU_Mes_Constante!$BP$1</f>
        <v>4490.7119078104997</v>
      </c>
      <c r="BW126" s="8">
        <f>+MINVU_Mes_Corriente!BW126*MINVU_Mes_Constante!$BP$1</f>
        <v>10148.169526248401</v>
      </c>
      <c r="BX126" s="8">
        <f>+MINVU_Mes_Corriente!BX126*MINVU_Mes_Constante!$BP$1</f>
        <v>11142.841229193344</v>
      </c>
      <c r="BY126" s="8">
        <f>+MINVU_Mes_Corriente!BY126*MINVU_Mes_Constante!$BP$1</f>
        <v>15973.504225352115</v>
      </c>
      <c r="BZ126" s="8">
        <f>+MINVU_Mes_Corriente!BZ126*MINVU_Mes_Constante!$BP$1</f>
        <v>15973.504225352115</v>
      </c>
      <c r="CA126" s="8">
        <f>+MINVU_Mes_Corriente!CA126*MINVU_Mes_Constante!$BP$1</f>
        <v>1722164.2340588991</v>
      </c>
      <c r="CB126" s="9">
        <f t="shared" si="100"/>
        <v>1722164.2340588991</v>
      </c>
      <c r="CC126" s="8">
        <f>+MINVU_Mes_Corriente!CC126*MINVU_Mes_Constante!$CC$1</f>
        <v>0</v>
      </c>
      <c r="CD126" s="8">
        <f>+MINVU_Mes_Corriente!CD126*MINVU_Mes_Constante!$CC$1</f>
        <v>0</v>
      </c>
      <c r="CE126" s="8">
        <f>+MINVU_Mes_Corriente!CE126*MINVU_Mes_Constante!$CC$1</f>
        <v>0</v>
      </c>
      <c r="CF126" s="8">
        <f>+MINVU_Mes_Corriente!CF126*MINVU_Mes_Constante!$CC$1</f>
        <v>0</v>
      </c>
      <c r="CG126" s="8">
        <f>+MINVU_Mes_Corriente!CG126*MINVU_Mes_Constante!$CC$1</f>
        <v>0</v>
      </c>
      <c r="CH126" s="8">
        <f>+MINVU_Mes_Corriente!CH126*MINVU_Mes_Constante!$CC$1</f>
        <v>0</v>
      </c>
      <c r="CI126" s="8">
        <f>+MINVU_Mes_Corriente!CI126*MINVU_Mes_Constante!$CC$1</f>
        <v>0</v>
      </c>
      <c r="CJ126" s="8">
        <f>+MINVU_Mes_Corriente!CJ126*MINVU_Mes_Constante!$CC$1</f>
        <v>0</v>
      </c>
      <c r="CK126" s="8">
        <f>+MINVU_Mes_Corriente!CK126*MINVU_Mes_Constante!$CC$1</f>
        <v>0</v>
      </c>
      <c r="CL126" s="8">
        <f>+MINVU_Mes_Corriente!CL126*MINVU_Mes_Constante!$CC$1</f>
        <v>0</v>
      </c>
      <c r="CM126" s="8">
        <f>+MINVU_Mes_Corriente!CM126*MINVU_Mes_Constante!$CC$1</f>
        <v>5921.4763148079082</v>
      </c>
      <c r="CN126" s="8">
        <f>+MINVU_Mes_Corriente!CN126*MINVU_Mes_Constante!$CC$1</f>
        <v>18557.762775083927</v>
      </c>
      <c r="CO126" s="9">
        <f t="shared" si="101"/>
        <v>18557.762775083927</v>
      </c>
      <c r="CP126" s="8">
        <f>+MINVU_Mes_Corriente!CP126*MINVU_Mes_Constante!$CP$1</f>
        <v>0</v>
      </c>
      <c r="CQ126" s="8">
        <f>+MINVU_Mes_Corriente!CQ126*MINVU_Mes_Constante!$CP$1</f>
        <v>0</v>
      </c>
      <c r="CR126" s="8">
        <f>+MINVU_Mes_Corriente!CR126*MINVU_Mes_Constante!$CP$1</f>
        <v>1405.6767981438513</v>
      </c>
      <c r="CS126" s="8">
        <f>+MINVU_Mes_Corriente!CS126*MINVU_Mes_Constante!$CP$1</f>
        <v>1405.6767981438513</v>
      </c>
      <c r="CT126" s="8">
        <f>+MINVU_Mes_Corriente!CT126*MINVU_Mes_Constante!$CP$1</f>
        <v>1405.6767981438513</v>
      </c>
      <c r="CU126" s="8">
        <f>+MINVU_Mes_Corriente!CU126*MINVU_Mes_Constante!$CP$1</f>
        <v>4010.4250580046396</v>
      </c>
      <c r="CV126" s="8">
        <f>+MINVU_Mes_Corriente!CV126*MINVU_Mes_Constante!$CP$1</f>
        <v>4701.2220417633398</v>
      </c>
      <c r="CW126" s="8">
        <f>+MINVU_Mes_Corriente!CW126*MINVU_Mes_Constante!$CP$1</f>
        <v>5968.7394431554512</v>
      </c>
      <c r="CX126" s="8">
        <f>+MINVU_Mes_Corriente!CX126*MINVU_Mes_Constante!$CP$1</f>
        <v>5968.7394431554512</v>
      </c>
      <c r="CY126" s="8">
        <f>+MINVU_Mes_Corriente!CY126*MINVU_Mes_Constante!$CP$1</f>
        <v>5968.7394431554512</v>
      </c>
      <c r="CZ126" s="8">
        <f>+MINVU_Mes_Corriente!CZ126*MINVU_Mes_Constante!$CP$1</f>
        <v>6959.9380510440824</v>
      </c>
      <c r="DA126" s="8">
        <f>+MINVU_Mes_Corriente!DA126*MINVU_Mes_Constante!$CP$1</f>
        <v>9757.3489559164718</v>
      </c>
      <c r="DB126" s="9">
        <f t="shared" si="102"/>
        <v>9757.3489559164718</v>
      </c>
      <c r="DC126" s="8">
        <f>+MINVU_Mes_Corriente!DC126*MINVU_Mes_Constante!$DC$1</f>
        <v>0</v>
      </c>
      <c r="DD126" s="8">
        <f>+MINVU_Mes_Corriente!DD126*MINVU_Mes_Constante!$DC$1</f>
        <v>0</v>
      </c>
      <c r="DE126" s="8">
        <f>+MINVU_Mes_Corriente!DE126*MINVU_Mes_Constante!$DC$1</f>
        <v>0</v>
      </c>
      <c r="DF126" s="8">
        <f>+MINVU_Mes_Corriente!DF126*MINVU_Mes_Constante!$DC$1</f>
        <v>0</v>
      </c>
      <c r="DG126" s="8">
        <f>+MINVU_Mes_Corriente!DG126*MINVU_Mes_Constante!$DC$1</f>
        <v>0</v>
      </c>
      <c r="DH126" s="8">
        <f>+MINVU_Mes_Corriente!DH126*MINVU_Mes_Constante!$DC$1</f>
        <v>0</v>
      </c>
      <c r="DI126" s="8">
        <f>+MINVU_Mes_Corriente!DI126*MINVU_Mes_Constante!$DC$1</f>
        <v>0</v>
      </c>
      <c r="DJ126" s="8">
        <f>+MINVU_Mes_Corriente!DJ126*MINVU_Mes_Constante!$DC$1</f>
        <v>0</v>
      </c>
      <c r="DK126" s="8">
        <f>+MINVU_Mes_Corriente!DK126*MINVU_Mes_Constante!$DC$1</f>
        <v>0</v>
      </c>
      <c r="DL126" s="8">
        <f>+MINVU_Mes_Corriente!DL126*MINVU_Mes_Constante!$DC$1</f>
        <v>0</v>
      </c>
      <c r="DM126" s="8">
        <f>+MINVU_Mes_Corriente!DM126*MINVU_Mes_Constante!$DC$1</f>
        <v>0</v>
      </c>
      <c r="DN126" s="8">
        <f>+MINVU_Mes_Corriente!DN126*MINVU_Mes_Constante!$DC$1</f>
        <v>9351871.477008542</v>
      </c>
      <c r="DO126" s="9">
        <f t="shared" si="103"/>
        <v>9351871.477008542</v>
      </c>
      <c r="DP126" s="8">
        <f>+MINVU_Mes_Corriente!DP126*MINVU_Mes_Constante!$DP$1</f>
        <v>0</v>
      </c>
      <c r="DQ126" s="8">
        <f>+MINVU_Mes_Corriente!DQ126*MINVU_Mes_Constante!$DP$1</f>
        <v>0</v>
      </c>
      <c r="DR126" s="8">
        <f>+MINVU_Mes_Corriente!DR126*MINVU_Mes_Constante!$DP$1</f>
        <v>0</v>
      </c>
      <c r="DS126" s="8">
        <f>+MINVU_Mes_Corriente!DS126*MINVU_Mes_Constante!$DP$1</f>
        <v>0</v>
      </c>
      <c r="DT126" s="8">
        <f>+MINVU_Mes_Corriente!DT126*MINVU_Mes_Constante!$DP$1</f>
        <v>0</v>
      </c>
      <c r="DU126" s="8">
        <f>+MINVU_Mes_Corriente!DU126*MINVU_Mes_Constante!$DP$1</f>
        <v>0</v>
      </c>
      <c r="DV126" s="8">
        <f>+MINVU_Mes_Corriente!DV126*MINVU_Mes_Constante!$DP$1</f>
        <v>0</v>
      </c>
      <c r="DW126" s="8">
        <f>+MINVU_Mes_Corriente!DW126*MINVU_Mes_Constante!$DP$1</f>
        <v>0</v>
      </c>
      <c r="DX126" s="8">
        <f>+MINVU_Mes_Corriente!DX126*MINVU_Mes_Constante!$DP$1</f>
        <v>0</v>
      </c>
      <c r="DY126" s="8">
        <f>+MINVU_Mes_Corriente!DY126*MINVU_Mes_Constante!$DP$1</f>
        <v>0</v>
      </c>
      <c r="DZ126" s="8">
        <f>+MINVU_Mes_Corriente!DZ126*MINVU_Mes_Constante!$DP$1</f>
        <v>0</v>
      </c>
      <c r="EA126" s="8">
        <f>+MINVU_Mes_Corriente!EA126*MINVU_Mes_Constante!$DP$1</f>
        <v>355246.38954869361</v>
      </c>
      <c r="EB126" s="9">
        <f t="shared" si="104"/>
        <v>355246.38954869361</v>
      </c>
      <c r="EC126" s="8">
        <f>+MINVU_Mes_Corriente!EC126*MINVU_Mes_Constante!$EC$1</f>
        <v>0</v>
      </c>
      <c r="ED126" s="8">
        <f>+MINVU_Mes_Corriente!ED126*MINVU_Mes_Constante!$EC$1</f>
        <v>0</v>
      </c>
      <c r="EE126" s="8">
        <f>+MINVU_Mes_Corriente!EE126*MINVU_Mes_Constante!$EC$1</f>
        <v>0</v>
      </c>
      <c r="EF126" s="8">
        <f>+MINVU_Mes_Corriente!EF126*MINVU_Mes_Constante!$EC$1</f>
        <v>0</v>
      </c>
      <c r="EG126" s="8">
        <f>+MINVU_Mes_Corriente!EG126*MINVU_Mes_Constante!$EC$1</f>
        <v>0</v>
      </c>
      <c r="EH126" s="8">
        <f>+MINVU_Mes_Corriente!EH126*MINVU_Mes_Constante!$EC$1</f>
        <v>0</v>
      </c>
      <c r="EI126" s="8">
        <f>+MINVU_Mes_Corriente!EI126*MINVU_Mes_Constante!$EC$1</f>
        <v>5443.3451997727689</v>
      </c>
      <c r="EJ126" s="8">
        <f>+MINVU_Mes_Corriente!EJ126*MINVU_Mes_Constante!$EC$1</f>
        <v>5443.3451997727689</v>
      </c>
      <c r="EK126" s="8">
        <f>+MINVU_Mes_Corriente!EK126*MINVU_Mes_Constante!$EC$1</f>
        <v>6120.9185760272658</v>
      </c>
      <c r="EL126" s="8">
        <f>+MINVU_Mes_Corriente!EL126*MINVU_Mes_Constante!$EC$1</f>
        <v>6120.9185760272658</v>
      </c>
      <c r="EM126" s="8">
        <f>+MINVU_Mes_Corriente!EM126*MINVU_Mes_Constante!$EC$1</f>
        <v>6309.1908729407287</v>
      </c>
      <c r="EN126" s="8">
        <f>+MINVU_Mes_Corriente!EN126*MINVU_Mes_Constante!$EC$1</f>
        <v>6875.0422268509728</v>
      </c>
      <c r="EO126" s="9">
        <f t="shared" si="105"/>
        <v>6875.0422268509728</v>
      </c>
      <c r="EP126" s="8">
        <f>+MINVU_Mes_Corriente!EP126*MINVU_Mes_Constante!$EP$1</f>
        <v>0</v>
      </c>
      <c r="EQ126" s="8">
        <f>+MINVU_Mes_Corriente!EQ126*MINVU_Mes_Constante!$EP$1</f>
        <v>0</v>
      </c>
      <c r="ER126" s="8">
        <f>+MINVU_Mes_Corriente!ER126*MINVU_Mes_Constante!$EP$1</f>
        <v>0</v>
      </c>
      <c r="ES126" s="8">
        <f>+MINVU_Mes_Corriente!ES126*MINVU_Mes_Constante!$EP$1</f>
        <v>5114</v>
      </c>
      <c r="ET126" s="8">
        <f>+MINVU_Mes_Corriente!ET126*MINVU_Mes_Constante!$EP$1</f>
        <v>5114</v>
      </c>
      <c r="EU126" s="8">
        <f>+MINVU_Mes_Corriente!EU126*MINVU_Mes_Constante!$EP$1</f>
        <v>5114</v>
      </c>
      <c r="EV126" s="8">
        <f>+MINVU_Mes_Corriente!EV126*MINVU_Mes_Constante!$EP$1</f>
        <v>5114</v>
      </c>
      <c r="EW126" s="8">
        <f>+MINVU_Mes_Corriente!EW126*MINVU_Mes_Constante!$EP$1</f>
        <v>6540</v>
      </c>
      <c r="EX126" s="8">
        <f>+MINVU_Mes_Corriente!EX126*MINVU_Mes_Constante!$EP$1</f>
        <v>6540</v>
      </c>
      <c r="EY126" s="8">
        <f>+MINVU_Mes_Corriente!EY126*MINVU_Mes_Constante!$EP$1</f>
        <v>6540</v>
      </c>
      <c r="EZ126" s="8">
        <f>+MINVU_Mes_Corriente!EZ126*MINVU_Mes_Constante!$EP$1</f>
        <v>6540</v>
      </c>
      <c r="FA126" s="8">
        <f>+MINVU_Mes_Corriente!FA126*MINVU_Mes_Constante!$EP$1</f>
        <v>6540</v>
      </c>
      <c r="FB126" s="9">
        <f t="shared" si="106"/>
        <v>6540</v>
      </c>
      <c r="FC126" s="8">
        <f>+MINVU_Mes_Corriente!FC126*MINVU_Mes_Constante!$FC$1</f>
        <v>0</v>
      </c>
      <c r="FD126" s="8">
        <f>+MINVU_Mes_Corriente!FD126*MINVU_Mes_Constante!$FC$1</f>
        <v>0</v>
      </c>
      <c r="FE126" s="8">
        <f>+MINVU_Mes_Corriente!FE126*MINVU_Mes_Constante!$FC$1</f>
        <v>0</v>
      </c>
      <c r="FF126" s="8">
        <f>+MINVU_Mes_Corriente!FF126*MINVU_Mes_Constante!$FC$1</f>
        <v>0</v>
      </c>
      <c r="FG126" s="8">
        <f>+MINVU_Mes_Corriente!FG126*MINVU_Mes_Constante!$FC$1</f>
        <v>0</v>
      </c>
      <c r="FH126" s="8">
        <f>+MINVU_Mes_Corriente!FH126*MINVU_Mes_Constante!$FC$1</f>
        <v>0</v>
      </c>
      <c r="FI126" s="8">
        <f>+MINVU_Mes_Corriente!FI126*MINVU_Mes_Constante!$FC$1</f>
        <v>0</v>
      </c>
      <c r="FJ126" s="8"/>
      <c r="FK126" s="8"/>
      <c r="FL126" s="8"/>
      <c r="FM126" s="8"/>
      <c r="FN126" s="8"/>
      <c r="FO126" s="9">
        <f t="shared" si="107"/>
        <v>0</v>
      </c>
    </row>
    <row r="127" spans="2:171" ht="14.25" customHeight="1" x14ac:dyDescent="0.3">
      <c r="B127" s="7" t="s">
        <v>49</v>
      </c>
      <c r="C127" s="8">
        <f>+MINVU_Mes_Corriente!C127*MINVU_Mes_Constante!$C$1</f>
        <v>377.54085718522919</v>
      </c>
      <c r="D127" s="8">
        <f>+MINVU_Mes_Corriente!D127*MINVU_Mes_Constante!$C$1</f>
        <v>1800.2055464926593</v>
      </c>
      <c r="E127" s="8">
        <f>+MINVU_Mes_Corriente!E127*MINVU_Mes_Constante!$C$1</f>
        <v>2514.7785851994663</v>
      </c>
      <c r="F127" s="8">
        <f>+MINVU_Mes_Corriente!F127*MINVU_Mes_Constante!$C$1</f>
        <v>5564.271689159129</v>
      </c>
      <c r="G127" s="8">
        <f>+MINVU_Mes_Corriente!G127*MINVU_Mes_Constante!$C$1</f>
        <v>5585.3362005042272</v>
      </c>
      <c r="H127" s="8">
        <f>+MINVU_Mes_Corriente!H127*MINVU_Mes_Constante!$C$1</f>
        <v>11329.466409609968</v>
      </c>
      <c r="I127" s="8">
        <f>+MINVU_Mes_Corriente!I127*MINVU_Mes_Constante!$C$1</f>
        <v>14955.803055020024</v>
      </c>
      <c r="J127" s="8">
        <f>+MINVU_Mes_Corriente!J127*MINVU_Mes_Constante!$C$1</f>
        <v>17825.437639033073</v>
      </c>
      <c r="K127" s="8">
        <f>+MINVU_Mes_Corriente!K127*MINVU_Mes_Constante!$C$1</f>
        <v>21079.094468337538</v>
      </c>
      <c r="L127" s="8">
        <f>+MINVU_Mes_Corriente!L127*MINVU_Mes_Constante!$C$1</f>
        <v>22816.106480794901</v>
      </c>
      <c r="M127" s="8">
        <f>+MINVU_Mes_Corriente!M127*MINVU_Mes_Constante!$C$1</f>
        <v>24799.411241287264</v>
      </c>
      <c r="N127" s="8">
        <f>+MINVU_Mes_Corriente!N127*MINVU_Mes_Constante!$C$1</f>
        <v>30841.685303277478</v>
      </c>
      <c r="O127" s="9">
        <f t="shared" si="95"/>
        <v>30841.685303277478</v>
      </c>
      <c r="P127" s="8">
        <f>+MINVU_Mes_Corriente!P127*MINVU_Mes_Constante!$P$1</f>
        <v>473.42378178718548</v>
      </c>
      <c r="Q127" s="8">
        <f>+MINVU_Mes_Corriente!Q127*MINVU_Mes_Constante!$P$1</f>
        <v>2595.2936496661446</v>
      </c>
      <c r="R127" s="8">
        <f>+MINVU_Mes_Corriente!R127*MINVU_Mes_Constante!$P$1</f>
        <v>3393.1291376615982</v>
      </c>
      <c r="S127" s="8">
        <f>+MINVU_Mes_Corriente!S127*MINVU_Mes_Constante!$P$1</f>
        <v>4627.1353885495082</v>
      </c>
      <c r="T127" s="8">
        <f>+MINVU_Mes_Corriente!T127*MINVU_Mes_Constante!$P$1</f>
        <v>5421.8664583037344</v>
      </c>
      <c r="U127" s="8">
        <f>+MINVU_Mes_Corriente!U127*MINVU_Mes_Constante!$P$1</f>
        <v>12563.580622247473</v>
      </c>
      <c r="V127" s="8">
        <f>+MINVU_Mes_Corriente!V127*MINVU_Mes_Constante!$P$1</f>
        <v>15730.087228299468</v>
      </c>
      <c r="W127" s="8">
        <f>+MINVU_Mes_Corriente!W127*MINVU_Mes_Constante!$P$1</f>
        <v>2061811.7925841731</v>
      </c>
      <c r="X127" s="8">
        <f>+MINVU_Mes_Corriente!X127*MINVU_Mes_Constante!$P$1</f>
        <v>2088349.911919306</v>
      </c>
      <c r="Y127" s="8">
        <f>+MINVU_Mes_Corriente!Y127*MINVU_Mes_Constante!$P$1</f>
        <v>2107285.3109816727</v>
      </c>
      <c r="Z127" s="8">
        <f>+MINVU_Mes_Corriente!Z127*MINVU_Mes_Constante!$P$1</f>
        <v>2108789.4016195475</v>
      </c>
      <c r="AA127" s="8">
        <f>+MINVU_Mes_Corriente!AA127*MINVU_Mes_Constante!$P$1</f>
        <v>2118566.7668702933</v>
      </c>
      <c r="AB127" s="9">
        <f t="shared" si="96"/>
        <v>2118566.7668702933</v>
      </c>
      <c r="AC127" s="8">
        <f>+MINVU_Mes_Corriente!AC127*MINVU_Mes_Constante!$AC$1</f>
        <v>0</v>
      </c>
      <c r="AD127" s="8">
        <f>+MINVU_Mes_Corriente!AD127*MINVU_Mes_Constante!$AC$1</f>
        <v>1026.2489970950339</v>
      </c>
      <c r="AE127" s="8">
        <f>+MINVU_Mes_Corriente!AE127*MINVU_Mes_Constante!$AC$1</f>
        <v>102461.66717388298</v>
      </c>
      <c r="AF127" s="8">
        <f>+MINVU_Mes_Corriente!AF127*MINVU_Mes_Constante!$AC$1</f>
        <v>104452.19726103195</v>
      </c>
      <c r="AG127" s="8">
        <f>+MINVU_Mes_Corriente!AG127*MINVU_Mes_Constante!$AC$1</f>
        <v>104452.19726103195</v>
      </c>
      <c r="AH127" s="8">
        <f>+MINVU_Mes_Corriente!AH127*MINVU_Mes_Constante!$AC$1</f>
        <v>113046.08797897358</v>
      </c>
      <c r="AI127" s="8">
        <f>+MINVU_Mes_Corriente!AI127*MINVU_Mes_Constante!$AC$1</f>
        <v>113209.320514594</v>
      </c>
      <c r="AJ127" s="8">
        <f>+MINVU_Mes_Corriente!AJ127*MINVU_Mes_Constante!$AC$1</f>
        <v>114973.13874671463</v>
      </c>
      <c r="AK127" s="8">
        <f>+MINVU_Mes_Corriente!AK127*MINVU_Mes_Constante!$AC$1</f>
        <v>114973.13874671463</v>
      </c>
      <c r="AL127" s="8">
        <f>+MINVU_Mes_Corriente!AL127*MINVU_Mes_Constante!$AC$1</f>
        <v>114973.13874671463</v>
      </c>
      <c r="AM127" s="8">
        <f>+MINVU_Mes_Corriente!AM127*MINVU_Mes_Constante!$AC$1</f>
        <v>1313919.1357034168</v>
      </c>
      <c r="AN127" s="8">
        <f>+MINVU_Mes_Corriente!AN127*MINVU_Mes_Constante!$AC$1</f>
        <v>3423031.6143311663</v>
      </c>
      <c r="AO127" s="9">
        <f t="shared" si="97"/>
        <v>3423031.6143311663</v>
      </c>
      <c r="AP127" s="8">
        <f>+MINVU_Mes_Corriente!AP127*MINVU_Mes_Constante!$AP$1</f>
        <v>0</v>
      </c>
      <c r="AQ127" s="8">
        <f>+MINVU_Mes_Corriente!AQ127*MINVU_Mes_Constante!$AP$1</f>
        <v>6405.1513593940208</v>
      </c>
      <c r="AR127" s="8">
        <f>+MINVU_Mes_Corriente!AR127*MINVU_Mes_Constante!$AP$1</f>
        <v>6405.1513593940208</v>
      </c>
      <c r="AS127" s="8">
        <f>+MINVU_Mes_Corriente!AS127*MINVU_Mes_Constante!$AP$1</f>
        <v>6405.1513593940208</v>
      </c>
      <c r="AT127" s="8">
        <f>+MINVU_Mes_Corriente!AT127*MINVU_Mes_Constante!$AP$1</f>
        <v>1234682.3365345597</v>
      </c>
      <c r="AU127" s="8">
        <f>+MINVU_Mes_Corriente!AU127*MINVU_Mes_Constante!$AP$1</f>
        <v>1240901.2744488029</v>
      </c>
      <c r="AV127" s="8">
        <f>+MINVU_Mes_Corriente!AV127*MINVU_Mes_Constante!$AP$1</f>
        <v>1254916.0530231299</v>
      </c>
      <c r="AW127" s="8">
        <f>+MINVU_Mes_Corriente!AW127*MINVU_Mes_Constante!$AP$1</f>
        <v>1671562.7250101445</v>
      </c>
      <c r="AX127" s="8">
        <f>+MINVU_Mes_Corriente!AX127*MINVU_Mes_Constante!$AP$1</f>
        <v>1657030.6868659542</v>
      </c>
      <c r="AY127" s="8">
        <f>+MINVU_Mes_Corriente!AY127*MINVU_Mes_Constante!$AP$1</f>
        <v>1657460.7512511835</v>
      </c>
      <c r="AZ127" s="8">
        <f>+MINVU_Mes_Corriente!AZ127*MINVU_Mes_Constante!$AP$1</f>
        <v>1658682.9617205462</v>
      </c>
      <c r="BA127" s="8">
        <f>+MINVU_Mes_Corriente!BA127*MINVU_Mes_Constante!$AP$1</f>
        <v>3127123.7651832812</v>
      </c>
      <c r="BB127" s="9">
        <f t="shared" si="98"/>
        <v>3127123.7651832812</v>
      </c>
      <c r="BC127" s="8">
        <f>+MINVU_Mes_Corriente!BC127*MINVU_Mes_Constante!$BC$1</f>
        <v>0</v>
      </c>
      <c r="BD127" s="8">
        <f>+MINVU_Mes_Corriente!BD127*MINVU_Mes_Constante!$BC$1</f>
        <v>1216.0812343399714</v>
      </c>
      <c r="BE127" s="8">
        <f>+MINVU_Mes_Corriente!BE127*MINVU_Mes_Constante!$BC$1</f>
        <v>1216.0812343399714</v>
      </c>
      <c r="BF127" s="8">
        <f>+MINVU_Mes_Corriente!BF127*MINVU_Mes_Constante!$BC$1</f>
        <v>2164.1635236713705</v>
      </c>
      <c r="BG127" s="8">
        <f>+MINVU_Mes_Corriente!BG127*MINVU_Mes_Constante!$BC$1</f>
        <v>2373.0874324146121</v>
      </c>
      <c r="BH127" s="8">
        <f>+MINVU_Mes_Corriente!BH127*MINVU_Mes_Constante!$BC$1</f>
        <v>2373.0874324146121</v>
      </c>
      <c r="BI127" s="8">
        <f>+MINVU_Mes_Corriente!BI127*MINVU_Mes_Constante!$BC$1</f>
        <v>7368.5301331926694</v>
      </c>
      <c r="BJ127" s="8">
        <f>+MINVU_Mes_Corriente!BJ127*MINVU_Mes_Constante!$BC$1</f>
        <v>9558.6290386390629</v>
      </c>
      <c r="BK127" s="8">
        <f>+MINVU_Mes_Corriente!BK127*MINVU_Mes_Constante!$BC$1</f>
        <v>11153.655017802983</v>
      </c>
      <c r="BL127" s="8">
        <f>+MINVU_Mes_Corriente!BL127*MINVU_Mes_Constante!$BC$1</f>
        <v>11838.06092575498</v>
      </c>
      <c r="BM127" s="8">
        <f>+MINVU_Mes_Corriente!BM127*MINVU_Mes_Constante!$BC$1</f>
        <v>11838.06092575498</v>
      </c>
      <c r="BN127" s="8">
        <f>+MINVU_Mes_Corriente!BN127*MINVU_Mes_Constante!$BC$1</f>
        <v>118703.36067519455</v>
      </c>
      <c r="BO127" s="9">
        <f t="shared" si="99"/>
        <v>118703.36067519455</v>
      </c>
      <c r="BP127" s="8">
        <f>+MINVU_Mes_Corriente!BP127*MINVU_Mes_Constante!$BP$1</f>
        <v>0</v>
      </c>
      <c r="BQ127" s="8">
        <f>+MINVU_Mes_Corriente!BQ127*MINVU_Mes_Constante!$BP$1</f>
        <v>0</v>
      </c>
      <c r="BR127" s="8">
        <f>+MINVU_Mes_Corriente!BR127*MINVU_Mes_Constante!$BP$1</f>
        <v>0</v>
      </c>
      <c r="BS127" s="8">
        <f>+MINVU_Mes_Corriente!BS127*MINVU_Mes_Constante!$BP$1</f>
        <v>0</v>
      </c>
      <c r="BT127" s="8">
        <f>+MINVU_Mes_Corriente!BT127*MINVU_Mes_Constante!$BP$1</f>
        <v>0</v>
      </c>
      <c r="BU127" s="8">
        <f>+MINVU_Mes_Corriente!BU127*MINVU_Mes_Constante!$BP$1</f>
        <v>8960.4391805377727</v>
      </c>
      <c r="BV127" s="8">
        <f>+MINVU_Mes_Corriente!BV127*MINVU_Mes_Constante!$BP$1</f>
        <v>9619.3567221510893</v>
      </c>
      <c r="BW127" s="8">
        <f>+MINVU_Mes_Corriente!BW127*MINVU_Mes_Constante!$BP$1</f>
        <v>9619.3567221510893</v>
      </c>
      <c r="BX127" s="8">
        <f>+MINVU_Mes_Corriente!BX127*MINVU_Mes_Constante!$BP$1</f>
        <v>9619.3567221510893</v>
      </c>
      <c r="BY127" s="8">
        <f>+MINVU_Mes_Corriente!BY127*MINVU_Mes_Constante!$BP$1</f>
        <v>9619.3567221510893</v>
      </c>
      <c r="BZ127" s="8">
        <f>+MINVU_Mes_Corriente!BZ127*MINVU_Mes_Constante!$BP$1</f>
        <v>9619.3567221510893</v>
      </c>
      <c r="CA127" s="8">
        <f>+MINVU_Mes_Corriente!CA127*MINVU_Mes_Constante!$BP$1</f>
        <v>16461.746734955188</v>
      </c>
      <c r="CB127" s="9">
        <f t="shared" si="100"/>
        <v>16461.746734955188</v>
      </c>
      <c r="CC127" s="8">
        <f>+MINVU_Mes_Corriente!CC127*MINVU_Mes_Constante!$CC$1</f>
        <v>0</v>
      </c>
      <c r="CD127" s="8">
        <f>+MINVU_Mes_Corriente!CD127*MINVU_Mes_Constante!$CC$1</f>
        <v>0</v>
      </c>
      <c r="CE127" s="8">
        <f>+MINVU_Mes_Corriente!CE127*MINVU_Mes_Constante!$CC$1</f>
        <v>0</v>
      </c>
      <c r="CF127" s="8">
        <f>+MINVU_Mes_Corriente!CF127*MINVU_Mes_Constante!$CC$1</f>
        <v>0</v>
      </c>
      <c r="CG127" s="8">
        <f>+MINVU_Mes_Corriente!CG127*MINVU_Mes_Constante!$CC$1</f>
        <v>0</v>
      </c>
      <c r="CH127" s="8">
        <f>+MINVU_Mes_Corriente!CH127*MINVU_Mes_Constante!$CC$1</f>
        <v>0</v>
      </c>
      <c r="CI127" s="8">
        <f>+MINVU_Mes_Corriente!CI127*MINVU_Mes_Constante!$CC$1</f>
        <v>0</v>
      </c>
      <c r="CJ127" s="8">
        <f>+MINVU_Mes_Corriente!CJ127*MINVU_Mes_Constante!$CC$1</f>
        <v>0</v>
      </c>
      <c r="CK127" s="8">
        <f>+MINVU_Mes_Corriente!CK127*MINVU_Mes_Constante!$CC$1</f>
        <v>0</v>
      </c>
      <c r="CL127" s="8">
        <f>+MINVU_Mes_Corriente!CL127*MINVU_Mes_Constante!$CC$1</f>
        <v>0</v>
      </c>
      <c r="CM127" s="8">
        <f>+MINVU_Mes_Corriente!CM127*MINVU_Mes_Constante!$CC$1</f>
        <v>3954.4431182394633</v>
      </c>
      <c r="CN127" s="8">
        <f>+MINVU_Mes_Corriente!CN127*MINVU_Mes_Constante!$CC$1</f>
        <v>1542365.9440507274</v>
      </c>
      <c r="CO127" s="9">
        <f t="shared" si="101"/>
        <v>1542365.9440507274</v>
      </c>
      <c r="CP127" s="8">
        <f>+MINVU_Mes_Corriente!CP127*MINVU_Mes_Constante!$CP$1</f>
        <v>0</v>
      </c>
      <c r="CQ127" s="8">
        <f>+MINVU_Mes_Corriente!CQ127*MINVU_Mes_Constante!$CP$1</f>
        <v>0</v>
      </c>
      <c r="CR127" s="8">
        <f>+MINVU_Mes_Corriente!CR127*MINVU_Mes_Constante!$CP$1</f>
        <v>0</v>
      </c>
      <c r="CS127" s="8">
        <f>+MINVU_Mes_Corriente!CS127*MINVU_Mes_Constante!$CP$1</f>
        <v>0</v>
      </c>
      <c r="CT127" s="8">
        <f>+MINVU_Mes_Corriente!CT127*MINVU_Mes_Constante!$CP$1</f>
        <v>0</v>
      </c>
      <c r="CU127" s="8">
        <f>+MINVU_Mes_Corriente!CU127*MINVU_Mes_Constante!$CP$1</f>
        <v>932.8928074245938</v>
      </c>
      <c r="CV127" s="8">
        <f>+MINVU_Mes_Corriente!CV127*MINVU_Mes_Constante!$CP$1</f>
        <v>932.8928074245938</v>
      </c>
      <c r="CW127" s="8">
        <f>+MINVU_Mes_Corriente!CW127*MINVU_Mes_Constante!$CP$1</f>
        <v>2066921.6136890948</v>
      </c>
      <c r="CX127" s="8">
        <f>+MINVU_Mes_Corriente!CX127*MINVU_Mes_Constante!$CP$1</f>
        <v>2072655.8624129926</v>
      </c>
      <c r="CY127" s="8">
        <f>+MINVU_Mes_Corriente!CY127*MINVU_Mes_Constante!$CP$1</f>
        <v>2072655.8624129926</v>
      </c>
      <c r="CZ127" s="8">
        <f>+MINVU_Mes_Corriente!CZ127*MINVU_Mes_Constante!$CP$1</f>
        <v>2072655.8624129926</v>
      </c>
      <c r="DA127" s="8">
        <f>+MINVU_Mes_Corriente!DA127*MINVU_Mes_Constante!$CP$1</f>
        <v>2107536.6737819021</v>
      </c>
      <c r="DB127" s="9">
        <f t="shared" si="102"/>
        <v>2107536.6737819021</v>
      </c>
      <c r="DC127" s="8">
        <f>+MINVU_Mes_Corriente!DC127*MINVU_Mes_Constante!$DC$1</f>
        <v>0</v>
      </c>
      <c r="DD127" s="8">
        <f>+MINVU_Mes_Corriente!DD127*MINVU_Mes_Constante!$DC$1</f>
        <v>0</v>
      </c>
      <c r="DE127" s="8">
        <f>+MINVU_Mes_Corriente!DE127*MINVU_Mes_Constante!$DC$1</f>
        <v>0</v>
      </c>
      <c r="DF127" s="8">
        <f>+MINVU_Mes_Corriente!DF127*MINVU_Mes_Constante!$DC$1</f>
        <v>0</v>
      </c>
      <c r="DG127" s="8">
        <f>+MINVU_Mes_Corriente!DG127*MINVU_Mes_Constante!$DC$1</f>
        <v>0</v>
      </c>
      <c r="DH127" s="8">
        <f>+MINVU_Mes_Corriente!DH127*MINVU_Mes_Constante!$DC$1</f>
        <v>0</v>
      </c>
      <c r="DI127" s="8">
        <f>+MINVU_Mes_Corriente!DI127*MINVU_Mes_Constante!$DC$1</f>
        <v>0</v>
      </c>
      <c r="DJ127" s="8">
        <f>+MINVU_Mes_Corriente!DJ127*MINVU_Mes_Constante!$DC$1</f>
        <v>0</v>
      </c>
      <c r="DK127" s="8">
        <f>+MINVU_Mes_Corriente!DK127*MINVU_Mes_Constante!$DC$1</f>
        <v>0</v>
      </c>
      <c r="DL127" s="8">
        <f>+MINVU_Mes_Corriente!DL127*MINVU_Mes_Constante!$DC$1</f>
        <v>0</v>
      </c>
      <c r="DM127" s="8">
        <f>+MINVU_Mes_Corriente!DM127*MINVU_Mes_Constante!$DC$1</f>
        <v>0</v>
      </c>
      <c r="DN127" s="8">
        <f>+MINVU_Mes_Corriente!DN127*MINVU_Mes_Constante!$DC$1</f>
        <v>28739238.549326215</v>
      </c>
      <c r="DO127" s="9">
        <f t="shared" si="103"/>
        <v>28739238.549326215</v>
      </c>
      <c r="DP127" s="8">
        <f>+MINVU_Mes_Corriente!DP127*MINVU_Mes_Constante!$DP$1</f>
        <v>0</v>
      </c>
      <c r="DQ127" s="8">
        <f>+MINVU_Mes_Corriente!DQ127*MINVU_Mes_Constante!$DP$1</f>
        <v>0</v>
      </c>
      <c r="DR127" s="8">
        <f>+MINVU_Mes_Corriente!DR127*MINVU_Mes_Constante!$DP$1</f>
        <v>0</v>
      </c>
      <c r="DS127" s="8">
        <f>+MINVU_Mes_Corriente!DS127*MINVU_Mes_Constante!$DP$1</f>
        <v>0</v>
      </c>
      <c r="DT127" s="8">
        <f>+MINVU_Mes_Corriente!DT127*MINVU_Mes_Constante!$DP$1</f>
        <v>0</v>
      </c>
      <c r="DU127" s="8">
        <f>+MINVU_Mes_Corriente!DU127*MINVU_Mes_Constante!$DP$1</f>
        <v>0</v>
      </c>
      <c r="DV127" s="8">
        <f>+MINVU_Mes_Corriente!DV127*MINVU_Mes_Constante!$DP$1</f>
        <v>0</v>
      </c>
      <c r="DW127" s="8">
        <f>+MINVU_Mes_Corriente!DW127*MINVU_Mes_Constante!$DP$1</f>
        <v>0</v>
      </c>
      <c r="DX127" s="8">
        <f>+MINVU_Mes_Corriente!DX127*MINVU_Mes_Constante!$DP$1</f>
        <v>0</v>
      </c>
      <c r="DY127" s="8">
        <f>+MINVU_Mes_Corriente!DY127*MINVU_Mes_Constante!$DP$1</f>
        <v>0</v>
      </c>
      <c r="DZ127" s="8">
        <f>+MINVU_Mes_Corriente!DZ127*MINVU_Mes_Constante!$DP$1</f>
        <v>0</v>
      </c>
      <c r="EA127" s="8">
        <f>+MINVU_Mes_Corriente!EA127*MINVU_Mes_Constante!$DP$1</f>
        <v>0</v>
      </c>
      <c r="EB127" s="9">
        <f t="shared" si="104"/>
        <v>0</v>
      </c>
      <c r="EC127" s="8">
        <f>+MINVU_Mes_Corriente!EC127*MINVU_Mes_Constante!$EC$1</f>
        <v>0</v>
      </c>
      <c r="ED127" s="8">
        <f>+MINVU_Mes_Corriente!ED127*MINVU_Mes_Constante!$EC$1</f>
        <v>0</v>
      </c>
      <c r="EE127" s="8">
        <f>+MINVU_Mes_Corriente!EE127*MINVU_Mes_Constante!$EC$1</f>
        <v>0</v>
      </c>
      <c r="EF127" s="8">
        <f>+MINVU_Mes_Corriente!EF127*MINVU_Mes_Constante!$EC$1</f>
        <v>0</v>
      </c>
      <c r="EG127" s="8">
        <f>+MINVU_Mes_Corriente!EG127*MINVU_Mes_Constante!$EC$1</f>
        <v>0</v>
      </c>
      <c r="EH127" s="8">
        <f>+MINVU_Mes_Corriente!EH127*MINVU_Mes_Constante!$EC$1</f>
        <v>0</v>
      </c>
      <c r="EI127" s="8">
        <f>+MINVU_Mes_Corriente!EI127*MINVU_Mes_Constante!$EC$1</f>
        <v>6264405.8589282315</v>
      </c>
      <c r="EJ127" s="8">
        <f>+MINVU_Mes_Corriente!EJ127*MINVU_Mes_Constante!$EC$1</f>
        <v>6264405.8589282315</v>
      </c>
      <c r="EK127" s="8">
        <f>+MINVU_Mes_Corriente!EK127*MINVU_Mes_Constante!$EC$1</f>
        <v>6271161.9378905492</v>
      </c>
      <c r="EL127" s="8">
        <f>+MINVU_Mes_Corriente!EL127*MINVU_Mes_Constante!$EC$1</f>
        <v>6271161.9378905492</v>
      </c>
      <c r="EM127" s="8">
        <f>+MINVU_Mes_Corriente!EM127*MINVU_Mes_Constante!$EC$1</f>
        <v>6274166.0189358052</v>
      </c>
      <c r="EN127" s="8">
        <f>+MINVU_Mes_Corriente!EN127*MINVU_Mes_Constante!$EC$1</f>
        <v>6274373.946032946</v>
      </c>
      <c r="EO127" s="9">
        <f t="shared" si="105"/>
        <v>6274373.946032946</v>
      </c>
      <c r="EP127" s="8">
        <f>+MINVU_Mes_Corriente!EP127*MINVU_Mes_Constante!$EP$1</f>
        <v>0</v>
      </c>
      <c r="EQ127" s="8">
        <f>+MINVU_Mes_Corriente!EQ127*MINVU_Mes_Constante!$EP$1</f>
        <v>0</v>
      </c>
      <c r="ER127" s="8">
        <f>+MINVU_Mes_Corriente!ER127*MINVU_Mes_Constante!$EP$1</f>
        <v>0</v>
      </c>
      <c r="ES127" s="8">
        <f>+MINVU_Mes_Corriente!ES127*MINVU_Mes_Constante!$EP$1</f>
        <v>0</v>
      </c>
      <c r="ET127" s="8">
        <f>+MINVU_Mes_Corriente!ET127*MINVU_Mes_Constante!$EP$1</f>
        <v>0</v>
      </c>
      <c r="EU127" s="8">
        <f>+MINVU_Mes_Corriente!EU127*MINVU_Mes_Constante!$EP$1</f>
        <v>0</v>
      </c>
      <c r="EV127" s="8">
        <f>+MINVU_Mes_Corriente!EV127*MINVU_Mes_Constante!$EP$1</f>
        <v>0</v>
      </c>
      <c r="EW127" s="8">
        <f>+MINVU_Mes_Corriente!EW127*MINVU_Mes_Constante!$EP$1</f>
        <v>4873</v>
      </c>
      <c r="EX127" s="8">
        <f>+MINVU_Mes_Corriente!EX127*MINVU_Mes_Constante!$EP$1</f>
        <v>4873</v>
      </c>
      <c r="EY127" s="8">
        <f>+MINVU_Mes_Corriente!EY127*MINVU_Mes_Constante!$EP$1</f>
        <v>4873</v>
      </c>
      <c r="EZ127" s="8">
        <f>+MINVU_Mes_Corriente!EZ127*MINVU_Mes_Constante!$EP$1</f>
        <v>5880</v>
      </c>
      <c r="FA127" s="8">
        <f>+MINVU_Mes_Corriente!FA127*MINVU_Mes_Constante!$EP$1</f>
        <v>6023</v>
      </c>
      <c r="FB127" s="9">
        <f t="shared" si="106"/>
        <v>6023</v>
      </c>
      <c r="FC127" s="8">
        <f>+MINVU_Mes_Corriente!FC127*MINVU_Mes_Constante!$FC$1</f>
        <v>0</v>
      </c>
      <c r="FD127" s="8">
        <f>+MINVU_Mes_Corriente!FD127*MINVU_Mes_Constante!$FC$1</f>
        <v>0</v>
      </c>
      <c r="FE127" s="8">
        <f>+MINVU_Mes_Corriente!FE127*MINVU_Mes_Constante!$FC$1</f>
        <v>0</v>
      </c>
      <c r="FF127" s="8">
        <f>+MINVU_Mes_Corriente!FF127*MINVU_Mes_Constante!$FC$1</f>
        <v>0</v>
      </c>
      <c r="FG127" s="8">
        <f>+MINVU_Mes_Corriente!FG127*MINVU_Mes_Constante!$FC$1</f>
        <v>0</v>
      </c>
      <c r="FH127" s="8">
        <f>+MINVU_Mes_Corriente!FH127*MINVU_Mes_Constante!$FC$1</f>
        <v>0</v>
      </c>
      <c r="FI127" s="8">
        <f>+MINVU_Mes_Corriente!FI127*MINVU_Mes_Constante!$FC$1</f>
        <v>0</v>
      </c>
      <c r="FJ127" s="8"/>
      <c r="FK127" s="8"/>
      <c r="FL127" s="8"/>
      <c r="FM127" s="8"/>
      <c r="FN127" s="8"/>
      <c r="FO127" s="9">
        <f t="shared" si="107"/>
        <v>0</v>
      </c>
    </row>
    <row r="128" spans="2:171" ht="14.25" customHeight="1" x14ac:dyDescent="0.3">
      <c r="B128" s="7" t="s">
        <v>50</v>
      </c>
      <c r="C128" s="8">
        <f>+MINVU_Mes_Corriente!C128*MINVU_Mes_Constante!$C$1</f>
        <v>0</v>
      </c>
      <c r="D128" s="8">
        <f>+MINVU_Mes_Corriente!D128*MINVU_Mes_Constante!$C$1</f>
        <v>1093.7342429185824</v>
      </c>
      <c r="E128" s="8">
        <f>+MINVU_Mes_Corriente!E128*MINVU_Mes_Constante!$C$1</f>
        <v>1293.0369271837462</v>
      </c>
      <c r="F128" s="8">
        <f>+MINVU_Mes_Corriente!F128*MINVU_Mes_Constante!$C$1</f>
        <v>2493.7140738543681</v>
      </c>
      <c r="G128" s="8">
        <f>+MINVU_Mes_Corriente!G128*MINVU_Mes_Constante!$C$1</f>
        <v>11405.622719857633</v>
      </c>
      <c r="H128" s="8">
        <f>+MINVU_Mes_Corriente!H128*MINVU_Mes_Constante!$C$1</f>
        <v>14903.951950170549</v>
      </c>
      <c r="I128" s="8">
        <f>+MINVU_Mes_Corriente!I128*MINVU_Mes_Constante!$C$1</f>
        <v>14936.358890701471</v>
      </c>
      <c r="J128" s="8">
        <f>+MINVU_Mes_Corriente!J128*MINVU_Mes_Constante!$C$1</f>
        <v>17909.695684413469</v>
      </c>
      <c r="K128" s="8">
        <f>+MINVU_Mes_Corriente!K128*MINVU_Mes_Constante!$C$1</f>
        <v>27714.415542043604</v>
      </c>
      <c r="L128" s="8">
        <f>+MINVU_Mes_Corriente!L128*MINVU_Mes_Constante!$C$1</f>
        <v>34651.121162687239</v>
      </c>
      <c r="M128" s="8">
        <f>+MINVU_Mes_Corriente!M128*MINVU_Mes_Constante!$C$1</f>
        <v>1225583.5008156609</v>
      </c>
      <c r="N128" s="8">
        <f>+MINVU_Mes_Corriente!N128*MINVU_Mes_Constante!$C$1</f>
        <v>1249822.2719857632</v>
      </c>
      <c r="O128" s="9">
        <f t="shared" si="95"/>
        <v>1249822.2719857632</v>
      </c>
      <c r="P128" s="8">
        <f>+MINVU_Mes_Corriente!P128*MINVU_Mes_Constante!$P$1</f>
        <v>0</v>
      </c>
      <c r="Q128" s="8">
        <f>+MINVU_Mes_Corriente!Q128*MINVU_Mes_Constante!$P$1</f>
        <v>6618.619690296915</v>
      </c>
      <c r="R128" s="8">
        <f>+MINVU_Mes_Corriente!R128*MINVU_Mes_Constante!$P$1</f>
        <v>9366.0298337832046</v>
      </c>
      <c r="S128" s="8">
        <f>+MINVU_Mes_Corriente!S128*MINVU_Mes_Constante!$P$1</f>
        <v>20056.094047449915</v>
      </c>
      <c r="T128" s="8">
        <f>+MINVU_Mes_Corriente!T128*MINVU_Mes_Constante!$P$1</f>
        <v>25200.115073163794</v>
      </c>
      <c r="U128" s="8">
        <f>+MINVU_Mes_Corriente!U128*MINVU_Mes_Constante!$P$1</f>
        <v>25349.127148742711</v>
      </c>
      <c r="V128" s="8">
        <f>+MINVU_Mes_Corriente!V128*MINVU_Mes_Constante!$P$1</f>
        <v>28889.716152862613</v>
      </c>
      <c r="W128" s="8">
        <f>+MINVU_Mes_Corriente!W128*MINVU_Mes_Constante!$P$1</f>
        <v>588068.39522659441</v>
      </c>
      <c r="X128" s="8">
        <f>+MINVU_Mes_Corriente!X128*MINVU_Mes_Constante!$P$1</f>
        <v>593243.46043472062</v>
      </c>
      <c r="Y128" s="8">
        <f>+MINVU_Mes_Corriente!Y128*MINVU_Mes_Constante!$P$1</f>
        <v>596357.1919306718</v>
      </c>
      <c r="Z128" s="8">
        <f>+MINVU_Mes_Corriente!Z128*MINVU_Mes_Constante!$P$1</f>
        <v>607863.71814178128</v>
      </c>
      <c r="AA128" s="8">
        <f>+MINVU_Mes_Corriente!AA128*MINVU_Mes_Constante!$P$1</f>
        <v>1548521.0717431447</v>
      </c>
      <c r="AB128" s="9">
        <f t="shared" si="96"/>
        <v>1548521.0717431447</v>
      </c>
      <c r="AC128" s="8">
        <f>+MINVU_Mes_Corriente!AC128*MINVU_Mes_Constante!$AC$1</f>
        <v>0</v>
      </c>
      <c r="AD128" s="8">
        <f>+MINVU_Mes_Corriente!AD128*MINVU_Mes_Constante!$AC$1</f>
        <v>7537.4134735094758</v>
      </c>
      <c r="AE128" s="8">
        <f>+MINVU_Mes_Corriente!AE128*MINVU_Mes_Constante!$AC$1</f>
        <v>8796.4199751002907</v>
      </c>
      <c r="AF128" s="8">
        <f>+MINVU_Mes_Corriente!AF128*MINVU_Mes_Constante!$AC$1</f>
        <v>11391.515008991562</v>
      </c>
      <c r="AG128" s="8">
        <f>+MINVU_Mes_Corriente!AG128*MINVU_Mes_Constante!$AC$1</f>
        <v>36753.014524830542</v>
      </c>
      <c r="AH128" s="8">
        <f>+MINVU_Mes_Corriente!AH128*MINVU_Mes_Constante!$AC$1</f>
        <v>45161.001521648912</v>
      </c>
      <c r="AI128" s="8">
        <f>+MINVU_Mes_Corriente!AI128*MINVU_Mes_Constante!$AC$1</f>
        <v>47852.826947018948</v>
      </c>
      <c r="AJ128" s="8">
        <f>+MINVU_Mes_Corriente!AJ128*MINVU_Mes_Constante!$AC$1</f>
        <v>47852.826947018948</v>
      </c>
      <c r="AK128" s="8">
        <f>+MINVU_Mes_Corriente!AK128*MINVU_Mes_Constante!$AC$1</f>
        <v>48458.903306128093</v>
      </c>
      <c r="AL128" s="8">
        <f>+MINVU_Mes_Corriente!AL128*MINVU_Mes_Constante!$AC$1</f>
        <v>48458.903306128093</v>
      </c>
      <c r="AM128" s="8">
        <f>+MINVU_Mes_Corriente!AM128*MINVU_Mes_Constante!$AC$1</f>
        <v>48458.903306128093</v>
      </c>
      <c r="AN128" s="8">
        <f>+MINVU_Mes_Corriente!AN128*MINVU_Mes_Constante!$AC$1</f>
        <v>3452732.3787522479</v>
      </c>
      <c r="AO128" s="9">
        <f t="shared" si="97"/>
        <v>3452732.3787522479</v>
      </c>
      <c r="AP128" s="8">
        <f>+MINVU_Mes_Corriente!AP128*MINVU_Mes_Constante!$AP$1</f>
        <v>0</v>
      </c>
      <c r="AQ128" s="8">
        <f>+MINVU_Mes_Corriente!AQ128*MINVU_Mes_Constante!$AP$1</f>
        <v>3400.6122007304202</v>
      </c>
      <c r="AR128" s="8">
        <f>+MINVU_Mes_Corriente!AR128*MINVU_Mes_Constante!$AP$1</f>
        <v>12566.45177870959</v>
      </c>
      <c r="AS128" s="8">
        <f>+MINVU_Mes_Corriente!AS128*MINVU_Mes_Constante!$AP$1</f>
        <v>16382.349519816042</v>
      </c>
      <c r="AT128" s="8">
        <f>+MINVU_Mes_Corriente!AT128*MINVU_Mes_Constante!$AP$1</f>
        <v>20581.019342621399</v>
      </c>
      <c r="AU128" s="8">
        <f>+MINVU_Mes_Corriente!AU128*MINVU_Mes_Constante!$AP$1</f>
        <v>41218.198295685106</v>
      </c>
      <c r="AV128" s="8">
        <f>+MINVU_Mes_Corriente!AV128*MINVU_Mes_Constante!$AP$1</f>
        <v>46182.412281888268</v>
      </c>
      <c r="AW128" s="8">
        <f>+MINVU_Mes_Corriente!AW128*MINVU_Mes_Constante!$AP$1</f>
        <v>49114.535100770998</v>
      </c>
      <c r="AX128" s="8">
        <f>+MINVU_Mes_Corriente!AX128*MINVU_Mes_Constante!$AP$1</f>
        <v>54293.042337346138</v>
      </c>
      <c r="AY128" s="8">
        <f>+MINVU_Mes_Corriente!AY128*MINVU_Mes_Constante!$AP$1</f>
        <v>75655.862572703903</v>
      </c>
      <c r="AZ128" s="8">
        <f>+MINVU_Mes_Corriente!AZ128*MINVU_Mes_Constante!$AP$1</f>
        <v>79864.877586906528</v>
      </c>
      <c r="BA128" s="8">
        <f>+MINVU_Mes_Corriente!BA128*MINVU_Mes_Constante!$AP$1</f>
        <v>81347.195725686455</v>
      </c>
      <c r="BB128" s="9">
        <f t="shared" si="98"/>
        <v>81347.195725686455</v>
      </c>
      <c r="BC128" s="8">
        <f>+MINVU_Mes_Corriente!BC128*MINVU_Mes_Constante!$BC$1</f>
        <v>0</v>
      </c>
      <c r="BD128" s="8">
        <f>+MINVU_Mes_Corriente!BD128*MINVU_Mes_Constante!$BC$1</f>
        <v>838.57734405907968</v>
      </c>
      <c r="BE128" s="8">
        <f>+MINVU_Mes_Corriente!BE128*MINVU_Mes_Constante!$BC$1</f>
        <v>18640.335223526312</v>
      </c>
      <c r="BF128" s="8">
        <f>+MINVU_Mes_Corriente!BF128*MINVU_Mes_Constante!$BC$1</f>
        <v>23824.529869444817</v>
      </c>
      <c r="BG128" s="8">
        <f>+MINVU_Mes_Corriente!BG128*MINVU_Mes_Constante!$BC$1</f>
        <v>26124.133720163529</v>
      </c>
      <c r="BH128" s="8">
        <f>+MINVU_Mes_Corriente!BH128*MINVU_Mes_Constante!$BC$1</f>
        <v>29802.635368587638</v>
      </c>
      <c r="BI128" s="8">
        <f>+MINVU_Mes_Corriente!BI128*MINVU_Mes_Constante!$BC$1</f>
        <v>31504.284583937762</v>
      </c>
      <c r="BJ128" s="8">
        <f>+MINVU_Mes_Corriente!BJ128*MINVU_Mes_Constante!$BC$1</f>
        <v>32590.688909402619</v>
      </c>
      <c r="BK128" s="8">
        <f>+MINVU_Mes_Corriente!BK128*MINVU_Mes_Constante!$BC$1</f>
        <v>33540.212053277079</v>
      </c>
      <c r="BL128" s="8">
        <f>+MINVU_Mes_Corriente!BL128*MINVU_Mes_Constante!$BC$1</f>
        <v>33597.84623499935</v>
      </c>
      <c r="BM128" s="8">
        <f>+MINVU_Mes_Corriente!BM128*MINVU_Mes_Constante!$BC$1</f>
        <v>33867.286034550976</v>
      </c>
      <c r="BN128" s="8">
        <f>+MINVU_Mes_Corriente!BN128*MINVU_Mes_Constante!$BC$1</f>
        <v>1560335.9651852832</v>
      </c>
      <c r="BO128" s="9">
        <f t="shared" si="99"/>
        <v>1560335.9651852832</v>
      </c>
      <c r="BP128" s="8">
        <f>+MINVU_Mes_Corriente!BP128*MINVU_Mes_Constante!$BP$1</f>
        <v>2133.4379001280413</v>
      </c>
      <c r="BQ128" s="8">
        <f>+MINVU_Mes_Corriente!BQ128*MINVU_Mes_Constante!$BP$1</f>
        <v>4300.451216389245</v>
      </c>
      <c r="BR128" s="8">
        <f>+MINVU_Mes_Corriente!BR128*MINVU_Mes_Constante!$BP$1</f>
        <v>10401.384122919335</v>
      </c>
      <c r="BS128" s="8">
        <f>+MINVU_Mes_Corriente!BS128*MINVU_Mes_Constante!$BP$1</f>
        <v>22390.605633802821</v>
      </c>
      <c r="BT128" s="8">
        <f>+MINVU_Mes_Corriente!BT128*MINVU_Mes_Constante!$BP$1</f>
        <v>23130.663764404613</v>
      </c>
      <c r="BU128" s="8">
        <f>+MINVU_Mes_Corriente!BU128*MINVU_Mes_Constante!$BP$1</f>
        <v>24919.953649167735</v>
      </c>
      <c r="BV128" s="8">
        <f>+MINVU_Mes_Corriente!BV128*MINVU_Mes_Constante!$BP$1</f>
        <v>26886.913444302179</v>
      </c>
      <c r="BW128" s="8">
        <f>+MINVU_Mes_Corriente!BW128*MINVU_Mes_Constante!$BP$1</f>
        <v>27482.877080665818</v>
      </c>
      <c r="BX128" s="8">
        <f>+MINVU_Mes_Corriente!BX128*MINVU_Mes_Constante!$BP$1</f>
        <v>27931.948271446865</v>
      </c>
      <c r="BY128" s="8">
        <f>+MINVU_Mes_Corriente!BY128*MINVU_Mes_Constante!$BP$1</f>
        <v>28232.728040973114</v>
      </c>
      <c r="BZ128" s="8">
        <f>+MINVU_Mes_Corriente!BZ128*MINVU_Mes_Constante!$BP$1</f>
        <v>448596.93802816904</v>
      </c>
      <c r="CA128" s="8">
        <f>+MINVU_Mes_Corriente!CA128*MINVU_Mes_Constante!$BP$1</f>
        <v>1043861.086555698</v>
      </c>
      <c r="CB128" s="9">
        <f t="shared" si="100"/>
        <v>1043861.086555698</v>
      </c>
      <c r="CC128" s="8">
        <f>+MINVU_Mes_Corriente!CC128*MINVU_Mes_Constante!$CC$1</f>
        <v>2942.3991048116377</v>
      </c>
      <c r="CD128" s="8">
        <f>+MINVU_Mes_Corriente!CD128*MINVU_Mes_Constante!$CC$1</f>
        <v>5386.2476687803064</v>
      </c>
      <c r="CE128" s="8">
        <f>+MINVU_Mes_Corriente!CE128*MINVU_Mes_Constante!$CC$1</f>
        <v>8828.5557627750841</v>
      </c>
      <c r="CF128" s="8">
        <f>+MINVU_Mes_Corriente!CF128*MINVU_Mes_Constante!$CC$1</f>
        <v>14148.239462886984</v>
      </c>
      <c r="CG128" s="8">
        <f>+MINVU_Mes_Corriente!CG128*MINVU_Mes_Constante!$CC$1</f>
        <v>17735.90152928012</v>
      </c>
      <c r="CH128" s="8">
        <f>+MINVU_Mes_Corriente!CH128*MINVU_Mes_Constante!$CC$1</f>
        <v>18114.90861618799</v>
      </c>
      <c r="CI128" s="8">
        <f>+MINVU_Mes_Corriente!CI128*MINVU_Mes_Constante!$CC$1</f>
        <v>17735.90152928012</v>
      </c>
      <c r="CJ128" s="8">
        <f>+MINVU_Mes_Corriente!CJ128*MINVU_Mes_Constante!$CC$1</f>
        <v>18320.034315553901</v>
      </c>
      <c r="CK128" s="8">
        <f>+MINVU_Mes_Corriente!CK128*MINVU_Mes_Constante!$CC$1</f>
        <v>19787.158522939204</v>
      </c>
      <c r="CL128" s="8">
        <f>+MINVU_Mes_Corriente!CL128*MINVU_Mes_Constante!$CC$1</f>
        <v>19584.74972025364</v>
      </c>
      <c r="CM128" s="8">
        <f>+MINVU_Mes_Corriente!CM128*MINVU_Mes_Constante!$CC$1</f>
        <v>19584.74972025364</v>
      </c>
      <c r="CN128" s="8">
        <f>+MINVU_Mes_Corriente!CN128*MINVU_Mes_Constante!$CC$1</f>
        <v>4639042.6684073107</v>
      </c>
      <c r="CO128" s="9">
        <f t="shared" si="101"/>
        <v>4639042.6684073107</v>
      </c>
      <c r="CP128" s="8">
        <f>+MINVU_Mes_Corriente!CP128*MINVU_Mes_Constante!$CP$1</f>
        <v>0</v>
      </c>
      <c r="CQ128" s="8">
        <f>+MINVU_Mes_Corriente!CQ128*MINVU_Mes_Constante!$CP$1</f>
        <v>0</v>
      </c>
      <c r="CR128" s="8">
        <f>+MINVU_Mes_Corriente!CR128*MINVU_Mes_Constante!$CP$1</f>
        <v>451.23619489559155</v>
      </c>
      <c r="CS128" s="8">
        <f>+MINVU_Mes_Corriente!CS128*MINVU_Mes_Constante!$CP$1</f>
        <v>451.23619489559155</v>
      </c>
      <c r="CT128" s="8">
        <f>+MINVU_Mes_Corriente!CT128*MINVU_Mes_Constante!$CP$1</f>
        <v>451.23619489559155</v>
      </c>
      <c r="CU128" s="8">
        <f>+MINVU_Mes_Corriente!CU128*MINVU_Mes_Constante!$CP$1</f>
        <v>1586.9317865429232</v>
      </c>
      <c r="CV128" s="8">
        <f>+MINVU_Mes_Corriente!CV128*MINVU_Mes_Constante!$CP$1</f>
        <v>2550.2450116009277</v>
      </c>
      <c r="CW128" s="8">
        <f>+MINVU_Mes_Corriente!CW128*MINVU_Mes_Constante!$CP$1</f>
        <v>2550.2450116009277</v>
      </c>
      <c r="CX128" s="8">
        <f>+MINVU_Mes_Corriente!CX128*MINVU_Mes_Constante!$CP$1</f>
        <v>13601.729234338743</v>
      </c>
      <c r="CY128" s="8">
        <f>+MINVU_Mes_Corriente!CY128*MINVU_Mes_Constante!$CP$1</f>
        <v>13695.52552204176</v>
      </c>
      <c r="CZ128" s="8">
        <f>+MINVU_Mes_Corriente!CZ128*MINVU_Mes_Constante!$CP$1</f>
        <v>14060.570533642689</v>
      </c>
      <c r="DA128" s="8">
        <f>+MINVU_Mes_Corriente!DA128*MINVU_Mes_Constante!$CP$1</f>
        <v>2516592.4245939669</v>
      </c>
      <c r="DB128" s="9">
        <f t="shared" si="102"/>
        <v>2516592.4245939669</v>
      </c>
      <c r="DC128" s="8">
        <f>+MINVU_Mes_Corriente!DC128*MINVU_Mes_Constante!$DC$1</f>
        <v>0</v>
      </c>
      <c r="DD128" s="8">
        <f>+MINVU_Mes_Corriente!DD128*MINVU_Mes_Constante!$DC$1</f>
        <v>0</v>
      </c>
      <c r="DE128" s="8">
        <f>+MINVU_Mes_Corriente!DE128*MINVU_Mes_Constante!$DC$1</f>
        <v>0</v>
      </c>
      <c r="DF128" s="8">
        <f>+MINVU_Mes_Corriente!DF128*MINVU_Mes_Constante!$DC$1</f>
        <v>0</v>
      </c>
      <c r="DG128" s="8">
        <f>+MINVU_Mes_Corriente!DG128*MINVU_Mes_Constante!$DC$1</f>
        <v>0</v>
      </c>
      <c r="DH128" s="8">
        <f>+MINVU_Mes_Corriente!DH128*MINVU_Mes_Constante!$DC$1</f>
        <v>0</v>
      </c>
      <c r="DI128" s="8">
        <f>+MINVU_Mes_Corriente!DI128*MINVU_Mes_Constante!$DC$1</f>
        <v>0</v>
      </c>
      <c r="DJ128" s="8">
        <f>+MINVU_Mes_Corriente!DJ128*MINVU_Mes_Constante!$DC$1</f>
        <v>0</v>
      </c>
      <c r="DK128" s="8">
        <f>+MINVU_Mes_Corriente!DK128*MINVU_Mes_Constante!$DC$1</f>
        <v>0</v>
      </c>
      <c r="DL128" s="8">
        <f>+MINVU_Mes_Corriente!DL128*MINVU_Mes_Constante!$DC$1</f>
        <v>0</v>
      </c>
      <c r="DM128" s="8">
        <f>+MINVU_Mes_Corriente!DM128*MINVU_Mes_Constante!$DC$1</f>
        <v>0</v>
      </c>
      <c r="DN128" s="8">
        <f>+MINVU_Mes_Corriente!DN128*MINVU_Mes_Constante!$DC$1</f>
        <v>18933267.631107919</v>
      </c>
      <c r="DO128" s="9">
        <f t="shared" si="103"/>
        <v>18933267.631107919</v>
      </c>
      <c r="DP128" s="8">
        <f>+MINVU_Mes_Corriente!DP128*MINVU_Mes_Constante!$DP$1</f>
        <v>0</v>
      </c>
      <c r="DQ128" s="8">
        <f>+MINVU_Mes_Corriente!DQ128*MINVU_Mes_Constante!$DP$1</f>
        <v>0</v>
      </c>
      <c r="DR128" s="8">
        <f>+MINVU_Mes_Corriente!DR128*MINVU_Mes_Constante!$DP$1</f>
        <v>0</v>
      </c>
      <c r="DS128" s="8">
        <f>+MINVU_Mes_Corriente!DS128*MINVU_Mes_Constante!$DP$1</f>
        <v>0</v>
      </c>
      <c r="DT128" s="8">
        <f>+MINVU_Mes_Corriente!DT128*MINVU_Mes_Constante!$DP$1</f>
        <v>0</v>
      </c>
      <c r="DU128" s="8">
        <f>+MINVU_Mes_Corriente!DU128*MINVU_Mes_Constante!$DP$1</f>
        <v>0</v>
      </c>
      <c r="DV128" s="8">
        <f>+MINVU_Mes_Corriente!DV128*MINVU_Mes_Constante!$DP$1</f>
        <v>0</v>
      </c>
      <c r="DW128" s="8">
        <f>+MINVU_Mes_Corriente!DW128*MINVU_Mes_Constante!$DP$1</f>
        <v>0</v>
      </c>
      <c r="DX128" s="8">
        <f>+MINVU_Mes_Corriente!DX128*MINVU_Mes_Constante!$DP$1</f>
        <v>0</v>
      </c>
      <c r="DY128" s="8">
        <f>+MINVU_Mes_Corriente!DY128*MINVU_Mes_Constante!$DP$1</f>
        <v>0</v>
      </c>
      <c r="DZ128" s="8">
        <f>+MINVU_Mes_Corriente!DZ128*MINVU_Mes_Constante!$DP$1</f>
        <v>0</v>
      </c>
      <c r="EA128" s="8">
        <f>+MINVU_Mes_Corriente!EA128*MINVU_Mes_Constante!$DP$1</f>
        <v>4308629.8200712595</v>
      </c>
      <c r="EB128" s="9">
        <f t="shared" si="104"/>
        <v>4308629.8200712595</v>
      </c>
      <c r="EC128" s="8">
        <f>+MINVU_Mes_Corriente!EC128*MINVU_Mes_Constante!$EC$1</f>
        <v>0</v>
      </c>
      <c r="ED128" s="8">
        <f>+MINVU_Mes_Corriente!ED128*MINVU_Mes_Constante!$EC$1</f>
        <v>0</v>
      </c>
      <c r="EE128" s="8">
        <f>+MINVU_Mes_Corriente!EE128*MINVU_Mes_Constante!$EC$1</f>
        <v>0</v>
      </c>
      <c r="EF128" s="8">
        <f>+MINVU_Mes_Corriente!EF128*MINVU_Mes_Constante!$EC$1</f>
        <v>0</v>
      </c>
      <c r="EG128" s="8">
        <f>+MINVU_Mes_Corriente!EG128*MINVU_Mes_Constante!$EC$1</f>
        <v>0</v>
      </c>
      <c r="EH128" s="8">
        <f>+MINVU_Mes_Corriente!EH128*MINVU_Mes_Constante!$EC$1</f>
        <v>0</v>
      </c>
      <c r="EI128" s="8">
        <f>+MINVU_Mes_Corriente!EI128*MINVU_Mes_Constante!$EC$1</f>
        <v>0</v>
      </c>
      <c r="EJ128" s="8">
        <f>+MINVU_Mes_Corriente!EJ128*MINVU_Mes_Constante!$EC$1</f>
        <v>16349.690399545536</v>
      </c>
      <c r="EK128" s="8">
        <f>+MINVU_Mes_Corriente!EK128*MINVU_Mes_Constante!$EC$1</f>
        <v>17334.499337246729</v>
      </c>
      <c r="EL128" s="8">
        <f>+MINVU_Mes_Corriente!EL128*MINVU_Mes_Constante!$EC$1</f>
        <v>19037.225714826731</v>
      </c>
      <c r="EM128" s="8">
        <f>+MINVU_Mes_Corriente!EM128*MINVU_Mes_Constante!$EC$1</f>
        <v>20727.538534368483</v>
      </c>
      <c r="EN128" s="8">
        <f>+MINVU_Mes_Corriente!EN128*MINVU_Mes_Constante!$EC$1</f>
        <v>22585.434387426616</v>
      </c>
      <c r="EO128" s="9">
        <f t="shared" si="105"/>
        <v>22585.434387426616</v>
      </c>
      <c r="EP128" s="8">
        <f>+MINVU_Mes_Corriente!EP128*MINVU_Mes_Constante!$EP$1</f>
        <v>0</v>
      </c>
      <c r="EQ128" s="8">
        <f>+MINVU_Mes_Corriente!EQ128*MINVU_Mes_Constante!$EP$1</f>
        <v>0</v>
      </c>
      <c r="ER128" s="8">
        <f>+MINVU_Mes_Corriente!ER128*MINVU_Mes_Constante!$EP$1</f>
        <v>2894</v>
      </c>
      <c r="ES128" s="8">
        <f>+MINVU_Mes_Corriente!ES128*MINVU_Mes_Constante!$EP$1</f>
        <v>2894</v>
      </c>
      <c r="ET128" s="8">
        <f>+MINVU_Mes_Corriente!ET128*MINVU_Mes_Constante!$EP$1</f>
        <v>2894</v>
      </c>
      <c r="EU128" s="8">
        <f>+MINVU_Mes_Corriente!EU128*MINVU_Mes_Constante!$EP$1</f>
        <v>6167</v>
      </c>
      <c r="EV128" s="8">
        <f>+MINVU_Mes_Corriente!EV128*MINVU_Mes_Constante!$EP$1</f>
        <v>6167</v>
      </c>
      <c r="EW128" s="8">
        <f>+MINVU_Mes_Corriente!EW128*MINVU_Mes_Constante!$EP$1</f>
        <v>6167</v>
      </c>
      <c r="EX128" s="8">
        <f>+MINVU_Mes_Corriente!EX128*MINVU_Mes_Constante!$EP$1</f>
        <v>7132</v>
      </c>
      <c r="EY128" s="8">
        <f>+MINVU_Mes_Corriente!EY128*MINVU_Mes_Constante!$EP$1</f>
        <v>7132</v>
      </c>
      <c r="EZ128" s="8">
        <f>+MINVU_Mes_Corriente!EZ128*MINVU_Mes_Constante!$EP$1</f>
        <v>7132</v>
      </c>
      <c r="FA128" s="8">
        <f>+MINVU_Mes_Corriente!FA128*MINVU_Mes_Constante!$EP$1</f>
        <v>10998036</v>
      </c>
      <c r="FB128" s="9">
        <f t="shared" si="106"/>
        <v>10998036</v>
      </c>
      <c r="FC128" s="8">
        <f>+MINVU_Mes_Corriente!FC128*MINVU_Mes_Constante!$FC$1</f>
        <v>0</v>
      </c>
      <c r="FD128" s="8">
        <f>+MINVU_Mes_Corriente!FD128*MINVU_Mes_Constante!$FC$1</f>
        <v>0</v>
      </c>
      <c r="FE128" s="8">
        <f>+MINVU_Mes_Corriente!FE128*MINVU_Mes_Constante!$FC$1</f>
        <v>0</v>
      </c>
      <c r="FF128" s="8">
        <f>+MINVU_Mes_Corriente!FF128*MINVU_Mes_Constante!$FC$1</f>
        <v>0</v>
      </c>
      <c r="FG128" s="8">
        <f>+MINVU_Mes_Corriente!FG128*MINVU_Mes_Constante!$FC$1</f>
        <v>0</v>
      </c>
      <c r="FH128" s="8">
        <f>+MINVU_Mes_Corriente!FH128*MINVU_Mes_Constante!$FC$1</f>
        <v>0</v>
      </c>
      <c r="FI128" s="8">
        <f>+MINVU_Mes_Corriente!FI128*MINVU_Mes_Constante!$FC$1</f>
        <v>0</v>
      </c>
      <c r="FJ128" s="8"/>
      <c r="FK128" s="8"/>
      <c r="FL128" s="8"/>
      <c r="FM128" s="8"/>
      <c r="FN128" s="8"/>
      <c r="FO128" s="9">
        <f t="shared" si="107"/>
        <v>0</v>
      </c>
    </row>
    <row r="129" spans="2:171" ht="14.25" customHeight="1" x14ac:dyDescent="0.3">
      <c r="B129" s="7" t="s">
        <v>51</v>
      </c>
      <c r="C129" s="8">
        <f>+MINVU_Mes_Corriente!C129*MINVU_Mes_Constante!$C$1</f>
        <v>0</v>
      </c>
      <c r="D129" s="8">
        <f>+MINVU_Mes_Corriente!D129*MINVU_Mes_Constante!$C$1</f>
        <v>288.42177072519655</v>
      </c>
      <c r="E129" s="8">
        <f>+MINVU_Mes_Corriente!E129*MINVU_Mes_Constante!$C$1</f>
        <v>1403.2205249888775</v>
      </c>
      <c r="F129" s="8">
        <f>+MINVU_Mes_Corriente!F129*MINVU_Mes_Constante!$C$1</f>
        <v>10738.039744920659</v>
      </c>
      <c r="G129" s="8">
        <f>+MINVU_Mes_Corriente!G129*MINVU_Mes_Constante!$C$1</f>
        <v>20157.117010232836</v>
      </c>
      <c r="H129" s="8">
        <f>+MINVU_Mes_Corriente!H129*MINVU_Mes_Constante!$C$1</f>
        <v>22535.786445202437</v>
      </c>
      <c r="I129" s="8">
        <f>+MINVU_Mes_Corriente!I129*MINVU_Mes_Constante!$C$1</f>
        <v>30979.41480053389</v>
      </c>
      <c r="J129" s="8">
        <f>+MINVU_Mes_Corriente!J129*MINVU_Mes_Constante!$C$1</f>
        <v>38159.17247515943</v>
      </c>
      <c r="K129" s="8">
        <f>+MINVU_Mes_Corriente!K129*MINVU_Mes_Constante!$C$1</f>
        <v>48612.031143407985</v>
      </c>
      <c r="L129" s="8">
        <f>+MINVU_Mes_Corriente!L129*MINVU_Mes_Constante!$C$1</f>
        <v>1063424.0314400119</v>
      </c>
      <c r="M129" s="8">
        <f>+MINVU_Mes_Corriente!M129*MINVU_Mes_Constante!$C$1</f>
        <v>52953436.65371497</v>
      </c>
      <c r="N129" s="8">
        <f>+MINVU_Mes_Corriente!N129*MINVU_Mes_Constante!$C$1</f>
        <v>59917121.052350596</v>
      </c>
      <c r="O129" s="9">
        <f t="shared" si="95"/>
        <v>59917121.052350596</v>
      </c>
      <c r="P129" s="8">
        <f>+MINVU_Mes_Corriente!P129*MINVU_Mes_Constante!$P$1</f>
        <v>212846.67566415676</v>
      </c>
      <c r="Q129" s="8">
        <f>+MINVU_Mes_Corriente!Q129*MINVU_Mes_Constante!$P$1</f>
        <v>212846.67566415676</v>
      </c>
      <c r="R129" s="8">
        <f>+MINVU_Mes_Corriente!R129*MINVU_Mes_Constante!$P$1</f>
        <v>223144.0309703082</v>
      </c>
      <c r="S129" s="8">
        <f>+MINVU_Mes_Corriente!S129*MINVU_Mes_Constante!$P$1</f>
        <v>223463.78604915462</v>
      </c>
      <c r="T129" s="8">
        <f>+MINVU_Mes_Corriente!T129*MINVU_Mes_Constante!$P$1</f>
        <v>241402.66685608742</v>
      </c>
      <c r="U129" s="8">
        <f>+MINVU_Mes_Corriente!U129*MINVU_Mes_Constante!$P$1</f>
        <v>6384568.285836054</v>
      </c>
      <c r="V129" s="8">
        <f>+MINVU_Mes_Corriente!V129*MINVU_Mes_Constante!$P$1</f>
        <v>6447837.8818013901</v>
      </c>
      <c r="W129" s="8">
        <f>+MINVU_Mes_Corriente!W129*MINVU_Mes_Constante!$P$1</f>
        <v>6461664.9606478168</v>
      </c>
      <c r="X129" s="8">
        <f>+MINVU_Mes_Corriente!X129*MINVU_Mes_Constante!$P$1</f>
        <v>6475684.5134252002</v>
      </c>
      <c r="Y129" s="8">
        <f>+MINVU_Mes_Corriente!Y129*MINVU_Mes_Constante!$P$1</f>
        <v>6540141.5493678059</v>
      </c>
      <c r="Z129" s="8">
        <f>+MINVU_Mes_Corriente!Z129*MINVU_Mes_Constante!$P$1</f>
        <v>6645305.2694985056</v>
      </c>
      <c r="AA129" s="8">
        <f>+MINVU_Mes_Corriente!AA129*MINVU_Mes_Constante!$P$1</f>
        <v>21692490.334138364</v>
      </c>
      <c r="AB129" s="9">
        <f t="shared" si="96"/>
        <v>21692490.334138364</v>
      </c>
      <c r="AC129" s="8">
        <f>+MINVU_Mes_Corriente!AC129*MINVU_Mes_Constante!$AC$1</f>
        <v>0</v>
      </c>
      <c r="AD129" s="8">
        <f>+MINVU_Mes_Corriente!AD129*MINVU_Mes_Constante!$AC$1</f>
        <v>0</v>
      </c>
      <c r="AE129" s="8">
        <f>+MINVU_Mes_Corriente!AE129*MINVU_Mes_Constante!$AC$1</f>
        <v>776.86595656384009</v>
      </c>
      <c r="AF129" s="8">
        <f>+MINVU_Mes_Corriente!AF129*MINVU_Mes_Constante!$AC$1</f>
        <v>776.86595656384009</v>
      </c>
      <c r="AG129" s="8">
        <f>+MINVU_Mes_Corriente!AG129*MINVU_Mes_Constante!$AC$1</f>
        <v>2300.3696223544057</v>
      </c>
      <c r="AH129" s="8">
        <f>+MINVU_Mes_Corriente!AH129*MINVU_Mes_Constante!$AC$1</f>
        <v>6810.4241250518744</v>
      </c>
      <c r="AI129" s="8">
        <f>+MINVU_Mes_Corriente!AI129*MINVU_Mes_Constante!$AC$1</f>
        <v>72558.373495642547</v>
      </c>
      <c r="AJ129" s="8">
        <f>+MINVU_Mes_Corriente!AJ129*MINVU_Mes_Constante!$AC$1</f>
        <v>93585.142343339321</v>
      </c>
      <c r="AK129" s="8">
        <f>+MINVU_Mes_Corriente!AK129*MINVU_Mes_Constante!$AC$1</f>
        <v>94801.82929865818</v>
      </c>
      <c r="AL129" s="8">
        <f>+MINVU_Mes_Corriente!AL129*MINVU_Mes_Constante!$AC$1</f>
        <v>97375.764559413466</v>
      </c>
      <c r="AM129" s="8">
        <f>+MINVU_Mes_Corriente!AM129*MINVU_Mes_Constante!$AC$1</f>
        <v>138496.76082445704</v>
      </c>
      <c r="AN129" s="8">
        <f>+MINVU_Mes_Corriente!AN129*MINVU_Mes_Constante!$AC$1</f>
        <v>2810179.5935814083</v>
      </c>
      <c r="AO129" s="9">
        <f t="shared" si="97"/>
        <v>2810179.5935814083</v>
      </c>
      <c r="AP129" s="8">
        <f>+MINVU_Mes_Corriente!AP129*MINVU_Mes_Constante!$AP$1</f>
        <v>0</v>
      </c>
      <c r="AQ129" s="8">
        <f>+MINVU_Mes_Corriente!AQ129*MINVU_Mes_Constante!$AP$1</f>
        <v>0</v>
      </c>
      <c r="AR129" s="8">
        <f>+MINVU_Mes_Corriente!AR129*MINVU_Mes_Constante!$AP$1</f>
        <v>0</v>
      </c>
      <c r="AS129" s="8">
        <f>+MINVU_Mes_Corriente!AS129*MINVU_Mes_Constante!$AP$1</f>
        <v>605025.21790883259</v>
      </c>
      <c r="AT129" s="8">
        <f>+MINVU_Mes_Corriente!AT129*MINVU_Mes_Constante!$AP$1</f>
        <v>605025.21790883259</v>
      </c>
      <c r="AU129" s="8">
        <f>+MINVU_Mes_Corriente!AU129*MINVU_Mes_Constante!$AP$1</f>
        <v>689025.21628567565</v>
      </c>
      <c r="AV129" s="8">
        <f>+MINVU_Mes_Corriente!AV129*MINVU_Mes_Constante!$AP$1</f>
        <v>716884.81671851745</v>
      </c>
      <c r="AW129" s="8">
        <f>+MINVU_Mes_Corriente!AW129*MINVU_Mes_Constante!$AP$1</f>
        <v>739112.19937778974</v>
      </c>
      <c r="AX129" s="8">
        <f>+MINVU_Mes_Corriente!AX129*MINVU_Mes_Constante!$AP$1</f>
        <v>767607.29013932089</v>
      </c>
      <c r="AY129" s="8">
        <f>+MINVU_Mes_Corriente!AY129*MINVU_Mes_Constante!$AP$1</f>
        <v>772685.30123089405</v>
      </c>
      <c r="AZ129" s="8">
        <f>+MINVU_Mes_Corriente!AZ129*MINVU_Mes_Constante!$AP$1</f>
        <v>807315.09049100499</v>
      </c>
      <c r="BA129" s="8">
        <f>+MINVU_Mes_Corriente!BA129*MINVU_Mes_Constante!$AP$1</f>
        <v>24990351.253618285</v>
      </c>
      <c r="BB129" s="9">
        <f t="shared" si="98"/>
        <v>24990351.253618285</v>
      </c>
      <c r="BC129" s="8">
        <f>+MINVU_Mes_Corriente!BC129*MINVU_Mes_Constante!$BC$1</f>
        <v>0</v>
      </c>
      <c r="BD129" s="8">
        <f>+MINVU_Mes_Corriente!BD129*MINVU_Mes_Constante!$BC$1</f>
        <v>0</v>
      </c>
      <c r="BE129" s="8">
        <f>+MINVU_Mes_Corriente!BE129*MINVU_Mes_Constante!$BC$1</f>
        <v>0</v>
      </c>
      <c r="BF129" s="8">
        <f>+MINVU_Mes_Corriente!BF129*MINVU_Mes_Constante!$BC$1</f>
        <v>3253.4495582223403</v>
      </c>
      <c r="BG129" s="8">
        <f>+MINVU_Mes_Corriente!BG129*MINVU_Mes_Constante!$BC$1</f>
        <v>26634.19622840565</v>
      </c>
      <c r="BH129" s="8">
        <f>+MINVU_Mes_Corriente!BH129*MINVU_Mes_Constante!$BC$1</f>
        <v>3367859.1723592253</v>
      </c>
      <c r="BI129" s="8">
        <f>+MINVU_Mes_Corriente!BI129*MINVU_Mes_Constante!$BC$1</f>
        <v>3367859.1723592253</v>
      </c>
      <c r="BJ129" s="8">
        <f>+MINVU_Mes_Corriente!BJ129*MINVU_Mes_Constante!$BC$1</f>
        <v>3367859.1723592253</v>
      </c>
      <c r="BK129" s="8">
        <f>+MINVU_Mes_Corriente!BK129*MINVU_Mes_Constante!$BC$1</f>
        <v>3368421.1056310176</v>
      </c>
      <c r="BL129" s="8">
        <f>+MINVU_Mes_Corriente!BL129*MINVU_Mes_Constante!$BC$1</f>
        <v>3379574.7606488205</v>
      </c>
      <c r="BM129" s="8">
        <f>+MINVU_Mes_Corriente!BM129*MINVU_Mes_Constante!$BC$1</f>
        <v>3400300.0123961503</v>
      </c>
      <c r="BN129" s="8">
        <f>+MINVU_Mes_Corriente!BN129*MINVU_Mes_Constante!$BC$1</f>
        <v>5200750.0646182261</v>
      </c>
      <c r="BO129" s="9">
        <f t="shared" si="99"/>
        <v>5200750.0646182261</v>
      </c>
      <c r="BP129" s="8">
        <f>+MINVU_Mes_Corriente!BP129*MINVU_Mes_Constante!$BP$1</f>
        <v>0</v>
      </c>
      <c r="BQ129" s="8">
        <f>+MINVU_Mes_Corriente!BQ129*MINVU_Mes_Constante!$BP$1</f>
        <v>0</v>
      </c>
      <c r="BR129" s="8">
        <f>+MINVU_Mes_Corriente!BR129*MINVU_Mes_Constante!$BP$1</f>
        <v>419.69270166453271</v>
      </c>
      <c r="BS129" s="8">
        <f>+MINVU_Mes_Corriente!BS129*MINVU_Mes_Constante!$BP$1</f>
        <v>419.69270166453271</v>
      </c>
      <c r="BT129" s="8">
        <f>+MINVU_Mes_Corriente!BT129*MINVU_Mes_Constante!$BP$1</f>
        <v>9836.1979513444312</v>
      </c>
      <c r="BU129" s="8">
        <f>+MINVU_Mes_Corriente!BU129*MINVU_Mes_Constante!$BP$1</f>
        <v>15760.859923175418</v>
      </c>
      <c r="BV129" s="8">
        <f>+MINVU_Mes_Corriente!BV129*MINVU_Mes_Constante!$BP$1</f>
        <v>27380.751856594114</v>
      </c>
      <c r="BW129" s="8">
        <f>+MINVU_Mes_Corriente!BW129*MINVU_Mes_Constante!$BP$1</f>
        <v>32028.149039692704</v>
      </c>
      <c r="BX129" s="8">
        <f>+MINVU_Mes_Corriente!BX129*MINVU_Mes_Constante!$BP$1</f>
        <v>23204473.720870681</v>
      </c>
      <c r="BY129" s="8">
        <f>+MINVU_Mes_Corriente!BY129*MINVU_Mes_Constante!$BP$1</f>
        <v>29761195.699359797</v>
      </c>
      <c r="BZ129" s="8">
        <f>+MINVU_Mes_Corriente!BZ129*MINVU_Mes_Constante!$BP$1</f>
        <v>34278026.482970551</v>
      </c>
      <c r="CA129" s="8">
        <f>+MINVU_Mes_Corriente!CA129*MINVU_Mes_Constante!$BP$1</f>
        <v>34940321.151856601</v>
      </c>
      <c r="CB129" s="9">
        <f t="shared" si="100"/>
        <v>34940321.151856601</v>
      </c>
      <c r="CC129" s="8">
        <f>+MINVU_Mes_Corriente!CC129*MINVU_Mes_Constante!$CC$1</f>
        <v>0</v>
      </c>
      <c r="CD129" s="8">
        <f>+MINVU_Mes_Corriente!CD129*MINVU_Mes_Constante!$CC$1</f>
        <v>4420.3908989183146</v>
      </c>
      <c r="CE129" s="8">
        <f>+MINVU_Mes_Corriente!CE129*MINVU_Mes_Constante!$CC$1</f>
        <v>6875.1070496083557</v>
      </c>
      <c r="CF129" s="8">
        <f>+MINVU_Mes_Corriente!CF129*MINVU_Mes_Constante!$CC$1</f>
        <v>15465.934352853414</v>
      </c>
      <c r="CG129" s="8">
        <f>+MINVU_Mes_Corriente!CG129*MINVU_Mes_Constante!$CC$1</f>
        <v>15465.934352853414</v>
      </c>
      <c r="CH129" s="8">
        <f>+MINVU_Mes_Corriente!CH129*MINVU_Mes_Constante!$CC$1</f>
        <v>15465.934352853414</v>
      </c>
      <c r="CI129" s="8">
        <f>+MINVU_Mes_Corriente!CI129*MINVU_Mes_Constante!$CC$1</f>
        <v>15465.934352853414</v>
      </c>
      <c r="CJ129" s="8">
        <f>+MINVU_Mes_Corriente!CJ129*MINVU_Mes_Constante!$CC$1</f>
        <v>15465.934352853414</v>
      </c>
      <c r="CK129" s="8">
        <f>+MINVU_Mes_Corriente!CK129*MINVU_Mes_Constante!$CC$1</f>
        <v>25229.102573666543</v>
      </c>
      <c r="CL129" s="8">
        <f>+MINVU_Mes_Corriente!CL129*MINVU_Mes_Constante!$CC$1</f>
        <v>25229.102573666543</v>
      </c>
      <c r="CM129" s="8">
        <f>+MINVU_Mes_Corriente!CM129*MINVU_Mes_Constante!$CC$1</f>
        <v>5906133.9992540106</v>
      </c>
      <c r="CN129" s="8">
        <f>+MINVU_Mes_Corriente!CN129*MINVU_Mes_Constante!$CC$1</f>
        <v>14933308.493845582</v>
      </c>
      <c r="CO129" s="9">
        <f t="shared" si="101"/>
        <v>14933308.493845582</v>
      </c>
      <c r="CP129" s="8">
        <f>+MINVU_Mes_Corriente!CP129*MINVU_Mes_Constante!$CP$1</f>
        <v>0</v>
      </c>
      <c r="CQ129" s="8">
        <f>+MINVU_Mes_Corriente!CQ129*MINVU_Mes_Constante!$CP$1</f>
        <v>0</v>
      </c>
      <c r="CR129" s="8">
        <f>+MINVU_Mes_Corriente!CR129*MINVU_Mes_Constante!$CP$1</f>
        <v>0</v>
      </c>
      <c r="CS129" s="8">
        <f>+MINVU_Mes_Corriente!CS129*MINVU_Mes_Constante!$CP$1</f>
        <v>0</v>
      </c>
      <c r="CT129" s="8">
        <f>+MINVU_Mes_Corriente!CT129*MINVU_Mes_Constante!$CP$1</f>
        <v>0</v>
      </c>
      <c r="CU129" s="8">
        <f>+MINVU_Mes_Corriente!CU129*MINVU_Mes_Constante!$CP$1</f>
        <v>1038052.3886310903</v>
      </c>
      <c r="CV129" s="8">
        <f>+MINVU_Mes_Corriente!CV129*MINVU_Mes_Constante!$CP$1</f>
        <v>8890089.4670533631</v>
      </c>
      <c r="CW129" s="8">
        <f>+MINVU_Mes_Corriente!CW129*MINVU_Mes_Constante!$CP$1</f>
        <v>8891118.6911832932</v>
      </c>
      <c r="CX129" s="8">
        <f>+MINVU_Mes_Corriente!CX129*MINVU_Mes_Constante!$CP$1</f>
        <v>12343718.213457074</v>
      </c>
      <c r="CY129" s="8">
        <f>+MINVU_Mes_Corriente!CY129*MINVU_Mes_Constante!$CP$1</f>
        <v>12388038.226914151</v>
      </c>
      <c r="CZ129" s="8">
        <f>+MINVU_Mes_Corriente!CZ129*MINVU_Mes_Constante!$CP$1</f>
        <v>8942105.846171692</v>
      </c>
      <c r="DA129" s="8">
        <f>+MINVU_Mes_Corriente!DA129*MINVU_Mes_Constante!$CP$1</f>
        <v>14587012.338515079</v>
      </c>
      <c r="DB129" s="9">
        <f t="shared" si="102"/>
        <v>14587012.338515079</v>
      </c>
      <c r="DC129" s="8">
        <f>+MINVU_Mes_Corriente!DC129*MINVU_Mes_Constante!$DC$1</f>
        <v>0</v>
      </c>
      <c r="DD129" s="8">
        <f>+MINVU_Mes_Corriente!DD129*MINVU_Mes_Constante!$DC$1</f>
        <v>0</v>
      </c>
      <c r="DE129" s="8">
        <f>+MINVU_Mes_Corriente!DE129*MINVU_Mes_Constante!$DC$1</f>
        <v>0</v>
      </c>
      <c r="DF129" s="8">
        <f>+MINVU_Mes_Corriente!DF129*MINVU_Mes_Constante!$DC$1</f>
        <v>0</v>
      </c>
      <c r="DG129" s="8">
        <f>+MINVU_Mes_Corriente!DG129*MINVU_Mes_Constante!$DC$1</f>
        <v>0</v>
      </c>
      <c r="DH129" s="8">
        <f>+MINVU_Mes_Corriente!DH129*MINVU_Mes_Constante!$DC$1</f>
        <v>0</v>
      </c>
      <c r="DI129" s="8">
        <f>+MINVU_Mes_Corriente!DI129*MINVU_Mes_Constante!$DC$1</f>
        <v>5403884.2818640079</v>
      </c>
      <c r="DJ129" s="8">
        <f>+MINVU_Mes_Corriente!DJ129*MINVU_Mes_Constante!$DC$1</f>
        <v>5403884.2818640079</v>
      </c>
      <c r="DK129" s="8">
        <f>+MINVU_Mes_Corriente!DK129*MINVU_Mes_Constante!$DC$1</f>
        <v>7813589.3605596172</v>
      </c>
      <c r="DL129" s="8">
        <f>+MINVU_Mes_Corriente!DL129*MINVU_Mes_Constante!$DC$1</f>
        <v>7813589.3605596172</v>
      </c>
      <c r="DM129" s="8">
        <f>+MINVU_Mes_Corriente!DM129*MINVU_Mes_Constante!$DC$1</f>
        <v>7813589.3605596172</v>
      </c>
      <c r="DN129" s="8">
        <f>+MINVU_Mes_Corriente!DN129*MINVU_Mes_Constante!$DC$1</f>
        <v>87280300.337825373</v>
      </c>
      <c r="DO129" s="9">
        <f t="shared" si="103"/>
        <v>87280300.337825373</v>
      </c>
      <c r="DP129" s="8">
        <f>+MINVU_Mes_Corriente!DP129*MINVU_Mes_Constante!$DP$1</f>
        <v>0</v>
      </c>
      <c r="DQ129" s="8">
        <f>+MINVU_Mes_Corriente!DQ129*MINVU_Mes_Constante!$DP$1</f>
        <v>0</v>
      </c>
      <c r="DR129" s="8">
        <f>+MINVU_Mes_Corriente!DR129*MINVU_Mes_Constante!$DP$1</f>
        <v>0</v>
      </c>
      <c r="DS129" s="8">
        <f>+MINVU_Mes_Corriente!DS129*MINVU_Mes_Constante!$DP$1</f>
        <v>0</v>
      </c>
      <c r="DT129" s="8">
        <f>+MINVU_Mes_Corriente!DT129*MINVU_Mes_Constante!$DP$1</f>
        <v>0</v>
      </c>
      <c r="DU129" s="8">
        <f>+MINVU_Mes_Corriente!DU129*MINVU_Mes_Constante!$DP$1</f>
        <v>0</v>
      </c>
      <c r="DV129" s="8">
        <f>+MINVU_Mes_Corriente!DV129*MINVU_Mes_Constante!$DP$1</f>
        <v>0</v>
      </c>
      <c r="DW129" s="8">
        <f>+MINVU_Mes_Corriente!DW129*MINVU_Mes_Constante!$DP$1</f>
        <v>0</v>
      </c>
      <c r="DX129" s="8">
        <f>+MINVU_Mes_Corriente!DX129*MINVU_Mes_Constante!$DP$1</f>
        <v>0</v>
      </c>
      <c r="DY129" s="8">
        <f>+MINVU_Mes_Corriente!DY129*MINVU_Mes_Constante!$DP$1</f>
        <v>0</v>
      </c>
      <c r="DZ129" s="8">
        <f>+MINVU_Mes_Corriente!DZ129*MINVU_Mes_Constante!$DP$1</f>
        <v>0</v>
      </c>
      <c r="EA129" s="8">
        <f>+MINVU_Mes_Corriente!EA129*MINVU_Mes_Constante!$DP$1</f>
        <v>10168035.783847982</v>
      </c>
      <c r="EB129" s="9">
        <f t="shared" si="104"/>
        <v>10168035.783847982</v>
      </c>
      <c r="EC129" s="8">
        <f>+MINVU_Mes_Corriente!EC129*MINVU_Mes_Constante!$EC$1</f>
        <v>0</v>
      </c>
      <c r="ED129" s="8">
        <f>+MINVU_Mes_Corriente!ED129*MINVU_Mes_Constante!$EC$1</f>
        <v>0</v>
      </c>
      <c r="EE129" s="8">
        <f>+MINVU_Mes_Corriente!EE129*MINVU_Mes_Constante!$EC$1</f>
        <v>0</v>
      </c>
      <c r="EF129" s="8">
        <f>+MINVU_Mes_Corriente!EF129*MINVU_Mes_Constante!$EC$1</f>
        <v>0</v>
      </c>
      <c r="EG129" s="8">
        <f>+MINVU_Mes_Corriente!EG129*MINVU_Mes_Constante!$EC$1</f>
        <v>0</v>
      </c>
      <c r="EH129" s="8">
        <f>+MINVU_Mes_Corriente!EH129*MINVU_Mes_Constante!$EC$1</f>
        <v>0</v>
      </c>
      <c r="EI129" s="8">
        <f>+MINVU_Mes_Corriente!EI129*MINVU_Mes_Constante!$EC$1</f>
        <v>645.50501798901701</v>
      </c>
      <c r="EJ129" s="8">
        <f>+MINVU_Mes_Corriente!EJ129*MINVU_Mes_Constante!$EC$1</f>
        <v>2615.1228933914022</v>
      </c>
      <c r="EK129" s="8">
        <f>+MINVU_Mes_Corriente!EK129*MINVU_Mes_Constante!$EC$1</f>
        <v>2615.1228933914022</v>
      </c>
      <c r="EL129" s="8">
        <f>+MINVU_Mes_Corriente!EL129*MINVU_Mes_Constante!$EC$1</f>
        <v>13430.435334217</v>
      </c>
      <c r="EM129" s="8">
        <f>+MINVU_Mes_Corriente!EM129*MINVU_Mes_Constante!$EC$1</f>
        <v>34446.589092974806</v>
      </c>
      <c r="EN129" s="8">
        <f>+MINVU_Mes_Corriente!EN129*MINVU_Mes_Constante!$EC$1</f>
        <v>46068.782806286676</v>
      </c>
      <c r="EO129" s="9">
        <f t="shared" si="105"/>
        <v>46068.782806286676</v>
      </c>
      <c r="EP129" s="8">
        <f>+MINVU_Mes_Corriente!EP129*MINVU_Mes_Constante!$EP$1</f>
        <v>0</v>
      </c>
      <c r="EQ129" s="8">
        <f>+MINVU_Mes_Corriente!EQ129*MINVU_Mes_Constante!$EP$1</f>
        <v>0</v>
      </c>
      <c r="ER129" s="8">
        <f>+MINVU_Mes_Corriente!ER129*MINVU_Mes_Constante!$EP$1</f>
        <v>0</v>
      </c>
      <c r="ES129" s="8">
        <f>+MINVU_Mes_Corriente!ES129*MINVU_Mes_Constante!$EP$1</f>
        <v>0</v>
      </c>
      <c r="ET129" s="8">
        <f>+MINVU_Mes_Corriente!ET129*MINVU_Mes_Constante!$EP$1</f>
        <v>10567</v>
      </c>
      <c r="EU129" s="8">
        <f>+MINVU_Mes_Corriente!EU129*MINVU_Mes_Constante!$EP$1</f>
        <v>13756</v>
      </c>
      <c r="EV129" s="8">
        <f>+MINVU_Mes_Corriente!EV129*MINVU_Mes_Constante!$EP$1</f>
        <v>16250</v>
      </c>
      <c r="EW129" s="8">
        <f>+MINVU_Mes_Corriente!EW129*MINVU_Mes_Constante!$EP$1</f>
        <v>16250</v>
      </c>
      <c r="EX129" s="8">
        <f>+MINVU_Mes_Corriente!EX129*MINVU_Mes_Constante!$EP$1</f>
        <v>16250</v>
      </c>
      <c r="EY129" s="8">
        <f>+MINVU_Mes_Corriente!EY129*MINVU_Mes_Constante!$EP$1</f>
        <v>16893</v>
      </c>
      <c r="EZ129" s="8">
        <f>+MINVU_Mes_Corriente!EZ129*MINVU_Mes_Constante!$EP$1</f>
        <v>17819</v>
      </c>
      <c r="FA129" s="8">
        <f>+MINVU_Mes_Corriente!FA129*MINVU_Mes_Constante!$EP$1</f>
        <v>17819</v>
      </c>
      <c r="FB129" s="9">
        <f t="shared" si="106"/>
        <v>17819</v>
      </c>
      <c r="FC129" s="8">
        <f>+MINVU_Mes_Corriente!FC129*MINVU_Mes_Constante!$FC$1</f>
        <v>0</v>
      </c>
      <c r="FD129" s="8">
        <f>+MINVU_Mes_Corriente!FD129*MINVU_Mes_Constante!$FC$1</f>
        <v>0</v>
      </c>
      <c r="FE129" s="8">
        <f>+MINVU_Mes_Corriente!FE129*MINVU_Mes_Constante!$FC$1</f>
        <v>0</v>
      </c>
      <c r="FF129" s="8">
        <f>+MINVU_Mes_Corriente!FF129*MINVU_Mes_Constante!$FC$1</f>
        <v>0</v>
      </c>
      <c r="FG129" s="8">
        <f>+MINVU_Mes_Corriente!FG129*MINVU_Mes_Constante!$FC$1</f>
        <v>0</v>
      </c>
      <c r="FH129" s="8">
        <f>+MINVU_Mes_Corriente!FH129*MINVU_Mes_Constante!$FC$1</f>
        <v>0</v>
      </c>
      <c r="FI129" s="8">
        <f>+MINVU_Mes_Corriente!FI129*MINVU_Mes_Constante!$FC$1</f>
        <v>0</v>
      </c>
      <c r="FJ129" s="8"/>
      <c r="FK129" s="8"/>
      <c r="FL129" s="8"/>
      <c r="FM129" s="8"/>
      <c r="FN129" s="8"/>
      <c r="FO129" s="9">
        <f t="shared" si="107"/>
        <v>0</v>
      </c>
    </row>
    <row r="130" spans="2:171" ht="14.25" customHeight="1" x14ac:dyDescent="0.3">
      <c r="B130" s="7" t="s">
        <v>52</v>
      </c>
      <c r="C130" s="8">
        <f>+MINVU_Mes_Corriente!C130*MINVU_Mes_Constante!$C$1</f>
        <v>0</v>
      </c>
      <c r="D130" s="8">
        <f>+MINVU_Mes_Corriente!D130*MINVU_Mes_Constante!$C$1</f>
        <v>0</v>
      </c>
      <c r="E130" s="8">
        <f>+MINVU_Mes_Corriente!E130*MINVU_Mes_Constante!$C$1</f>
        <v>0</v>
      </c>
      <c r="F130" s="8">
        <f>+MINVU_Mes_Corriente!F130*MINVU_Mes_Constante!$C$1</f>
        <v>181.47886697315738</v>
      </c>
      <c r="G130" s="8">
        <f>+MINVU_Mes_Corriente!G130*MINVU_Mes_Constante!$C$1</f>
        <v>1468.0344060507196</v>
      </c>
      <c r="H130" s="8">
        <f>+MINVU_Mes_Corriente!H130*MINVU_Mes_Constante!$C$1</f>
        <v>6692.0332196351783</v>
      </c>
      <c r="I130" s="8">
        <f>+MINVU_Mes_Corriente!I130*MINVU_Mes_Constante!$C$1</f>
        <v>6985.3160314400129</v>
      </c>
      <c r="J130" s="8">
        <f>+MINVU_Mes_Corriente!J130*MINVU_Mes_Constante!$C$1</f>
        <v>7719.3332344653727</v>
      </c>
      <c r="K130" s="8">
        <f>+MINVU_Mes_Corriente!K130*MINVU_Mes_Constante!$C$1</f>
        <v>9075.5636956844155</v>
      </c>
      <c r="L130" s="8">
        <f>+MINVU_Mes_Corriente!L130*MINVU_Mes_Constante!$C$1</f>
        <v>13735.68174403085</v>
      </c>
      <c r="M130" s="8">
        <f>+MINVU_Mes_Corriente!M130*MINVU_Mes_Constante!$C$1</f>
        <v>172788.94586979091</v>
      </c>
      <c r="N130" s="8">
        <f>+MINVU_Mes_Corriente!N130*MINVU_Mes_Constante!$C$1</f>
        <v>6645031.8134361571</v>
      </c>
      <c r="O130" s="9">
        <f t="shared" si="95"/>
        <v>6645031.8134361571</v>
      </c>
      <c r="P130" s="8">
        <f>+MINVU_Mes_Corriente!P130*MINVU_Mes_Constante!$P$1</f>
        <v>0</v>
      </c>
      <c r="Q130" s="8">
        <f>+MINVU_Mes_Corriente!Q130*MINVU_Mes_Constante!$P$1</f>
        <v>858.37164369938876</v>
      </c>
      <c r="R130" s="8">
        <f>+MINVU_Mes_Corriente!R130*MINVU_Mes_Constante!$P$1</f>
        <v>2124.9742861201867</v>
      </c>
      <c r="S130" s="8">
        <f>+MINVU_Mes_Corriente!S130*MINVU_Mes_Constante!$P$1</f>
        <v>393767.51413553045</v>
      </c>
      <c r="T130" s="8">
        <f>+MINVU_Mes_Corriente!T130*MINVU_Mes_Constante!$P$1</f>
        <v>393946.01818440104</v>
      </c>
      <c r="U130" s="8">
        <f>+MINVU_Mes_Corriente!U130*MINVU_Mes_Constante!$P$1</f>
        <v>395037.22119619249</v>
      </c>
      <c r="V130" s="8">
        <f>+MINVU_Mes_Corriente!V130*MINVU_Mes_Constante!$P$1</f>
        <v>397888.6293507599</v>
      </c>
      <c r="W130" s="8">
        <f>+MINVU_Mes_Corriente!W130*MINVU_Mes_Constante!$P$1</f>
        <v>399026.39863616979</v>
      </c>
      <c r="X130" s="8">
        <f>+MINVU_Mes_Corriente!X130*MINVU_Mes_Constante!$P$1</f>
        <v>399656.59553913894</v>
      </c>
      <c r="Y130" s="8">
        <f>+MINVU_Mes_Corriente!Y130*MINVU_Mes_Constante!$P$1</f>
        <v>399656.59553913894</v>
      </c>
      <c r="Z130" s="8">
        <f>+MINVU_Mes_Corriente!Z130*MINVU_Mes_Constante!$P$1</f>
        <v>404338.05824690993</v>
      </c>
      <c r="AA130" s="8">
        <f>+MINVU_Mes_Corriente!AA130*MINVU_Mes_Constante!$P$1</f>
        <v>5084476.7316380152</v>
      </c>
      <c r="AB130" s="9">
        <f t="shared" si="96"/>
        <v>5084476.7316380152</v>
      </c>
      <c r="AC130" s="8">
        <f>+MINVU_Mes_Corriente!AC130*MINVU_Mes_Constante!$AC$1</f>
        <v>0</v>
      </c>
      <c r="AD130" s="8">
        <f>+MINVU_Mes_Corriente!AD130*MINVU_Mes_Constante!$AC$1</f>
        <v>628.74754461197949</v>
      </c>
      <c r="AE130" s="8">
        <f>+MINVU_Mes_Corriente!AE130*MINVU_Mes_Constante!$AC$1</f>
        <v>628.74754461197949</v>
      </c>
      <c r="AF130" s="8">
        <f>+MINVU_Mes_Corriente!AF130*MINVU_Mes_Constante!$AC$1</f>
        <v>628.74754461197949</v>
      </c>
      <c r="AG130" s="8">
        <f>+MINVU_Mes_Corriente!AG130*MINVU_Mes_Constante!$AC$1</f>
        <v>628.74754461197949</v>
      </c>
      <c r="AH130" s="8">
        <f>+MINVU_Mes_Corriente!AH130*MINVU_Mes_Constante!$AC$1</f>
        <v>1127.5136256743672</v>
      </c>
      <c r="AI130" s="8">
        <f>+MINVU_Mes_Corriente!AI130*MINVU_Mes_Constante!$AC$1</f>
        <v>3331.1528565500071</v>
      </c>
      <c r="AJ130" s="8">
        <f>+MINVU_Mes_Corriente!AJ130*MINVU_Mes_Constante!$AC$1</f>
        <v>4135.2242357172499</v>
      </c>
      <c r="AK130" s="8">
        <f>+MINVU_Mes_Corriente!AK130*MINVU_Mes_Constante!$AC$1</f>
        <v>5190440.9622354405</v>
      </c>
      <c r="AL130" s="8">
        <f>+MINVU_Mes_Corriente!AL130*MINVU_Mes_Constante!$AC$1</f>
        <v>5191251.0792640755</v>
      </c>
      <c r="AM130" s="8">
        <f>+MINVU_Mes_Corriente!AM130*MINVU_Mes_Constante!$AC$1</f>
        <v>5299156.8537833728</v>
      </c>
      <c r="AN130" s="8">
        <f>+MINVU_Mes_Corriente!AN130*MINVU_Mes_Constante!$AC$1</f>
        <v>6701708.2335039424</v>
      </c>
      <c r="AO130" s="9">
        <f t="shared" si="97"/>
        <v>6701708.2335039424</v>
      </c>
      <c r="AP130" s="8">
        <f>+MINVU_Mes_Corriente!AP130*MINVU_Mes_Constante!$AP$1</f>
        <v>0</v>
      </c>
      <c r="AQ130" s="8">
        <f>+MINVU_Mes_Corriente!AQ130*MINVU_Mes_Constante!$AP$1</f>
        <v>464.05572839172186</v>
      </c>
      <c r="AR130" s="8">
        <f>+MINVU_Mes_Corriente!AR130*MINVU_Mes_Constante!$AP$1</f>
        <v>2216.8267279859324</v>
      </c>
      <c r="AS130" s="8">
        <f>+MINVU_Mes_Corriente!AS130*MINVU_Mes_Constante!$AP$1</f>
        <v>2216.8267279859324</v>
      </c>
      <c r="AT130" s="8">
        <f>+MINVU_Mes_Corriente!AT130*MINVU_Mes_Constante!$AP$1</f>
        <v>2370.5267144596237</v>
      </c>
      <c r="AU130" s="8">
        <f>+MINVU_Mes_Corriente!AU130*MINVU_Mes_Constante!$AP$1</f>
        <v>4850.4168808332206</v>
      </c>
      <c r="AV130" s="8">
        <f>+MINVU_Mes_Corriente!AV130*MINVU_Mes_Constante!$AP$1</f>
        <v>11387.099959421073</v>
      </c>
      <c r="AW130" s="8">
        <f>+MINVU_Mes_Corriente!AW130*MINVU_Mes_Constante!$AP$1</f>
        <v>12393.539293926686</v>
      </c>
      <c r="AX130" s="8">
        <f>+MINVU_Mes_Corriente!AX130*MINVU_Mes_Constante!$AP$1</f>
        <v>13394.067090491004</v>
      </c>
      <c r="AY130" s="8">
        <f>+MINVU_Mes_Corriente!AY130*MINVU_Mes_Constante!$AP$1</f>
        <v>14257.151629920194</v>
      </c>
      <c r="AZ130" s="8">
        <f>+MINVU_Mes_Corriente!AZ130*MINVU_Mes_Constante!$AP$1</f>
        <v>14969.491951846339</v>
      </c>
      <c r="BA130" s="8">
        <f>+MINVU_Mes_Corriente!BA130*MINVU_Mes_Constante!$AP$1</f>
        <v>39314.683078587848</v>
      </c>
      <c r="BB130" s="9">
        <f t="shared" si="98"/>
        <v>39314.683078587848</v>
      </c>
      <c r="BC130" s="8">
        <f>+MINVU_Mes_Corriente!BC130*MINVU_Mes_Constante!$BC$1</f>
        <v>0</v>
      </c>
      <c r="BD130" s="8">
        <f>+MINVU_Mes_Corriente!BD130*MINVU_Mes_Constante!$BC$1</f>
        <v>501.41738098377965</v>
      </c>
      <c r="BE130" s="8">
        <f>+MINVU_Mes_Corriente!BE130*MINVU_Mes_Constante!$BC$1</f>
        <v>1616.6387973097724</v>
      </c>
      <c r="BF130" s="8">
        <f>+MINVU_Mes_Corriente!BF130*MINVU_Mes_Constante!$BC$1</f>
        <v>3452.2874851641841</v>
      </c>
      <c r="BG130" s="8">
        <f>+MINVU_Mes_Corriente!BG130*MINVU_Mes_Constante!$BC$1</f>
        <v>3808.178557299223</v>
      </c>
      <c r="BH130" s="8">
        <f>+MINVU_Mes_Corriente!BH130*MINVU_Mes_Constante!$BC$1</f>
        <v>4808.1316101806688</v>
      </c>
      <c r="BI130" s="8">
        <f>+MINVU_Mes_Corriente!BI130*MINVU_Mes_Constante!$BC$1</f>
        <v>4808.1316101806688</v>
      </c>
      <c r="BJ130" s="8">
        <f>+MINVU_Mes_Corriente!BJ130*MINVU_Mes_Constante!$BC$1</f>
        <v>4808.1316101806688</v>
      </c>
      <c r="BK130" s="8">
        <f>+MINVU_Mes_Corriente!BK130*MINVU_Mes_Constante!$BC$1</f>
        <v>5126.56046419623</v>
      </c>
      <c r="BL130" s="8">
        <f>+MINVU_Mes_Corriente!BL130*MINVU_Mes_Constante!$BC$1</f>
        <v>7931.9042595278934</v>
      </c>
      <c r="BM130" s="8">
        <f>+MINVU_Mes_Corriente!BM130*MINVU_Mes_Constante!$BC$1</f>
        <v>7931.9042595278934</v>
      </c>
      <c r="BN130" s="8">
        <f>+MINVU_Mes_Corriente!BN130*MINVU_Mes_Constante!$BC$1</f>
        <v>20828.993274429649</v>
      </c>
      <c r="BO130" s="9">
        <f t="shared" si="99"/>
        <v>20828.993274429649</v>
      </c>
      <c r="BP130" s="8">
        <f>+MINVU_Mes_Corriente!BP130*MINVU_Mes_Constante!$BP$1</f>
        <v>0</v>
      </c>
      <c r="BQ130" s="8">
        <f>+MINVU_Mes_Corriente!BQ130*MINVU_Mes_Constante!$BP$1</f>
        <v>0</v>
      </c>
      <c r="BR130" s="8">
        <f>+MINVU_Mes_Corriente!BR130*MINVU_Mes_Constante!$BP$1</f>
        <v>7172.5482714468635</v>
      </c>
      <c r="BS130" s="8">
        <f>+MINVU_Mes_Corriente!BS130*MINVU_Mes_Constante!$BP$1</f>
        <v>8984.2217669654292</v>
      </c>
      <c r="BT130" s="8">
        <f>+MINVU_Mes_Corriente!BT130*MINVU_Mes_Constante!$BP$1</f>
        <v>12301.193085787454</v>
      </c>
      <c r="BU130" s="8">
        <f>+MINVU_Mes_Corriente!BU130*MINVU_Mes_Constante!$BP$1</f>
        <v>13130.785659411013</v>
      </c>
      <c r="BV130" s="8">
        <f>+MINVU_Mes_Corriente!BV130*MINVU_Mes_Constante!$BP$1</f>
        <v>15299.197951344431</v>
      </c>
      <c r="BW130" s="8">
        <f>+MINVU_Mes_Corriente!BW130*MINVU_Mes_Constante!$BP$1</f>
        <v>15299.197951344431</v>
      </c>
      <c r="BX130" s="8">
        <f>+MINVU_Mes_Corriente!BX130*MINVU_Mes_Constante!$BP$1</f>
        <v>16832.475288092191</v>
      </c>
      <c r="BY130" s="8">
        <f>+MINVU_Mes_Corriente!BY130*MINVU_Mes_Constante!$BP$1</f>
        <v>17166.830473751601</v>
      </c>
      <c r="BZ130" s="8">
        <f>+MINVU_Mes_Corriente!BZ130*MINVU_Mes_Constante!$BP$1</f>
        <v>17526.367221510885</v>
      </c>
      <c r="CA130" s="8">
        <f>+MINVU_Mes_Corriente!CA130*MINVU_Mes_Constante!$BP$1</f>
        <v>1294886.2862996161</v>
      </c>
      <c r="CB130" s="9">
        <f t="shared" si="100"/>
        <v>1294886.2862996161</v>
      </c>
      <c r="CC130" s="8">
        <f>+MINVU_Mes_Corriente!CC130*MINVU_Mes_Constante!$CC$1</f>
        <v>0</v>
      </c>
      <c r="CD130" s="8">
        <f>+MINVU_Mes_Corriente!CD130*MINVU_Mes_Constante!$CC$1</f>
        <v>3707.2055203282362</v>
      </c>
      <c r="CE130" s="8">
        <f>+MINVU_Mes_Corriente!CE130*MINVU_Mes_Constante!$CC$1</f>
        <v>3707.2055203282362</v>
      </c>
      <c r="CF130" s="8">
        <f>+MINVU_Mes_Corriente!CF130*MINVU_Mes_Constante!$CC$1</f>
        <v>3707.2055203282362</v>
      </c>
      <c r="CG130" s="8">
        <f>+MINVU_Mes_Corriente!CG130*MINVU_Mes_Constante!$CC$1</f>
        <v>3707.2055203282362</v>
      </c>
      <c r="CH130" s="8">
        <f>+MINVU_Mes_Corriente!CH130*MINVU_Mes_Constante!$CC$1</f>
        <v>3707.2055203282362</v>
      </c>
      <c r="CI130" s="8">
        <f>+MINVU_Mes_Corriente!CI130*MINVU_Mes_Constante!$CC$1</f>
        <v>570851.23685192096</v>
      </c>
      <c r="CJ130" s="8">
        <f>+MINVU_Mes_Corriente!CJ130*MINVU_Mes_Constante!$CC$1</f>
        <v>1572159.4330473705</v>
      </c>
      <c r="CK130" s="8">
        <f>+MINVU_Mes_Corriente!CK130*MINVU_Mes_Constante!$CC$1</f>
        <v>1572159.4330473705</v>
      </c>
      <c r="CL130" s="8">
        <f>+MINVU_Mes_Corriente!CL130*MINVU_Mes_Constante!$CC$1</f>
        <v>1572264.0335695636</v>
      </c>
      <c r="CM130" s="8">
        <f>+MINVU_Mes_Corriente!CM130*MINVU_Mes_Constante!$CC$1</f>
        <v>1574115.5986572176</v>
      </c>
      <c r="CN130" s="8">
        <f>+MINVU_Mes_Corriente!CN130*MINVU_Mes_Constante!$CC$1</f>
        <v>4350626.4259604625</v>
      </c>
      <c r="CO130" s="9">
        <f t="shared" si="101"/>
        <v>4350626.4259604625</v>
      </c>
      <c r="CP130" s="8">
        <f>+MINVU_Mes_Corriente!CP130*MINVU_Mes_Constante!$CP$1</f>
        <v>0</v>
      </c>
      <c r="CQ130" s="8">
        <f>+MINVU_Mes_Corriente!CQ130*MINVU_Mes_Constante!$CP$1</f>
        <v>0</v>
      </c>
      <c r="CR130" s="8">
        <f>+MINVU_Mes_Corriente!CR130*MINVU_Mes_Constante!$CP$1</f>
        <v>224.35058004640368</v>
      </c>
      <c r="CS130" s="8">
        <f>+MINVU_Mes_Corriente!CS130*MINVU_Mes_Constante!$CP$1</f>
        <v>224.35058004640368</v>
      </c>
      <c r="CT130" s="8">
        <f>+MINVU_Mes_Corriente!CT130*MINVU_Mes_Constante!$CP$1</f>
        <v>224.35058004640368</v>
      </c>
      <c r="CU130" s="8">
        <f>+MINVU_Mes_Corriente!CU130*MINVU_Mes_Constante!$CP$1</f>
        <v>3266.3923433874702</v>
      </c>
      <c r="CV130" s="8">
        <f>+MINVU_Mes_Corriente!CV130*MINVU_Mes_Constante!$CP$1</f>
        <v>3266.3923433874702</v>
      </c>
      <c r="CW130" s="8">
        <f>+MINVU_Mes_Corriente!CW130*MINVU_Mes_Constante!$CP$1</f>
        <v>3266.3923433874702</v>
      </c>
      <c r="CX130" s="8">
        <f>+MINVU_Mes_Corriente!CX130*MINVU_Mes_Constante!$CP$1</f>
        <v>3266.3923433874702</v>
      </c>
      <c r="CY130" s="8">
        <f>+MINVU_Mes_Corriente!CY130*MINVU_Mes_Constante!$CP$1</f>
        <v>3266.3923433874702</v>
      </c>
      <c r="CZ130" s="8">
        <f>+MINVU_Mes_Corriente!CZ130*MINVU_Mes_Constante!$CP$1</f>
        <v>6474557.4723897902</v>
      </c>
      <c r="DA130" s="8">
        <f>+MINVU_Mes_Corriente!DA130*MINVU_Mes_Constante!$CP$1</f>
        <v>6485224.8988399059</v>
      </c>
      <c r="DB130" s="9">
        <f t="shared" si="102"/>
        <v>6485224.8988399059</v>
      </c>
      <c r="DC130" s="8">
        <f>+MINVU_Mes_Corriente!DC130*MINVU_Mes_Constante!$DC$1</f>
        <v>0</v>
      </c>
      <c r="DD130" s="8">
        <f>+MINVU_Mes_Corriente!DD130*MINVU_Mes_Constante!$DC$1</f>
        <v>0</v>
      </c>
      <c r="DE130" s="8">
        <f>+MINVU_Mes_Corriente!DE130*MINVU_Mes_Constante!$DC$1</f>
        <v>0</v>
      </c>
      <c r="DF130" s="8">
        <f>+MINVU_Mes_Corriente!DF130*MINVU_Mes_Constante!$DC$1</f>
        <v>0</v>
      </c>
      <c r="DG130" s="8">
        <f>+MINVU_Mes_Corriente!DG130*MINVU_Mes_Constante!$DC$1</f>
        <v>0</v>
      </c>
      <c r="DH130" s="8">
        <f>+MINVU_Mes_Corriente!DH130*MINVU_Mes_Constante!$DC$1</f>
        <v>0</v>
      </c>
      <c r="DI130" s="8">
        <f>+MINVU_Mes_Corriente!DI130*MINVU_Mes_Constante!$DC$1</f>
        <v>1224794.3719781921</v>
      </c>
      <c r="DJ130" s="8">
        <f>+MINVU_Mes_Corriente!DJ130*MINVU_Mes_Constante!$DC$1</f>
        <v>1224794.3719781921</v>
      </c>
      <c r="DK130" s="8">
        <f>+MINVU_Mes_Corriente!DK130*MINVU_Mes_Constante!$DC$1</f>
        <v>1224794.3719781921</v>
      </c>
      <c r="DL130" s="8">
        <f>+MINVU_Mes_Corriente!DL130*MINVU_Mes_Constante!$DC$1</f>
        <v>1224794.3719781921</v>
      </c>
      <c r="DM130" s="8">
        <f>+MINVU_Mes_Corriente!DM130*MINVU_Mes_Constante!$DC$1</f>
        <v>1224794.3719781921</v>
      </c>
      <c r="DN130" s="8">
        <f>+MINVU_Mes_Corriente!DN130*MINVU_Mes_Constante!$DC$1</f>
        <v>8760748.014401814</v>
      </c>
      <c r="DO130" s="9">
        <f t="shared" si="103"/>
        <v>8760748.014401814</v>
      </c>
      <c r="DP130" s="8">
        <f>+MINVU_Mes_Corriente!DP130*MINVU_Mes_Constante!$DP$1</f>
        <v>0</v>
      </c>
      <c r="DQ130" s="8">
        <f>+MINVU_Mes_Corriente!DQ130*MINVU_Mes_Constante!$DP$1</f>
        <v>0</v>
      </c>
      <c r="DR130" s="8">
        <f>+MINVU_Mes_Corriente!DR130*MINVU_Mes_Constante!$DP$1</f>
        <v>0</v>
      </c>
      <c r="DS130" s="8">
        <f>+MINVU_Mes_Corriente!DS130*MINVU_Mes_Constante!$DP$1</f>
        <v>0</v>
      </c>
      <c r="DT130" s="8">
        <f>+MINVU_Mes_Corriente!DT130*MINVU_Mes_Constante!$DP$1</f>
        <v>0</v>
      </c>
      <c r="DU130" s="8">
        <f>+MINVU_Mes_Corriente!DU130*MINVU_Mes_Constante!$DP$1</f>
        <v>0</v>
      </c>
      <c r="DV130" s="8">
        <f>+MINVU_Mes_Corriente!DV130*MINVU_Mes_Constante!$DP$1</f>
        <v>0</v>
      </c>
      <c r="DW130" s="8">
        <f>+MINVU_Mes_Corriente!DW130*MINVU_Mes_Constante!$DP$1</f>
        <v>0</v>
      </c>
      <c r="DX130" s="8">
        <f>+MINVU_Mes_Corriente!DX130*MINVU_Mes_Constante!$DP$1</f>
        <v>0</v>
      </c>
      <c r="DY130" s="8">
        <f>+MINVU_Mes_Corriente!DY130*MINVU_Mes_Constante!$DP$1</f>
        <v>0</v>
      </c>
      <c r="DZ130" s="8">
        <f>+MINVU_Mes_Corriente!DZ130*MINVU_Mes_Constante!$DP$1</f>
        <v>0</v>
      </c>
      <c r="EA130" s="8">
        <f>+MINVU_Mes_Corriente!EA130*MINVU_Mes_Constante!$DP$1</f>
        <v>0</v>
      </c>
      <c r="EB130" s="9">
        <f t="shared" si="104"/>
        <v>0</v>
      </c>
      <c r="EC130" s="8">
        <f>+MINVU_Mes_Corriente!EC130*MINVU_Mes_Constante!$EC$1</f>
        <v>0</v>
      </c>
      <c r="ED130" s="8">
        <f>+MINVU_Mes_Corriente!ED130*MINVU_Mes_Constante!$EC$1</f>
        <v>0</v>
      </c>
      <c r="EE130" s="8">
        <f>+MINVU_Mes_Corriente!EE130*MINVU_Mes_Constante!$EC$1</f>
        <v>0</v>
      </c>
      <c r="EF130" s="8">
        <f>+MINVU_Mes_Corriente!EF130*MINVU_Mes_Constante!$EC$1</f>
        <v>0</v>
      </c>
      <c r="EG130" s="8">
        <f>+MINVU_Mes_Corriente!EG130*MINVU_Mes_Constante!$EC$1</f>
        <v>0</v>
      </c>
      <c r="EH130" s="8">
        <f>+MINVU_Mes_Corriente!EH130*MINVU_Mes_Constante!$EC$1</f>
        <v>879.29369437606488</v>
      </c>
      <c r="EI130" s="8">
        <f>+MINVU_Mes_Corriente!EI130*MINVU_Mes_Constante!$EC$1</f>
        <v>1432.7314902480587</v>
      </c>
      <c r="EJ130" s="8">
        <f>+MINVU_Mes_Corriente!EJ130*MINVU_Mes_Constante!$EC$1</f>
        <v>9536.7159628858135</v>
      </c>
      <c r="EK130" s="8">
        <f>+MINVU_Mes_Corriente!EK130*MINVU_Mes_Constante!$EC$1</f>
        <v>10178.083128195414</v>
      </c>
      <c r="EL130" s="8">
        <f>+MINVU_Mes_Corriente!EL130*MINVU_Mes_Constante!$EC$1</f>
        <v>10178.083128195414</v>
      </c>
      <c r="EM130" s="8">
        <f>+MINVU_Mes_Corriente!EM130*MINVU_Mes_Constante!$EC$1</f>
        <v>12625.622988070438</v>
      </c>
      <c r="EN130" s="8">
        <f>+MINVU_Mes_Corriente!EN130*MINVU_Mes_Constante!$EC$1</f>
        <v>310795.14921416389</v>
      </c>
      <c r="EO130" s="9">
        <f t="shared" si="105"/>
        <v>310795.14921416389</v>
      </c>
      <c r="EP130" s="8">
        <f>+MINVU_Mes_Corriente!EP130*MINVU_Mes_Constante!$EP$1</f>
        <v>0</v>
      </c>
      <c r="EQ130" s="8">
        <f>+MINVU_Mes_Corriente!EQ130*MINVU_Mes_Constante!$EP$1</f>
        <v>0</v>
      </c>
      <c r="ER130" s="8">
        <f>+MINVU_Mes_Corriente!ER130*MINVU_Mes_Constante!$EP$1</f>
        <v>0</v>
      </c>
      <c r="ES130" s="8">
        <f>+MINVU_Mes_Corriente!ES130*MINVU_Mes_Constante!$EP$1</f>
        <v>0</v>
      </c>
      <c r="ET130" s="8">
        <f>+MINVU_Mes_Corriente!ET130*MINVU_Mes_Constante!$EP$1</f>
        <v>0</v>
      </c>
      <c r="EU130" s="8">
        <f>+MINVU_Mes_Corriente!EU130*MINVU_Mes_Constante!$EP$1</f>
        <v>3136</v>
      </c>
      <c r="EV130" s="8">
        <f>+MINVU_Mes_Corriente!EV130*MINVU_Mes_Constante!$EP$1</f>
        <v>6447</v>
      </c>
      <c r="EW130" s="8">
        <f>+MINVU_Mes_Corriente!EW130*MINVU_Mes_Constante!$EP$1</f>
        <v>7416</v>
      </c>
      <c r="EX130" s="8">
        <f>+MINVU_Mes_Corriente!EX130*MINVU_Mes_Constante!$EP$1</f>
        <v>7416</v>
      </c>
      <c r="EY130" s="8">
        <f>+MINVU_Mes_Corriente!EY130*MINVU_Mes_Constante!$EP$1</f>
        <v>7416</v>
      </c>
      <c r="EZ130" s="8">
        <f>+MINVU_Mes_Corriente!EZ130*MINVU_Mes_Constante!$EP$1</f>
        <v>7416</v>
      </c>
      <c r="FA130" s="8">
        <f>+MINVU_Mes_Corriente!FA130*MINVU_Mes_Constante!$EP$1</f>
        <v>7416</v>
      </c>
      <c r="FB130" s="9">
        <f t="shared" si="106"/>
        <v>7416</v>
      </c>
      <c r="FC130" s="8">
        <f>+MINVU_Mes_Corriente!FC130*MINVU_Mes_Constante!$FC$1</f>
        <v>0</v>
      </c>
      <c r="FD130" s="8">
        <f>+MINVU_Mes_Corriente!FD130*MINVU_Mes_Constante!$FC$1</f>
        <v>0</v>
      </c>
      <c r="FE130" s="8">
        <f>+MINVU_Mes_Corriente!FE130*MINVU_Mes_Constante!$FC$1</f>
        <v>0</v>
      </c>
      <c r="FF130" s="8">
        <f>+MINVU_Mes_Corriente!FF130*MINVU_Mes_Constante!$FC$1</f>
        <v>0</v>
      </c>
      <c r="FG130" s="8">
        <f>+MINVU_Mes_Corriente!FG130*MINVU_Mes_Constante!$FC$1</f>
        <v>0</v>
      </c>
      <c r="FH130" s="8">
        <f>+MINVU_Mes_Corriente!FH130*MINVU_Mes_Constante!$FC$1</f>
        <v>0</v>
      </c>
      <c r="FI130" s="8">
        <f>+MINVU_Mes_Corriente!FI130*MINVU_Mes_Constante!$FC$1</f>
        <v>0</v>
      </c>
      <c r="FJ130" s="8"/>
      <c r="FK130" s="8"/>
      <c r="FL130" s="8"/>
      <c r="FM130" s="8"/>
      <c r="FN130" s="8"/>
      <c r="FO130" s="9">
        <f t="shared" si="107"/>
        <v>0</v>
      </c>
    </row>
    <row r="131" spans="2:171" ht="14.25" customHeight="1" x14ac:dyDescent="0.3">
      <c r="B131" s="7" t="s">
        <v>53</v>
      </c>
      <c r="C131" s="8">
        <f>+MINVU_Mes_Corriente!C131*MINVU_Mes_Constante!$C$1</f>
        <v>0</v>
      </c>
      <c r="D131" s="8">
        <f>+MINVU_Mes_Corriente!D131*MINVU_Mes_Constante!$C$1</f>
        <v>0</v>
      </c>
      <c r="E131" s="8">
        <f>+MINVU_Mes_Corriente!E131*MINVU_Mes_Constante!$C$1</f>
        <v>1450.2105887587129</v>
      </c>
      <c r="F131" s="8">
        <f>+MINVU_Mes_Corriente!F131*MINVU_Mes_Constante!$C$1</f>
        <v>3349.2573038706814</v>
      </c>
      <c r="G131" s="8">
        <f>+MINVU_Mes_Corriente!G131*MINVU_Mes_Constante!$C$1</f>
        <v>3577.726234613674</v>
      </c>
      <c r="H131" s="8">
        <f>+MINVU_Mes_Corriente!H131*MINVU_Mes_Constante!$C$1</f>
        <v>3577.726234613674</v>
      </c>
      <c r="I131" s="8">
        <f>+MINVU_Mes_Corriente!I131*MINVU_Mes_Constante!$C$1</f>
        <v>6784.3930001483031</v>
      </c>
      <c r="J131" s="8">
        <f>+MINVU_Mes_Corriente!J131*MINVU_Mes_Constante!$C$1</f>
        <v>12058.622571555688</v>
      </c>
      <c r="K131" s="8">
        <f>+MINVU_Mes_Corriente!K131*MINVU_Mes_Constante!$C$1</f>
        <v>12486.394186563846</v>
      </c>
      <c r="L131" s="8">
        <f>+MINVU_Mes_Corriente!L131*MINVU_Mes_Constante!$C$1</f>
        <v>14599.326709179893</v>
      </c>
      <c r="M131" s="8">
        <f>+MINVU_Mes_Corriente!M131*MINVU_Mes_Constante!$C$1</f>
        <v>14599.326709179893</v>
      </c>
      <c r="N131" s="8">
        <f>+MINVU_Mes_Corriente!N131*MINVU_Mes_Constante!$C$1</f>
        <v>35628.190419694503</v>
      </c>
      <c r="O131" s="9">
        <f t="shared" si="95"/>
        <v>35628.190419694503</v>
      </c>
      <c r="P131" s="8">
        <f>+MINVU_Mes_Corriente!P131*MINVU_Mes_Constante!$P$1</f>
        <v>0</v>
      </c>
      <c r="Q131" s="8">
        <f>+MINVU_Mes_Corriente!Q131*MINVU_Mes_Constante!$P$1</f>
        <v>0</v>
      </c>
      <c r="R131" s="8">
        <f>+MINVU_Mes_Corriente!R131*MINVU_Mes_Constante!$P$1</f>
        <v>0</v>
      </c>
      <c r="S131" s="8">
        <f>+MINVU_Mes_Corriente!S131*MINVU_Mes_Constante!$P$1</f>
        <v>1921.6348913197889</v>
      </c>
      <c r="T131" s="8">
        <f>+MINVU_Mes_Corriente!T131*MINVU_Mes_Constante!$P$1</f>
        <v>2736.5446796419938</v>
      </c>
      <c r="U131" s="8">
        <f>+MINVU_Mes_Corriente!U131*MINVU_Mes_Constante!$P$1</f>
        <v>5996.1838329308121</v>
      </c>
      <c r="V131" s="8">
        <f>+MINVU_Mes_Corriente!V131*MINVU_Mes_Constante!$P$1</f>
        <v>10337.712743287395</v>
      </c>
      <c r="W131" s="8">
        <f>+MINVU_Mes_Corriente!W131*MINVU_Mes_Constante!$P$1</f>
        <v>10724.212814320212</v>
      </c>
      <c r="X131" s="8">
        <f>+MINVU_Mes_Corriente!X131*MINVU_Mes_Constante!$P$1</f>
        <v>12402.150873703646</v>
      </c>
      <c r="Y131" s="8">
        <f>+MINVU_Mes_Corriente!Y131*MINVU_Mes_Constante!$P$1</f>
        <v>18451.109816735327</v>
      </c>
      <c r="Z131" s="8">
        <f>+MINVU_Mes_Corriente!Z131*MINVU_Mes_Constante!$P$1</f>
        <v>27230.404602926541</v>
      </c>
      <c r="AA131" s="8">
        <f>+MINVU_Mes_Corriente!AA131*MINVU_Mes_Constante!$P$1</f>
        <v>37904.946725387112</v>
      </c>
      <c r="AB131" s="9">
        <f t="shared" si="96"/>
        <v>37904.946725387112</v>
      </c>
      <c r="AC131" s="8">
        <f>+MINVU_Mes_Corriente!AC131*MINVU_Mes_Constante!$AC$1</f>
        <v>0</v>
      </c>
      <c r="AD131" s="8">
        <f>+MINVU_Mes_Corriente!AD131*MINVU_Mes_Constante!$AC$1</f>
        <v>0</v>
      </c>
      <c r="AE131" s="8">
        <f>+MINVU_Mes_Corriente!AE131*MINVU_Mes_Constante!$AC$1</f>
        <v>231.24609212892517</v>
      </c>
      <c r="AF131" s="8">
        <f>+MINVU_Mes_Corriente!AF131*MINVU_Mes_Constante!$AC$1</f>
        <v>6885.99474339466</v>
      </c>
      <c r="AG131" s="8">
        <f>+MINVU_Mes_Corriente!AG131*MINVU_Mes_Constante!$AC$1</f>
        <v>6935.8713515008994</v>
      </c>
      <c r="AH131" s="8">
        <f>+MINVU_Mes_Corriente!AH131*MINVU_Mes_Constante!$AC$1</f>
        <v>6935.8713515008994</v>
      </c>
      <c r="AI131" s="8">
        <f>+MINVU_Mes_Corriente!AI131*MINVU_Mes_Constante!$AC$1</f>
        <v>11054.470051182736</v>
      </c>
      <c r="AJ131" s="8">
        <f>+MINVU_Mes_Corriente!AJ131*MINVU_Mes_Constante!$AC$1</f>
        <v>19598.484161018121</v>
      </c>
      <c r="AK131" s="8">
        <f>+MINVU_Mes_Corriente!AK131*MINVU_Mes_Constante!$AC$1</f>
        <v>20101.784479181075</v>
      </c>
      <c r="AL131" s="8">
        <f>+MINVU_Mes_Corriente!AL131*MINVU_Mes_Constante!$AC$1</f>
        <v>20920.969982016875</v>
      </c>
      <c r="AM131" s="8">
        <f>+MINVU_Mes_Corriente!AM131*MINVU_Mes_Constante!$AC$1</f>
        <v>27417.020334762761</v>
      </c>
      <c r="AN131" s="8">
        <f>+MINVU_Mes_Corriente!AN131*MINVU_Mes_Constante!$AC$1</f>
        <v>236693.22229907318</v>
      </c>
      <c r="AO131" s="9">
        <f t="shared" si="97"/>
        <v>236693.22229907318</v>
      </c>
      <c r="AP131" s="8">
        <f>+MINVU_Mes_Corriente!AP131*MINVU_Mes_Constante!$AP$1</f>
        <v>0</v>
      </c>
      <c r="AQ131" s="8">
        <f>+MINVU_Mes_Corriente!AQ131*MINVU_Mes_Constante!$AP$1</f>
        <v>0</v>
      </c>
      <c r="AR131" s="8">
        <f>+MINVU_Mes_Corriente!AR131*MINVU_Mes_Constante!$AP$1</f>
        <v>0</v>
      </c>
      <c r="AS131" s="8">
        <f>+MINVU_Mes_Corriente!AS131*MINVU_Mes_Constante!$AP$1</f>
        <v>0</v>
      </c>
      <c r="AT131" s="8">
        <f>+MINVU_Mes_Corriente!AT131*MINVU_Mes_Constante!$AP$1</f>
        <v>0</v>
      </c>
      <c r="AU131" s="8">
        <f>+MINVU_Mes_Corriente!AU131*MINVU_Mes_Constante!$AP$1</f>
        <v>5997.2552414446091</v>
      </c>
      <c r="AV131" s="8">
        <f>+MINVU_Mes_Corriente!AV131*MINVU_Mes_Constante!$AP$1</f>
        <v>7197.297443527661</v>
      </c>
      <c r="AW131" s="8">
        <f>+MINVU_Mes_Corriente!AW131*MINVU_Mes_Constante!$AP$1</f>
        <v>13707.378601379683</v>
      </c>
      <c r="AX131" s="8">
        <f>+MINVU_Mes_Corriente!AX131*MINVU_Mes_Constante!$AP$1</f>
        <v>20545.550114973623</v>
      </c>
      <c r="AY131" s="8">
        <f>+MINVU_Mes_Corriente!AY131*MINVU_Mes_Constante!$AP$1</f>
        <v>31170.061679967534</v>
      </c>
      <c r="AZ131" s="8">
        <f>+MINVU_Mes_Corriente!AZ131*MINVU_Mes_Constante!$AP$1</f>
        <v>31170.061679967534</v>
      </c>
      <c r="BA131" s="8">
        <f>+MINVU_Mes_Corriente!BA131*MINVU_Mes_Constante!$AP$1</f>
        <v>609642.12904098467</v>
      </c>
      <c r="BB131" s="9">
        <f t="shared" si="98"/>
        <v>609642.12904098467</v>
      </c>
      <c r="BC131" s="8">
        <f>+MINVU_Mes_Corriente!BC131*MINVU_Mes_Constante!$BC$1</f>
        <v>0</v>
      </c>
      <c r="BD131" s="8">
        <f>+MINVU_Mes_Corriente!BD131*MINVU_Mes_Constante!$BC$1</f>
        <v>0</v>
      </c>
      <c r="BE131" s="8">
        <f>+MINVU_Mes_Corriente!BE131*MINVU_Mes_Constante!$BC$1</f>
        <v>4279.337992878809</v>
      </c>
      <c r="BF131" s="8">
        <f>+MINVU_Mes_Corriente!BF131*MINVU_Mes_Constante!$BC$1</f>
        <v>6916.1018066728229</v>
      </c>
      <c r="BG131" s="8">
        <f>+MINVU_Mes_Corriente!BG131*MINVU_Mes_Constante!$BC$1</f>
        <v>7089.0043518396433</v>
      </c>
      <c r="BH131" s="8">
        <f>+MINVU_Mes_Corriente!BH131*MINVU_Mes_Constante!$BC$1</f>
        <v>12905.734142160098</v>
      </c>
      <c r="BI131" s="8">
        <f>+MINVU_Mes_Corriente!BI131*MINVU_Mes_Constante!$BC$1</f>
        <v>19657.578530924442</v>
      </c>
      <c r="BJ131" s="8">
        <f>+MINVU_Mes_Corriente!BJ131*MINVU_Mes_Constante!$BC$1</f>
        <v>22962.898852696828</v>
      </c>
      <c r="BK131" s="8">
        <f>+MINVU_Mes_Corriente!BK131*MINVU_Mes_Constante!$BC$1</f>
        <v>35560.290122642764</v>
      </c>
      <c r="BL131" s="8">
        <f>+MINVU_Mes_Corriente!BL131*MINVU_Mes_Constante!$BC$1</f>
        <v>38404.53699063696</v>
      </c>
      <c r="BM131" s="8">
        <f>+MINVU_Mes_Corriente!BM131*MINVU_Mes_Constante!$BC$1</f>
        <v>39074.534353158393</v>
      </c>
      <c r="BN131" s="8">
        <f>+MINVU_Mes_Corriente!BN131*MINVU_Mes_Constante!$BC$1</f>
        <v>1539623.6811288411</v>
      </c>
      <c r="BO131" s="9">
        <f t="shared" si="99"/>
        <v>1539623.6811288411</v>
      </c>
      <c r="BP131" s="8">
        <f>+MINVU_Mes_Corriente!BP131*MINVU_Mes_Constante!$BP$1</f>
        <v>204.25044814340592</v>
      </c>
      <c r="BQ131" s="8">
        <f>+MINVU_Mes_Corriente!BQ131*MINVU_Mes_Constante!$BP$1</f>
        <v>9056.9685019206154</v>
      </c>
      <c r="BR131" s="8">
        <f>+MINVU_Mes_Corriente!BR131*MINVU_Mes_Constante!$BP$1</f>
        <v>10427.964660691423</v>
      </c>
      <c r="BS131" s="8">
        <f>+MINVU_Mes_Corriente!BS131*MINVU_Mes_Constante!$BP$1</f>
        <v>16933.201536491681</v>
      </c>
      <c r="BT131" s="8">
        <f>+MINVU_Mes_Corriente!BT131*MINVU_Mes_Constante!$BP$1</f>
        <v>17653.674007682461</v>
      </c>
      <c r="BU131" s="8">
        <f>+MINVU_Mes_Corriente!BU131*MINVU_Mes_Constante!$BP$1</f>
        <v>18844.202304737519</v>
      </c>
      <c r="BV131" s="8">
        <f>+MINVU_Mes_Corriente!BV131*MINVU_Mes_Constante!$BP$1</f>
        <v>27264.636875800261</v>
      </c>
      <c r="BW131" s="8">
        <f>+MINVU_Mes_Corriente!BW131*MINVU_Mes_Constante!$BP$1</f>
        <v>28145.991549295777</v>
      </c>
      <c r="BX131" s="8">
        <f>+MINVU_Mes_Corriente!BX131*MINVU_Mes_Constante!$BP$1</f>
        <v>28231.329065300899</v>
      </c>
      <c r="BY131" s="8">
        <f>+MINVU_Mes_Corriente!BY131*MINVU_Mes_Constante!$BP$1</f>
        <v>28231.329065300899</v>
      </c>
      <c r="BZ131" s="8">
        <f>+MINVU_Mes_Corriente!BZ131*MINVU_Mes_Constante!$BP$1</f>
        <v>28231.329065300899</v>
      </c>
      <c r="CA131" s="8">
        <f>+MINVU_Mes_Corriente!CA131*MINVU_Mes_Constante!$BP$1</f>
        <v>139973.11190781053</v>
      </c>
      <c r="CB131" s="9">
        <f t="shared" si="100"/>
        <v>139973.11190781053</v>
      </c>
      <c r="CC131" s="8">
        <f>+MINVU_Mes_Corriente!CC131*MINVU_Mes_Constante!$CC$1</f>
        <v>0</v>
      </c>
      <c r="CD131" s="8">
        <f>+MINVU_Mes_Corriente!CD131*MINVU_Mes_Constante!$CC$1</f>
        <v>0</v>
      </c>
      <c r="CE131" s="8">
        <f>+MINVU_Mes_Corriente!CE131*MINVU_Mes_Constante!$CC$1</f>
        <v>25.810518463259982</v>
      </c>
      <c r="CF131" s="8">
        <f>+MINVU_Mes_Corriente!CF131*MINVU_Mes_Constante!$CC$1</f>
        <v>25.810518463259982</v>
      </c>
      <c r="CG131" s="8">
        <f>+MINVU_Mes_Corriente!CG131*MINVU_Mes_Constante!$CC$1</f>
        <v>3326.8399850801943</v>
      </c>
      <c r="CH131" s="8">
        <f>+MINVU_Mes_Corriente!CH131*MINVU_Mes_Constante!$CC$1</f>
        <v>3326.8399850801943</v>
      </c>
      <c r="CI131" s="8">
        <f>+MINVU_Mes_Corriente!CI131*MINVU_Mes_Constante!$CC$1</f>
        <v>3326.8399850801943</v>
      </c>
      <c r="CJ131" s="8">
        <f>+MINVU_Mes_Corriente!CJ131*MINVU_Mes_Constante!$CC$1</f>
        <v>3326.8399850801943</v>
      </c>
      <c r="CK131" s="8">
        <f>+MINVU_Mes_Corriente!CK131*MINVU_Mes_Constante!$CC$1</f>
        <v>3326.8399850801943</v>
      </c>
      <c r="CL131" s="8">
        <f>+MINVU_Mes_Corriente!CL131*MINVU_Mes_Constante!$CC$1</f>
        <v>3326.8399850801943</v>
      </c>
      <c r="CM131" s="8">
        <f>+MINVU_Mes_Corriente!CM131*MINVU_Mes_Constante!$CC$1</f>
        <v>3902.8220813129433</v>
      </c>
      <c r="CN131" s="8">
        <f>+MINVU_Mes_Corriente!CN131*MINVU_Mes_Constante!$CC$1</f>
        <v>591420.86161879904</v>
      </c>
      <c r="CO131" s="9">
        <f t="shared" si="101"/>
        <v>591420.86161879904</v>
      </c>
      <c r="CP131" s="8">
        <f>+MINVU_Mes_Corriente!CP131*MINVU_Mes_Constante!$CP$1</f>
        <v>0</v>
      </c>
      <c r="CQ131" s="8">
        <f>+MINVU_Mes_Corriente!CQ131*MINVU_Mes_Constante!$CP$1</f>
        <v>0</v>
      </c>
      <c r="CR131" s="8">
        <f>+MINVU_Mes_Corriente!CR131*MINVU_Mes_Constante!$CP$1</f>
        <v>0</v>
      </c>
      <c r="CS131" s="8">
        <f>+MINVU_Mes_Corriente!CS131*MINVU_Mes_Constante!$CP$1</f>
        <v>0</v>
      </c>
      <c r="CT131" s="8">
        <f>+MINVU_Mes_Corriente!CT131*MINVU_Mes_Constante!$CP$1</f>
        <v>169699.03225058</v>
      </c>
      <c r="CU131" s="8">
        <f>+MINVU_Mes_Corriente!CU131*MINVU_Mes_Constante!$CP$1</f>
        <v>169699.03225058</v>
      </c>
      <c r="CV131" s="8">
        <f>+MINVU_Mes_Corriente!CV131*MINVU_Mes_Constante!$CP$1</f>
        <v>170753.60672853826</v>
      </c>
      <c r="CW131" s="8">
        <f>+MINVU_Mes_Corriente!CW131*MINVU_Mes_Constante!$CP$1</f>
        <v>176366.17378190253</v>
      </c>
      <c r="CX131" s="8">
        <f>+MINVU_Mes_Corriente!CX131*MINVU_Mes_Constante!$CP$1</f>
        <v>179894.94222737817</v>
      </c>
      <c r="CY131" s="8">
        <f>+MINVU_Mes_Corriente!CY131*MINVU_Mes_Constante!$CP$1</f>
        <v>202058.75150812062</v>
      </c>
      <c r="CZ131" s="8">
        <f>+MINVU_Mes_Corriente!CZ131*MINVU_Mes_Constante!$CP$1</f>
        <v>303633.79350348021</v>
      </c>
      <c r="DA131" s="8">
        <f>+MINVU_Mes_Corriente!DA131*MINVU_Mes_Constante!$CP$1</f>
        <v>303965.88306264498</v>
      </c>
      <c r="DB131" s="9">
        <f t="shared" si="102"/>
        <v>303965.88306264498</v>
      </c>
      <c r="DC131" s="8">
        <f>+MINVU_Mes_Corriente!DC131*MINVU_Mes_Constante!$DC$1</f>
        <v>0</v>
      </c>
      <c r="DD131" s="8">
        <f>+MINVU_Mes_Corriente!DD131*MINVU_Mes_Constante!$DC$1</f>
        <v>0</v>
      </c>
      <c r="DE131" s="8">
        <f>+MINVU_Mes_Corriente!DE131*MINVU_Mes_Constante!$DC$1</f>
        <v>0</v>
      </c>
      <c r="DF131" s="8">
        <f>+MINVU_Mes_Corriente!DF131*MINVU_Mes_Constante!$DC$1</f>
        <v>0</v>
      </c>
      <c r="DG131" s="8">
        <f>+MINVU_Mes_Corriente!DG131*MINVU_Mes_Constante!$DC$1</f>
        <v>0</v>
      </c>
      <c r="DH131" s="8">
        <f>+MINVU_Mes_Corriente!DH131*MINVU_Mes_Constante!$DC$1</f>
        <v>0</v>
      </c>
      <c r="DI131" s="8">
        <f>+MINVU_Mes_Corriente!DI131*MINVU_Mes_Constante!$DC$1</f>
        <v>0</v>
      </c>
      <c r="DJ131" s="8">
        <f>+MINVU_Mes_Corriente!DJ131*MINVU_Mes_Constante!$DC$1</f>
        <v>0</v>
      </c>
      <c r="DK131" s="8">
        <f>+MINVU_Mes_Corriente!DK131*MINVU_Mes_Constante!$DC$1</f>
        <v>0</v>
      </c>
      <c r="DL131" s="8">
        <f>+MINVU_Mes_Corriente!DL131*MINVU_Mes_Constante!$DC$1</f>
        <v>0</v>
      </c>
      <c r="DM131" s="8">
        <f>+MINVU_Mes_Corriente!DM131*MINVU_Mes_Constante!$DC$1</f>
        <v>0</v>
      </c>
      <c r="DN131" s="8">
        <f>+MINVU_Mes_Corriente!DN131*MINVU_Mes_Constante!$DC$1</f>
        <v>9384439.2967801709</v>
      </c>
      <c r="DO131" s="9">
        <f t="shared" si="103"/>
        <v>9384439.2967801709</v>
      </c>
      <c r="DP131" s="8">
        <f>+MINVU_Mes_Corriente!DP131*MINVU_Mes_Constante!$DP$1</f>
        <v>0</v>
      </c>
      <c r="DQ131" s="8">
        <f>+MINVU_Mes_Corriente!DQ131*MINVU_Mes_Constante!$DP$1</f>
        <v>0</v>
      </c>
      <c r="DR131" s="8">
        <f>+MINVU_Mes_Corriente!DR131*MINVU_Mes_Constante!$DP$1</f>
        <v>0</v>
      </c>
      <c r="DS131" s="8">
        <f>+MINVU_Mes_Corriente!DS131*MINVU_Mes_Constante!$DP$1</f>
        <v>0</v>
      </c>
      <c r="DT131" s="8">
        <f>+MINVU_Mes_Corriente!DT131*MINVU_Mes_Constante!$DP$1</f>
        <v>0</v>
      </c>
      <c r="DU131" s="8">
        <f>+MINVU_Mes_Corriente!DU131*MINVU_Mes_Constante!$DP$1</f>
        <v>0</v>
      </c>
      <c r="DV131" s="8">
        <f>+MINVU_Mes_Corriente!DV131*MINVU_Mes_Constante!$DP$1</f>
        <v>0</v>
      </c>
      <c r="DW131" s="8">
        <f>+MINVU_Mes_Corriente!DW131*MINVU_Mes_Constante!$DP$1</f>
        <v>0</v>
      </c>
      <c r="DX131" s="8">
        <f>+MINVU_Mes_Corriente!DX131*MINVU_Mes_Constante!$DP$1</f>
        <v>0</v>
      </c>
      <c r="DY131" s="8">
        <f>+MINVU_Mes_Corriente!DY131*MINVU_Mes_Constante!$DP$1</f>
        <v>0</v>
      </c>
      <c r="DZ131" s="8">
        <f>+MINVU_Mes_Corriente!DZ131*MINVU_Mes_Constante!$DP$1</f>
        <v>0</v>
      </c>
      <c r="EA131" s="8">
        <f>+MINVU_Mes_Corriente!EA131*MINVU_Mes_Constante!$DP$1</f>
        <v>0</v>
      </c>
      <c r="EB131" s="9">
        <f t="shared" si="104"/>
        <v>0</v>
      </c>
      <c r="EC131" s="8">
        <f>+MINVU_Mes_Corriente!EC131*MINVU_Mes_Constante!$EC$1</f>
        <v>0</v>
      </c>
      <c r="ED131" s="8">
        <f>+MINVU_Mes_Corriente!ED131*MINVU_Mes_Constante!$EC$1</f>
        <v>0</v>
      </c>
      <c r="EE131" s="8">
        <f>+MINVU_Mes_Corriente!EE131*MINVU_Mes_Constante!$EC$1</f>
        <v>0</v>
      </c>
      <c r="EF131" s="8">
        <f>+MINVU_Mes_Corriente!EF131*MINVU_Mes_Constante!$EC$1</f>
        <v>0</v>
      </c>
      <c r="EG131" s="8">
        <f>+MINVU_Mes_Corriente!EG131*MINVU_Mes_Constante!$EC$1</f>
        <v>0</v>
      </c>
      <c r="EH131" s="8">
        <f>+MINVU_Mes_Corriente!EH131*MINVU_Mes_Constante!$EC$1</f>
        <v>1392.3874266237451</v>
      </c>
      <c r="EI131" s="8">
        <f>+MINVU_Mes_Corriente!EI131*MINVU_Mes_Constante!$EC$1</f>
        <v>3386.832418102631</v>
      </c>
      <c r="EJ131" s="8">
        <f>+MINVU_Mes_Corriente!EJ131*MINVU_Mes_Constante!$EC$1</f>
        <v>3386.832418102631</v>
      </c>
      <c r="EK131" s="8">
        <f>+MINVU_Mes_Corriente!EK131*MINVU_Mes_Constante!$EC$1</f>
        <v>3386.832418102631</v>
      </c>
      <c r="EL131" s="8">
        <f>+MINVU_Mes_Corriente!EL131*MINVU_Mes_Constante!$EC$1</f>
        <v>5248.8661238401801</v>
      </c>
      <c r="EM131" s="8">
        <f>+MINVU_Mes_Corriente!EM131*MINVU_Mes_Constante!$EC$1</f>
        <v>7068.4868396137072</v>
      </c>
      <c r="EN131" s="8">
        <f>+MINVU_Mes_Corriente!EN131*MINVU_Mes_Constante!$EC$1</f>
        <v>7068.4868396137072</v>
      </c>
      <c r="EO131" s="9">
        <f t="shared" si="105"/>
        <v>7068.4868396137072</v>
      </c>
      <c r="EP131" s="8">
        <f>+MINVU_Mes_Corriente!EP131*MINVU_Mes_Constante!$EP$1</f>
        <v>0</v>
      </c>
      <c r="EQ131" s="8">
        <f>+MINVU_Mes_Corriente!EQ131*MINVU_Mes_Constante!$EP$1</f>
        <v>0</v>
      </c>
      <c r="ER131" s="8">
        <f>+MINVU_Mes_Corriente!ER131*MINVU_Mes_Constante!$EP$1</f>
        <v>214</v>
      </c>
      <c r="ES131" s="8">
        <f>+MINVU_Mes_Corriente!ES131*MINVU_Mes_Constante!$EP$1</f>
        <v>214</v>
      </c>
      <c r="ET131" s="8">
        <f>+MINVU_Mes_Corriente!ET131*MINVU_Mes_Constante!$EP$1</f>
        <v>214</v>
      </c>
      <c r="EU131" s="8">
        <f>+MINVU_Mes_Corriente!EU131*MINVU_Mes_Constante!$EP$1</f>
        <v>2902</v>
      </c>
      <c r="EV131" s="8">
        <f>+MINVU_Mes_Corriente!EV131*MINVU_Mes_Constante!$EP$1</f>
        <v>2902</v>
      </c>
      <c r="EW131" s="8">
        <f>+MINVU_Mes_Corriente!EW131*MINVU_Mes_Constante!$EP$1</f>
        <v>2902</v>
      </c>
      <c r="EX131" s="8">
        <f>+MINVU_Mes_Corriente!EX131*MINVU_Mes_Constante!$EP$1</f>
        <v>2902</v>
      </c>
      <c r="EY131" s="8">
        <f>+MINVU_Mes_Corriente!EY131*MINVU_Mes_Constante!$EP$1</f>
        <v>2902</v>
      </c>
      <c r="EZ131" s="8">
        <f>+MINVU_Mes_Corriente!EZ131*MINVU_Mes_Constante!$EP$1</f>
        <v>2902</v>
      </c>
      <c r="FA131" s="8">
        <f>+MINVU_Mes_Corriente!FA131*MINVU_Mes_Constante!$EP$1</f>
        <v>2902</v>
      </c>
      <c r="FB131" s="9">
        <f t="shared" si="106"/>
        <v>2902</v>
      </c>
      <c r="FC131" s="8">
        <f>+MINVU_Mes_Corriente!FC131*MINVU_Mes_Constante!$FC$1</f>
        <v>0</v>
      </c>
      <c r="FD131" s="8">
        <f>+MINVU_Mes_Corriente!FD131*MINVU_Mes_Constante!$FC$1</f>
        <v>0</v>
      </c>
      <c r="FE131" s="8">
        <f>+MINVU_Mes_Corriente!FE131*MINVU_Mes_Constante!$FC$1</f>
        <v>0</v>
      </c>
      <c r="FF131" s="8">
        <f>+MINVU_Mes_Corriente!FF131*MINVU_Mes_Constante!$FC$1</f>
        <v>0</v>
      </c>
      <c r="FG131" s="8">
        <f>+MINVU_Mes_Corriente!FG131*MINVU_Mes_Constante!$FC$1</f>
        <v>0</v>
      </c>
      <c r="FH131" s="8">
        <f>+MINVU_Mes_Corriente!FH131*MINVU_Mes_Constante!$FC$1</f>
        <v>0</v>
      </c>
      <c r="FI131" s="8">
        <f>+MINVU_Mes_Corriente!FI131*MINVU_Mes_Constante!$FC$1</f>
        <v>0</v>
      </c>
      <c r="FJ131" s="8"/>
      <c r="FK131" s="8"/>
      <c r="FL131" s="8"/>
      <c r="FM131" s="8"/>
      <c r="FN131" s="8"/>
      <c r="FO131" s="9">
        <f t="shared" si="107"/>
        <v>0</v>
      </c>
    </row>
    <row r="132" spans="2:171" ht="14.25" customHeight="1" x14ac:dyDescent="0.3">
      <c r="B132" s="7" t="s">
        <v>54</v>
      </c>
      <c r="C132" s="8">
        <f>+MINVU_Mes_Corriente!C132*MINVU_Mes_Constante!$C$1</f>
        <v>0</v>
      </c>
      <c r="D132" s="8">
        <f>+MINVU_Mes_Corriente!D132*MINVU_Mes_Constante!$C$1</f>
        <v>0</v>
      </c>
      <c r="E132" s="8">
        <f>+MINVU_Mes_Corriente!E132*MINVU_Mes_Constante!$C$1</f>
        <v>0</v>
      </c>
      <c r="F132" s="8">
        <f>+MINVU_Mes_Corriente!F132*MINVU_Mes_Constante!$C$1</f>
        <v>0</v>
      </c>
      <c r="G132" s="8">
        <f>+MINVU_Mes_Corriente!G132*MINVU_Mes_Constante!$C$1</f>
        <v>0</v>
      </c>
      <c r="H132" s="8">
        <f>+MINVU_Mes_Corriente!H132*MINVU_Mes_Constante!$C$1</f>
        <v>0</v>
      </c>
      <c r="I132" s="8">
        <f>+MINVU_Mes_Corriente!I132*MINVU_Mes_Constante!$C$1</f>
        <v>0</v>
      </c>
      <c r="J132" s="8">
        <f>+MINVU_Mes_Corriente!J132*MINVU_Mes_Constante!$C$1</f>
        <v>0</v>
      </c>
      <c r="K132" s="8">
        <f>+MINVU_Mes_Corriente!K132*MINVU_Mes_Constante!$C$1</f>
        <v>0</v>
      </c>
      <c r="L132" s="8">
        <f>+MINVU_Mes_Corriente!L132*MINVU_Mes_Constante!$C$1</f>
        <v>0</v>
      </c>
      <c r="M132" s="8">
        <f>+MINVU_Mes_Corriente!M132*MINVU_Mes_Constante!$C$1</f>
        <v>0</v>
      </c>
      <c r="N132" s="8">
        <f>+MINVU_Mes_Corriente!N132*MINVU_Mes_Constante!$C$1</f>
        <v>0</v>
      </c>
      <c r="O132" s="9">
        <f t="shared" si="95"/>
        <v>0</v>
      </c>
      <c r="P132" s="8">
        <f>+MINVU_Mes_Corriente!P132*MINVU_Mes_Constante!$P$1</f>
        <v>0</v>
      </c>
      <c r="Q132" s="8">
        <f>+MINVU_Mes_Corriente!Q132*MINVU_Mes_Constante!$P$1</f>
        <v>0</v>
      </c>
      <c r="R132" s="8">
        <f>+MINVU_Mes_Corriente!R132*MINVU_Mes_Constante!$P$1</f>
        <v>0</v>
      </c>
      <c r="S132" s="8">
        <f>+MINVU_Mes_Corriente!S132*MINVU_Mes_Constante!$P$1</f>
        <v>0</v>
      </c>
      <c r="T132" s="8">
        <f>+MINVU_Mes_Corriente!T132*MINVU_Mes_Constante!$P$1</f>
        <v>0</v>
      </c>
      <c r="U132" s="8">
        <f>+MINVU_Mes_Corriente!U132*MINVU_Mes_Constante!$P$1</f>
        <v>0</v>
      </c>
      <c r="V132" s="8">
        <f>+MINVU_Mes_Corriente!V132*MINVU_Mes_Constante!$P$1</f>
        <v>0</v>
      </c>
      <c r="W132" s="8">
        <f>+MINVU_Mes_Corriente!W132*MINVU_Mes_Constante!$P$1</f>
        <v>0</v>
      </c>
      <c r="X132" s="8">
        <f>+MINVU_Mes_Corriente!X132*MINVU_Mes_Constante!$P$1</f>
        <v>0</v>
      </c>
      <c r="Y132" s="8">
        <f>+MINVU_Mes_Corriente!Y132*MINVU_Mes_Constante!$P$1</f>
        <v>0</v>
      </c>
      <c r="Z132" s="8">
        <f>+MINVU_Mes_Corriente!Z132*MINVU_Mes_Constante!$P$1</f>
        <v>0</v>
      </c>
      <c r="AA132" s="8">
        <f>+MINVU_Mes_Corriente!AA132*MINVU_Mes_Constante!$P$1</f>
        <v>0</v>
      </c>
      <c r="AB132" s="9">
        <f t="shared" si="96"/>
        <v>0</v>
      </c>
      <c r="AC132" s="8">
        <f>+MINVU_Mes_Corriente!AC132*MINVU_Mes_Constante!$AC$1</f>
        <v>0</v>
      </c>
      <c r="AD132" s="8">
        <f>+MINVU_Mes_Corriente!AD132*MINVU_Mes_Constante!$AC$1</f>
        <v>0</v>
      </c>
      <c r="AE132" s="8">
        <f>+MINVU_Mes_Corriente!AE132*MINVU_Mes_Constante!$AC$1</f>
        <v>0</v>
      </c>
      <c r="AF132" s="8">
        <f>+MINVU_Mes_Corriente!AF132*MINVU_Mes_Constante!$AC$1</f>
        <v>0</v>
      </c>
      <c r="AG132" s="8">
        <f>+MINVU_Mes_Corriente!AG132*MINVU_Mes_Constante!$AC$1</f>
        <v>0</v>
      </c>
      <c r="AH132" s="8">
        <f>+MINVU_Mes_Corriente!AH132*MINVU_Mes_Constante!$AC$1</f>
        <v>0</v>
      </c>
      <c r="AI132" s="8">
        <f>+MINVU_Mes_Corriente!AI132*MINVU_Mes_Constante!$AC$1</f>
        <v>0</v>
      </c>
      <c r="AJ132" s="8">
        <f>+MINVU_Mes_Corriente!AJ132*MINVU_Mes_Constante!$AC$1</f>
        <v>0</v>
      </c>
      <c r="AK132" s="8">
        <f>+MINVU_Mes_Corriente!AK132*MINVU_Mes_Constante!$AC$1</f>
        <v>0</v>
      </c>
      <c r="AL132" s="8">
        <f>+MINVU_Mes_Corriente!AL132*MINVU_Mes_Constante!$AC$1</f>
        <v>0</v>
      </c>
      <c r="AM132" s="8">
        <f>+MINVU_Mes_Corriente!AM132*MINVU_Mes_Constante!$AC$1</f>
        <v>0</v>
      </c>
      <c r="AN132" s="8">
        <f>+MINVU_Mes_Corriente!AN132*MINVU_Mes_Constante!$AC$1</f>
        <v>0</v>
      </c>
      <c r="AO132" s="9">
        <f t="shared" si="97"/>
        <v>0</v>
      </c>
      <c r="AP132" s="8">
        <f>+MINVU_Mes_Corriente!AP132*MINVU_Mes_Constante!$AP$1</f>
        <v>0</v>
      </c>
      <c r="AQ132" s="8">
        <f>+MINVU_Mes_Corriente!AQ132*MINVU_Mes_Constante!$AP$1</f>
        <v>0</v>
      </c>
      <c r="AR132" s="8">
        <f>+MINVU_Mes_Corriente!AR132*MINVU_Mes_Constante!$AP$1</f>
        <v>0</v>
      </c>
      <c r="AS132" s="8">
        <f>+MINVU_Mes_Corriente!AS132*MINVU_Mes_Constante!$AP$1</f>
        <v>0</v>
      </c>
      <c r="AT132" s="8">
        <f>+MINVU_Mes_Corriente!AT132*MINVU_Mes_Constante!$AP$1</f>
        <v>0</v>
      </c>
      <c r="AU132" s="8">
        <f>+MINVU_Mes_Corriente!AU132*MINVU_Mes_Constante!$AP$1</f>
        <v>0</v>
      </c>
      <c r="AV132" s="8">
        <f>+MINVU_Mes_Corriente!AV132*MINVU_Mes_Constante!$AP$1</f>
        <v>0</v>
      </c>
      <c r="AW132" s="8">
        <f>+MINVU_Mes_Corriente!AW132*MINVU_Mes_Constante!$AP$1</f>
        <v>0</v>
      </c>
      <c r="AX132" s="8">
        <f>+MINVU_Mes_Corriente!AX132*MINVU_Mes_Constante!$AP$1</f>
        <v>0</v>
      </c>
      <c r="AY132" s="8">
        <f>+MINVU_Mes_Corriente!AY132*MINVU_Mes_Constante!$AP$1</f>
        <v>0</v>
      </c>
      <c r="AZ132" s="8">
        <f>+MINVU_Mes_Corriente!AZ132*MINVU_Mes_Constante!$AP$1</f>
        <v>0</v>
      </c>
      <c r="BA132" s="8">
        <f>+MINVU_Mes_Corriente!BA132*MINVU_Mes_Constante!$AP$1</f>
        <v>0</v>
      </c>
      <c r="BB132" s="9">
        <f t="shared" si="98"/>
        <v>0</v>
      </c>
      <c r="BC132" s="8">
        <f>+MINVU_Mes_Corriente!BC132*MINVU_Mes_Constante!$BC$1</f>
        <v>0</v>
      </c>
      <c r="BD132" s="8">
        <f>+MINVU_Mes_Corriente!BD132*MINVU_Mes_Constante!$BC$1</f>
        <v>0</v>
      </c>
      <c r="BE132" s="8">
        <f>+MINVU_Mes_Corriente!BE132*MINVU_Mes_Constante!$BC$1</f>
        <v>0</v>
      </c>
      <c r="BF132" s="8">
        <f>+MINVU_Mes_Corriente!BF132*MINVU_Mes_Constante!$BC$1</f>
        <v>0</v>
      </c>
      <c r="BG132" s="8">
        <f>+MINVU_Mes_Corriente!BG132*MINVU_Mes_Constante!$BC$1</f>
        <v>0</v>
      </c>
      <c r="BH132" s="8">
        <f>+MINVU_Mes_Corriente!BH132*MINVU_Mes_Constante!$BC$1</f>
        <v>0</v>
      </c>
      <c r="BI132" s="8">
        <f>+MINVU_Mes_Corriente!BI132*MINVU_Mes_Constante!$BC$1</f>
        <v>0</v>
      </c>
      <c r="BJ132" s="8">
        <f>+MINVU_Mes_Corriente!BJ132*MINVU_Mes_Constante!$BC$1</f>
        <v>0</v>
      </c>
      <c r="BK132" s="8">
        <f>+MINVU_Mes_Corriente!BK132*MINVU_Mes_Constante!$BC$1</f>
        <v>0</v>
      </c>
      <c r="BL132" s="8">
        <f>+MINVU_Mes_Corriente!BL132*MINVU_Mes_Constante!$BC$1</f>
        <v>0</v>
      </c>
      <c r="BM132" s="8">
        <f>+MINVU_Mes_Corriente!BM132*MINVU_Mes_Constante!$BC$1</f>
        <v>0</v>
      </c>
      <c r="BN132" s="8">
        <f>+MINVU_Mes_Corriente!BN132*MINVU_Mes_Constante!$BC$1</f>
        <v>0</v>
      </c>
      <c r="BO132" s="9">
        <f t="shared" si="99"/>
        <v>0</v>
      </c>
      <c r="BP132" s="8">
        <f>+MINVU_Mes_Corriente!BP132*MINVU_Mes_Constante!$BP$1</f>
        <v>0</v>
      </c>
      <c r="BQ132" s="8">
        <f>+MINVU_Mes_Corriente!BQ132*MINVU_Mes_Constante!$BP$1</f>
        <v>0</v>
      </c>
      <c r="BR132" s="8">
        <f>+MINVU_Mes_Corriente!BR132*MINVU_Mes_Constante!$BP$1</f>
        <v>0</v>
      </c>
      <c r="BS132" s="8">
        <f>+MINVU_Mes_Corriente!BS132*MINVU_Mes_Constante!$BP$1</f>
        <v>0</v>
      </c>
      <c r="BT132" s="8">
        <f>+MINVU_Mes_Corriente!BT132*MINVU_Mes_Constante!$BP$1</f>
        <v>0</v>
      </c>
      <c r="BU132" s="8">
        <f>+MINVU_Mes_Corriente!BU132*MINVU_Mes_Constante!$BP$1</f>
        <v>8400.8489116517303</v>
      </c>
      <c r="BV132" s="8">
        <f>+MINVU_Mes_Corriente!BV132*MINVU_Mes_Constante!$BP$1</f>
        <v>27003.028425096032</v>
      </c>
      <c r="BW132" s="8">
        <f>+MINVU_Mes_Corriente!BW132*MINVU_Mes_Constante!$BP$1</f>
        <v>32366.701152368762</v>
      </c>
      <c r="BX132" s="8">
        <f>+MINVU_Mes_Corriente!BX132*MINVU_Mes_Constante!$BP$1</f>
        <v>67618.090140845074</v>
      </c>
      <c r="BY132" s="8">
        <f>+MINVU_Mes_Corriente!BY132*MINVU_Mes_Constante!$BP$1</f>
        <v>74743.073239436635</v>
      </c>
      <c r="BZ132" s="8">
        <f>+MINVU_Mes_Corriente!BZ132*MINVU_Mes_Constante!$BP$1</f>
        <v>75294.269654289383</v>
      </c>
      <c r="CA132" s="8">
        <f>+MINVU_Mes_Corriente!CA132*MINVU_Mes_Constante!$BP$1</f>
        <v>95696.930857874526</v>
      </c>
      <c r="CB132" s="9">
        <f t="shared" si="100"/>
        <v>95696.930857874526</v>
      </c>
      <c r="CC132" s="8">
        <f>+MINVU_Mes_Corriente!CC132*MINVU_Mes_Constante!$CC$1</f>
        <v>0</v>
      </c>
      <c r="CD132" s="8">
        <f>+MINVU_Mes_Corriente!CD132*MINVU_Mes_Constante!$CC$1</f>
        <v>0</v>
      </c>
      <c r="CE132" s="8">
        <f>+MINVU_Mes_Corriente!CE132*MINVU_Mes_Constante!$CC$1</f>
        <v>0</v>
      </c>
      <c r="CF132" s="8">
        <f>+MINVU_Mes_Corriente!CF132*MINVU_Mes_Constante!$CC$1</f>
        <v>0</v>
      </c>
      <c r="CG132" s="8">
        <f>+MINVU_Mes_Corriente!CG132*MINVU_Mes_Constante!$CC$1</f>
        <v>0</v>
      </c>
      <c r="CH132" s="8">
        <f>+MINVU_Mes_Corriente!CH132*MINVU_Mes_Constante!$CC$1</f>
        <v>0</v>
      </c>
      <c r="CI132" s="8">
        <f>+MINVU_Mes_Corriente!CI132*MINVU_Mes_Constante!$CC$1</f>
        <v>0</v>
      </c>
      <c r="CJ132" s="8">
        <f>+MINVU_Mes_Corriente!CJ132*MINVU_Mes_Constante!$CC$1</f>
        <v>1214.4528161133906</v>
      </c>
      <c r="CK132" s="8">
        <f>+MINVU_Mes_Corriente!CK132*MINVU_Mes_Constante!$CC$1</f>
        <v>1214.4528161133906</v>
      </c>
      <c r="CL132" s="8">
        <f>+MINVU_Mes_Corriente!CL132*MINVU_Mes_Constante!$CC$1</f>
        <v>1339.4300634091758</v>
      </c>
      <c r="CM132" s="8">
        <f>+MINVU_Mes_Corriente!CM132*MINVU_Mes_Constante!$CC$1</f>
        <v>11669.071242073855</v>
      </c>
      <c r="CN132" s="8">
        <f>+MINVU_Mes_Corriente!CN132*MINVU_Mes_Constante!$CC$1</f>
        <v>22369.568817605374</v>
      </c>
      <c r="CO132" s="9">
        <f t="shared" si="101"/>
        <v>22369.568817605374</v>
      </c>
      <c r="CP132" s="8">
        <f>+MINVU_Mes_Corriente!CP132*MINVU_Mes_Constante!$CP$1</f>
        <v>0</v>
      </c>
      <c r="CQ132" s="8">
        <f>+MINVU_Mes_Corriente!CQ132*MINVU_Mes_Constante!$CP$1</f>
        <v>0</v>
      </c>
      <c r="CR132" s="8">
        <f>+MINVU_Mes_Corriente!CR132*MINVU_Mes_Constante!$CP$1</f>
        <v>0</v>
      </c>
      <c r="CS132" s="8">
        <f>+MINVU_Mes_Corriente!CS132*MINVU_Mes_Constante!$CP$1</f>
        <v>0</v>
      </c>
      <c r="CT132" s="8">
        <f>+MINVU_Mes_Corriente!CT132*MINVU_Mes_Constante!$CP$1</f>
        <v>0</v>
      </c>
      <c r="CU132" s="8">
        <f>+MINVU_Mes_Corriente!CU132*MINVU_Mes_Constante!$CP$1</f>
        <v>0</v>
      </c>
      <c r="CV132" s="8">
        <f>+MINVU_Mes_Corriente!CV132*MINVU_Mes_Constante!$CP$1</f>
        <v>0</v>
      </c>
      <c r="CW132" s="8">
        <f>+MINVU_Mes_Corriente!CW132*MINVU_Mes_Constante!$CP$1</f>
        <v>709.80974477958227</v>
      </c>
      <c r="CX132" s="8">
        <f>+MINVU_Mes_Corriente!CX132*MINVU_Mes_Constante!$CP$1</f>
        <v>2168.722273781902</v>
      </c>
      <c r="CY132" s="8">
        <f>+MINVU_Mes_Corriente!CY132*MINVU_Mes_Constante!$CP$1</f>
        <v>2168.722273781902</v>
      </c>
      <c r="CZ132" s="8">
        <f>+MINVU_Mes_Corriente!CZ132*MINVU_Mes_Constante!$CP$1</f>
        <v>2412.0856148491876</v>
      </c>
      <c r="DA132" s="8">
        <f>+MINVU_Mes_Corriente!DA132*MINVU_Mes_Constante!$CP$1</f>
        <v>2588691.3494199528</v>
      </c>
      <c r="DB132" s="9">
        <f t="shared" si="102"/>
        <v>2588691.3494199528</v>
      </c>
      <c r="DC132" s="8">
        <f>+MINVU_Mes_Corriente!DC132*MINVU_Mes_Constante!$DC$1</f>
        <v>0</v>
      </c>
      <c r="DD132" s="8">
        <f>+MINVU_Mes_Corriente!DD132*MINVU_Mes_Constante!$DC$1</f>
        <v>0</v>
      </c>
      <c r="DE132" s="8">
        <f>+MINVU_Mes_Corriente!DE132*MINVU_Mes_Constante!$DC$1</f>
        <v>0</v>
      </c>
      <c r="DF132" s="8">
        <f>+MINVU_Mes_Corriente!DF132*MINVU_Mes_Constante!$DC$1</f>
        <v>0</v>
      </c>
      <c r="DG132" s="8">
        <f>+MINVU_Mes_Corriente!DG132*MINVU_Mes_Constante!$DC$1</f>
        <v>0</v>
      </c>
      <c r="DH132" s="8">
        <f>+MINVU_Mes_Corriente!DH132*MINVU_Mes_Constante!$DC$1</f>
        <v>0</v>
      </c>
      <c r="DI132" s="8">
        <f>+MINVU_Mes_Corriente!DI132*MINVU_Mes_Constante!$DC$1</f>
        <v>0</v>
      </c>
      <c r="DJ132" s="8">
        <f>+MINVU_Mes_Corriente!DJ132*MINVU_Mes_Constante!$DC$1</f>
        <v>0</v>
      </c>
      <c r="DK132" s="8">
        <f>+MINVU_Mes_Corriente!DK132*MINVU_Mes_Constante!$DC$1</f>
        <v>0</v>
      </c>
      <c r="DL132" s="8">
        <f>+MINVU_Mes_Corriente!DL132*MINVU_Mes_Constante!$DC$1</f>
        <v>0</v>
      </c>
      <c r="DM132" s="8">
        <f>+MINVU_Mes_Corriente!DM132*MINVU_Mes_Constante!$DC$1</f>
        <v>0</v>
      </c>
      <c r="DN132" s="8">
        <f>+MINVU_Mes_Corriente!DN132*MINVU_Mes_Constante!$DC$1</f>
        <v>1761657.6169118411</v>
      </c>
      <c r="DO132" s="9">
        <f t="shared" si="103"/>
        <v>1761657.6169118411</v>
      </c>
      <c r="DP132" s="8">
        <f>+MINVU_Mes_Corriente!DP132*MINVU_Mes_Constante!$DP$1</f>
        <v>0</v>
      </c>
      <c r="DQ132" s="8">
        <f>+MINVU_Mes_Corriente!DQ132*MINVU_Mes_Constante!$DP$1</f>
        <v>0</v>
      </c>
      <c r="DR132" s="8">
        <f>+MINVU_Mes_Corriente!DR132*MINVU_Mes_Constante!$DP$1</f>
        <v>0</v>
      </c>
      <c r="DS132" s="8">
        <f>+MINVU_Mes_Corriente!DS132*MINVU_Mes_Constante!$DP$1</f>
        <v>0</v>
      </c>
      <c r="DT132" s="8">
        <f>+MINVU_Mes_Corriente!DT132*MINVU_Mes_Constante!$DP$1</f>
        <v>4305611.761282661</v>
      </c>
      <c r="DU132" s="8">
        <f>+MINVU_Mes_Corriente!DU132*MINVU_Mes_Constante!$DP$1</f>
        <v>4305611.761282661</v>
      </c>
      <c r="DV132" s="8">
        <f>+MINVU_Mes_Corriente!DV132*MINVU_Mes_Constante!$DP$1</f>
        <v>4305611.761282661</v>
      </c>
      <c r="DW132" s="8">
        <f>+MINVU_Mes_Corriente!DW132*MINVU_Mes_Constante!$DP$1</f>
        <v>4305611.761282661</v>
      </c>
      <c r="DX132" s="8">
        <f>+MINVU_Mes_Corriente!DX132*MINVU_Mes_Constante!$DP$1</f>
        <v>4309508.960807601</v>
      </c>
      <c r="DY132" s="8">
        <f>+MINVU_Mes_Corriente!DY132*MINVU_Mes_Constante!$DP$1</f>
        <v>4309508.960807601</v>
      </c>
      <c r="DZ132" s="8">
        <f>+MINVU_Mes_Corriente!DZ132*MINVU_Mes_Constante!$DP$1</f>
        <v>4309508.960807601</v>
      </c>
      <c r="EA132" s="8">
        <f>+MINVU_Mes_Corriente!EA132*MINVU_Mes_Constante!$DP$1</f>
        <v>4360167.1478622332</v>
      </c>
      <c r="EB132" s="9">
        <f t="shared" si="104"/>
        <v>4360167.1478622332</v>
      </c>
      <c r="EC132" s="8">
        <f>+MINVU_Mes_Corriente!EC132*MINVU_Mes_Constante!$EC$1</f>
        <v>0</v>
      </c>
      <c r="ED132" s="8">
        <f>+MINVU_Mes_Corriente!ED132*MINVU_Mes_Constante!$EC$1</f>
        <v>0</v>
      </c>
      <c r="EE132" s="8">
        <f>+MINVU_Mes_Corriente!EE132*MINVU_Mes_Constante!$EC$1</f>
        <v>0</v>
      </c>
      <c r="EF132" s="8">
        <f>+MINVU_Mes_Corriente!EF132*MINVU_Mes_Constante!$EC$1</f>
        <v>0</v>
      </c>
      <c r="EG132" s="8">
        <f>+MINVU_Mes_Corriente!EG132*MINVU_Mes_Constante!$EC$1</f>
        <v>0</v>
      </c>
      <c r="EH132" s="8">
        <f>+MINVU_Mes_Corriente!EH132*MINVU_Mes_Constante!$EC$1</f>
        <v>0</v>
      </c>
      <c r="EI132" s="8">
        <f>+MINVU_Mes_Corriente!EI132*MINVU_Mes_Constante!$EC$1</f>
        <v>0</v>
      </c>
      <c r="EJ132" s="8">
        <f>+MINVU_Mes_Corriente!EJ132*MINVU_Mes_Constante!$EC$1</f>
        <v>0</v>
      </c>
      <c r="EK132" s="8">
        <f>+MINVU_Mes_Corriente!EK132*MINVU_Mes_Constante!$EC$1</f>
        <v>0</v>
      </c>
      <c r="EL132" s="8">
        <f>+MINVU_Mes_Corriente!EL132*MINVU_Mes_Constante!$EC$1</f>
        <v>4135.7837530770676</v>
      </c>
      <c r="EM132" s="8">
        <f>+MINVU_Mes_Corriente!EM132*MINVU_Mes_Constante!$EC$1</f>
        <v>6250.2264722590398</v>
      </c>
      <c r="EN132" s="8">
        <f>+MINVU_Mes_Corriente!EN132*MINVU_Mes_Constante!$EC$1</f>
        <v>6250.2264722590398</v>
      </c>
      <c r="EO132" s="9">
        <f t="shared" si="105"/>
        <v>6250.2264722590398</v>
      </c>
      <c r="EP132" s="8">
        <f>+MINVU_Mes_Corriente!EP132*MINVU_Mes_Constante!$EP$1</f>
        <v>0</v>
      </c>
      <c r="EQ132" s="8">
        <f>+MINVU_Mes_Corriente!EQ132*MINVU_Mes_Constante!$EP$1</f>
        <v>0</v>
      </c>
      <c r="ER132" s="8">
        <f>+MINVU_Mes_Corriente!ER132*MINVU_Mes_Constante!$EP$1</f>
        <v>0</v>
      </c>
      <c r="ES132" s="8">
        <f>+MINVU_Mes_Corriente!ES132*MINVU_Mes_Constante!$EP$1</f>
        <v>0</v>
      </c>
      <c r="ET132" s="8">
        <f>+MINVU_Mes_Corriente!ET132*MINVU_Mes_Constante!$EP$1</f>
        <v>0</v>
      </c>
      <c r="EU132" s="8">
        <f>+MINVU_Mes_Corriente!EU132*MINVU_Mes_Constante!$EP$1</f>
        <v>8294</v>
      </c>
      <c r="EV132" s="8">
        <f>+MINVU_Mes_Corriente!EV132*MINVU_Mes_Constante!$EP$1</f>
        <v>8294</v>
      </c>
      <c r="EW132" s="8">
        <f>+MINVU_Mes_Corriente!EW132*MINVU_Mes_Constante!$EP$1</f>
        <v>8815</v>
      </c>
      <c r="EX132" s="8">
        <f>+MINVU_Mes_Corriente!EX132*MINVU_Mes_Constante!$EP$1</f>
        <v>8815</v>
      </c>
      <c r="EY132" s="8">
        <f>+MINVU_Mes_Corriente!EY132*MINVU_Mes_Constante!$EP$1</f>
        <v>8815</v>
      </c>
      <c r="EZ132" s="8">
        <f>+MINVU_Mes_Corriente!EZ132*MINVU_Mes_Constante!$EP$1</f>
        <v>8815</v>
      </c>
      <c r="FA132" s="8">
        <f>+MINVU_Mes_Corriente!FA132*MINVU_Mes_Constante!$EP$1</f>
        <v>8815</v>
      </c>
      <c r="FB132" s="9">
        <f t="shared" si="106"/>
        <v>8815</v>
      </c>
      <c r="FC132" s="8">
        <f>+MINVU_Mes_Corriente!FC132*MINVU_Mes_Constante!$FC$1</f>
        <v>0</v>
      </c>
      <c r="FD132" s="8">
        <f>+MINVU_Mes_Corriente!FD132*MINVU_Mes_Constante!$FC$1</f>
        <v>0</v>
      </c>
      <c r="FE132" s="8">
        <f>+MINVU_Mes_Corriente!FE132*MINVU_Mes_Constante!$FC$1</f>
        <v>0</v>
      </c>
      <c r="FF132" s="8">
        <f>+MINVU_Mes_Corriente!FF132*MINVU_Mes_Constante!$FC$1</f>
        <v>0</v>
      </c>
      <c r="FG132" s="8">
        <f>+MINVU_Mes_Corriente!FG132*MINVU_Mes_Constante!$FC$1</f>
        <v>0</v>
      </c>
      <c r="FH132" s="8">
        <f>+MINVU_Mes_Corriente!FH132*MINVU_Mes_Constante!$FC$1</f>
        <v>0</v>
      </c>
      <c r="FI132" s="8">
        <f>+MINVU_Mes_Corriente!FI132*MINVU_Mes_Constante!$FC$1</f>
        <v>0</v>
      </c>
      <c r="FJ132" s="8"/>
      <c r="FK132" s="8"/>
      <c r="FL132" s="8"/>
      <c r="FM132" s="8"/>
      <c r="FN132" s="8"/>
      <c r="FO132" s="9">
        <f t="shared" si="107"/>
        <v>0</v>
      </c>
    </row>
    <row r="133" spans="2:171" ht="14.25" customHeight="1" x14ac:dyDescent="0.3">
      <c r="B133" s="7" t="s">
        <v>55</v>
      </c>
      <c r="C133" s="8">
        <f>+MINVU_Mes_Corriente!C133*MINVU_Mes_Constante!$C$1</f>
        <v>0</v>
      </c>
      <c r="D133" s="8">
        <f>+MINVU_Mes_Corriente!D133*MINVU_Mes_Constante!$C$1</f>
        <v>0</v>
      </c>
      <c r="E133" s="8">
        <f>+MINVU_Mes_Corriente!E133*MINVU_Mes_Constante!$C$1</f>
        <v>0</v>
      </c>
      <c r="F133" s="8">
        <f>+MINVU_Mes_Corriente!F133*MINVU_Mes_Constante!$C$1</f>
        <v>4433.2694646299869</v>
      </c>
      <c r="G133" s="8">
        <f>+MINVU_Mes_Corriente!G133*MINVU_Mes_Constante!$C$1</f>
        <v>17237.251668396857</v>
      </c>
      <c r="H133" s="8">
        <f>+MINVU_Mes_Corriente!H133*MINVU_Mes_Constante!$C$1</f>
        <v>17870.807355776364</v>
      </c>
      <c r="I133" s="8">
        <f>+MINVU_Mes_Corriente!I133*MINVU_Mes_Constante!$C$1</f>
        <v>17870.807355776364</v>
      </c>
      <c r="J133" s="8">
        <f>+MINVU_Mes_Corriente!J133*MINVU_Mes_Constante!$C$1</f>
        <v>19024.494438677149</v>
      </c>
      <c r="K133" s="8">
        <f>+MINVU_Mes_Corriente!K133*MINVU_Mes_Constante!$C$1</f>
        <v>70415.420732611601</v>
      </c>
      <c r="L133" s="8">
        <f>+MINVU_Mes_Corriente!L133*MINVU_Mes_Constante!$C$1</f>
        <v>73941.295862375802</v>
      </c>
      <c r="M133" s="8">
        <f>+MINVU_Mes_Corriente!M133*MINVU_Mes_Constante!$C$1</f>
        <v>74571.610855702223</v>
      </c>
      <c r="N133" s="8">
        <f>+MINVU_Mes_Corriente!N133*MINVU_Mes_Constante!$C$1</f>
        <v>217549.41213109894</v>
      </c>
      <c r="O133" s="9">
        <f t="shared" si="95"/>
        <v>217549.41213109894</v>
      </c>
      <c r="P133" s="8">
        <f>+MINVU_Mes_Corriente!P133*MINVU_Mes_Constante!$P$1</f>
        <v>0</v>
      </c>
      <c r="Q133" s="8">
        <f>+MINVU_Mes_Corriente!Q133*MINVU_Mes_Constante!$P$1</f>
        <v>221.96590424776238</v>
      </c>
      <c r="R133" s="8">
        <f>+MINVU_Mes_Corriente!R133*MINVU_Mes_Constante!$P$1</f>
        <v>221.96590424776238</v>
      </c>
      <c r="S133" s="8">
        <f>+MINVU_Mes_Corriente!S133*MINVU_Mes_Constante!$P$1</f>
        <v>7060.9992896718259</v>
      </c>
      <c r="T133" s="8">
        <f>+MINVU_Mes_Corriente!T133*MINVU_Mes_Constante!$P$1</f>
        <v>15491.047023724956</v>
      </c>
      <c r="U133" s="8">
        <f>+MINVU_Mes_Corriente!U133*MINVU_Mes_Constante!$P$1</f>
        <v>28596.348629066619</v>
      </c>
      <c r="V133" s="8">
        <f>+MINVU_Mes_Corriente!V133*MINVU_Mes_Constante!$P$1</f>
        <v>33141.216934223601</v>
      </c>
      <c r="W133" s="8">
        <f>+MINVU_Mes_Corriente!W133*MINVU_Mes_Constante!$P$1</f>
        <v>43508.421650802651</v>
      </c>
      <c r="X133" s="8">
        <f>+MINVU_Mes_Corriente!X133*MINVU_Mes_Constante!$P$1</f>
        <v>45647.365819008366</v>
      </c>
      <c r="Y133" s="8">
        <f>+MINVU_Mes_Corriente!Y133*MINVU_Mes_Constante!$P$1</f>
        <v>718284.77056400036</v>
      </c>
      <c r="Z133" s="8">
        <f>+MINVU_Mes_Corriente!Z133*MINVU_Mes_Constante!$P$1</f>
        <v>723860.30572524481</v>
      </c>
      <c r="AA133" s="8">
        <f>+MINVU_Mes_Corriente!AA133*MINVU_Mes_Constante!$P$1</f>
        <v>1158218.0883648242</v>
      </c>
      <c r="AB133" s="9">
        <f t="shared" si="96"/>
        <v>1158218.0883648242</v>
      </c>
      <c r="AC133" s="8">
        <f>+MINVU_Mes_Corriente!AC133*MINVU_Mes_Constante!$AC$1</f>
        <v>0</v>
      </c>
      <c r="AD133" s="8">
        <f>+MINVU_Mes_Corriente!AD133*MINVU_Mes_Constante!$AC$1</f>
        <v>1014.1576981601881</v>
      </c>
      <c r="AE133" s="8">
        <f>+MINVU_Mes_Corriente!AE133*MINVU_Mes_Constante!$AC$1</f>
        <v>8306.7223682390377</v>
      </c>
      <c r="AF133" s="8">
        <f>+MINVU_Mes_Corriente!AF133*MINVU_Mes_Constante!$AC$1</f>
        <v>18339.477659427306</v>
      </c>
      <c r="AG133" s="8">
        <f>+MINVU_Mes_Corriente!AG133*MINVU_Mes_Constante!$AC$1</f>
        <v>20697.28095172223</v>
      </c>
      <c r="AH133" s="8">
        <f>+MINVU_Mes_Corriente!AH133*MINVU_Mes_Constante!$AC$1</f>
        <v>22485.281781712547</v>
      </c>
      <c r="AI133" s="8">
        <f>+MINVU_Mes_Corriente!AI133*MINVU_Mes_Constante!$AC$1</f>
        <v>23525.133490109281</v>
      </c>
      <c r="AJ133" s="8">
        <f>+MINVU_Mes_Corriente!AJ133*MINVU_Mes_Constante!$AC$1</f>
        <v>36675.932494120905</v>
      </c>
      <c r="AK133" s="8">
        <f>+MINVU_Mes_Corriente!AK133*MINVU_Mes_Constante!$AC$1</f>
        <v>39926.980495227552</v>
      </c>
      <c r="AL133" s="8">
        <f>+MINVU_Mes_Corriente!AL133*MINVU_Mes_Constante!$AC$1</f>
        <v>40221.705906764422</v>
      </c>
      <c r="AM133" s="8">
        <f>+MINVU_Mes_Corriente!AM133*MINVU_Mes_Constante!$AC$1</f>
        <v>112229.92530087149</v>
      </c>
      <c r="AN133" s="8">
        <f>+MINVU_Mes_Corriente!AN133*MINVU_Mes_Constante!$AC$1</f>
        <v>985309.37031401298</v>
      </c>
      <c r="AO133" s="9">
        <f t="shared" si="97"/>
        <v>985309.37031401298</v>
      </c>
      <c r="AP133" s="8">
        <f>+MINVU_Mes_Corriente!AP133*MINVU_Mes_Constante!$AP$1</f>
        <v>0</v>
      </c>
      <c r="AQ133" s="8">
        <f>+MINVU_Mes_Corriente!AQ133*MINVU_Mes_Constante!$AP$1</f>
        <v>0</v>
      </c>
      <c r="AR133" s="8">
        <f>+MINVU_Mes_Corriente!AR133*MINVU_Mes_Constante!$AP$1</f>
        <v>2394.172866224807</v>
      </c>
      <c r="AS133" s="8">
        <f>+MINVU_Mes_Corriente!AS133*MINVU_Mes_Constante!$AP$1</f>
        <v>6514.514811307994</v>
      </c>
      <c r="AT133" s="8">
        <f>+MINVU_Mes_Corriente!AT133*MINVU_Mes_Constante!$AP$1</f>
        <v>11725.53550656026</v>
      </c>
      <c r="AU133" s="8">
        <f>+MINVU_Mes_Corriente!AU133*MINVU_Mes_Constante!$AP$1</f>
        <v>13593.581496009738</v>
      </c>
      <c r="AV133" s="8">
        <f>+MINVU_Mes_Corriente!AV133*MINVU_Mes_Constante!$AP$1</f>
        <v>15179.351548762343</v>
      </c>
      <c r="AW133" s="8">
        <f>+MINVU_Mes_Corriente!AW133*MINVU_Mes_Constante!$AP$1</f>
        <v>15336.007304206682</v>
      </c>
      <c r="AX133" s="8">
        <f>+MINVU_Mes_Corriente!AX133*MINVU_Mes_Constante!$AP$1</f>
        <v>173530.24049776816</v>
      </c>
      <c r="AY133" s="8">
        <f>+MINVU_Mes_Corriente!AY133*MINVU_Mes_Constante!$AP$1</f>
        <v>279206.37062085757</v>
      </c>
      <c r="AZ133" s="8">
        <f>+MINVU_Mes_Corriente!AZ133*MINVU_Mes_Constante!$AP$1</f>
        <v>352553.77762748546</v>
      </c>
      <c r="BA133" s="8">
        <f>+MINVU_Mes_Corriente!BA133*MINVU_Mes_Constante!$AP$1</f>
        <v>509066.17827674822</v>
      </c>
      <c r="BB133" s="9">
        <f t="shared" si="98"/>
        <v>509066.17827674822</v>
      </c>
      <c r="BC133" s="8">
        <f>+MINVU_Mes_Corriente!BC133*MINVU_Mes_Constante!$BC$1</f>
        <v>0</v>
      </c>
      <c r="BD133" s="8">
        <f>+MINVU_Mes_Corriente!BD133*MINVU_Mes_Constante!$BC$1</f>
        <v>0</v>
      </c>
      <c r="BE133" s="8">
        <f>+MINVU_Mes_Corriente!BE133*MINVU_Mes_Constante!$BC$1</f>
        <v>0</v>
      </c>
      <c r="BF133" s="8">
        <f>+MINVU_Mes_Corriente!BF133*MINVU_Mes_Constante!$BC$1</f>
        <v>756.44863510483992</v>
      </c>
      <c r="BG133" s="8">
        <f>+MINVU_Mes_Corriente!BG133*MINVU_Mes_Constante!$BC$1</f>
        <v>952.40485296056988</v>
      </c>
      <c r="BH133" s="8">
        <f>+MINVU_Mes_Corriente!BH133*MINVU_Mes_Constante!$BC$1</f>
        <v>952.40485296056988</v>
      </c>
      <c r="BI133" s="8">
        <f>+MINVU_Mes_Corriente!BI133*MINVU_Mes_Constante!$BC$1</f>
        <v>5446.4301727548482</v>
      </c>
      <c r="BJ133" s="8">
        <f>+MINVU_Mes_Corriente!BJ133*MINVU_Mes_Constante!$BC$1</f>
        <v>22373.58934458658</v>
      </c>
      <c r="BK133" s="8">
        <f>+MINVU_Mes_Corriente!BK133*MINVU_Mes_Constante!$BC$1</f>
        <v>128874.35289463276</v>
      </c>
      <c r="BL133" s="8">
        <f>+MINVU_Mes_Corriente!BL133*MINVU_Mes_Constante!$BC$1</f>
        <v>194208.46129500202</v>
      </c>
      <c r="BM133" s="8">
        <f>+MINVU_Mes_Corriente!BM133*MINVU_Mes_Constante!$BC$1</f>
        <v>328206.49294474488</v>
      </c>
      <c r="BN133" s="8">
        <f>+MINVU_Mes_Corriente!BN133*MINVU_Mes_Constante!$BC$1</f>
        <v>363676.00923117506</v>
      </c>
      <c r="BO133" s="9">
        <f t="shared" si="99"/>
        <v>363676.00923117506</v>
      </c>
      <c r="BP133" s="8">
        <f>+MINVU_Mes_Corriente!BP133*MINVU_Mes_Constante!$BP$1</f>
        <v>158.08425096030732</v>
      </c>
      <c r="BQ133" s="8">
        <f>+MINVU_Mes_Corriente!BQ133*MINVU_Mes_Constante!$BP$1</f>
        <v>472.85377720870684</v>
      </c>
      <c r="BR133" s="8">
        <f>+MINVU_Mes_Corriente!BR133*MINVU_Mes_Constante!$BP$1</f>
        <v>1144.3620998719591</v>
      </c>
      <c r="BS133" s="8">
        <f>+MINVU_Mes_Corriente!BS133*MINVU_Mes_Constante!$BP$1</f>
        <v>1677.3718309859157</v>
      </c>
      <c r="BT133" s="8">
        <f>+MINVU_Mes_Corriente!BT133*MINVU_Mes_Constante!$BP$1</f>
        <v>5134.24071702945</v>
      </c>
      <c r="BU133" s="8">
        <f>+MINVU_Mes_Corriente!BU133*MINVU_Mes_Constante!$BP$1</f>
        <v>5798.7541613316271</v>
      </c>
      <c r="BV133" s="8">
        <f>+MINVU_Mes_Corriente!BV133*MINVU_Mes_Constante!$BP$1</f>
        <v>1032302.7495518567</v>
      </c>
      <c r="BW133" s="8">
        <f>+MINVU_Mes_Corriente!BW133*MINVU_Mes_Constante!$BP$1</f>
        <v>1032448.2430217671</v>
      </c>
      <c r="BX133" s="8">
        <f>+MINVU_Mes_Corriente!BX133*MINVU_Mes_Constante!$BP$1</f>
        <v>1034355.0468629963</v>
      </c>
      <c r="BY133" s="8">
        <f>+MINVU_Mes_Corriente!BY133*MINVU_Mes_Constante!$BP$1</f>
        <v>1034355.0468629963</v>
      </c>
      <c r="BZ133" s="8">
        <f>+MINVU_Mes_Corriente!BZ133*MINVU_Mes_Constante!$BP$1</f>
        <v>1034355.0468629963</v>
      </c>
      <c r="CA133" s="8">
        <f>+MINVU_Mes_Corriente!CA133*MINVU_Mes_Constante!$BP$1</f>
        <v>1037936.424583867</v>
      </c>
      <c r="CB133" s="9">
        <f t="shared" si="100"/>
        <v>1037936.424583867</v>
      </c>
      <c r="CC133" s="8">
        <f>+MINVU_Mes_Corriente!CC133*MINVU_Mes_Constante!$CC$1</f>
        <v>158.93845580007462</v>
      </c>
      <c r="CD133" s="8">
        <f>+MINVU_Mes_Corriente!CD133*MINVU_Mes_Constante!$CC$1</f>
        <v>2480.5266691533011</v>
      </c>
      <c r="CE133" s="8">
        <f>+MINVU_Mes_Corriente!CE133*MINVU_Mes_Constante!$CC$1</f>
        <v>4624.1581499440508</v>
      </c>
      <c r="CF133" s="8">
        <f>+MINVU_Mes_Corriente!CF133*MINVU_Mes_Constante!$CC$1</f>
        <v>5113.1995524058193</v>
      </c>
      <c r="CG133" s="8">
        <f>+MINVU_Mes_Corriente!CG133*MINVU_Mes_Constante!$CC$1</f>
        <v>5113.1995524058193</v>
      </c>
      <c r="CH133" s="8">
        <f>+MINVU_Mes_Corriente!CH133*MINVU_Mes_Constante!$CC$1</f>
        <v>5113.1995524058193</v>
      </c>
      <c r="CI133" s="8">
        <f>+MINVU_Mes_Corriente!CI133*MINVU_Mes_Constante!$CC$1</f>
        <v>5113.1995524058193</v>
      </c>
      <c r="CJ133" s="8">
        <f>+MINVU_Mes_Corriente!CJ133*MINVU_Mes_Constante!$CC$1</f>
        <v>5344.1357702349878</v>
      </c>
      <c r="CK133" s="8">
        <f>+MINVU_Mes_Corriente!CK133*MINVU_Mes_Constante!$CC$1</f>
        <v>5344.1357702349878</v>
      </c>
      <c r="CL133" s="8">
        <f>+MINVU_Mes_Corriente!CL133*MINVU_Mes_Constante!$CC$1</f>
        <v>5344.1357702349878</v>
      </c>
      <c r="CM133" s="8">
        <f>+MINVU_Mes_Corriente!CM133*MINVU_Mes_Constante!$CC$1</f>
        <v>5344.1357702349878</v>
      </c>
      <c r="CN133" s="8">
        <f>+MINVU_Mes_Corriente!CN133*MINVU_Mes_Constante!$CC$1</f>
        <v>28679.561357702354</v>
      </c>
      <c r="CO133" s="9">
        <f t="shared" si="101"/>
        <v>28679.561357702354</v>
      </c>
      <c r="CP133" s="8">
        <f>+MINVU_Mes_Corriente!CP133*MINVU_Mes_Constante!$CP$1</f>
        <v>0</v>
      </c>
      <c r="CQ133" s="8">
        <f>+MINVU_Mes_Corriente!CQ133*MINVU_Mes_Constante!$CP$1</f>
        <v>1102.7401392111367</v>
      </c>
      <c r="CR133" s="8">
        <f>+MINVU_Mes_Corriente!CR133*MINVU_Mes_Constante!$CP$1</f>
        <v>1848.0403712296979</v>
      </c>
      <c r="CS133" s="8">
        <f>+MINVU_Mes_Corriente!CS133*MINVU_Mes_Constante!$CP$1</f>
        <v>4291.8139211136886</v>
      </c>
      <c r="CT133" s="8">
        <f>+MINVU_Mes_Corriente!CT133*MINVU_Mes_Constante!$CP$1</f>
        <v>4419.8331786542913</v>
      </c>
      <c r="CU133" s="8">
        <f>+MINVU_Mes_Corriente!CU133*MINVU_Mes_Constante!$CP$1</f>
        <v>8017.047563805103</v>
      </c>
      <c r="CV133" s="8">
        <f>+MINVU_Mes_Corriente!CV133*MINVU_Mes_Constante!$CP$1</f>
        <v>9034.8640371229685</v>
      </c>
      <c r="CW133" s="8">
        <f>+MINVU_Mes_Corriente!CW133*MINVU_Mes_Constante!$CP$1</f>
        <v>9264.2846867749395</v>
      </c>
      <c r="CX133" s="8">
        <f>+MINVU_Mes_Corriente!CX133*MINVU_Mes_Constante!$CP$1</f>
        <v>12240.415545243617</v>
      </c>
      <c r="CY133" s="8">
        <f>+MINVU_Mes_Corriente!CY133*MINVU_Mes_Constante!$CP$1</f>
        <v>907723.71438515058</v>
      </c>
      <c r="CZ133" s="8">
        <f>+MINVU_Mes_Corriente!CZ133*MINVU_Mes_Constante!$CP$1</f>
        <v>932214.68561484898</v>
      </c>
      <c r="DA133" s="8">
        <f>+MINVU_Mes_Corriente!DA133*MINVU_Mes_Constante!$CP$1</f>
        <v>1027544.6693735496</v>
      </c>
      <c r="DB133" s="9">
        <f t="shared" si="102"/>
        <v>1027544.6693735496</v>
      </c>
      <c r="DC133" s="8">
        <f>+MINVU_Mes_Corriente!DC133*MINVU_Mes_Constante!$DC$1</f>
        <v>0</v>
      </c>
      <c r="DD133" s="8">
        <f>+MINVU_Mes_Corriente!DD133*MINVU_Mes_Constante!$DC$1</f>
        <v>0</v>
      </c>
      <c r="DE133" s="8">
        <f>+MINVU_Mes_Corriente!DE133*MINVU_Mes_Constante!$DC$1</f>
        <v>0</v>
      </c>
      <c r="DF133" s="8">
        <f>+MINVU_Mes_Corriente!DF133*MINVU_Mes_Constante!$DC$1</f>
        <v>0</v>
      </c>
      <c r="DG133" s="8">
        <f>+MINVU_Mes_Corriente!DG133*MINVU_Mes_Constante!$DC$1</f>
        <v>0</v>
      </c>
      <c r="DH133" s="8">
        <f>+MINVU_Mes_Corriente!DH133*MINVU_Mes_Constante!$DC$1</f>
        <v>0</v>
      </c>
      <c r="DI133" s="8">
        <f>+MINVU_Mes_Corriente!DI133*MINVU_Mes_Constante!$DC$1</f>
        <v>0</v>
      </c>
      <c r="DJ133" s="8">
        <f>+MINVU_Mes_Corriente!DJ133*MINVU_Mes_Constante!$DC$1</f>
        <v>0</v>
      </c>
      <c r="DK133" s="8">
        <f>+MINVU_Mes_Corriente!DK133*MINVU_Mes_Constante!$DC$1</f>
        <v>0</v>
      </c>
      <c r="DL133" s="8">
        <f>+MINVU_Mes_Corriente!DL133*MINVU_Mes_Constante!$DC$1</f>
        <v>0</v>
      </c>
      <c r="DM133" s="8">
        <f>+MINVU_Mes_Corriente!DM133*MINVU_Mes_Constante!$DC$1</f>
        <v>0</v>
      </c>
      <c r="DN133" s="8">
        <f>+MINVU_Mes_Corriente!DN133*MINVU_Mes_Constante!$DC$1</f>
        <v>4118533.2770291143</v>
      </c>
      <c r="DO133" s="9">
        <f t="shared" si="103"/>
        <v>4118533.2770291143</v>
      </c>
      <c r="DP133" s="8">
        <f>+MINVU_Mes_Corriente!DP133*MINVU_Mes_Constante!$DP$1</f>
        <v>0</v>
      </c>
      <c r="DQ133" s="8">
        <f>+MINVU_Mes_Corriente!DQ133*MINVU_Mes_Constante!$DP$1</f>
        <v>0</v>
      </c>
      <c r="DR133" s="8">
        <f>+MINVU_Mes_Corriente!DR133*MINVU_Mes_Constante!$DP$1</f>
        <v>0</v>
      </c>
      <c r="DS133" s="8">
        <f>+MINVU_Mes_Corriente!DS133*MINVU_Mes_Constante!$DP$1</f>
        <v>0</v>
      </c>
      <c r="DT133" s="8">
        <f>+MINVU_Mes_Corriente!DT133*MINVU_Mes_Constante!$DP$1</f>
        <v>0</v>
      </c>
      <c r="DU133" s="8">
        <f>+MINVU_Mes_Corriente!DU133*MINVU_Mes_Constante!$DP$1</f>
        <v>0</v>
      </c>
      <c r="DV133" s="8">
        <f>+MINVU_Mes_Corriente!DV133*MINVU_Mes_Constante!$DP$1</f>
        <v>0</v>
      </c>
      <c r="DW133" s="8">
        <f>+MINVU_Mes_Corriente!DW133*MINVU_Mes_Constante!$DP$1</f>
        <v>0</v>
      </c>
      <c r="DX133" s="8">
        <f>+MINVU_Mes_Corriente!DX133*MINVU_Mes_Constante!$DP$1</f>
        <v>0</v>
      </c>
      <c r="DY133" s="8">
        <f>+MINVU_Mes_Corriente!DY133*MINVU_Mes_Constante!$DP$1</f>
        <v>0</v>
      </c>
      <c r="DZ133" s="8">
        <f>+MINVU_Mes_Corriente!DZ133*MINVU_Mes_Constante!$DP$1</f>
        <v>0</v>
      </c>
      <c r="EA133" s="8">
        <f>+MINVU_Mes_Corriente!EA133*MINVU_Mes_Constante!$DP$1</f>
        <v>9110881.4839667473</v>
      </c>
      <c r="EB133" s="9">
        <f t="shared" si="104"/>
        <v>9110881.4839667473</v>
      </c>
      <c r="EC133" s="8">
        <f>+MINVU_Mes_Corriente!EC133*MINVU_Mes_Constante!$EC$1</f>
        <v>0</v>
      </c>
      <c r="ED133" s="8">
        <f>+MINVU_Mes_Corriente!ED133*MINVU_Mes_Constante!$EC$1</f>
        <v>0</v>
      </c>
      <c r="EE133" s="8">
        <f>+MINVU_Mes_Corriente!EE133*MINVU_Mes_Constante!$EC$1</f>
        <v>0</v>
      </c>
      <c r="EF133" s="8">
        <f>+MINVU_Mes_Corriente!EF133*MINVU_Mes_Constante!$EC$1</f>
        <v>0</v>
      </c>
      <c r="EG133" s="8">
        <f>+MINVU_Mes_Corriente!EG133*MINVU_Mes_Constante!$EC$1</f>
        <v>0</v>
      </c>
      <c r="EH133" s="8">
        <f>+MINVU_Mes_Corriente!EH133*MINVU_Mes_Constante!$EC$1</f>
        <v>1033.4287066843397</v>
      </c>
      <c r="EI133" s="8">
        <f>+MINVU_Mes_Corriente!EI133*MINVU_Mes_Constante!$EC$1</f>
        <v>2686.5008521113418</v>
      </c>
      <c r="EJ133" s="8">
        <f>+MINVU_Mes_Corriente!EJ133*MINVU_Mes_Constante!$EC$1</f>
        <v>5424.7248627153931</v>
      </c>
      <c r="EK133" s="8">
        <f>+MINVU_Mes_Corriente!EK133*MINVU_Mes_Constante!$EC$1</f>
        <v>7544.3398977466368</v>
      </c>
      <c r="EL133" s="8">
        <f>+MINVU_Mes_Corriente!EL133*MINVU_Mes_Constante!$EC$1</f>
        <v>7544.3398977466368</v>
      </c>
      <c r="EM133" s="8">
        <f>+MINVU_Mes_Corriente!EM133*MINVU_Mes_Constante!$EC$1</f>
        <v>10762.554819163033</v>
      </c>
      <c r="EN133" s="8">
        <f>+MINVU_Mes_Corriente!EN133*MINVU_Mes_Constante!$EC$1</f>
        <v>12610.106040522624</v>
      </c>
      <c r="EO133" s="9">
        <f t="shared" si="105"/>
        <v>12610.106040522624</v>
      </c>
      <c r="EP133" s="8">
        <f>+MINVU_Mes_Corriente!EP133*MINVU_Mes_Constante!$EP$1</f>
        <v>0</v>
      </c>
      <c r="EQ133" s="8">
        <f>+MINVU_Mes_Corriente!EQ133*MINVU_Mes_Constante!$EP$1</f>
        <v>0</v>
      </c>
      <c r="ER133" s="8">
        <f>+MINVU_Mes_Corriente!ER133*MINVU_Mes_Constante!$EP$1</f>
        <v>140</v>
      </c>
      <c r="ES133" s="8">
        <f>+MINVU_Mes_Corriente!ES133*MINVU_Mes_Constante!$EP$1</f>
        <v>1004</v>
      </c>
      <c r="ET133" s="8">
        <f>+MINVU_Mes_Corriente!ET133*MINVU_Mes_Constante!$EP$1</f>
        <v>9070</v>
      </c>
      <c r="EU133" s="8">
        <f>+MINVU_Mes_Corriente!EU133*MINVU_Mes_Constante!$EP$1</f>
        <v>9776</v>
      </c>
      <c r="EV133" s="8">
        <f>+MINVU_Mes_Corriente!EV133*MINVU_Mes_Constante!$EP$1</f>
        <v>9776</v>
      </c>
      <c r="EW133" s="8">
        <f>+MINVU_Mes_Corriente!EW133*MINVU_Mes_Constante!$EP$1</f>
        <v>9996</v>
      </c>
      <c r="EX133" s="8">
        <f>+MINVU_Mes_Corriente!EX133*MINVU_Mes_Constante!$EP$1</f>
        <v>9996</v>
      </c>
      <c r="EY133" s="8">
        <f>+MINVU_Mes_Corriente!EY133*MINVU_Mes_Constante!$EP$1</f>
        <v>11792</v>
      </c>
      <c r="EZ133" s="8">
        <f>+MINVU_Mes_Corriente!EZ133*MINVU_Mes_Constante!$EP$1</f>
        <v>11792</v>
      </c>
      <c r="FA133" s="8">
        <f>+MINVU_Mes_Corriente!FA133*MINVU_Mes_Constante!$EP$1</f>
        <v>11792</v>
      </c>
      <c r="FB133" s="9">
        <f t="shared" si="106"/>
        <v>11792</v>
      </c>
      <c r="FC133" s="8">
        <f>+MINVU_Mes_Corriente!FC133*MINVU_Mes_Constante!$FC$1</f>
        <v>0</v>
      </c>
      <c r="FD133" s="8">
        <f>+MINVU_Mes_Corriente!FD133*MINVU_Mes_Constante!$FC$1</f>
        <v>0</v>
      </c>
      <c r="FE133" s="8">
        <f>+MINVU_Mes_Corriente!FE133*MINVU_Mes_Constante!$FC$1</f>
        <v>0</v>
      </c>
      <c r="FF133" s="8">
        <f>+MINVU_Mes_Corriente!FF133*MINVU_Mes_Constante!$FC$1</f>
        <v>0</v>
      </c>
      <c r="FG133" s="8">
        <f>+MINVU_Mes_Corriente!FG133*MINVU_Mes_Constante!$FC$1</f>
        <v>0</v>
      </c>
      <c r="FH133" s="8">
        <f>+MINVU_Mes_Corriente!FH133*MINVU_Mes_Constante!$FC$1</f>
        <v>0</v>
      </c>
      <c r="FI133" s="8">
        <f>+MINVU_Mes_Corriente!FI133*MINVU_Mes_Constante!$FC$1</f>
        <v>0</v>
      </c>
      <c r="FJ133" s="8"/>
      <c r="FK133" s="8"/>
      <c r="FL133" s="8"/>
      <c r="FM133" s="8"/>
      <c r="FN133" s="8"/>
      <c r="FO133" s="9">
        <f t="shared" si="107"/>
        <v>0</v>
      </c>
    </row>
    <row r="134" spans="2:171" ht="14.25" customHeight="1" x14ac:dyDescent="0.3">
      <c r="B134" s="7" t="s">
        <v>56</v>
      </c>
      <c r="C134" s="8">
        <f>+MINVU_Mes_Corriente!C134*MINVU_Mes_Constante!$C$1</f>
        <v>0</v>
      </c>
      <c r="D134" s="8">
        <f>+MINVU_Mes_Corriente!D134*MINVU_Mes_Constante!$C$1</f>
        <v>0</v>
      </c>
      <c r="E134" s="8">
        <f>+MINVU_Mes_Corriente!E134*MINVU_Mes_Constante!$C$1</f>
        <v>0</v>
      </c>
      <c r="F134" s="8">
        <f>+MINVU_Mes_Corriente!F134*MINVU_Mes_Constante!$C$1</f>
        <v>972.20821592762877</v>
      </c>
      <c r="G134" s="8">
        <f>+MINVU_Mes_Corriente!G134*MINVU_Mes_Constante!$C$1</f>
        <v>972.20821592762877</v>
      </c>
      <c r="H134" s="8">
        <f>+MINVU_Mes_Corriente!H134*MINVU_Mes_Constante!$C$1</f>
        <v>12812.083938899601</v>
      </c>
      <c r="I134" s="8">
        <f>+MINVU_Mes_Corriente!I134*MINVU_Mes_Constante!$C$1</f>
        <v>15458.110633249298</v>
      </c>
      <c r="J134" s="8">
        <f>+MINVU_Mes_Corriente!J134*MINVU_Mes_Constante!$C$1</f>
        <v>29806.283553314552</v>
      </c>
      <c r="K134" s="8">
        <f>+MINVU_Mes_Corriente!K134*MINVU_Mes_Constante!$C$1</f>
        <v>29806.283553314552</v>
      </c>
      <c r="L134" s="8">
        <f>+MINVU_Mes_Corriente!L134*MINVU_Mes_Constante!$C$1</f>
        <v>29922.948539225868</v>
      </c>
      <c r="M134" s="8">
        <f>+MINVU_Mes_Corriente!M134*MINVU_Mes_Constante!$C$1</f>
        <v>29922.948539225868</v>
      </c>
      <c r="N134" s="8">
        <f>+MINVU_Mes_Corriente!N134*MINVU_Mes_Constante!$C$1</f>
        <v>29922.948539225868</v>
      </c>
      <c r="O134" s="9">
        <f t="shared" si="95"/>
        <v>29922.948539225868</v>
      </c>
      <c r="P134" s="8">
        <f>+MINVU_Mes_Corriente!P134*MINVU_Mes_Constante!$P$1</f>
        <v>0</v>
      </c>
      <c r="Q134" s="8">
        <f>+MINVU_Mes_Corriente!Q134*MINVU_Mes_Constante!$P$1</f>
        <v>3663.2135246483863</v>
      </c>
      <c r="R134" s="8">
        <f>+MINVU_Mes_Corriente!R134*MINVU_Mes_Constante!$P$1</f>
        <v>3663.2135246483863</v>
      </c>
      <c r="S134" s="8">
        <f>+MINVU_Mes_Corriente!S134*MINVU_Mes_Constante!$P$1</f>
        <v>3663.2135246483863</v>
      </c>
      <c r="T134" s="8">
        <f>+MINVU_Mes_Corriente!T134*MINVU_Mes_Constante!$P$1</f>
        <v>15869.786049154704</v>
      </c>
      <c r="U134" s="8">
        <f>+MINVU_Mes_Corriente!U134*MINVU_Mes_Constante!$P$1</f>
        <v>18823.640005682617</v>
      </c>
      <c r="V134" s="8">
        <f>+MINVU_Mes_Corriente!V134*MINVU_Mes_Constante!$P$1</f>
        <v>18823.640005682617</v>
      </c>
      <c r="W134" s="8">
        <f>+MINVU_Mes_Corriente!W134*MINVU_Mes_Constante!$P$1</f>
        <v>26697.996874556036</v>
      </c>
      <c r="X134" s="8">
        <f>+MINVU_Mes_Corriente!X134*MINVU_Mes_Constante!$P$1</f>
        <v>29735.67012359709</v>
      </c>
      <c r="Y134" s="8">
        <f>+MINVU_Mes_Corriente!Y134*MINVU_Mes_Constante!$P$1</f>
        <v>30204.437278022437</v>
      </c>
      <c r="Z134" s="8">
        <f>+MINVU_Mes_Corriente!Z134*MINVU_Mes_Constante!$P$1</f>
        <v>31714.736752379587</v>
      </c>
      <c r="AA134" s="8">
        <f>+MINVU_Mes_Corriente!AA134*MINVU_Mes_Constante!$P$1</f>
        <v>156569.78178718561</v>
      </c>
      <c r="AB134" s="9">
        <f t="shared" si="96"/>
        <v>156569.78178718561</v>
      </c>
      <c r="AC134" s="8">
        <f>+MINVU_Mes_Corriente!AC134*MINVU_Mes_Constante!$AC$1</f>
        <v>1475.1384700511828</v>
      </c>
      <c r="AD134" s="8">
        <f>+MINVU_Mes_Corriente!AD134*MINVU_Mes_Constante!$AC$1</f>
        <v>1475.1384700511828</v>
      </c>
      <c r="AE134" s="8">
        <f>+MINVU_Mes_Corriente!AE134*MINVU_Mes_Constante!$AC$1</f>
        <v>5601.2942315672981</v>
      </c>
      <c r="AF134" s="8">
        <f>+MINVU_Mes_Corriente!AF134*MINVU_Mes_Constante!$AC$1</f>
        <v>31942.188961128788</v>
      </c>
      <c r="AG134" s="8">
        <f>+MINVU_Mes_Corriente!AG134*MINVU_Mes_Constante!$AC$1</f>
        <v>32236.914372665651</v>
      </c>
      <c r="AH134" s="8">
        <f>+MINVU_Mes_Corriente!AH134*MINVU_Mes_Constante!$AC$1</f>
        <v>32752.305989763452</v>
      </c>
      <c r="AI134" s="8">
        <f>+MINVU_Mes_Corriente!AI134*MINVU_Mes_Constante!$AC$1</f>
        <v>35410.880343062665</v>
      </c>
      <c r="AJ134" s="8">
        <f>+MINVU_Mes_Corriente!AJ134*MINVU_Mes_Constante!$AC$1</f>
        <v>35548.418868446533</v>
      </c>
      <c r="AK134" s="8">
        <f>+MINVU_Mes_Corriente!AK134*MINVU_Mes_Constante!$AC$1</f>
        <v>226167.74657628994</v>
      </c>
      <c r="AL134" s="8">
        <f>+MINVU_Mes_Corriente!AL134*MINVU_Mes_Constante!$AC$1</f>
        <v>286572.85323004564</v>
      </c>
      <c r="AM134" s="8">
        <f>+MINVU_Mes_Corriente!AM134*MINVU_Mes_Constante!$AC$1</f>
        <v>295317.88518467284</v>
      </c>
      <c r="AN134" s="8">
        <f>+MINVU_Mes_Corriente!AN134*MINVU_Mes_Constante!$AC$1</f>
        <v>365755.74712961679</v>
      </c>
      <c r="AO134" s="9">
        <f t="shared" si="97"/>
        <v>365755.74712961679</v>
      </c>
      <c r="AP134" s="8">
        <f>+MINVU_Mes_Corriente!AP134*MINVU_Mes_Constante!$AP$1</f>
        <v>0</v>
      </c>
      <c r="AQ134" s="8">
        <f>+MINVU_Mes_Corriente!AQ134*MINVU_Mes_Constante!$AP$1</f>
        <v>0</v>
      </c>
      <c r="AR134" s="8">
        <f>+MINVU_Mes_Corriente!AR134*MINVU_Mes_Constante!$AP$1</f>
        <v>3320.8064385229268</v>
      </c>
      <c r="AS134" s="8">
        <f>+MINVU_Mes_Corriente!AS134*MINVU_Mes_Constante!$AP$1</f>
        <v>7686.4772081698902</v>
      </c>
      <c r="AT134" s="8">
        <f>+MINVU_Mes_Corriente!AT134*MINVU_Mes_Constante!$AP$1</f>
        <v>25265.913161098335</v>
      </c>
      <c r="AU134" s="8">
        <f>+MINVU_Mes_Corriente!AU134*MINVU_Mes_Constante!$AP$1</f>
        <v>25452.126606249152</v>
      </c>
      <c r="AV134" s="8">
        <f>+MINVU_Mes_Corriente!AV134*MINVU_Mes_Constante!$AP$1</f>
        <v>25452.126606249152</v>
      </c>
      <c r="AW134" s="8">
        <f>+MINVU_Mes_Corriente!AW134*MINVU_Mes_Constante!$AP$1</f>
        <v>27098.48992290004</v>
      </c>
      <c r="AX134" s="8">
        <f>+MINVU_Mes_Corriente!AX134*MINVU_Mes_Constante!$AP$1</f>
        <v>29974.453131340455</v>
      </c>
      <c r="AY134" s="8">
        <f>+MINVU_Mes_Corriente!AY134*MINVU_Mes_Constante!$AP$1</f>
        <v>29732.080075747326</v>
      </c>
      <c r="AZ134" s="8">
        <f>+MINVU_Mes_Corriente!AZ134*MINVU_Mes_Constante!$AP$1</f>
        <v>36429.852563235494</v>
      </c>
      <c r="BA134" s="8">
        <f>+MINVU_Mes_Corriente!BA134*MINVU_Mes_Constante!$AP$1</f>
        <v>325852.83863113757</v>
      </c>
      <c r="BB134" s="9">
        <f t="shared" si="98"/>
        <v>325852.83863113757</v>
      </c>
      <c r="BC134" s="8">
        <f>+MINVU_Mes_Corriente!BC134*MINVU_Mes_Constante!$BC$1</f>
        <v>0</v>
      </c>
      <c r="BD134" s="8">
        <f>+MINVU_Mes_Corriente!BD134*MINVU_Mes_Constante!$BC$1</f>
        <v>0</v>
      </c>
      <c r="BE134" s="8">
        <f>+MINVU_Mes_Corriente!BE134*MINVU_Mes_Constante!$BC$1</f>
        <v>0</v>
      </c>
      <c r="BF134" s="8">
        <f>+MINVU_Mes_Corriente!BF134*MINVU_Mes_Constante!$BC$1</f>
        <v>14679.426084663066</v>
      </c>
      <c r="BG134" s="8">
        <f>+MINVU_Mes_Corriente!BG134*MINVU_Mes_Constante!$BC$1</f>
        <v>15761.507846498751</v>
      </c>
      <c r="BH134" s="8">
        <f>+MINVU_Mes_Corriente!BH134*MINVU_Mes_Constante!$BC$1</f>
        <v>15945.937228010027</v>
      </c>
      <c r="BI134" s="8">
        <f>+MINVU_Mes_Corriente!BI134*MINVU_Mes_Constante!$BC$1</f>
        <v>16882.492680996969</v>
      </c>
      <c r="BJ134" s="8">
        <f>+MINVU_Mes_Corriente!BJ134*MINVU_Mes_Constante!$BC$1</f>
        <v>17879.564024792304</v>
      </c>
      <c r="BK134" s="8">
        <f>+MINVU_Mes_Corriente!BK134*MINVU_Mes_Constante!$BC$1</f>
        <v>17879.564024792304</v>
      </c>
      <c r="BL134" s="8">
        <f>+MINVU_Mes_Corriente!BL134*MINVU_Mes_Constante!$BC$1</f>
        <v>20646.004747461433</v>
      </c>
      <c r="BM134" s="8">
        <f>+MINVU_Mes_Corriente!BM134*MINVU_Mes_Constante!$BC$1</f>
        <v>27485.741263352244</v>
      </c>
      <c r="BN134" s="8">
        <f>+MINVU_Mes_Corriente!BN134*MINVU_Mes_Constante!$BC$1</f>
        <v>35488.247395489918</v>
      </c>
      <c r="BO134" s="9">
        <f t="shared" si="99"/>
        <v>35488.247395489918</v>
      </c>
      <c r="BP134" s="8">
        <f>+MINVU_Mes_Corriente!BP134*MINVU_Mes_Constante!$BP$1</f>
        <v>0</v>
      </c>
      <c r="BQ134" s="8">
        <f>+MINVU_Mes_Corriente!BQ134*MINVU_Mes_Constante!$BP$1</f>
        <v>4115.7864276568507</v>
      </c>
      <c r="BR134" s="8">
        <f>+MINVU_Mes_Corriente!BR134*MINVU_Mes_Constante!$BP$1</f>
        <v>5067.0898847631252</v>
      </c>
      <c r="BS134" s="8">
        <f>+MINVU_Mes_Corriente!BS134*MINVU_Mes_Constante!$BP$1</f>
        <v>8484.7874519846355</v>
      </c>
      <c r="BT134" s="8">
        <f>+MINVU_Mes_Corriente!BT134*MINVU_Mes_Constante!$BP$1</f>
        <v>10121.588988476313</v>
      </c>
      <c r="BU134" s="8">
        <f>+MINVU_Mes_Corriente!BU134*MINVU_Mes_Constante!$BP$1</f>
        <v>11170.820742637645</v>
      </c>
      <c r="BV134" s="8">
        <f>+MINVU_Mes_Corriente!BV134*MINVU_Mes_Constante!$BP$1</f>
        <v>12739.072471190782</v>
      </c>
      <c r="BW134" s="8">
        <f>+MINVU_Mes_Corriente!BW134*MINVU_Mes_Constante!$BP$1</f>
        <v>12739.072471190782</v>
      </c>
      <c r="BX134" s="8">
        <f>+MINVU_Mes_Corriente!BX134*MINVU_Mes_Constante!$BP$1</f>
        <v>13209.128297055058</v>
      </c>
      <c r="BY134" s="8">
        <f>+MINVU_Mes_Corriente!BY134*MINVU_Mes_Constante!$BP$1</f>
        <v>15984.696030729836</v>
      </c>
      <c r="BZ134" s="8">
        <f>+MINVU_Mes_Corriente!BZ134*MINVU_Mes_Constante!$BP$1</f>
        <v>17129.058130601796</v>
      </c>
      <c r="CA134" s="8">
        <f>+MINVU_Mes_Corriente!CA134*MINVU_Mes_Constante!$BP$1</f>
        <v>4215750.2343149809</v>
      </c>
      <c r="CB134" s="9">
        <f t="shared" si="100"/>
        <v>4215750.2343149809</v>
      </c>
      <c r="CC134" s="8">
        <f>+MINVU_Mes_Corriente!CC134*MINVU_Mes_Constante!$CC$1</f>
        <v>508.05967922417011</v>
      </c>
      <c r="CD134" s="8">
        <f>+MINVU_Mes_Corriente!CD134*MINVU_Mes_Constante!$CC$1</f>
        <v>7404.9019022752709</v>
      </c>
      <c r="CE134" s="8">
        <f>+MINVU_Mes_Corriente!CE134*MINVU_Mes_Constante!$CC$1</f>
        <v>8551.4323013800822</v>
      </c>
      <c r="CF134" s="8">
        <f>+MINVU_Mes_Corriente!CF134*MINVU_Mes_Constante!$CC$1</f>
        <v>8998.3618052965321</v>
      </c>
      <c r="CG134" s="8">
        <f>+MINVU_Mes_Corriente!CG134*MINVU_Mes_Constante!$CC$1</f>
        <v>9340.6907870197701</v>
      </c>
      <c r="CH134" s="8">
        <f>+MINVU_Mes_Corriente!CH134*MINVU_Mes_Constante!$CC$1</f>
        <v>9340.6907870197701</v>
      </c>
      <c r="CI134" s="8">
        <f>+MINVU_Mes_Corriente!CI134*MINVU_Mes_Constante!$CC$1</f>
        <v>12826.469227900039</v>
      </c>
      <c r="CJ134" s="8">
        <f>+MINVU_Mes_Corriente!CJ134*MINVU_Mes_Constante!$CC$1</f>
        <v>14038.205147333087</v>
      </c>
      <c r="CK134" s="8">
        <f>+MINVU_Mes_Corriente!CK134*MINVU_Mes_Constante!$CC$1</f>
        <v>47506.296904140254</v>
      </c>
      <c r="CL134" s="8">
        <f>+MINVU_Mes_Corriente!CL134*MINVU_Mes_Constante!$CC$1</f>
        <v>197726.23125699369</v>
      </c>
      <c r="CM134" s="8">
        <f>+MINVU_Mes_Corriente!CM134*MINVU_Mes_Constante!$CC$1</f>
        <v>2151920.7325624768</v>
      </c>
      <c r="CN134" s="8">
        <f>+MINVU_Mes_Corriente!CN134*MINVU_Mes_Constante!$CC$1</f>
        <v>2166837.8537859009</v>
      </c>
      <c r="CO134" s="9">
        <f t="shared" si="101"/>
        <v>2166837.8537859009</v>
      </c>
      <c r="CP134" s="8">
        <f>+MINVU_Mes_Corriente!CP134*MINVU_Mes_Constante!$CP$1</f>
        <v>0</v>
      </c>
      <c r="CQ134" s="8">
        <f>+MINVU_Mes_Corriente!CQ134*MINVU_Mes_Constante!$CP$1</f>
        <v>0</v>
      </c>
      <c r="CR134" s="8">
        <f>+MINVU_Mes_Corriente!CR134*MINVU_Mes_Constante!$CP$1</f>
        <v>0</v>
      </c>
      <c r="CS134" s="8">
        <f>+MINVU_Mes_Corriente!CS134*MINVU_Mes_Constante!$CP$1</f>
        <v>0</v>
      </c>
      <c r="CT134" s="8">
        <f>+MINVU_Mes_Corriente!CT134*MINVU_Mes_Constante!$CP$1</f>
        <v>422.08329466357299</v>
      </c>
      <c r="CU134" s="8">
        <f>+MINVU_Mes_Corriente!CU134*MINVU_Mes_Constante!$CP$1</f>
        <v>1142.0331786542922</v>
      </c>
      <c r="CV134" s="8">
        <f>+MINVU_Mes_Corriente!CV134*MINVU_Mes_Constante!$CP$1</f>
        <v>1782.1294663573083</v>
      </c>
      <c r="CW134" s="8">
        <f>+MINVU_Mes_Corriente!CW134*MINVU_Mes_Constante!$CP$1</f>
        <v>6646.8612529002303</v>
      </c>
      <c r="CX134" s="8">
        <f>+MINVU_Mes_Corriente!CX134*MINVU_Mes_Constante!$CP$1</f>
        <v>12777.842923433873</v>
      </c>
      <c r="CY134" s="8">
        <f>+MINVU_Mes_Corriente!CY134*MINVU_Mes_Constante!$CP$1</f>
        <v>15585.393967517399</v>
      </c>
      <c r="CZ134" s="8">
        <f>+MINVU_Mes_Corriente!CZ134*MINVU_Mes_Constante!$CP$1</f>
        <v>17334.567981438511</v>
      </c>
      <c r="DA134" s="8">
        <f>+MINVU_Mes_Corriente!DA134*MINVU_Mes_Constante!$CP$1</f>
        <v>214918.98306264495</v>
      </c>
      <c r="DB134" s="9">
        <f t="shared" si="102"/>
        <v>214918.98306264495</v>
      </c>
      <c r="DC134" s="8">
        <f>+MINVU_Mes_Corriente!DC134*MINVU_Mes_Constante!$DC$1</f>
        <v>0</v>
      </c>
      <c r="DD134" s="8">
        <f>+MINVU_Mes_Corriente!DD134*MINVU_Mes_Constante!$DC$1</f>
        <v>0</v>
      </c>
      <c r="DE134" s="8">
        <f>+MINVU_Mes_Corriente!DE134*MINVU_Mes_Constante!$DC$1</f>
        <v>0</v>
      </c>
      <c r="DF134" s="8">
        <f>+MINVU_Mes_Corriente!DF134*MINVU_Mes_Constante!$DC$1</f>
        <v>0</v>
      </c>
      <c r="DG134" s="8">
        <f>+MINVU_Mes_Corriente!DG134*MINVU_Mes_Constante!$DC$1</f>
        <v>0</v>
      </c>
      <c r="DH134" s="8">
        <f>+MINVU_Mes_Corriente!DH134*MINVU_Mes_Constante!$DC$1</f>
        <v>0</v>
      </c>
      <c r="DI134" s="8">
        <f>+MINVU_Mes_Corriente!DI134*MINVU_Mes_Constante!$DC$1</f>
        <v>0</v>
      </c>
      <c r="DJ134" s="8">
        <f>+MINVU_Mes_Corriente!DJ134*MINVU_Mes_Constante!$DC$1</f>
        <v>0</v>
      </c>
      <c r="DK134" s="8">
        <f>+MINVU_Mes_Corriente!DK134*MINVU_Mes_Constante!$DC$1</f>
        <v>0</v>
      </c>
      <c r="DL134" s="8">
        <f>+MINVU_Mes_Corriente!DL134*MINVU_Mes_Constante!$DC$1</f>
        <v>0</v>
      </c>
      <c r="DM134" s="8">
        <f>+MINVU_Mes_Corriente!DM134*MINVU_Mes_Constante!$DC$1</f>
        <v>0</v>
      </c>
      <c r="DN134" s="8">
        <f>+MINVU_Mes_Corriente!DN134*MINVU_Mes_Constante!$DC$1</f>
        <v>12863191.826355319</v>
      </c>
      <c r="DO134" s="9">
        <f t="shared" si="103"/>
        <v>12863191.826355319</v>
      </c>
      <c r="DP134" s="8">
        <f>+MINVU_Mes_Corriente!DP134*MINVU_Mes_Constante!$DP$1</f>
        <v>0</v>
      </c>
      <c r="DQ134" s="8">
        <f>+MINVU_Mes_Corriente!DQ134*MINVU_Mes_Constante!$DP$1</f>
        <v>0</v>
      </c>
      <c r="DR134" s="8">
        <f>+MINVU_Mes_Corriente!DR134*MINVU_Mes_Constante!$DP$1</f>
        <v>0</v>
      </c>
      <c r="DS134" s="8">
        <f>+MINVU_Mes_Corriente!DS134*MINVU_Mes_Constante!$DP$1</f>
        <v>0</v>
      </c>
      <c r="DT134" s="8">
        <f>+MINVU_Mes_Corriente!DT134*MINVU_Mes_Constante!$DP$1</f>
        <v>0</v>
      </c>
      <c r="DU134" s="8">
        <f>+MINVU_Mes_Corriente!DU134*MINVU_Mes_Constante!$DP$1</f>
        <v>0</v>
      </c>
      <c r="DV134" s="8">
        <f>+MINVU_Mes_Corriente!DV134*MINVU_Mes_Constante!$DP$1</f>
        <v>0</v>
      </c>
      <c r="DW134" s="8">
        <f>+MINVU_Mes_Corriente!DW134*MINVU_Mes_Constante!$DP$1</f>
        <v>0</v>
      </c>
      <c r="DX134" s="8">
        <f>+MINVU_Mes_Corriente!DX134*MINVU_Mes_Constante!$DP$1</f>
        <v>0</v>
      </c>
      <c r="DY134" s="8">
        <f>+MINVU_Mes_Corriente!DY134*MINVU_Mes_Constante!$DP$1</f>
        <v>0</v>
      </c>
      <c r="DZ134" s="8">
        <f>+MINVU_Mes_Corriente!DZ134*MINVU_Mes_Constante!$DP$1</f>
        <v>0</v>
      </c>
      <c r="EA134" s="8">
        <f>+MINVU_Mes_Corriente!EA134*MINVU_Mes_Constante!$DP$1</f>
        <v>0</v>
      </c>
      <c r="EB134" s="9">
        <f t="shared" si="104"/>
        <v>0</v>
      </c>
      <c r="EC134" s="8">
        <f>+MINVU_Mes_Corriente!EC134*MINVU_Mes_Constante!$EC$1</f>
        <v>0</v>
      </c>
      <c r="ED134" s="8">
        <f>+MINVU_Mes_Corriente!ED134*MINVU_Mes_Constante!$EC$1</f>
        <v>0</v>
      </c>
      <c r="EE134" s="8">
        <f>+MINVU_Mes_Corriente!EE134*MINVU_Mes_Constante!$EC$1</f>
        <v>0</v>
      </c>
      <c r="EF134" s="8">
        <f>+MINVU_Mes_Corriente!EF134*MINVU_Mes_Constante!$EC$1</f>
        <v>0</v>
      </c>
      <c r="EG134" s="8">
        <f>+MINVU_Mes_Corriente!EG134*MINVU_Mes_Constante!$EC$1</f>
        <v>6508.842264722588</v>
      </c>
      <c r="EH134" s="8">
        <f>+MINVU_Mes_Corriente!EH134*MINVU_Mes_Constante!$EC$1</f>
        <v>6508.842264722588</v>
      </c>
      <c r="EI134" s="8">
        <f>+MINVU_Mes_Corriente!EI134*MINVU_Mes_Constante!$EC$1</f>
        <v>6508.842264722588</v>
      </c>
      <c r="EJ134" s="8">
        <f>+MINVU_Mes_Corriente!EJ134*MINVU_Mes_Constante!$EC$1</f>
        <v>7681.9234993372447</v>
      </c>
      <c r="EK134" s="8">
        <f>+MINVU_Mes_Corriente!EK134*MINVU_Mes_Constante!$EC$1</f>
        <v>9279.1346335921189</v>
      </c>
      <c r="EL134" s="8">
        <f>+MINVU_Mes_Corriente!EL134*MINVU_Mes_Constante!$EC$1</f>
        <v>9279.1346335921189</v>
      </c>
      <c r="EM134" s="8">
        <f>+MINVU_Mes_Corriente!EM134*MINVU_Mes_Constante!$EC$1</f>
        <v>10436.698920658962</v>
      </c>
      <c r="EN134" s="8">
        <f>+MINVU_Mes_Corriente!EN134*MINVU_Mes_Constante!$EC$1</f>
        <v>12552.17610301079</v>
      </c>
      <c r="EO134" s="9">
        <f t="shared" si="105"/>
        <v>12552.17610301079</v>
      </c>
      <c r="EP134" s="8">
        <f>+MINVU_Mes_Corriente!EP134*MINVU_Mes_Constante!$EP$1</f>
        <v>0</v>
      </c>
      <c r="EQ134" s="8">
        <f>+MINVU_Mes_Corriente!EQ134*MINVU_Mes_Constante!$EP$1</f>
        <v>0</v>
      </c>
      <c r="ER134" s="8">
        <f>+MINVU_Mes_Corriente!ER134*MINVU_Mes_Constante!$EP$1</f>
        <v>0</v>
      </c>
      <c r="ES134" s="8">
        <f>+MINVU_Mes_Corriente!ES134*MINVU_Mes_Constante!$EP$1</f>
        <v>5800</v>
      </c>
      <c r="ET134" s="8">
        <f>+MINVU_Mes_Corriente!ET134*MINVU_Mes_Constante!$EP$1</f>
        <v>5800</v>
      </c>
      <c r="EU134" s="8">
        <f>+MINVU_Mes_Corriente!EU134*MINVU_Mes_Constante!$EP$1</f>
        <v>5800</v>
      </c>
      <c r="EV134" s="8">
        <f>+MINVU_Mes_Corriente!EV134*MINVU_Mes_Constante!$EP$1</f>
        <v>6800</v>
      </c>
      <c r="EW134" s="8">
        <f>+MINVU_Mes_Corriente!EW134*MINVU_Mes_Constante!$EP$1</f>
        <v>6901</v>
      </c>
      <c r="EX134" s="8">
        <f>+MINVU_Mes_Corriente!EX134*MINVU_Mes_Constante!$EP$1</f>
        <v>6901</v>
      </c>
      <c r="EY134" s="8">
        <f>+MINVU_Mes_Corriente!EY134*MINVU_Mes_Constante!$EP$1</f>
        <v>6901</v>
      </c>
      <c r="EZ134" s="8">
        <f>+MINVU_Mes_Corriente!EZ134*MINVU_Mes_Constante!$EP$1</f>
        <v>6901</v>
      </c>
      <c r="FA134" s="8">
        <f>+MINVU_Mes_Corriente!FA134*MINVU_Mes_Constante!$EP$1</f>
        <v>6901</v>
      </c>
      <c r="FB134" s="9">
        <f t="shared" si="106"/>
        <v>6901</v>
      </c>
      <c r="FC134" s="8">
        <f>+MINVU_Mes_Corriente!FC134*MINVU_Mes_Constante!$FC$1</f>
        <v>0</v>
      </c>
      <c r="FD134" s="8">
        <f>+MINVU_Mes_Corriente!FD134*MINVU_Mes_Constante!$FC$1</f>
        <v>0</v>
      </c>
      <c r="FE134" s="8">
        <f>+MINVU_Mes_Corriente!FE134*MINVU_Mes_Constante!$FC$1</f>
        <v>0</v>
      </c>
      <c r="FF134" s="8">
        <f>+MINVU_Mes_Corriente!FF134*MINVU_Mes_Constante!$FC$1</f>
        <v>0</v>
      </c>
      <c r="FG134" s="8">
        <f>+MINVU_Mes_Corriente!FG134*MINVU_Mes_Constante!$FC$1</f>
        <v>0</v>
      </c>
      <c r="FH134" s="8">
        <f>+MINVU_Mes_Corriente!FH134*MINVU_Mes_Constante!$FC$1</f>
        <v>0</v>
      </c>
      <c r="FI134" s="8">
        <f>+MINVU_Mes_Corriente!FI134*MINVU_Mes_Constante!$FC$1</f>
        <v>0</v>
      </c>
      <c r="FJ134" s="8"/>
      <c r="FK134" s="8"/>
      <c r="FL134" s="8"/>
      <c r="FM134" s="8"/>
      <c r="FN134" s="8"/>
      <c r="FO134" s="9">
        <f t="shared" si="107"/>
        <v>0</v>
      </c>
    </row>
    <row r="135" spans="2:171" ht="14.25" customHeight="1" x14ac:dyDescent="0.3">
      <c r="B135" s="7" t="s">
        <v>57</v>
      </c>
      <c r="C135" s="8">
        <f>+MINVU_Mes_Corriente!C135*MINVU_Mes_Constante!$C$1</f>
        <v>0</v>
      </c>
      <c r="D135" s="8">
        <f>+MINVU_Mes_Corriente!D135*MINVU_Mes_Constante!$C$1</f>
        <v>228.46893074299277</v>
      </c>
      <c r="E135" s="8">
        <f>+MINVU_Mes_Corriente!E135*MINVU_Mes_Constante!$C$1</f>
        <v>1430.7664244401603</v>
      </c>
      <c r="F135" s="8">
        <f>+MINVU_Mes_Corriente!F135*MINVU_Mes_Constante!$C$1</f>
        <v>1532.8482871125614</v>
      </c>
      <c r="G135" s="8">
        <f>+MINVU_Mes_Corriente!G135*MINVU_Mes_Constante!$C$1</f>
        <v>2202.0516090760793</v>
      </c>
      <c r="H135" s="8">
        <f>+MINVU_Mes_Corriente!H135*MINVU_Mes_Constante!$C$1</f>
        <v>2422.4188046863419</v>
      </c>
      <c r="I135" s="8">
        <f>+MINVU_Mes_Corriente!I135*MINVU_Mes_Constante!$C$1</f>
        <v>2795.0986207919327</v>
      </c>
      <c r="J135" s="8">
        <f>+MINVU_Mes_Corriente!J135*MINVU_Mes_Constante!$C$1</f>
        <v>3038.1506747738399</v>
      </c>
      <c r="K135" s="8">
        <f>+MINVU_Mes_Corriente!K135*MINVU_Mes_Constante!$C$1</f>
        <v>4880.4852439566966</v>
      </c>
      <c r="L135" s="8">
        <f>+MINVU_Mes_Corriente!L135*MINVU_Mes_Constante!$C$1</f>
        <v>6902.6783330861645</v>
      </c>
      <c r="M135" s="8">
        <f>+MINVU_Mes_Corriente!M135*MINVU_Mes_Constante!$C$1</f>
        <v>19413.377725048202</v>
      </c>
      <c r="N135" s="8">
        <f>+MINVU_Mes_Corriente!N135*MINVU_Mes_Constante!$C$1</f>
        <v>26899.380987690944</v>
      </c>
      <c r="O135" s="9">
        <f t="shared" si="95"/>
        <v>26899.380987690944</v>
      </c>
      <c r="P135" s="8">
        <f>+MINVU_Mes_Corriente!P135*MINVU_Mes_Constante!$P$1</f>
        <v>131.93777525216646</v>
      </c>
      <c r="Q135" s="8">
        <f>+MINVU_Mes_Corriente!Q135*MINVU_Mes_Constante!$P$1</f>
        <v>131.93777525216646</v>
      </c>
      <c r="R135" s="8">
        <f>+MINVU_Mes_Corriente!R135*MINVU_Mes_Constante!$P$1</f>
        <v>987.20500071032779</v>
      </c>
      <c r="S135" s="8">
        <f>+MINVU_Mes_Corriente!S135*MINVU_Mes_Constante!$P$1</f>
        <v>2553.3840034095742</v>
      </c>
      <c r="T135" s="8">
        <f>+MINVU_Mes_Corriente!T135*MINVU_Mes_Constante!$P$1</f>
        <v>4161.4726523653917</v>
      </c>
      <c r="U135" s="8">
        <f>+MINVU_Mes_Corriente!U135*MINVU_Mes_Constante!$P$1</f>
        <v>4745.1032817161513</v>
      </c>
      <c r="V135" s="8">
        <f>+MINVU_Mes_Corriente!V135*MINVU_Mes_Constante!$P$1</f>
        <v>6548.7702798692972</v>
      </c>
      <c r="W135" s="8">
        <f>+MINVU_Mes_Corriente!W135*MINVU_Mes_Constante!$P$1</f>
        <v>7658.5998011081092</v>
      </c>
      <c r="X135" s="8">
        <f>+MINVU_Mes_Corriente!X135*MINVU_Mes_Constante!$P$1</f>
        <v>10530.186674243496</v>
      </c>
      <c r="Y135" s="8">
        <f>+MINVU_Mes_Corriente!Y135*MINVU_Mes_Constante!$P$1</f>
        <v>17752.615712459148</v>
      </c>
      <c r="Z135" s="8">
        <f>+MINVU_Mes_Corriente!Z135*MINVU_Mes_Constante!$P$1</f>
        <v>17879.896860349476</v>
      </c>
      <c r="AA135" s="8">
        <f>+MINVU_Mes_Corriente!AA135*MINVU_Mes_Constante!$P$1</f>
        <v>17879.896860349476</v>
      </c>
      <c r="AB135" s="9">
        <f t="shared" si="96"/>
        <v>17879.896860349476</v>
      </c>
      <c r="AC135" s="8">
        <f>+MINVU_Mes_Corriente!AC135*MINVU_Mes_Constante!$AC$1</f>
        <v>0</v>
      </c>
      <c r="AD135" s="8">
        <f>+MINVU_Mes_Corriente!AD135*MINVU_Mes_Constante!$AC$1</f>
        <v>291.70258680315396</v>
      </c>
      <c r="AE135" s="8">
        <f>+MINVU_Mes_Corriente!AE135*MINVU_Mes_Constante!$AC$1</f>
        <v>8955.1182736201408</v>
      </c>
      <c r="AF135" s="8">
        <f>+MINVU_Mes_Corriente!AF135*MINVU_Mes_Constante!$AC$1</f>
        <v>10211.101950477245</v>
      </c>
      <c r="AG135" s="8">
        <f>+MINVU_Mes_Corriente!AG135*MINVU_Mes_Constante!$AC$1</f>
        <v>10868.566330059482</v>
      </c>
      <c r="AH135" s="8">
        <f>+MINVU_Mes_Corriente!AH135*MINVU_Mes_Constante!$AC$1</f>
        <v>11604.624152718217</v>
      </c>
      <c r="AI135" s="8">
        <f>+MINVU_Mes_Corriente!AI135*MINVU_Mes_Constante!$AC$1</f>
        <v>14037.998063355928</v>
      </c>
      <c r="AJ135" s="8">
        <f>+MINVU_Mes_Corriente!AJ135*MINVU_Mes_Constante!$AC$1</f>
        <v>14465.727763176095</v>
      </c>
      <c r="AK135" s="8">
        <f>+MINVU_Mes_Corriente!AK135*MINVU_Mes_Constante!$AC$1</f>
        <v>16288.491077604094</v>
      </c>
      <c r="AL135" s="8">
        <f>+MINVU_Mes_Corriente!AL135*MINVU_Mes_Constante!$AC$1</f>
        <v>17130.34776594273</v>
      </c>
      <c r="AM135" s="8">
        <f>+MINVU_Mes_Corriente!AM135*MINVU_Mes_Constante!$AC$1</f>
        <v>958437.96984368516</v>
      </c>
      <c r="AN135" s="8">
        <f>+MINVU_Mes_Corriente!AN135*MINVU_Mes_Constante!$AC$1</f>
        <v>962633.65057407657</v>
      </c>
      <c r="AO135" s="9">
        <f t="shared" si="97"/>
        <v>962633.65057407657</v>
      </c>
      <c r="AP135" s="8">
        <f>+MINVU_Mes_Corriente!AP135*MINVU_Mes_Constante!$AP$1</f>
        <v>0</v>
      </c>
      <c r="AQ135" s="8">
        <f>+MINVU_Mes_Corriente!AQ135*MINVU_Mes_Constante!$AP$1</f>
        <v>0</v>
      </c>
      <c r="AR135" s="8">
        <f>+MINVU_Mes_Corriente!AR135*MINVU_Mes_Constante!$AP$1</f>
        <v>1152.749898552685</v>
      </c>
      <c r="AS135" s="8">
        <f>+MINVU_Mes_Corriente!AS135*MINVU_Mes_Constante!$AP$1</f>
        <v>1152.749898552685</v>
      </c>
      <c r="AT135" s="8">
        <f>+MINVU_Mes_Corriente!AT135*MINVU_Mes_Constante!$AP$1</f>
        <v>5293.7822264304068</v>
      </c>
      <c r="AU135" s="8">
        <f>+MINVU_Mes_Corriente!AU135*MINVU_Mes_Constante!$AP$1</f>
        <v>5525.810090626268</v>
      </c>
      <c r="AV135" s="8">
        <f>+MINVU_Mes_Corriente!AV135*MINVU_Mes_Constante!$AP$1</f>
        <v>6541.1167320438244</v>
      </c>
      <c r="AW135" s="8">
        <f>+MINVU_Mes_Corriente!AW135*MINVU_Mes_Constante!$AP$1</f>
        <v>7470.7060733125927</v>
      </c>
      <c r="AX135" s="8">
        <f>+MINVU_Mes_Corriente!AX135*MINVU_Mes_Constante!$AP$1</f>
        <v>7714.5570133910451</v>
      </c>
      <c r="AY135" s="8">
        <f>+MINVU_Mes_Corriente!AY135*MINVU_Mes_Constante!$AP$1</f>
        <v>126659.13404571892</v>
      </c>
      <c r="AZ135" s="8">
        <f>+MINVU_Mes_Corriente!AZ135*MINVU_Mes_Constante!$AP$1</f>
        <v>130699.67022859461</v>
      </c>
      <c r="BA135" s="8">
        <f>+MINVU_Mes_Corriente!BA135*MINVU_Mes_Constante!$AP$1</f>
        <v>3947688.0900852154</v>
      </c>
      <c r="BB135" s="9">
        <f t="shared" si="98"/>
        <v>3947688.0900852154</v>
      </c>
      <c r="BC135" s="8">
        <f>+MINVU_Mes_Corriente!BC135*MINVU_Mes_Constante!$BC$1</f>
        <v>0</v>
      </c>
      <c r="BD135" s="8">
        <f>+MINVU_Mes_Corriente!BD135*MINVU_Mes_Constante!$BC$1</f>
        <v>0</v>
      </c>
      <c r="BE135" s="8">
        <f>+MINVU_Mes_Corriente!BE135*MINVU_Mes_Constante!$BC$1</f>
        <v>1380.3386522484509</v>
      </c>
      <c r="BF135" s="8">
        <f>+MINVU_Mes_Corriente!BF135*MINVU_Mes_Constante!$BC$1</f>
        <v>6717.2638797309792</v>
      </c>
      <c r="BG135" s="8">
        <f>+MINVU_Mes_Corriente!BG135*MINVU_Mes_Constante!$BC$1</f>
        <v>7574.5723328497979</v>
      </c>
      <c r="BH135" s="8">
        <f>+MINVU_Mes_Corriente!BH135*MINVU_Mes_Constante!$BC$1</f>
        <v>7874.2700778056196</v>
      </c>
      <c r="BI135" s="8">
        <f>+MINVU_Mes_Corriente!BI135*MINVU_Mes_Constante!$BC$1</f>
        <v>11552.771726229726</v>
      </c>
      <c r="BJ135" s="8">
        <f>+MINVU_Mes_Corriente!BJ135*MINVU_Mes_Constante!$BC$1</f>
        <v>12946.078069365689</v>
      </c>
      <c r="BK135" s="8">
        <f>+MINVU_Mes_Corriente!BK135*MINVU_Mes_Constante!$BC$1</f>
        <v>14621.791902940793</v>
      </c>
      <c r="BL135" s="8">
        <f>+MINVU_Mes_Corriente!BL135*MINVU_Mes_Constante!$BC$1</f>
        <v>16872.406699195573</v>
      </c>
      <c r="BM135" s="8">
        <f>+MINVU_Mes_Corriente!BM135*MINVU_Mes_Constante!$BC$1</f>
        <v>17199.480680469474</v>
      </c>
      <c r="BN135" s="8">
        <f>+MINVU_Mes_Corriente!BN135*MINVU_Mes_Constante!$BC$1</f>
        <v>19970.243966767775</v>
      </c>
      <c r="BO135" s="9">
        <f t="shared" si="99"/>
        <v>19970.243966767775</v>
      </c>
      <c r="BP135" s="8">
        <f>+MINVU_Mes_Corriente!BP135*MINVU_Mes_Constante!$BP$1</f>
        <v>128.70576184379001</v>
      </c>
      <c r="BQ135" s="8">
        <f>+MINVU_Mes_Corriente!BQ135*MINVU_Mes_Constante!$BP$1</f>
        <v>3196.6594110115238</v>
      </c>
      <c r="BR135" s="8">
        <f>+MINVU_Mes_Corriente!BR135*MINVU_Mes_Constante!$BP$1</f>
        <v>5027.9185659411014</v>
      </c>
      <c r="BS135" s="8">
        <f>+MINVU_Mes_Corriente!BS135*MINVU_Mes_Constante!$BP$1</f>
        <v>5027.9185659411014</v>
      </c>
      <c r="BT135" s="8">
        <f>+MINVU_Mes_Corriente!BT135*MINVU_Mes_Constante!$BP$1</f>
        <v>5604.2965428937268</v>
      </c>
      <c r="BU135" s="8">
        <f>+MINVU_Mes_Corriente!BU135*MINVU_Mes_Constante!$BP$1</f>
        <v>11193.204353393086</v>
      </c>
      <c r="BV135" s="8">
        <f>+MINVU_Mes_Corriente!BV135*MINVU_Mes_Constante!$BP$1</f>
        <v>14014.938284250962</v>
      </c>
      <c r="BW135" s="8">
        <f>+MINVU_Mes_Corriente!BW135*MINVU_Mes_Constante!$BP$1</f>
        <v>17526.367221510885</v>
      </c>
      <c r="BX135" s="8">
        <f>+MINVU_Mes_Corriente!BX135*MINVU_Mes_Constante!$BP$1</f>
        <v>17526.367221510885</v>
      </c>
      <c r="BY135" s="8">
        <f>+MINVU_Mes_Corriente!BY135*MINVU_Mes_Constante!$BP$1</f>
        <v>17526.367221510885</v>
      </c>
      <c r="BZ135" s="8">
        <f>+MINVU_Mes_Corriente!BZ135*MINVU_Mes_Constante!$BP$1</f>
        <v>18043.988220230476</v>
      </c>
      <c r="CA135" s="8">
        <f>+MINVU_Mes_Corriente!CA135*MINVU_Mes_Constante!$BP$1</f>
        <v>3765666.1851472477</v>
      </c>
      <c r="CB135" s="9">
        <f t="shared" si="100"/>
        <v>3765666.1851472477</v>
      </c>
      <c r="CC135" s="8">
        <f>+MINVU_Mes_Corriente!CC135*MINVU_Mes_Constante!$CC$1</f>
        <v>0</v>
      </c>
      <c r="CD135" s="8">
        <f>+MINVU_Mes_Corriente!CD135*MINVU_Mes_Constante!$CC$1</f>
        <v>5079.2383439015293</v>
      </c>
      <c r="CE135" s="8">
        <f>+MINVU_Mes_Corriente!CE135*MINVU_Mes_Constante!$CC$1</f>
        <v>7581.5001864975766</v>
      </c>
      <c r="CF135" s="8">
        <f>+MINVU_Mes_Corriente!CF135*MINVU_Mes_Constante!$CC$1</f>
        <v>7581.5001864975766</v>
      </c>
      <c r="CG135" s="8">
        <f>+MINVU_Mes_Corriente!CG135*MINVU_Mes_Constante!$CC$1</f>
        <v>7581.5001864975766</v>
      </c>
      <c r="CH135" s="8">
        <f>+MINVU_Mes_Corriente!CH135*MINVU_Mes_Constante!$CC$1</f>
        <v>7581.5001864975766</v>
      </c>
      <c r="CI135" s="8">
        <f>+MINVU_Mes_Corriente!CI135*MINVU_Mes_Constante!$CC$1</f>
        <v>7581.5001864975766</v>
      </c>
      <c r="CJ135" s="8">
        <f>+MINVU_Mes_Corriente!CJ135*MINVU_Mes_Constante!$CC$1</f>
        <v>13838.513241327864</v>
      </c>
      <c r="CK135" s="8">
        <f>+MINVU_Mes_Corriente!CK135*MINVU_Mes_Constante!$CC$1</f>
        <v>13838.513241327864</v>
      </c>
      <c r="CL135" s="8">
        <f>+MINVU_Mes_Corriente!CL135*MINVU_Mes_Constante!$CC$1</f>
        <v>13838.513241327864</v>
      </c>
      <c r="CM135" s="8">
        <f>+MINVU_Mes_Corriente!CM135*MINVU_Mes_Constante!$CC$1</f>
        <v>13838.513241327864</v>
      </c>
      <c r="CN135" s="8">
        <f>+MINVU_Mes_Corriente!CN135*MINVU_Mes_Constante!$CC$1</f>
        <v>1225092.1835136143</v>
      </c>
      <c r="CO135" s="9">
        <f t="shared" si="101"/>
        <v>1225092.1835136143</v>
      </c>
      <c r="CP135" s="8">
        <f>+MINVU_Mes_Corriente!CP135*MINVU_Mes_Constante!$CP$1</f>
        <v>0</v>
      </c>
      <c r="CQ135" s="8">
        <f>+MINVU_Mes_Corriente!CQ135*MINVU_Mes_Constante!$CP$1</f>
        <v>7146.2631090487221</v>
      </c>
      <c r="CR135" s="8">
        <f>+MINVU_Mes_Corriente!CR135*MINVU_Mes_Constante!$CP$1</f>
        <v>7146.2631090487221</v>
      </c>
      <c r="CS135" s="8">
        <f>+MINVU_Mes_Corriente!CS135*MINVU_Mes_Constante!$CP$1</f>
        <v>7146.2631090487221</v>
      </c>
      <c r="CT135" s="8">
        <f>+MINVU_Mes_Corriente!CT135*MINVU_Mes_Constante!$CP$1</f>
        <v>7146.2631090487221</v>
      </c>
      <c r="CU135" s="8">
        <f>+MINVU_Mes_Corriente!CU135*MINVU_Mes_Constante!$CP$1</f>
        <v>14630.953364269139</v>
      </c>
      <c r="CV135" s="8">
        <f>+MINVU_Mes_Corriente!CV135*MINVU_Mes_Constante!$CP$1</f>
        <v>2373720.3981438512</v>
      </c>
      <c r="CW135" s="8">
        <f>+MINVU_Mes_Corriente!CW135*MINVU_Mes_Constante!$CP$1</f>
        <v>2377733.3582366584</v>
      </c>
      <c r="CX135" s="8">
        <f>+MINVU_Mes_Corriente!CX135*MINVU_Mes_Constante!$CP$1</f>
        <v>2386432.3301624125</v>
      </c>
      <c r="CY135" s="8">
        <f>+MINVU_Mes_Corriente!CY135*MINVU_Mes_Constante!$CP$1</f>
        <v>2386816.3879350345</v>
      </c>
      <c r="CZ135" s="8">
        <f>+MINVU_Mes_Corriente!CZ135*MINVU_Mes_Constante!$CP$1</f>
        <v>2404360.0962877027</v>
      </c>
      <c r="DA135" s="8">
        <f>+MINVU_Mes_Corriente!DA135*MINVU_Mes_Constante!$CP$1</f>
        <v>3489038.1125290017</v>
      </c>
      <c r="DB135" s="9">
        <f t="shared" si="102"/>
        <v>3489038.1125290017</v>
      </c>
      <c r="DC135" s="8">
        <f>+MINVU_Mes_Corriente!DC135*MINVU_Mes_Constante!$DC$1</f>
        <v>0</v>
      </c>
      <c r="DD135" s="8">
        <f>+MINVU_Mes_Corriente!DD135*MINVU_Mes_Constante!$DC$1</f>
        <v>0</v>
      </c>
      <c r="DE135" s="8">
        <f>+MINVU_Mes_Corriente!DE135*MINVU_Mes_Constante!$DC$1</f>
        <v>0</v>
      </c>
      <c r="DF135" s="8">
        <f>+MINVU_Mes_Corriente!DF135*MINVU_Mes_Constante!$DC$1</f>
        <v>0</v>
      </c>
      <c r="DG135" s="8">
        <f>+MINVU_Mes_Corriente!DG135*MINVU_Mes_Constante!$DC$1</f>
        <v>0</v>
      </c>
      <c r="DH135" s="8">
        <f>+MINVU_Mes_Corriente!DH135*MINVU_Mes_Constante!$DC$1</f>
        <v>0</v>
      </c>
      <c r="DI135" s="8">
        <f>+MINVU_Mes_Corriente!DI135*MINVU_Mes_Constante!$DC$1</f>
        <v>0</v>
      </c>
      <c r="DJ135" s="8">
        <f>+MINVU_Mes_Corriente!DJ135*MINVU_Mes_Constante!$DC$1</f>
        <v>0</v>
      </c>
      <c r="DK135" s="8">
        <f>+MINVU_Mes_Corriente!DK135*MINVU_Mes_Constante!$DC$1</f>
        <v>0</v>
      </c>
      <c r="DL135" s="8">
        <f>+MINVU_Mes_Corriente!DL135*MINVU_Mes_Constante!$DC$1</f>
        <v>0</v>
      </c>
      <c r="DM135" s="8">
        <f>+MINVU_Mes_Corriente!DM135*MINVU_Mes_Constante!$DC$1</f>
        <v>13286.312725028296</v>
      </c>
      <c r="DN135" s="8">
        <f>+MINVU_Mes_Corriente!DN135*MINVU_Mes_Constante!$DC$1</f>
        <v>3279143.1303363866</v>
      </c>
      <c r="DO135" s="9">
        <f t="shared" si="103"/>
        <v>3279143.1303363866</v>
      </c>
      <c r="DP135" s="8">
        <f>+MINVU_Mes_Corriente!DP135*MINVU_Mes_Constante!$DP$1</f>
        <v>0</v>
      </c>
      <c r="DQ135" s="8">
        <f>+MINVU_Mes_Corriente!DQ135*MINVU_Mes_Constante!$DP$1</f>
        <v>0</v>
      </c>
      <c r="DR135" s="8">
        <f>+MINVU_Mes_Corriente!DR135*MINVU_Mes_Constante!$DP$1</f>
        <v>0</v>
      </c>
      <c r="DS135" s="8">
        <f>+MINVU_Mes_Corriente!DS135*MINVU_Mes_Constante!$DP$1</f>
        <v>0</v>
      </c>
      <c r="DT135" s="8">
        <f>+MINVU_Mes_Corriente!DT135*MINVU_Mes_Constante!$DP$1</f>
        <v>0</v>
      </c>
      <c r="DU135" s="8">
        <f>+MINVU_Mes_Corriente!DU135*MINVU_Mes_Constante!$DP$1</f>
        <v>0</v>
      </c>
      <c r="DV135" s="8">
        <f>+MINVU_Mes_Corriente!DV135*MINVU_Mes_Constante!$DP$1</f>
        <v>0</v>
      </c>
      <c r="DW135" s="8">
        <f>+MINVU_Mes_Corriente!DW135*MINVU_Mes_Constante!$DP$1</f>
        <v>0</v>
      </c>
      <c r="DX135" s="8">
        <f>+MINVU_Mes_Corriente!DX135*MINVU_Mes_Constante!$DP$1</f>
        <v>0</v>
      </c>
      <c r="DY135" s="8">
        <f>+MINVU_Mes_Corriente!DY135*MINVU_Mes_Constante!$DP$1</f>
        <v>0</v>
      </c>
      <c r="DZ135" s="8">
        <f>+MINVU_Mes_Corriente!DZ135*MINVU_Mes_Constante!$DP$1</f>
        <v>0</v>
      </c>
      <c r="EA135" s="8">
        <f>+MINVU_Mes_Corriente!EA135*MINVU_Mes_Constante!$DP$1</f>
        <v>0</v>
      </c>
      <c r="EB135" s="9">
        <f t="shared" si="104"/>
        <v>0</v>
      </c>
      <c r="EC135" s="8">
        <f>+MINVU_Mes_Corriente!EC135*MINVU_Mes_Constante!$EC$1</f>
        <v>0</v>
      </c>
      <c r="ED135" s="8">
        <f>+MINVU_Mes_Corriente!ED135*MINVU_Mes_Constante!$EC$1</f>
        <v>0</v>
      </c>
      <c r="EE135" s="8">
        <f>+MINVU_Mes_Corriente!EE135*MINVU_Mes_Constante!$EC$1</f>
        <v>0</v>
      </c>
      <c r="EF135" s="8">
        <f>+MINVU_Mes_Corriente!EF135*MINVU_Mes_Constante!$EC$1</f>
        <v>0</v>
      </c>
      <c r="EG135" s="8">
        <f>+MINVU_Mes_Corriente!EG135*MINVU_Mes_Constante!$EC$1</f>
        <v>0</v>
      </c>
      <c r="EH135" s="8">
        <f>+MINVU_Mes_Corriente!EH135*MINVU_Mes_Constante!$EC$1</f>
        <v>0</v>
      </c>
      <c r="EI135" s="8">
        <f>+MINVU_Mes_Corriente!EI135*MINVU_Mes_Constante!$EC$1</f>
        <v>0</v>
      </c>
      <c r="EJ135" s="8">
        <f>+MINVU_Mes_Corriente!EJ135*MINVU_Mes_Constante!$EC$1</f>
        <v>0</v>
      </c>
      <c r="EK135" s="8">
        <f>+MINVU_Mes_Corriente!EK135*MINVU_Mes_Constante!$EC$1</f>
        <v>186.20337057375491</v>
      </c>
      <c r="EL135" s="8">
        <f>+MINVU_Mes_Corriente!EL135*MINVU_Mes_Constante!$EC$1</f>
        <v>7356.0676008331729</v>
      </c>
      <c r="EM135" s="8">
        <f>+MINVU_Mes_Corriente!EM135*MINVU_Mes_Constante!$EC$1</f>
        <v>9464.3035409960212</v>
      </c>
      <c r="EN135" s="8">
        <f>+MINVU_Mes_Corriente!EN135*MINVU_Mes_Constante!$EC$1</f>
        <v>9526.3713311872725</v>
      </c>
      <c r="EO135" s="9">
        <f t="shared" si="105"/>
        <v>9526.3713311872725</v>
      </c>
      <c r="EP135" s="8">
        <f>+MINVU_Mes_Corriente!EP135*MINVU_Mes_Constante!$EP$1</f>
        <v>0</v>
      </c>
      <c r="EQ135" s="8">
        <f>+MINVU_Mes_Corriente!EQ135*MINVU_Mes_Constante!$EP$1</f>
        <v>0</v>
      </c>
      <c r="ER135" s="8">
        <f>+MINVU_Mes_Corriente!ER135*MINVU_Mes_Constante!$EP$1</f>
        <v>5639</v>
      </c>
      <c r="ES135" s="8">
        <f>+MINVU_Mes_Corriente!ES135*MINVU_Mes_Constante!$EP$1</f>
        <v>5639</v>
      </c>
      <c r="ET135" s="8">
        <f>+MINVU_Mes_Corriente!ET135*MINVU_Mes_Constante!$EP$1</f>
        <v>5639</v>
      </c>
      <c r="EU135" s="8">
        <f>+MINVU_Mes_Corriente!EU135*MINVU_Mes_Constante!$EP$1</f>
        <v>5639</v>
      </c>
      <c r="EV135" s="8">
        <f>+MINVU_Mes_Corriente!EV135*MINVU_Mes_Constante!$EP$1</f>
        <v>5639</v>
      </c>
      <c r="EW135" s="8">
        <f>+MINVU_Mes_Corriente!EW135*MINVU_Mes_Constante!$EP$1</f>
        <v>5639</v>
      </c>
      <c r="EX135" s="8">
        <f>+MINVU_Mes_Corriente!EX135*MINVU_Mes_Constante!$EP$1</f>
        <v>5890</v>
      </c>
      <c r="EY135" s="8">
        <f>+MINVU_Mes_Corriente!EY135*MINVU_Mes_Constante!$EP$1</f>
        <v>5890</v>
      </c>
      <c r="EZ135" s="8">
        <f>+MINVU_Mes_Corriente!EZ135*MINVU_Mes_Constante!$EP$1</f>
        <v>5890</v>
      </c>
      <c r="FA135" s="8">
        <f>+MINVU_Mes_Corriente!FA135*MINVU_Mes_Constante!$EP$1</f>
        <v>5890</v>
      </c>
      <c r="FB135" s="9">
        <f t="shared" si="106"/>
        <v>5890</v>
      </c>
      <c r="FC135" s="8">
        <f>+MINVU_Mes_Corriente!FC135*MINVU_Mes_Constante!$FC$1</f>
        <v>0</v>
      </c>
      <c r="FD135" s="8">
        <f>+MINVU_Mes_Corriente!FD135*MINVU_Mes_Constante!$FC$1</f>
        <v>0</v>
      </c>
      <c r="FE135" s="8">
        <f>+MINVU_Mes_Corriente!FE135*MINVU_Mes_Constante!$FC$1</f>
        <v>0</v>
      </c>
      <c r="FF135" s="8">
        <f>+MINVU_Mes_Corriente!FF135*MINVU_Mes_Constante!$FC$1</f>
        <v>0</v>
      </c>
      <c r="FG135" s="8">
        <f>+MINVU_Mes_Corriente!FG135*MINVU_Mes_Constante!$FC$1</f>
        <v>0</v>
      </c>
      <c r="FH135" s="8">
        <f>+MINVU_Mes_Corriente!FH135*MINVU_Mes_Constante!$FC$1</f>
        <v>0</v>
      </c>
      <c r="FI135" s="8">
        <f>+MINVU_Mes_Corriente!FI135*MINVU_Mes_Constante!$FC$1</f>
        <v>0</v>
      </c>
      <c r="FJ135" s="8"/>
      <c r="FK135" s="8"/>
      <c r="FL135" s="8"/>
      <c r="FM135" s="8"/>
      <c r="FN135" s="8"/>
      <c r="FO135" s="9">
        <f t="shared" si="107"/>
        <v>0</v>
      </c>
    </row>
    <row r="136" spans="2:171" ht="14.25" customHeight="1" x14ac:dyDescent="0.3">
      <c r="B136" s="7" t="s">
        <v>58</v>
      </c>
      <c r="C136" s="8">
        <f>+MINVU_Mes_Corriente!C136*MINVU_Mes_Constante!$C$1</f>
        <v>0</v>
      </c>
      <c r="D136" s="8">
        <f>+MINVU_Mes_Corriente!D136*MINVU_Mes_Constante!$C$1</f>
        <v>372.67981610559104</v>
      </c>
      <c r="E136" s="8">
        <f>+MINVU_Mes_Corriente!E136*MINVU_Mes_Constante!$C$1</f>
        <v>1458.3123238914432</v>
      </c>
      <c r="F136" s="8">
        <f>+MINVU_Mes_Corriente!F136*MINVU_Mes_Constante!$C$1</f>
        <v>2341.4014533590394</v>
      </c>
      <c r="G136" s="8">
        <f>+MINVU_Mes_Corriente!G136*MINVU_Mes_Constante!$C$1</f>
        <v>3438.376390330714</v>
      </c>
      <c r="H136" s="8">
        <f>+MINVU_Mes_Corriente!H136*MINVU_Mes_Constante!$C$1</f>
        <v>3627.9569924366015</v>
      </c>
      <c r="I136" s="8">
        <f>+MINVU_Mes_Corriente!I136*MINVU_Mes_Constante!$C$1</f>
        <v>4627.7111078155131</v>
      </c>
      <c r="J136" s="8">
        <f>+MINVU_Mes_Corriente!J136*MINVU_Mes_Constante!$C$1</f>
        <v>5676.0756339908057</v>
      </c>
      <c r="K136" s="8">
        <f>+MINVU_Mes_Corriente!K136*MINVU_Mes_Constante!$C$1</f>
        <v>6889.7155568737962</v>
      </c>
      <c r="L136" s="8">
        <f>+MINVU_Mes_Corriente!L136*MINVU_Mes_Constante!$C$1</f>
        <v>16166.202283849922</v>
      </c>
      <c r="M136" s="8">
        <f>+MINVU_Mes_Corriente!M136*MINVU_Mes_Constante!$C$1</f>
        <v>10274.620495328491</v>
      </c>
      <c r="N136" s="8">
        <f>+MINVU_Mes_Corriente!N136*MINVU_Mes_Constante!$C$1</f>
        <v>17258.316179741956</v>
      </c>
      <c r="O136" s="9">
        <f t="shared" si="95"/>
        <v>17258.316179741956</v>
      </c>
      <c r="P136" s="8">
        <f>+MINVU_Mes_Corriente!P136*MINVU_Mes_Constante!$P$1</f>
        <v>0</v>
      </c>
      <c r="Q136" s="8">
        <f>+MINVU_Mes_Corriente!Q136*MINVU_Mes_Constante!$P$1</f>
        <v>1130.0082398067902</v>
      </c>
      <c r="R136" s="8">
        <f>+MINVU_Mes_Corriente!R136*MINVU_Mes_Constante!$P$1</f>
        <v>2086.1690581048438</v>
      </c>
      <c r="S136" s="8">
        <f>+MINVU_Mes_Corriente!S136*MINVU_Mes_Constante!$P$1</f>
        <v>2086.1690581048438</v>
      </c>
      <c r="T136" s="8">
        <f>+MINVU_Mes_Corriente!T136*MINVU_Mes_Constante!$P$1</f>
        <v>2429.2072737604763</v>
      </c>
      <c r="U136" s="8">
        <f>+MINVU_Mes_Corriente!U136*MINVU_Mes_Constante!$P$1</f>
        <v>2724.127006677084</v>
      </c>
      <c r="V136" s="8">
        <f>+MINVU_Mes_Corriente!V136*MINVU_Mes_Constante!$P$1</f>
        <v>4032.6392953544523</v>
      </c>
      <c r="W136" s="8">
        <f>+MINVU_Mes_Corriente!W136*MINVU_Mes_Constante!$P$1</f>
        <v>4248.3963631197594</v>
      </c>
      <c r="X136" s="8">
        <f>+MINVU_Mes_Corriente!X136*MINVU_Mes_Constante!$P$1</f>
        <v>5726.0994459440244</v>
      </c>
      <c r="Y136" s="8">
        <f>+MINVU_Mes_Corriente!Y136*MINVU_Mes_Constante!$P$1</f>
        <v>7532.8708623383973</v>
      </c>
      <c r="Z136" s="8">
        <f>+MINVU_Mes_Corriente!Z136*MINVU_Mes_Constante!$P$1</f>
        <v>11489.451910782778</v>
      </c>
      <c r="AA136" s="8">
        <f>+MINVU_Mes_Corriente!AA136*MINVU_Mes_Constante!$P$1</f>
        <v>18668.419093621247</v>
      </c>
      <c r="AB136" s="9">
        <f t="shared" si="96"/>
        <v>18668.419093621247</v>
      </c>
      <c r="AC136" s="8">
        <f>+MINVU_Mes_Corriente!AC136*MINVU_Mes_Constante!$AC$1</f>
        <v>0</v>
      </c>
      <c r="AD136" s="8">
        <f>+MINVU_Mes_Corriente!AD136*MINVU_Mes_Constante!$AC$1</f>
        <v>0</v>
      </c>
      <c r="AE136" s="8">
        <f>+MINVU_Mes_Corriente!AE136*MINVU_Mes_Constante!$AC$1</f>
        <v>8016.5311938027389</v>
      </c>
      <c r="AF136" s="8">
        <f>+MINVU_Mes_Corriente!AF136*MINVU_Mes_Constante!$AC$1</f>
        <v>8143.4898326186194</v>
      </c>
      <c r="AG136" s="8">
        <f>+MINVU_Mes_Corriente!AG136*MINVU_Mes_Constante!$AC$1</f>
        <v>197827.25328537833</v>
      </c>
      <c r="AH136" s="8">
        <f>+MINVU_Mes_Corriente!AH136*MINVU_Mes_Constante!$AC$1</f>
        <v>399767.05962097109</v>
      </c>
      <c r="AI136" s="8">
        <f>+MINVU_Mes_Corriente!AI136*MINVU_Mes_Constante!$AC$1</f>
        <v>446626.88864296582</v>
      </c>
      <c r="AJ136" s="8">
        <f>+MINVU_Mes_Corriente!AJ136*MINVU_Mes_Constante!$AC$1</f>
        <v>446770.47281781712</v>
      </c>
      <c r="AK136" s="8">
        <f>+MINVU_Mes_Corriente!AK136*MINVU_Mes_Constante!$AC$1</f>
        <v>454049.43477659428</v>
      </c>
      <c r="AL136" s="8">
        <f>+MINVU_Mes_Corriente!AL136*MINVU_Mes_Constante!$AC$1</f>
        <v>460005.91091437265</v>
      </c>
      <c r="AM136" s="8">
        <f>+MINVU_Mes_Corriente!AM136*MINVU_Mes_Constante!$AC$1</f>
        <v>462472.53589708119</v>
      </c>
      <c r="AN136" s="8">
        <f>+MINVU_Mes_Corriente!AN136*MINVU_Mes_Constante!$AC$1</f>
        <v>1234033.4350532577</v>
      </c>
      <c r="AO136" s="9">
        <f t="shared" si="97"/>
        <v>1234033.4350532577</v>
      </c>
      <c r="AP136" s="8">
        <f>+MINVU_Mes_Corriente!AP136*MINVU_Mes_Constante!$AP$1</f>
        <v>0</v>
      </c>
      <c r="AQ136" s="8">
        <f>+MINVU_Mes_Corriente!AQ136*MINVU_Mes_Constante!$AP$1</f>
        <v>0</v>
      </c>
      <c r="AR136" s="8">
        <f>+MINVU_Mes_Corriente!AR136*MINVU_Mes_Constante!$AP$1</f>
        <v>514.30380089273638</v>
      </c>
      <c r="AS136" s="8">
        <f>+MINVU_Mes_Corriente!AS136*MINVU_Mes_Constante!$AP$1</f>
        <v>514.30380089273638</v>
      </c>
      <c r="AT136" s="8">
        <f>+MINVU_Mes_Corriente!AT136*MINVU_Mes_Constante!$AP$1</f>
        <v>9136.2818882726897</v>
      </c>
      <c r="AU136" s="8">
        <f>+MINVU_Mes_Corriente!AU136*MINVU_Mes_Constante!$AP$1</f>
        <v>9892.9587447585545</v>
      </c>
      <c r="AV136" s="8">
        <f>+MINVU_Mes_Corriente!AV136*MINVU_Mes_Constante!$AP$1</f>
        <v>10900.875963749491</v>
      </c>
      <c r="AW136" s="8">
        <f>+MINVU_Mes_Corriente!AW136*MINVU_Mes_Constante!$AP$1</f>
        <v>11905.837413769781</v>
      </c>
      <c r="AX136" s="8">
        <f>+MINVU_Mes_Corriente!AX136*MINVU_Mes_Constante!$AP$1</f>
        <v>13593.581496009738</v>
      </c>
      <c r="AY136" s="8">
        <f>+MINVU_Mes_Corriente!AY136*MINVU_Mes_Constante!$AP$1</f>
        <v>13593.581496009738</v>
      </c>
      <c r="AZ136" s="8">
        <f>+MINVU_Mes_Corriente!AZ136*MINVU_Mes_Constante!$AP$1</f>
        <v>17635.595563370756</v>
      </c>
      <c r="BA136" s="8">
        <f>+MINVU_Mes_Corriente!BA136*MINVU_Mes_Constante!$AP$1</f>
        <v>4941495.9458947647</v>
      </c>
      <c r="BB136" s="9">
        <f t="shared" si="98"/>
        <v>4941495.9458947647</v>
      </c>
      <c r="BC136" s="8">
        <f>+MINVU_Mes_Corriente!BC136*MINVU_Mes_Constante!$BC$1</f>
        <v>280.9666358960834</v>
      </c>
      <c r="BD136" s="8">
        <f>+MINVU_Mes_Corriente!BD136*MINVU_Mes_Constante!$BC$1</f>
        <v>280.9666358960834</v>
      </c>
      <c r="BE136" s="8">
        <f>+MINVU_Mes_Corriente!BE136*MINVU_Mes_Constante!$BC$1</f>
        <v>724.74983515758947</v>
      </c>
      <c r="BF136" s="8">
        <f>+MINVU_Mes_Corriente!BF136*MINVU_Mes_Constante!$BC$1</f>
        <v>5116.4744823948322</v>
      </c>
      <c r="BG136" s="8">
        <f>+MINVU_Mes_Corriente!BG136*MINVU_Mes_Constante!$BC$1</f>
        <v>9388.6082025583564</v>
      </c>
      <c r="BH136" s="8">
        <f>+MINVU_Mes_Corriente!BH136*MINVU_Mes_Constante!$BC$1</f>
        <v>9712.8004747461455</v>
      </c>
      <c r="BI136" s="8">
        <f>+MINVU_Mes_Corriente!BI136*MINVU_Mes_Constante!$BC$1</f>
        <v>11466.320453646316</v>
      </c>
      <c r="BJ136" s="8">
        <f>+MINVU_Mes_Corriente!BJ136*MINVU_Mes_Constante!$BC$1</f>
        <v>12009.522616378745</v>
      </c>
      <c r="BK136" s="8">
        <f>+MINVU_Mes_Corriente!BK136*MINVU_Mes_Constante!$BC$1</f>
        <v>12446.101542924967</v>
      </c>
      <c r="BL136" s="8">
        <f>+MINVU_Mes_Corriente!BL136*MINVU_Mes_Constante!$BC$1</f>
        <v>12446.101542924967</v>
      </c>
      <c r="BM136" s="8">
        <f>+MINVU_Mes_Corriente!BM136*MINVU_Mes_Constante!$BC$1</f>
        <v>12588.746142687594</v>
      </c>
      <c r="BN136" s="8">
        <f>+MINVU_Mes_Corriente!BN136*MINVU_Mes_Constante!$BC$1</f>
        <v>16561.182117895296</v>
      </c>
      <c r="BO136" s="9">
        <f t="shared" si="99"/>
        <v>16561.182117895296</v>
      </c>
      <c r="BP136" s="8">
        <f>+MINVU_Mes_Corriente!BP136*MINVU_Mes_Constante!$BP$1</f>
        <v>0</v>
      </c>
      <c r="BQ136" s="8">
        <f>+MINVU_Mes_Corriente!BQ136*MINVU_Mes_Constante!$BP$1</f>
        <v>0</v>
      </c>
      <c r="BR136" s="8">
        <f>+MINVU_Mes_Corriente!BR136*MINVU_Mes_Constante!$BP$1</f>
        <v>450.47016645326511</v>
      </c>
      <c r="BS136" s="8">
        <f>+MINVU_Mes_Corriente!BS136*MINVU_Mes_Constante!$BP$1</f>
        <v>660.3165172855314</v>
      </c>
      <c r="BT136" s="8">
        <f>+MINVU_Mes_Corriente!BT136*MINVU_Mes_Constante!$BP$1</f>
        <v>2820.3349551856595</v>
      </c>
      <c r="BU136" s="8">
        <f>+MINVU_Mes_Corriente!BU136*MINVU_Mes_Constante!$BP$1</f>
        <v>3431.6873239436622</v>
      </c>
      <c r="BV136" s="8">
        <f>+MINVU_Mes_Corriente!BV136*MINVU_Mes_Constante!$BP$1</f>
        <v>3725.4722151088354</v>
      </c>
      <c r="BW136" s="8">
        <f>+MINVU_Mes_Corriente!BW136*MINVU_Mes_Constante!$BP$1</f>
        <v>4108.7915492957754</v>
      </c>
      <c r="BX136" s="8">
        <f>+MINVU_Mes_Corriente!BX136*MINVU_Mes_Constante!$BP$1</f>
        <v>4108.7915492957754</v>
      </c>
      <c r="BY136" s="8">
        <f>+MINVU_Mes_Corriente!BY136*MINVU_Mes_Constante!$BP$1</f>
        <v>4108.7915492957754</v>
      </c>
      <c r="BZ136" s="8">
        <f>+MINVU_Mes_Corriente!BZ136*MINVU_Mes_Constante!$BP$1</f>
        <v>8488.9843790012819</v>
      </c>
      <c r="CA136" s="8">
        <f>+MINVU_Mes_Corriente!CA136*MINVU_Mes_Constante!$BP$1</f>
        <v>9206.6588988476324</v>
      </c>
      <c r="CB136" s="9">
        <f t="shared" si="100"/>
        <v>9206.6588988476324</v>
      </c>
      <c r="CC136" s="8">
        <f>+MINVU_Mes_Corriente!CC136*MINVU_Mes_Constante!$CC$1</f>
        <v>0</v>
      </c>
      <c r="CD136" s="8">
        <f>+MINVU_Mes_Corriente!CD136*MINVU_Mes_Constante!$CC$1</f>
        <v>130.41104065647147</v>
      </c>
      <c r="CE136" s="8">
        <f>+MINVU_Mes_Corriente!CE136*MINVU_Mes_Constante!$CC$1</f>
        <v>2752.2163371876168</v>
      </c>
      <c r="CF136" s="8">
        <f>+MINVU_Mes_Corriente!CF136*MINVU_Mes_Constante!$CC$1</f>
        <v>2752.2163371876168</v>
      </c>
      <c r="CG136" s="8">
        <f>+MINVU_Mes_Corriente!CG136*MINVU_Mes_Constante!$CC$1</f>
        <v>2752.2163371876168</v>
      </c>
      <c r="CH136" s="8">
        <f>+MINVU_Mes_Corriente!CH136*MINVU_Mes_Constante!$CC$1</f>
        <v>2752.2163371876168</v>
      </c>
      <c r="CI136" s="8">
        <f>+MINVU_Mes_Corriente!CI136*MINVU_Mes_Constante!$CC$1</f>
        <v>2900.2872062663187</v>
      </c>
      <c r="CJ136" s="8">
        <f>+MINVU_Mes_Corriente!CJ136*MINVU_Mes_Constante!$CC$1</f>
        <v>9828.3737411413658</v>
      </c>
      <c r="CK136" s="8">
        <f>+MINVU_Mes_Corriente!CK136*MINVU_Mes_Constante!$CC$1</f>
        <v>9828.3737411413658</v>
      </c>
      <c r="CL136" s="8">
        <f>+MINVU_Mes_Corriente!CL136*MINVU_Mes_Constante!$CC$1</f>
        <v>9828.3737411413658</v>
      </c>
      <c r="CM136" s="8">
        <f>+MINVU_Mes_Corriente!CM136*MINVU_Mes_Constante!$CC$1</f>
        <v>2802900.0447594183</v>
      </c>
      <c r="CN136" s="8">
        <f>+MINVU_Mes_Corriente!CN136*MINVU_Mes_Constante!$CC$1</f>
        <v>2847656.8422230515</v>
      </c>
      <c r="CO136" s="9">
        <f t="shared" si="101"/>
        <v>2847656.8422230515</v>
      </c>
      <c r="CP136" s="8">
        <f>+MINVU_Mes_Corriente!CP136*MINVU_Mes_Constante!$CP$1</f>
        <v>0</v>
      </c>
      <c r="CQ136" s="8">
        <f>+MINVU_Mes_Corriente!CQ136*MINVU_Mes_Constante!$CP$1</f>
        <v>0</v>
      </c>
      <c r="CR136" s="8">
        <f>+MINVU_Mes_Corriente!CR136*MINVU_Mes_Constante!$CP$1</f>
        <v>0</v>
      </c>
      <c r="CS136" s="8">
        <f>+MINVU_Mes_Corriente!CS136*MINVU_Mes_Constante!$CP$1</f>
        <v>0</v>
      </c>
      <c r="CT136" s="8">
        <f>+MINVU_Mes_Corriente!CT136*MINVU_Mes_Constante!$CP$1</f>
        <v>451.23619489559155</v>
      </c>
      <c r="CU136" s="8">
        <f>+MINVU_Mes_Corriente!CU136*MINVU_Mes_Constante!$CP$1</f>
        <v>842.8990719257539</v>
      </c>
      <c r="CV136" s="8">
        <f>+MINVU_Mes_Corriente!CV136*MINVU_Mes_Constante!$CP$1</f>
        <v>842.8990719257539</v>
      </c>
      <c r="CW136" s="8">
        <f>+MINVU_Mes_Corriente!CW136*MINVU_Mes_Constante!$CP$1</f>
        <v>1111.6127610208814</v>
      </c>
      <c r="CX136" s="8">
        <f>+MINVU_Mes_Corriente!CX136*MINVU_Mes_Constante!$CP$1</f>
        <v>2124.3591647331782</v>
      </c>
      <c r="CY136" s="8">
        <f>+MINVU_Mes_Corriente!CY136*MINVU_Mes_Constante!$CP$1</f>
        <v>2124.3591647331782</v>
      </c>
      <c r="CZ136" s="8">
        <f>+MINVU_Mes_Corriente!CZ136*MINVU_Mes_Constante!$CP$1</f>
        <v>6139.8542923433861</v>
      </c>
      <c r="DA136" s="8">
        <f>+MINVU_Mes_Corriente!DA136*MINVU_Mes_Constante!$CP$1</f>
        <v>371068.25429234334</v>
      </c>
      <c r="DB136" s="9">
        <f t="shared" si="102"/>
        <v>371068.25429234334</v>
      </c>
      <c r="DC136" s="8">
        <f>+MINVU_Mes_Corriente!DC136*MINVU_Mes_Constante!$DC$1</f>
        <v>0</v>
      </c>
      <c r="DD136" s="8">
        <f>+MINVU_Mes_Corriente!DD136*MINVU_Mes_Constante!$DC$1</f>
        <v>0</v>
      </c>
      <c r="DE136" s="8">
        <f>+MINVU_Mes_Corriente!DE136*MINVU_Mes_Constante!$DC$1</f>
        <v>0</v>
      </c>
      <c r="DF136" s="8">
        <f>+MINVU_Mes_Corriente!DF136*MINVU_Mes_Constante!$DC$1</f>
        <v>0</v>
      </c>
      <c r="DG136" s="8">
        <f>+MINVU_Mes_Corriente!DG136*MINVU_Mes_Constante!$DC$1</f>
        <v>0</v>
      </c>
      <c r="DH136" s="8">
        <f>+MINVU_Mes_Corriente!DH136*MINVU_Mes_Constante!$DC$1</f>
        <v>0</v>
      </c>
      <c r="DI136" s="8">
        <f>+MINVU_Mes_Corriente!DI136*MINVU_Mes_Constante!$DC$1</f>
        <v>0</v>
      </c>
      <c r="DJ136" s="8">
        <f>+MINVU_Mes_Corriente!DJ136*MINVU_Mes_Constante!$DC$1</f>
        <v>0</v>
      </c>
      <c r="DK136" s="8">
        <f>+MINVU_Mes_Corriente!DK136*MINVU_Mes_Constante!$DC$1</f>
        <v>0</v>
      </c>
      <c r="DL136" s="8">
        <f>+MINVU_Mes_Corriente!DL136*MINVU_Mes_Constante!$DC$1</f>
        <v>0</v>
      </c>
      <c r="DM136" s="8">
        <f>+MINVU_Mes_Corriente!DM136*MINVU_Mes_Constante!$DC$1</f>
        <v>0</v>
      </c>
      <c r="DN136" s="8">
        <f>+MINVU_Mes_Corriente!DN136*MINVU_Mes_Constante!$DC$1</f>
        <v>7955613.8730583312</v>
      </c>
      <c r="DO136" s="9">
        <f t="shared" si="103"/>
        <v>7955613.8730583312</v>
      </c>
      <c r="DP136" s="8">
        <f>+MINVU_Mes_Corriente!DP136*MINVU_Mes_Constante!$DP$1</f>
        <v>0</v>
      </c>
      <c r="DQ136" s="8">
        <f>+MINVU_Mes_Corriente!DQ136*MINVU_Mes_Constante!$DP$1</f>
        <v>0</v>
      </c>
      <c r="DR136" s="8">
        <f>+MINVU_Mes_Corriente!DR136*MINVU_Mes_Constante!$DP$1</f>
        <v>0</v>
      </c>
      <c r="DS136" s="8">
        <f>+MINVU_Mes_Corriente!DS136*MINVU_Mes_Constante!$DP$1</f>
        <v>0</v>
      </c>
      <c r="DT136" s="8">
        <f>+MINVU_Mes_Corriente!DT136*MINVU_Mes_Constante!$DP$1</f>
        <v>0</v>
      </c>
      <c r="DU136" s="8">
        <f>+MINVU_Mes_Corriente!DU136*MINVU_Mes_Constante!$DP$1</f>
        <v>0</v>
      </c>
      <c r="DV136" s="8">
        <f>+MINVU_Mes_Corriente!DV136*MINVU_Mes_Constante!$DP$1</f>
        <v>0</v>
      </c>
      <c r="DW136" s="8">
        <f>+MINVU_Mes_Corriente!DW136*MINVU_Mes_Constante!$DP$1</f>
        <v>0</v>
      </c>
      <c r="DX136" s="8">
        <f>+MINVU_Mes_Corriente!DX136*MINVU_Mes_Constante!$DP$1</f>
        <v>0</v>
      </c>
      <c r="DY136" s="8">
        <f>+MINVU_Mes_Corriente!DY136*MINVU_Mes_Constante!$DP$1</f>
        <v>0</v>
      </c>
      <c r="DZ136" s="8">
        <f>+MINVU_Mes_Corriente!DZ136*MINVU_Mes_Constante!$DP$1</f>
        <v>0</v>
      </c>
      <c r="EA136" s="8">
        <f>+MINVU_Mes_Corriente!EA136*MINVU_Mes_Constante!$DP$1</f>
        <v>0</v>
      </c>
      <c r="EB136" s="9">
        <f t="shared" si="104"/>
        <v>0</v>
      </c>
      <c r="EC136" s="8">
        <f>+MINVU_Mes_Corriente!EC136*MINVU_Mes_Constante!$EC$1</f>
        <v>0</v>
      </c>
      <c r="ED136" s="8">
        <f>+MINVU_Mes_Corriente!ED136*MINVU_Mes_Constante!$EC$1</f>
        <v>0</v>
      </c>
      <c r="EE136" s="8">
        <f>+MINVU_Mes_Corriente!EE136*MINVU_Mes_Constante!$EC$1</f>
        <v>0</v>
      </c>
      <c r="EF136" s="8">
        <f>+MINVU_Mes_Corriente!EF136*MINVU_Mes_Constante!$EC$1</f>
        <v>0</v>
      </c>
      <c r="EG136" s="8">
        <f>+MINVU_Mes_Corriente!EG136*MINVU_Mes_Constante!$EC$1</f>
        <v>0</v>
      </c>
      <c r="EH136" s="8">
        <f>+MINVU_Mes_Corriente!EH136*MINVU_Mes_Constante!$EC$1</f>
        <v>0</v>
      </c>
      <c r="EI136" s="8">
        <f>+MINVU_Mes_Corriente!EI136*MINVU_Mes_Constante!$EC$1</f>
        <v>9765.3323234235904</v>
      </c>
      <c r="EJ136" s="8">
        <f>+MINVU_Mes_Corriente!EJ136*MINVU_Mes_Constante!$EC$1</f>
        <v>10250.495550085208</v>
      </c>
      <c r="EK136" s="8">
        <f>+MINVU_Mes_Corriente!EK136*MINVU_Mes_Constante!$EC$1</f>
        <v>12000.807233478505</v>
      </c>
      <c r="EL136" s="8">
        <f>+MINVU_Mes_Corriente!EL136*MINVU_Mes_Constante!$EC$1</f>
        <v>12000.807233478505</v>
      </c>
      <c r="EM136" s="8">
        <f>+MINVU_Mes_Corriente!EM136*MINVU_Mes_Constante!$EC$1</f>
        <v>1659219.9600454455</v>
      </c>
      <c r="EN136" s="8">
        <f>+MINVU_Mes_Corriente!EN136*MINVU_Mes_Constante!$EC$1</f>
        <v>9554152.8740768768</v>
      </c>
      <c r="EO136" s="9">
        <f t="shared" si="105"/>
        <v>9554152.8740768768</v>
      </c>
      <c r="EP136" s="8">
        <f>+MINVU_Mes_Corriente!EP136*MINVU_Mes_Constante!$EP$1</f>
        <v>0</v>
      </c>
      <c r="EQ136" s="8">
        <f>+MINVU_Mes_Corriente!EQ136*MINVU_Mes_Constante!$EP$1</f>
        <v>0</v>
      </c>
      <c r="ER136" s="8">
        <f>+MINVU_Mes_Corriente!ER136*MINVU_Mes_Constante!$EP$1</f>
        <v>0</v>
      </c>
      <c r="ES136" s="8">
        <f>+MINVU_Mes_Corriente!ES136*MINVU_Mes_Constante!$EP$1</f>
        <v>0</v>
      </c>
      <c r="ET136" s="8">
        <f>+MINVU_Mes_Corriente!ET136*MINVU_Mes_Constante!$EP$1</f>
        <v>1037</v>
      </c>
      <c r="EU136" s="8">
        <f>+MINVU_Mes_Corriente!EU136*MINVU_Mes_Constante!$EP$1</f>
        <v>1347</v>
      </c>
      <c r="EV136" s="8">
        <f>+MINVU_Mes_Corriente!EV136*MINVU_Mes_Constante!$EP$1</f>
        <v>1511</v>
      </c>
      <c r="EW136" s="8">
        <f>+MINVU_Mes_Corriente!EW136*MINVU_Mes_Constante!$EP$1</f>
        <v>1821</v>
      </c>
      <c r="EX136" s="8">
        <f>+MINVU_Mes_Corriente!EX136*MINVU_Mes_Constante!$EP$1</f>
        <v>1821</v>
      </c>
      <c r="EY136" s="8">
        <f>+MINVU_Mes_Corriente!EY136*MINVU_Mes_Constante!$EP$1</f>
        <v>1821</v>
      </c>
      <c r="EZ136" s="8">
        <f>+MINVU_Mes_Corriente!EZ136*MINVU_Mes_Constante!$EP$1</f>
        <v>1931</v>
      </c>
      <c r="FA136" s="8">
        <f>+MINVU_Mes_Corriente!FA136*MINVU_Mes_Constante!$EP$1</f>
        <v>1931</v>
      </c>
      <c r="FB136" s="9">
        <f t="shared" si="106"/>
        <v>1931</v>
      </c>
      <c r="FC136" s="8">
        <f>+MINVU_Mes_Corriente!FC136*MINVU_Mes_Constante!$FC$1</f>
        <v>0</v>
      </c>
      <c r="FD136" s="8">
        <f>+MINVU_Mes_Corriente!FD136*MINVU_Mes_Constante!$FC$1</f>
        <v>0</v>
      </c>
      <c r="FE136" s="8">
        <f>+MINVU_Mes_Corriente!FE136*MINVU_Mes_Constante!$FC$1</f>
        <v>0</v>
      </c>
      <c r="FF136" s="8">
        <f>+MINVU_Mes_Corriente!FF136*MINVU_Mes_Constante!$FC$1</f>
        <v>0</v>
      </c>
      <c r="FG136" s="8">
        <f>+MINVU_Mes_Corriente!FG136*MINVU_Mes_Constante!$FC$1</f>
        <v>0</v>
      </c>
      <c r="FH136" s="8">
        <f>+MINVU_Mes_Corriente!FH136*MINVU_Mes_Constante!$FC$1</f>
        <v>0</v>
      </c>
      <c r="FI136" s="8">
        <f>+MINVU_Mes_Corriente!FI136*MINVU_Mes_Constante!$FC$1</f>
        <v>0</v>
      </c>
      <c r="FJ136" s="8"/>
      <c r="FK136" s="8"/>
      <c r="FL136" s="8"/>
      <c r="FM136" s="8"/>
      <c r="FN136" s="8"/>
      <c r="FO136" s="9">
        <f t="shared" si="107"/>
        <v>0</v>
      </c>
    </row>
    <row r="137" spans="2:171" ht="14.25" customHeight="1" x14ac:dyDescent="0.3">
      <c r="B137" s="7" t="s">
        <v>59</v>
      </c>
      <c r="C137" s="8">
        <f>+MINVU_Mes_Corriente!C137*MINVU_Mes_Constante!$C$1</f>
        <v>0</v>
      </c>
      <c r="D137" s="8">
        <f>+MINVU_Mes_Corriente!D137*MINVU_Mes_Constante!$C$1</f>
        <v>0</v>
      </c>
      <c r="E137" s="8">
        <f>+MINVU_Mes_Corriente!E137*MINVU_Mes_Constante!$C$1</f>
        <v>0</v>
      </c>
      <c r="F137" s="8">
        <f>+MINVU_Mes_Corriente!F137*MINVU_Mes_Constante!$C$1</f>
        <v>2351.1235355183157</v>
      </c>
      <c r="G137" s="8">
        <f>+MINVU_Mes_Corriente!G137*MINVU_Mes_Constante!$C$1</f>
        <v>5371.4503930001492</v>
      </c>
      <c r="H137" s="8">
        <f>+MINVU_Mes_Corriente!H137*MINVU_Mes_Constante!$C$1</f>
        <v>5371.4503930001492</v>
      </c>
      <c r="I137" s="8">
        <f>+MINVU_Mes_Corriente!I137*MINVU_Mes_Constante!$C$1</f>
        <v>6113.569331158239</v>
      </c>
      <c r="J137" s="8">
        <f>+MINVU_Mes_Corriente!J137*MINVU_Mes_Constante!$C$1</f>
        <v>6529.9985169805732</v>
      </c>
      <c r="K137" s="8">
        <f>+MINVU_Mes_Corriente!K137*MINVU_Mes_Constante!$C$1</f>
        <v>6529.9985169805732</v>
      </c>
      <c r="L137" s="8">
        <f>+MINVU_Mes_Corriente!L137*MINVU_Mes_Constante!$C$1</f>
        <v>10055.873646744774</v>
      </c>
      <c r="M137" s="8">
        <f>+MINVU_Mes_Corriente!M137*MINVU_Mes_Constante!$C$1</f>
        <v>10887.111671362896</v>
      </c>
      <c r="N137" s="8">
        <f>+MINVU_Mes_Corriente!N137*MINVU_Mes_Constante!$C$1</f>
        <v>13761.607296455586</v>
      </c>
      <c r="O137" s="9">
        <f t="shared" si="95"/>
        <v>13761.607296455586</v>
      </c>
      <c r="P137" s="8">
        <f>+MINVU_Mes_Corriente!P137*MINVU_Mes_Constante!$P$1</f>
        <v>0</v>
      </c>
      <c r="Q137" s="8">
        <f>+MINVU_Mes_Corriente!Q137*MINVU_Mes_Constante!$P$1</f>
        <v>856.81943457877503</v>
      </c>
      <c r="R137" s="8">
        <f>+MINVU_Mes_Corriente!R137*MINVU_Mes_Constante!$P$1</f>
        <v>856.81943457877503</v>
      </c>
      <c r="S137" s="8">
        <f>+MINVU_Mes_Corriente!S137*MINVU_Mes_Constante!$P$1</f>
        <v>2121.8698678789592</v>
      </c>
      <c r="T137" s="8">
        <f>+MINVU_Mes_Corriente!T137*MINVU_Mes_Constante!$P$1</f>
        <v>2121.8698678789592</v>
      </c>
      <c r="U137" s="8">
        <f>+MINVU_Mes_Corriente!U137*MINVU_Mes_Constante!$P$1</f>
        <v>4223.5610171899398</v>
      </c>
      <c r="V137" s="8">
        <f>+MINVU_Mes_Corriente!V137*MINVU_Mes_Constante!$P$1</f>
        <v>4223.5610171899398</v>
      </c>
      <c r="W137" s="8">
        <f>+MINVU_Mes_Corriente!W137*MINVU_Mes_Constante!$P$1</f>
        <v>6331.4610029833757</v>
      </c>
      <c r="X137" s="8">
        <f>+MINVU_Mes_Corriente!X137*MINVU_Mes_Constante!$P$1</f>
        <v>8189.4553203580026</v>
      </c>
      <c r="Y137" s="8">
        <f>+MINVU_Mes_Corriente!Y137*MINVU_Mes_Constante!$P$1</f>
        <v>8189.4553203580026</v>
      </c>
      <c r="Z137" s="8">
        <f>+MINVU_Mes_Corriente!Z137*MINVU_Mes_Constante!$P$1</f>
        <v>13858.123028839318</v>
      </c>
      <c r="AA137" s="8">
        <f>+MINVU_Mes_Corriente!AA137*MINVU_Mes_Constante!$P$1</f>
        <v>24804.301747407291</v>
      </c>
      <c r="AB137" s="9">
        <f t="shared" si="96"/>
        <v>24804.301747407291</v>
      </c>
      <c r="AC137" s="8">
        <f>+MINVU_Mes_Corriente!AC137*MINVU_Mes_Constante!$AC$1</f>
        <v>0</v>
      </c>
      <c r="AD137" s="8">
        <f>+MINVU_Mes_Corriente!AD137*MINVU_Mes_Constante!$AC$1</f>
        <v>0</v>
      </c>
      <c r="AE137" s="8">
        <f>+MINVU_Mes_Corriente!AE137*MINVU_Mes_Constante!$AC$1</f>
        <v>7342.4412781850879</v>
      </c>
      <c r="AF137" s="8">
        <f>+MINVU_Mes_Corriente!AF137*MINVU_Mes_Constante!$AC$1</f>
        <v>7342.4412781850879</v>
      </c>
      <c r="AG137" s="8">
        <f>+MINVU_Mes_Corriente!AG137*MINVU_Mes_Constante!$AC$1</f>
        <v>7912.2437404896946</v>
      </c>
      <c r="AH137" s="8">
        <f>+MINVU_Mes_Corriente!AH137*MINVU_Mes_Constante!$AC$1</f>
        <v>7912.2437404896946</v>
      </c>
      <c r="AI137" s="8">
        <f>+MINVU_Mes_Corriente!AI137*MINVU_Mes_Constante!$AC$1</f>
        <v>19406.534790427446</v>
      </c>
      <c r="AJ137" s="8">
        <f>+MINVU_Mes_Corriente!AJ137*MINVU_Mes_Constante!$AC$1</f>
        <v>22175.442246507126</v>
      </c>
      <c r="AK137" s="8">
        <f>+MINVU_Mes_Corriente!AK137*MINVU_Mes_Constante!$AC$1</f>
        <v>25642.622216074145</v>
      </c>
      <c r="AL137" s="8">
        <f>+MINVU_Mes_Corriente!AL137*MINVU_Mes_Constante!$AC$1</f>
        <v>25642.622216074145</v>
      </c>
      <c r="AM137" s="8">
        <f>+MINVU_Mes_Corriente!AM137*MINVU_Mes_Constante!$AC$1</f>
        <v>46870.408908562735</v>
      </c>
      <c r="AN137" s="8">
        <f>+MINVU_Mes_Corriente!AN137*MINVU_Mes_Constante!$AC$1</f>
        <v>47750.050906072764</v>
      </c>
      <c r="AO137" s="9">
        <f t="shared" si="97"/>
        <v>47750.050906072764</v>
      </c>
      <c r="AP137" s="8">
        <f>+MINVU_Mes_Corriente!AP137*MINVU_Mes_Constante!$AP$1</f>
        <v>0</v>
      </c>
      <c r="AQ137" s="8">
        <f>+MINVU_Mes_Corriente!AQ137*MINVU_Mes_Constante!$AP$1</f>
        <v>0</v>
      </c>
      <c r="AR137" s="8">
        <f>+MINVU_Mes_Corriente!AR137*MINVU_Mes_Constante!$AP$1</f>
        <v>0</v>
      </c>
      <c r="AS137" s="8">
        <f>+MINVU_Mes_Corriente!AS137*MINVU_Mes_Constante!$AP$1</f>
        <v>0</v>
      </c>
      <c r="AT137" s="8">
        <f>+MINVU_Mes_Corriente!AT137*MINVU_Mes_Constante!$AP$1</f>
        <v>1749.8152306235627</v>
      </c>
      <c r="AU137" s="8">
        <f>+MINVU_Mes_Corriente!AU137*MINVU_Mes_Constante!$AP$1</f>
        <v>2052.7815501149735</v>
      </c>
      <c r="AV137" s="8">
        <f>+MINVU_Mes_Corriente!AV137*MINVU_Mes_Constante!$AP$1</f>
        <v>2052.7815501149735</v>
      </c>
      <c r="AW137" s="8">
        <f>+MINVU_Mes_Corriente!AW137*MINVU_Mes_Constante!$AP$1</f>
        <v>2815.3699445421344</v>
      </c>
      <c r="AX137" s="8">
        <f>+MINVU_Mes_Corriente!AX137*MINVU_Mes_Constante!$AP$1</f>
        <v>2815.3699445421344</v>
      </c>
      <c r="AY137" s="8">
        <f>+MINVU_Mes_Corriente!AY137*MINVU_Mes_Constante!$AP$1</f>
        <v>6782.0119031516297</v>
      </c>
      <c r="AZ137" s="8">
        <f>+MINVU_Mes_Corriente!AZ137*MINVU_Mes_Constante!$AP$1</f>
        <v>12841.338292979844</v>
      </c>
      <c r="BA137" s="8">
        <f>+MINVU_Mes_Corriente!BA137*MINVU_Mes_Constante!$AP$1</f>
        <v>557694.48938184767</v>
      </c>
      <c r="BB137" s="9">
        <f t="shared" si="98"/>
        <v>557694.48938184767</v>
      </c>
      <c r="BC137" s="8">
        <f>+MINVU_Mes_Corriente!BC137*MINVU_Mes_Constante!$BC$1</f>
        <v>230.5367268890941</v>
      </c>
      <c r="BD137" s="8">
        <f>+MINVU_Mes_Corriente!BD137*MINVU_Mes_Constante!$BC$1</f>
        <v>230.5367268890941</v>
      </c>
      <c r="BE137" s="8">
        <f>+MINVU_Mes_Corriente!BE137*MINVU_Mes_Constante!$BC$1</f>
        <v>1491.2844520638273</v>
      </c>
      <c r="BF137" s="8">
        <f>+MINVU_Mes_Corriente!BF137*MINVU_Mes_Constante!$BC$1</f>
        <v>12410.080179348546</v>
      </c>
      <c r="BG137" s="8">
        <f>+MINVU_Mes_Corriente!BG137*MINVU_Mes_Constante!$BC$1</f>
        <v>15680.819992087569</v>
      </c>
      <c r="BH137" s="8">
        <f>+MINVU_Mes_Corriente!BH137*MINVU_Mes_Constante!$BC$1</f>
        <v>15881.098773572468</v>
      </c>
      <c r="BI137" s="8">
        <f>+MINVU_Mes_Corriente!BI137*MINVU_Mes_Constante!$BC$1</f>
        <v>18182.143478834238</v>
      </c>
      <c r="BJ137" s="8">
        <f>+MINVU_Mes_Corriente!BJ137*MINVU_Mes_Constante!$BC$1</f>
        <v>18182.143478834238</v>
      </c>
      <c r="BK137" s="8">
        <f>+MINVU_Mes_Corriente!BK137*MINVU_Mes_Constante!$BC$1</f>
        <v>18182.143478834238</v>
      </c>
      <c r="BL137" s="8">
        <f>+MINVU_Mes_Corriente!BL137*MINVU_Mes_Constante!$BC$1</f>
        <v>18182.143478834238</v>
      </c>
      <c r="BM137" s="8">
        <f>+MINVU_Mes_Corriente!BM137*MINVU_Mes_Constante!$BC$1</f>
        <v>18182.143478834238</v>
      </c>
      <c r="BN137" s="8">
        <f>+MINVU_Mes_Corriente!BN137*MINVU_Mes_Constante!$BC$1</f>
        <v>2997141.7069761315</v>
      </c>
      <c r="BO137" s="9">
        <f t="shared" si="99"/>
        <v>2997141.7069761315</v>
      </c>
      <c r="BP137" s="8">
        <f>+MINVU_Mes_Corriente!BP137*MINVU_Mes_Constante!$BP$1</f>
        <v>0</v>
      </c>
      <c r="BQ137" s="8">
        <f>+MINVU_Mes_Corriente!BQ137*MINVU_Mes_Constante!$BP$1</f>
        <v>0</v>
      </c>
      <c r="BR137" s="8">
        <f>+MINVU_Mes_Corriente!BR137*MINVU_Mes_Constante!$BP$1</f>
        <v>0</v>
      </c>
      <c r="BS137" s="8">
        <f>+MINVU_Mes_Corriente!BS137*MINVU_Mes_Constante!$BP$1</f>
        <v>2511.1613316261205</v>
      </c>
      <c r="BT137" s="8">
        <f>+MINVU_Mes_Corriente!BT137*MINVU_Mes_Constante!$BP$1</f>
        <v>2895928.6056338032</v>
      </c>
      <c r="BU137" s="8">
        <f>+MINVU_Mes_Corriente!BU137*MINVU_Mes_Constante!$BP$1</f>
        <v>2900296.2076824587</v>
      </c>
      <c r="BV137" s="8">
        <f>+MINVU_Mes_Corriente!BV137*MINVU_Mes_Constante!$BP$1</f>
        <v>2900296.2076824587</v>
      </c>
      <c r="BW137" s="8">
        <f>+MINVU_Mes_Corriente!BW137*MINVU_Mes_Constante!$BP$1</f>
        <v>2900296.2076824587</v>
      </c>
      <c r="BX137" s="8">
        <f>+MINVU_Mes_Corriente!BX137*MINVU_Mes_Constante!$BP$1</f>
        <v>2902699.6478873244</v>
      </c>
      <c r="BY137" s="8">
        <f>+MINVU_Mes_Corriente!BY137*MINVU_Mes_Constante!$BP$1</f>
        <v>2903131.9313700385</v>
      </c>
      <c r="BZ137" s="8">
        <f>+MINVU_Mes_Corriente!BZ137*MINVU_Mes_Constante!$BP$1</f>
        <v>2903131.9313700385</v>
      </c>
      <c r="CA137" s="8">
        <f>+MINVU_Mes_Corriente!CA137*MINVU_Mes_Constante!$BP$1</f>
        <v>2903280.2227912936</v>
      </c>
      <c r="CB137" s="9">
        <f t="shared" si="100"/>
        <v>2903280.2227912936</v>
      </c>
      <c r="CC137" s="8">
        <f>+MINVU_Mes_Corriente!CC137*MINVU_Mes_Constante!$CC$1</f>
        <v>0</v>
      </c>
      <c r="CD137" s="8">
        <f>+MINVU_Mes_Corriente!CD137*MINVU_Mes_Constante!$CC$1</f>
        <v>0</v>
      </c>
      <c r="CE137" s="8">
        <f>+MINVU_Mes_Corriente!CE137*MINVU_Mes_Constante!$CC$1</f>
        <v>0</v>
      </c>
      <c r="CF137" s="8">
        <f>+MINVU_Mes_Corriente!CF137*MINVU_Mes_Constante!$CC$1</f>
        <v>0</v>
      </c>
      <c r="CG137" s="8">
        <f>+MINVU_Mes_Corriente!CG137*MINVU_Mes_Constante!$CC$1</f>
        <v>0</v>
      </c>
      <c r="CH137" s="8">
        <f>+MINVU_Mes_Corriente!CH137*MINVU_Mes_Constante!$CC$1</f>
        <v>0</v>
      </c>
      <c r="CI137" s="8">
        <f>+MINVU_Mes_Corriente!CI137*MINVU_Mes_Constante!$CC$1</f>
        <v>1574.4416262588588</v>
      </c>
      <c r="CJ137" s="8">
        <f>+MINVU_Mes_Corriente!CJ137*MINVU_Mes_Constante!$CC$1</f>
        <v>3834.8996643043643</v>
      </c>
      <c r="CK137" s="8">
        <f>+MINVU_Mes_Corriente!CK137*MINVU_Mes_Constante!$CC$1</f>
        <v>3834.8996643043643</v>
      </c>
      <c r="CL137" s="8">
        <f>+MINVU_Mes_Corriente!CL137*MINVU_Mes_Constante!$CC$1</f>
        <v>3834.8996643043643</v>
      </c>
      <c r="CM137" s="8">
        <f>+MINVU_Mes_Corriente!CM137*MINVU_Mes_Constante!$CC$1</f>
        <v>3834.8996643043643</v>
      </c>
      <c r="CN137" s="8">
        <f>+MINVU_Mes_Corriente!CN137*MINVU_Mes_Constante!$CC$1</f>
        <v>10829.550167847819</v>
      </c>
      <c r="CO137" s="9">
        <f t="shared" si="101"/>
        <v>10829.550167847819</v>
      </c>
      <c r="CP137" s="8">
        <f>+MINVU_Mes_Corriente!CP137*MINVU_Mes_Constante!$CP$1</f>
        <v>0</v>
      </c>
      <c r="CQ137" s="8">
        <f>+MINVU_Mes_Corriente!CQ137*MINVU_Mes_Constante!$CP$1</f>
        <v>1136.9631090487237</v>
      </c>
      <c r="CR137" s="8">
        <f>+MINVU_Mes_Corriente!CR137*MINVU_Mes_Constante!$CP$1</f>
        <v>1347.3709976798141</v>
      </c>
      <c r="CS137" s="8">
        <f>+MINVU_Mes_Corriente!CS137*MINVU_Mes_Constante!$CP$1</f>
        <v>1916.486310904872</v>
      </c>
      <c r="CT137" s="8">
        <f>+MINVU_Mes_Corriente!CT137*MINVU_Mes_Constante!$CP$1</f>
        <v>6492.2241299303932</v>
      </c>
      <c r="CU137" s="8">
        <f>+MINVU_Mes_Corriente!CU137*MINVU_Mes_Constante!$CP$1</f>
        <v>7750.8689095127593</v>
      </c>
      <c r="CV137" s="8">
        <f>+MINVU_Mes_Corriente!CV137*MINVU_Mes_Constante!$CP$1</f>
        <v>7953.6716937354968</v>
      </c>
      <c r="CW137" s="8">
        <f>+MINVU_Mes_Corriente!CW137*MINVU_Mes_Constante!$CP$1</f>
        <v>8019.5825986078871</v>
      </c>
      <c r="CX137" s="8">
        <f>+MINVU_Mes_Corriente!CX137*MINVU_Mes_Constante!$CP$1</f>
        <v>9576.0939675173995</v>
      </c>
      <c r="CY137" s="8">
        <f>+MINVU_Mes_Corriente!CY137*MINVU_Mes_Constante!$CP$1</f>
        <v>9576.0939675173995</v>
      </c>
      <c r="CZ137" s="8">
        <f>+MINVU_Mes_Corriente!CZ137*MINVU_Mes_Constante!$CP$1</f>
        <v>9593.8392111368885</v>
      </c>
      <c r="DA137" s="8">
        <f>+MINVU_Mes_Corriente!DA137*MINVU_Mes_Constante!$CP$1</f>
        <v>9593.8392111368885</v>
      </c>
      <c r="DB137" s="9">
        <f t="shared" si="102"/>
        <v>9593.8392111368885</v>
      </c>
      <c r="DC137" s="8">
        <f>+MINVU_Mes_Corriente!DC137*MINVU_Mes_Constante!$DC$1</f>
        <v>0</v>
      </c>
      <c r="DD137" s="8">
        <f>+MINVU_Mes_Corriente!DD137*MINVU_Mes_Constante!$DC$1</f>
        <v>0</v>
      </c>
      <c r="DE137" s="8">
        <f>+MINVU_Mes_Corriente!DE137*MINVU_Mes_Constante!$DC$1</f>
        <v>0</v>
      </c>
      <c r="DF137" s="8">
        <f>+MINVU_Mes_Corriente!DF137*MINVU_Mes_Constante!$DC$1</f>
        <v>0</v>
      </c>
      <c r="DG137" s="8">
        <f>+MINVU_Mes_Corriente!DG137*MINVU_Mes_Constante!$DC$1</f>
        <v>0</v>
      </c>
      <c r="DH137" s="8">
        <f>+MINVU_Mes_Corriente!DH137*MINVU_Mes_Constante!$DC$1</f>
        <v>0</v>
      </c>
      <c r="DI137" s="8">
        <f>+MINVU_Mes_Corriente!DI137*MINVU_Mes_Constante!$DC$1</f>
        <v>0</v>
      </c>
      <c r="DJ137" s="8">
        <f>+MINVU_Mes_Corriente!DJ137*MINVU_Mes_Constante!$DC$1</f>
        <v>0</v>
      </c>
      <c r="DK137" s="8">
        <f>+MINVU_Mes_Corriente!DK137*MINVU_Mes_Constante!$DC$1</f>
        <v>0</v>
      </c>
      <c r="DL137" s="8">
        <f>+MINVU_Mes_Corriente!DL137*MINVU_Mes_Constante!$DC$1</f>
        <v>0</v>
      </c>
      <c r="DM137" s="8">
        <f>+MINVU_Mes_Corriente!DM137*MINVU_Mes_Constante!$DC$1</f>
        <v>0</v>
      </c>
      <c r="DN137" s="8">
        <f>+MINVU_Mes_Corriente!DN137*MINVU_Mes_Constante!$DC$1</f>
        <v>780240.70980351849</v>
      </c>
      <c r="DO137" s="9">
        <f t="shared" si="103"/>
        <v>780240.70980351849</v>
      </c>
      <c r="DP137" s="8">
        <f>+MINVU_Mes_Corriente!DP137*MINVU_Mes_Constante!$DP$1</f>
        <v>0</v>
      </c>
      <c r="DQ137" s="8">
        <f>+MINVU_Mes_Corriente!DQ137*MINVU_Mes_Constante!$DP$1</f>
        <v>0</v>
      </c>
      <c r="DR137" s="8">
        <f>+MINVU_Mes_Corriente!DR137*MINVU_Mes_Constante!$DP$1</f>
        <v>0</v>
      </c>
      <c r="DS137" s="8">
        <f>+MINVU_Mes_Corriente!DS137*MINVU_Mes_Constante!$DP$1</f>
        <v>0</v>
      </c>
      <c r="DT137" s="8">
        <f>+MINVU_Mes_Corriente!DT137*MINVU_Mes_Constante!$DP$1</f>
        <v>0</v>
      </c>
      <c r="DU137" s="8">
        <f>+MINVU_Mes_Corriente!DU137*MINVU_Mes_Constante!$DP$1</f>
        <v>0</v>
      </c>
      <c r="DV137" s="8">
        <f>+MINVU_Mes_Corriente!DV137*MINVU_Mes_Constante!$DP$1</f>
        <v>0</v>
      </c>
      <c r="DW137" s="8">
        <f>+MINVU_Mes_Corriente!DW137*MINVU_Mes_Constante!$DP$1</f>
        <v>0</v>
      </c>
      <c r="DX137" s="8">
        <f>+MINVU_Mes_Corriente!DX137*MINVU_Mes_Constante!$DP$1</f>
        <v>0</v>
      </c>
      <c r="DY137" s="8">
        <f>+MINVU_Mes_Corriente!DY137*MINVU_Mes_Constante!$DP$1</f>
        <v>0</v>
      </c>
      <c r="DZ137" s="8">
        <f>+MINVU_Mes_Corriente!DZ137*MINVU_Mes_Constante!$DP$1</f>
        <v>0</v>
      </c>
      <c r="EA137" s="8">
        <f>+MINVU_Mes_Corriente!EA137*MINVU_Mes_Constante!$DP$1</f>
        <v>0</v>
      </c>
      <c r="EB137" s="9">
        <f t="shared" si="104"/>
        <v>0</v>
      </c>
      <c r="EC137" s="8">
        <f>+MINVU_Mes_Corriente!EC137*MINVU_Mes_Constante!$EC$1</f>
        <v>0</v>
      </c>
      <c r="ED137" s="8">
        <f>+MINVU_Mes_Corriente!ED137*MINVU_Mes_Constante!$EC$1</f>
        <v>0</v>
      </c>
      <c r="EE137" s="8">
        <f>+MINVU_Mes_Corriente!EE137*MINVU_Mes_Constante!$EC$1</f>
        <v>0</v>
      </c>
      <c r="EF137" s="8">
        <f>+MINVU_Mes_Corriente!EF137*MINVU_Mes_Constante!$EC$1</f>
        <v>0</v>
      </c>
      <c r="EG137" s="8">
        <f>+MINVU_Mes_Corriente!EG137*MINVU_Mes_Constante!$EC$1</f>
        <v>0</v>
      </c>
      <c r="EH137" s="8">
        <f>+MINVU_Mes_Corriente!EH137*MINVU_Mes_Constante!$EC$1</f>
        <v>0</v>
      </c>
      <c r="EI137" s="8">
        <f>+MINVU_Mes_Corriente!EI137*MINVU_Mes_Constante!$EC$1</f>
        <v>175.85873887521296</v>
      </c>
      <c r="EJ137" s="8">
        <f>+MINVU_Mes_Corriente!EJ137*MINVU_Mes_Constante!$EC$1</f>
        <v>4886.8040143912121</v>
      </c>
      <c r="EK137" s="8">
        <f>+MINVU_Mes_Corriente!EK137*MINVU_Mes_Constante!$EC$1</f>
        <v>5217.8322287445544</v>
      </c>
      <c r="EL137" s="8">
        <f>+MINVU_Mes_Corriente!EL137*MINVU_Mes_Constante!$EC$1</f>
        <v>6438.4987691725028</v>
      </c>
      <c r="EM137" s="8">
        <f>+MINVU_Mes_Corriente!EM137*MINVU_Mes_Constante!$EC$1</f>
        <v>6438.4987691725028</v>
      </c>
      <c r="EN137" s="8">
        <f>+MINVU_Mes_Corriente!EN137*MINVU_Mes_Constante!$EC$1</f>
        <v>6438.4987691725028</v>
      </c>
      <c r="EO137" s="9">
        <f t="shared" si="105"/>
        <v>6438.4987691725028</v>
      </c>
      <c r="EP137" s="8">
        <f>+MINVU_Mes_Corriente!EP137*MINVU_Mes_Constante!$EP$1</f>
        <v>0</v>
      </c>
      <c r="EQ137" s="8">
        <f>+MINVU_Mes_Corriente!EQ137*MINVU_Mes_Constante!$EP$1</f>
        <v>0</v>
      </c>
      <c r="ER137" s="8">
        <f>+MINVU_Mes_Corriente!ER137*MINVU_Mes_Constante!$EP$1</f>
        <v>3953</v>
      </c>
      <c r="ES137" s="8">
        <f>+MINVU_Mes_Corriente!ES137*MINVU_Mes_Constante!$EP$1</f>
        <v>3953</v>
      </c>
      <c r="ET137" s="8">
        <f>+MINVU_Mes_Corriente!ET137*MINVU_Mes_Constante!$EP$1</f>
        <v>3953</v>
      </c>
      <c r="EU137" s="8">
        <f>+MINVU_Mes_Corriente!EU137*MINVU_Mes_Constante!$EP$1</f>
        <v>3953</v>
      </c>
      <c r="EV137" s="8">
        <f>+MINVU_Mes_Corriente!EV137*MINVU_Mes_Constante!$EP$1</f>
        <v>3953</v>
      </c>
      <c r="EW137" s="8">
        <f>+MINVU_Mes_Corriente!EW137*MINVU_Mes_Constante!$EP$1</f>
        <v>3953</v>
      </c>
      <c r="EX137" s="8">
        <f>+MINVU_Mes_Corriente!EX137*MINVU_Mes_Constante!$EP$1</f>
        <v>3953</v>
      </c>
      <c r="EY137" s="8">
        <f>+MINVU_Mes_Corriente!EY137*MINVU_Mes_Constante!$EP$1</f>
        <v>3953</v>
      </c>
      <c r="EZ137" s="8">
        <f>+MINVU_Mes_Corriente!EZ137*MINVU_Mes_Constante!$EP$1</f>
        <v>3953</v>
      </c>
      <c r="FA137" s="8">
        <f>+MINVU_Mes_Corriente!FA137*MINVU_Mes_Constante!$EP$1</f>
        <v>3953</v>
      </c>
      <c r="FB137" s="9">
        <f t="shared" si="106"/>
        <v>3953</v>
      </c>
      <c r="FC137" s="8">
        <f>+MINVU_Mes_Corriente!FC137*MINVU_Mes_Constante!$FC$1</f>
        <v>0</v>
      </c>
      <c r="FD137" s="8">
        <f>+MINVU_Mes_Corriente!FD137*MINVU_Mes_Constante!$FC$1</f>
        <v>0</v>
      </c>
      <c r="FE137" s="8">
        <f>+MINVU_Mes_Corriente!FE137*MINVU_Mes_Constante!$FC$1</f>
        <v>0</v>
      </c>
      <c r="FF137" s="8">
        <f>+MINVU_Mes_Corriente!FF137*MINVU_Mes_Constante!$FC$1</f>
        <v>0</v>
      </c>
      <c r="FG137" s="8">
        <f>+MINVU_Mes_Corriente!FG137*MINVU_Mes_Constante!$FC$1</f>
        <v>0</v>
      </c>
      <c r="FH137" s="8">
        <f>+MINVU_Mes_Corriente!FH137*MINVU_Mes_Constante!$FC$1</f>
        <v>0</v>
      </c>
      <c r="FI137" s="8">
        <f>+MINVU_Mes_Corriente!FI137*MINVU_Mes_Constante!$FC$1</f>
        <v>0</v>
      </c>
      <c r="FJ137" s="8"/>
      <c r="FK137" s="8"/>
      <c r="FL137" s="8"/>
      <c r="FM137" s="8"/>
      <c r="FN137" s="8"/>
      <c r="FO137" s="9">
        <f t="shared" si="107"/>
        <v>0</v>
      </c>
    </row>
    <row r="138" spans="2:171" ht="14.25" customHeight="1" x14ac:dyDescent="0.3">
      <c r="B138" s="7" t="s">
        <v>60</v>
      </c>
      <c r="C138" s="8">
        <f>+MINVU_Mes_Corriente!C138*MINVU_Mes_Constante!$C$1</f>
        <v>0</v>
      </c>
      <c r="D138" s="8">
        <f>+MINVU_Mes_Corriente!D138*MINVU_Mes_Constante!$C$1</f>
        <v>0</v>
      </c>
      <c r="E138" s="8">
        <f>+MINVU_Mes_Corriente!E138*MINVU_Mes_Constante!$C$1</f>
        <v>0</v>
      </c>
      <c r="F138" s="8">
        <f>+MINVU_Mes_Corriente!F138*MINVU_Mes_Constante!$C$1</f>
        <v>375.92051015868316</v>
      </c>
      <c r="G138" s="8">
        <f>+MINVU_Mes_Corriente!G138*MINVU_Mes_Constante!$C$1</f>
        <v>375.92051015868316</v>
      </c>
      <c r="H138" s="8">
        <f>+MINVU_Mes_Corriente!H138*MINVU_Mes_Constante!$C$1</f>
        <v>375.92051015868316</v>
      </c>
      <c r="I138" s="8">
        <f>+MINVU_Mes_Corriente!I138*MINVU_Mes_Constante!$C$1</f>
        <v>1429.1460774136144</v>
      </c>
      <c r="J138" s="8">
        <f>+MINVU_Mes_Corriente!J138*MINVU_Mes_Constante!$C$1</f>
        <v>4796.2271985763018</v>
      </c>
      <c r="K138" s="8">
        <f>+MINVU_Mes_Corriente!K138*MINVU_Mes_Constante!$C$1</f>
        <v>4796.2271985763018</v>
      </c>
      <c r="L138" s="8">
        <f>+MINVU_Mes_Corriente!L138*MINVU_Mes_Constante!$C$1</f>
        <v>5164.0459736022549</v>
      </c>
      <c r="M138" s="8">
        <f>+MINVU_Mes_Corriente!M138*MINVU_Mes_Constante!$C$1</f>
        <v>5164.0459736022549</v>
      </c>
      <c r="N138" s="8">
        <f>+MINVU_Mes_Corriente!N138*MINVU_Mes_Constante!$C$1</f>
        <v>12577.133620050425</v>
      </c>
      <c r="O138" s="9">
        <f t="shared" si="95"/>
        <v>12577.133620050425</v>
      </c>
      <c r="P138" s="8">
        <f>+MINVU_Mes_Corriente!P138*MINVU_Mes_Constante!$P$1</f>
        <v>0</v>
      </c>
      <c r="Q138" s="8">
        <f>+MINVU_Mes_Corriente!Q138*MINVU_Mes_Constante!$P$1</f>
        <v>0</v>
      </c>
      <c r="R138" s="8">
        <f>+MINVU_Mes_Corriente!R138*MINVU_Mes_Constante!$P$1</f>
        <v>0</v>
      </c>
      <c r="S138" s="8">
        <f>+MINVU_Mes_Corriente!S138*MINVU_Mes_Constante!$P$1</f>
        <v>1622.0585310413405</v>
      </c>
      <c r="T138" s="8">
        <f>+MINVU_Mes_Corriente!T138*MINVU_Mes_Constante!$P$1</f>
        <v>1622.0585310413405</v>
      </c>
      <c r="U138" s="8">
        <f>+MINVU_Mes_Corriente!U138*MINVU_Mes_Constante!$P$1</f>
        <v>1622.0585310413405</v>
      </c>
      <c r="V138" s="8">
        <f>+MINVU_Mes_Corriente!V138*MINVU_Mes_Constante!$P$1</f>
        <v>2289.5084529052415</v>
      </c>
      <c r="W138" s="8">
        <f>+MINVU_Mes_Corriente!W138*MINVU_Mes_Constante!$P$1</f>
        <v>3632.1693422361118</v>
      </c>
      <c r="X138" s="8">
        <f>+MINVU_Mes_Corriente!X138*MINVU_Mes_Constante!$P$1</f>
        <v>2095704.2787327738</v>
      </c>
      <c r="Y138" s="8">
        <f>+MINVU_Mes_Corriente!Y138*MINVU_Mes_Constante!$P$1</f>
        <v>2097275.114362835</v>
      </c>
      <c r="Z138" s="8">
        <f>+MINVU_Mes_Corriente!Z138*MINVU_Mes_Constante!$P$1</f>
        <v>4358547.3311549919</v>
      </c>
      <c r="AA138" s="8">
        <f>+MINVU_Mes_Corriente!AA138*MINVU_Mes_Constante!$P$1</f>
        <v>6861343.2871146444</v>
      </c>
      <c r="AB138" s="9">
        <f t="shared" si="96"/>
        <v>6861343.2871146444</v>
      </c>
      <c r="AC138" s="8">
        <f>+MINVU_Mes_Corriente!AC138*MINVU_Mes_Constante!$AC$1</f>
        <v>0</v>
      </c>
      <c r="AD138" s="8">
        <f>+MINVU_Mes_Corriente!AD138*MINVU_Mes_Constante!$AC$1</f>
        <v>0</v>
      </c>
      <c r="AE138" s="8">
        <f>+MINVU_Mes_Corriente!AE138*MINVU_Mes_Constante!$AC$1</f>
        <v>0</v>
      </c>
      <c r="AF138" s="8">
        <f>+MINVU_Mes_Corriente!AF138*MINVU_Mes_Constante!$AC$1</f>
        <v>1865.0828606999585</v>
      </c>
      <c r="AG138" s="8">
        <f>+MINVU_Mes_Corriente!AG138*MINVU_Mes_Constante!$AC$1</f>
        <v>3376.4952275556784</v>
      </c>
      <c r="AH138" s="8">
        <f>+MINVU_Mes_Corriente!AH138*MINVU_Mes_Constante!$AC$1</f>
        <v>34017.358140821692</v>
      </c>
      <c r="AI138" s="8">
        <f>+MINVU_Mes_Corriente!AI138*MINVU_Mes_Constante!$AC$1</f>
        <v>35383.674920459263</v>
      </c>
      <c r="AJ138" s="8">
        <f>+MINVU_Mes_Corriente!AJ138*MINVU_Mes_Constante!$AC$1</f>
        <v>35383.674920459263</v>
      </c>
      <c r="AK138" s="8">
        <f>+MINVU_Mes_Corriente!AK138*MINVU_Mes_Constante!$AC$1</f>
        <v>35828.030156314846</v>
      </c>
      <c r="AL138" s="8">
        <f>+MINVU_Mes_Corriente!AL138*MINVU_Mes_Constante!$AC$1</f>
        <v>35828.030156314846</v>
      </c>
      <c r="AM138" s="8">
        <f>+MINVU_Mes_Corriente!AM138*MINVU_Mes_Constante!$AC$1</f>
        <v>37922.847696776873</v>
      </c>
      <c r="AN138" s="8">
        <f>+MINVU_Mes_Corriente!AN138*MINVU_Mes_Constante!$AC$1</f>
        <v>55384.194771061004</v>
      </c>
      <c r="AO138" s="9">
        <f t="shared" si="97"/>
        <v>55384.194771061004</v>
      </c>
      <c r="AP138" s="8">
        <f>+MINVU_Mes_Corriente!AP138*MINVU_Mes_Constante!$AP$1</f>
        <v>0</v>
      </c>
      <c r="AQ138" s="8">
        <f>+MINVU_Mes_Corriente!AQ138*MINVU_Mes_Constante!$AP$1</f>
        <v>0</v>
      </c>
      <c r="AR138" s="8">
        <f>+MINVU_Mes_Corriente!AR138*MINVU_Mes_Constante!$AP$1</f>
        <v>0</v>
      </c>
      <c r="AS138" s="8">
        <f>+MINVU_Mes_Corriente!AS138*MINVU_Mes_Constante!$AP$1</f>
        <v>814.31435141349925</v>
      </c>
      <c r="AT138" s="8">
        <f>+MINVU_Mes_Corriente!AT138*MINVU_Mes_Constante!$AP$1</f>
        <v>814.31435141349925</v>
      </c>
      <c r="AU138" s="8">
        <f>+MINVU_Mes_Corriente!AU138*MINVU_Mes_Constante!$AP$1</f>
        <v>5171.1178141485188</v>
      </c>
      <c r="AV138" s="8">
        <f>+MINVU_Mes_Corriente!AV138*MINVU_Mes_Constante!$AP$1</f>
        <v>5586.4033545245502</v>
      </c>
      <c r="AW138" s="8">
        <f>+MINVU_Mes_Corriente!AW138*MINVU_Mes_Constante!$AP$1</f>
        <v>10401.351007709995</v>
      </c>
      <c r="AX138" s="8">
        <f>+MINVU_Mes_Corriente!AX138*MINVU_Mes_Constante!$AP$1</f>
        <v>12494.035438928715</v>
      </c>
      <c r="AY138" s="8">
        <f>+MINVU_Mes_Corriente!AY138*MINVU_Mes_Constante!$AP$1</f>
        <v>14205.425672933856</v>
      </c>
      <c r="AZ138" s="8">
        <f>+MINVU_Mes_Corriente!AZ138*MINVU_Mes_Constante!$AP$1</f>
        <v>14205.425672933856</v>
      </c>
      <c r="BA138" s="8">
        <f>+MINVU_Mes_Corriente!BA138*MINVU_Mes_Constante!$AP$1</f>
        <v>142911.42973082644</v>
      </c>
      <c r="BB138" s="9">
        <f t="shared" si="98"/>
        <v>142911.42973082644</v>
      </c>
      <c r="BC138" s="8">
        <f>+MINVU_Mes_Corriente!BC138*MINVU_Mes_Constante!$BC$1</f>
        <v>0</v>
      </c>
      <c r="BD138" s="8">
        <f>+MINVU_Mes_Corriente!BD138*MINVU_Mes_Constante!$BC$1</f>
        <v>0</v>
      </c>
      <c r="BE138" s="8">
        <f>+MINVU_Mes_Corriente!BE138*MINVU_Mes_Constante!$BC$1</f>
        <v>0</v>
      </c>
      <c r="BF138" s="8">
        <f>+MINVU_Mes_Corriente!BF138*MINVU_Mes_Constante!$BC$1</f>
        <v>2690.0754318871168</v>
      </c>
      <c r="BG138" s="8">
        <f>+MINVU_Mes_Corriente!BG138*MINVU_Mes_Constante!$BC$1</f>
        <v>2891.795067915074</v>
      </c>
      <c r="BH138" s="8">
        <f>+MINVU_Mes_Corriente!BH138*MINVU_Mes_Constante!$BC$1</f>
        <v>2891.795067915074</v>
      </c>
      <c r="BI138" s="8">
        <f>+MINVU_Mes_Corriente!BI138*MINVU_Mes_Constante!$BC$1</f>
        <v>10434.66860081762</v>
      </c>
      <c r="BJ138" s="8">
        <f>+MINVU_Mes_Corriente!BJ138*MINVU_Mes_Constante!$BC$1</f>
        <v>10434.66860081762</v>
      </c>
      <c r="BK138" s="8">
        <f>+MINVU_Mes_Corriente!BK138*MINVU_Mes_Constante!$BC$1</f>
        <v>11047.031781616777</v>
      </c>
      <c r="BL138" s="8">
        <f>+MINVU_Mes_Corriente!BL138*MINVU_Mes_Constante!$BC$1</f>
        <v>18030.853751813273</v>
      </c>
      <c r="BM138" s="8">
        <f>+MINVU_Mes_Corriente!BM138*MINVU_Mes_Constante!$BC$1</f>
        <v>19238.289858894903</v>
      </c>
      <c r="BN138" s="8">
        <f>+MINVU_Mes_Corriente!BN138*MINVU_Mes_Constante!$BC$1</f>
        <v>638932.53857312421</v>
      </c>
      <c r="BO138" s="9">
        <f t="shared" si="99"/>
        <v>638932.53857312421</v>
      </c>
      <c r="BP138" s="8">
        <f>+MINVU_Mes_Corriente!BP138*MINVU_Mes_Constante!$BP$1</f>
        <v>0</v>
      </c>
      <c r="BQ138" s="8">
        <f>+MINVU_Mes_Corriente!BQ138*MINVU_Mes_Constante!$BP$1</f>
        <v>0</v>
      </c>
      <c r="BR138" s="8">
        <f>+MINVU_Mes_Corriente!BR138*MINVU_Mes_Constante!$BP$1</f>
        <v>314.76952624839953</v>
      </c>
      <c r="BS138" s="8">
        <f>+MINVU_Mes_Corriente!BS138*MINVU_Mes_Constante!$BP$1</f>
        <v>314.76952624839953</v>
      </c>
      <c r="BT138" s="8">
        <f>+MINVU_Mes_Corriente!BT138*MINVU_Mes_Constante!$BP$1</f>
        <v>1587.8373879641488</v>
      </c>
      <c r="BU138" s="8">
        <f>+MINVU_Mes_Corriente!BU138*MINVU_Mes_Constante!$BP$1</f>
        <v>1587.8373879641488</v>
      </c>
      <c r="BV138" s="8">
        <f>+MINVU_Mes_Corriente!BV138*MINVU_Mes_Constante!$BP$1</f>
        <v>1817.2693982074265</v>
      </c>
      <c r="BW138" s="8">
        <f>+MINVU_Mes_Corriente!BW138*MINVU_Mes_Constante!$BP$1</f>
        <v>1817.2693982074265</v>
      </c>
      <c r="BX138" s="8">
        <f>+MINVU_Mes_Corriente!BX138*MINVU_Mes_Constante!$BP$1</f>
        <v>5538.5446862996168</v>
      </c>
      <c r="BY138" s="8">
        <f>+MINVU_Mes_Corriente!BY138*MINVU_Mes_Constante!$BP$1</f>
        <v>5538.5446862996168</v>
      </c>
      <c r="BZ138" s="8">
        <f>+MINVU_Mes_Corriente!BZ138*MINVU_Mes_Constante!$BP$1</f>
        <v>7214.517541613317</v>
      </c>
      <c r="CA138" s="8">
        <f>+MINVU_Mes_Corriente!CA138*MINVU_Mes_Constante!$BP$1</f>
        <v>17292.738284250961</v>
      </c>
      <c r="CB138" s="9">
        <f t="shared" si="100"/>
        <v>17292.738284250961</v>
      </c>
      <c r="CC138" s="8">
        <f>+MINVU_Mes_Corriente!CC138*MINVU_Mes_Constante!$CC$1</f>
        <v>0</v>
      </c>
      <c r="CD138" s="8">
        <f>+MINVU_Mes_Corriente!CD138*MINVU_Mes_Constante!$CC$1</f>
        <v>0</v>
      </c>
      <c r="CE138" s="8">
        <f>+MINVU_Mes_Corriente!CE138*MINVU_Mes_Constante!$CC$1</f>
        <v>0</v>
      </c>
      <c r="CF138" s="8">
        <f>+MINVU_Mes_Corriente!CF138*MINVU_Mes_Constante!$CC$1</f>
        <v>0</v>
      </c>
      <c r="CG138" s="8">
        <f>+MINVU_Mes_Corriente!CG138*MINVU_Mes_Constante!$CC$1</f>
        <v>763.4479671764268</v>
      </c>
      <c r="CH138" s="8">
        <f>+MINVU_Mes_Corriente!CH138*MINVU_Mes_Constante!$CC$1</f>
        <v>763.4479671764268</v>
      </c>
      <c r="CI138" s="8">
        <f>+MINVU_Mes_Corriente!CI138*MINVU_Mes_Constante!$CC$1</f>
        <v>960.42297650130558</v>
      </c>
      <c r="CJ138" s="8">
        <f>+MINVU_Mes_Corriente!CJ138*MINVU_Mes_Constante!$CC$1</f>
        <v>960.42297650130558</v>
      </c>
      <c r="CK138" s="8">
        <f>+MINVU_Mes_Corriente!CK138*MINVU_Mes_Constante!$CC$1</f>
        <v>960.42297650130558</v>
      </c>
      <c r="CL138" s="8">
        <f>+MINVU_Mes_Corriente!CL138*MINVU_Mes_Constante!$CC$1</f>
        <v>1037.8545318910856</v>
      </c>
      <c r="CM138" s="8">
        <f>+MINVU_Mes_Corriente!CM138*MINVU_Mes_Constante!$CC$1</f>
        <v>1037.8545318910856</v>
      </c>
      <c r="CN138" s="8">
        <f>+MINVU_Mes_Corriente!CN138*MINVU_Mes_Constante!$CC$1</f>
        <v>17231.917195076465</v>
      </c>
      <c r="CO138" s="9">
        <f t="shared" si="101"/>
        <v>17231.917195076465</v>
      </c>
      <c r="CP138" s="8">
        <f>+MINVU_Mes_Corriente!CP138*MINVU_Mes_Constante!$CP$1</f>
        <v>0</v>
      </c>
      <c r="CQ138" s="8">
        <f>+MINVU_Mes_Corriente!CQ138*MINVU_Mes_Constante!$CP$1</f>
        <v>0</v>
      </c>
      <c r="CR138" s="8">
        <f>+MINVU_Mes_Corriente!CR138*MINVU_Mes_Constante!$CP$1</f>
        <v>1055.8419953596285</v>
      </c>
      <c r="CS138" s="8">
        <f>+MINVU_Mes_Corriente!CS138*MINVU_Mes_Constante!$CP$1</f>
        <v>0</v>
      </c>
      <c r="CT138" s="8">
        <f>+MINVU_Mes_Corriente!CT138*MINVU_Mes_Constante!$CP$1</f>
        <v>0</v>
      </c>
      <c r="CU138" s="8">
        <f>+MINVU_Mes_Corriente!CU138*MINVU_Mes_Constante!$CP$1</f>
        <v>2479.2640371229695</v>
      </c>
      <c r="CV138" s="8">
        <f>+MINVU_Mes_Corriente!CV138*MINVU_Mes_Constante!$CP$1</f>
        <v>2479.2640371229695</v>
      </c>
      <c r="CW138" s="8">
        <f>+MINVU_Mes_Corriente!CW138*MINVU_Mes_Constante!$CP$1</f>
        <v>2479.2640371229695</v>
      </c>
      <c r="CX138" s="8">
        <f>+MINVU_Mes_Corriente!CX138*MINVU_Mes_Constante!$CP$1</f>
        <v>9279.4948955916461</v>
      </c>
      <c r="CY138" s="8">
        <f>+MINVU_Mes_Corriente!CY138*MINVU_Mes_Constante!$CP$1</f>
        <v>9279.4948955916461</v>
      </c>
      <c r="CZ138" s="8">
        <f>+MINVU_Mes_Corriente!CZ138*MINVU_Mes_Constante!$CP$1</f>
        <v>17051.91160092807</v>
      </c>
      <c r="DA138" s="8">
        <f>+MINVU_Mes_Corriente!DA138*MINVU_Mes_Constante!$CP$1</f>
        <v>17173.593271461712</v>
      </c>
      <c r="DB138" s="9">
        <f t="shared" si="102"/>
        <v>17173.593271461712</v>
      </c>
      <c r="DC138" s="8">
        <f>+MINVU_Mes_Corriente!DC138*MINVU_Mes_Constante!$DC$1</f>
        <v>0</v>
      </c>
      <c r="DD138" s="8">
        <f>+MINVU_Mes_Corriente!DD138*MINVU_Mes_Constante!$DC$1</f>
        <v>0</v>
      </c>
      <c r="DE138" s="8">
        <f>+MINVU_Mes_Corriente!DE138*MINVU_Mes_Constante!$DC$1</f>
        <v>0</v>
      </c>
      <c r="DF138" s="8">
        <f>+MINVU_Mes_Corriente!DF138*MINVU_Mes_Constante!$DC$1</f>
        <v>0</v>
      </c>
      <c r="DG138" s="8">
        <f>+MINVU_Mes_Corriente!DG138*MINVU_Mes_Constante!$DC$1</f>
        <v>0</v>
      </c>
      <c r="DH138" s="8">
        <f>+MINVU_Mes_Corriente!DH138*MINVU_Mes_Constante!$DC$1</f>
        <v>0</v>
      </c>
      <c r="DI138" s="8">
        <f>+MINVU_Mes_Corriente!DI138*MINVU_Mes_Constante!$DC$1</f>
        <v>0</v>
      </c>
      <c r="DJ138" s="8">
        <f>+MINVU_Mes_Corriente!DJ138*MINVU_Mes_Constante!$DC$1</f>
        <v>0</v>
      </c>
      <c r="DK138" s="8">
        <f>+MINVU_Mes_Corriente!DK138*MINVU_Mes_Constante!$DC$1</f>
        <v>0</v>
      </c>
      <c r="DL138" s="8">
        <f>+MINVU_Mes_Corriente!DL138*MINVU_Mes_Constante!$DC$1</f>
        <v>0</v>
      </c>
      <c r="DM138" s="8">
        <f>+MINVU_Mes_Corriente!DM138*MINVU_Mes_Constante!$DC$1</f>
        <v>0</v>
      </c>
      <c r="DN138" s="8">
        <f>+MINVU_Mes_Corriente!DN138*MINVU_Mes_Constante!$DC$1</f>
        <v>0</v>
      </c>
      <c r="DO138" s="9">
        <f t="shared" si="103"/>
        <v>0</v>
      </c>
      <c r="DP138" s="8">
        <f>+MINVU_Mes_Corriente!DP138*MINVU_Mes_Constante!$DP$1</f>
        <v>0</v>
      </c>
      <c r="DQ138" s="8">
        <f>+MINVU_Mes_Corriente!DQ138*MINVU_Mes_Constante!$DP$1</f>
        <v>0</v>
      </c>
      <c r="DR138" s="8">
        <f>+MINVU_Mes_Corriente!DR138*MINVU_Mes_Constante!$DP$1</f>
        <v>0</v>
      </c>
      <c r="DS138" s="8">
        <f>+MINVU_Mes_Corriente!DS138*MINVU_Mes_Constante!$DP$1</f>
        <v>0</v>
      </c>
      <c r="DT138" s="8">
        <f>+MINVU_Mes_Corriente!DT138*MINVU_Mes_Constante!$DP$1</f>
        <v>0</v>
      </c>
      <c r="DU138" s="8">
        <f>+MINVU_Mes_Corriente!DU138*MINVU_Mes_Constante!$DP$1</f>
        <v>0</v>
      </c>
      <c r="DV138" s="8">
        <f>+MINVU_Mes_Corriente!DV138*MINVU_Mes_Constante!$DP$1</f>
        <v>0</v>
      </c>
      <c r="DW138" s="8">
        <f>+MINVU_Mes_Corriente!DW138*MINVU_Mes_Constante!$DP$1</f>
        <v>0</v>
      </c>
      <c r="DX138" s="8">
        <f>+MINVU_Mes_Corriente!DX138*MINVU_Mes_Constante!$DP$1</f>
        <v>0</v>
      </c>
      <c r="DY138" s="8">
        <f>+MINVU_Mes_Corriente!DY138*MINVU_Mes_Constante!$DP$1</f>
        <v>0</v>
      </c>
      <c r="DZ138" s="8">
        <f>+MINVU_Mes_Corriente!DZ138*MINVU_Mes_Constante!$DP$1</f>
        <v>0</v>
      </c>
      <c r="EA138" s="8">
        <f>+MINVU_Mes_Corriente!EA138*MINVU_Mes_Constante!$DP$1</f>
        <v>0</v>
      </c>
      <c r="EB138" s="9">
        <f t="shared" si="104"/>
        <v>0</v>
      </c>
      <c r="EC138" s="8">
        <f>+MINVU_Mes_Corriente!EC138*MINVU_Mes_Constante!$EC$1</f>
        <v>0</v>
      </c>
      <c r="ED138" s="8">
        <f>+MINVU_Mes_Corriente!ED138*MINVU_Mes_Constante!$EC$1</f>
        <v>0</v>
      </c>
      <c r="EE138" s="8">
        <f>+MINVU_Mes_Corriente!EE138*MINVU_Mes_Constante!$EC$1</f>
        <v>0</v>
      </c>
      <c r="EF138" s="8">
        <f>+MINVU_Mes_Corriente!EF138*MINVU_Mes_Constante!$EC$1</f>
        <v>0</v>
      </c>
      <c r="EG138" s="8">
        <f>+MINVU_Mes_Corriente!EG138*MINVU_Mes_Constante!$EC$1</f>
        <v>0</v>
      </c>
      <c r="EH138" s="8">
        <f>+MINVU_Mes_Corriente!EH138*MINVU_Mes_Constante!$EC$1</f>
        <v>0</v>
      </c>
      <c r="EI138" s="8">
        <f>+MINVU_Mes_Corriente!EI138*MINVU_Mes_Constante!$EC$1</f>
        <v>0</v>
      </c>
      <c r="EJ138" s="8">
        <f>+MINVU_Mes_Corriente!EJ138*MINVU_Mes_Constante!$EC$1</f>
        <v>6954.6958909297464</v>
      </c>
      <c r="EK138" s="8">
        <f>+MINVU_Mes_Corriente!EK138*MINVU_Mes_Constante!$EC$1</f>
        <v>6954.6958909297464</v>
      </c>
      <c r="EL138" s="8">
        <f>+MINVU_Mes_Corriente!EL138*MINVU_Mes_Constante!$EC$1</f>
        <v>6954.6958909297464</v>
      </c>
      <c r="EM138" s="8">
        <f>+MINVU_Mes_Corriente!EM138*MINVU_Mes_Constante!$EC$1</f>
        <v>8459.839803067598</v>
      </c>
      <c r="EN138" s="8">
        <f>+MINVU_Mes_Corriente!EN138*MINVU_Mes_Constante!$EC$1</f>
        <v>8574.6652149214133</v>
      </c>
      <c r="EO138" s="9">
        <f t="shared" si="105"/>
        <v>8574.6652149214133</v>
      </c>
      <c r="EP138" s="8">
        <f>+MINVU_Mes_Corriente!EP138*MINVU_Mes_Constante!$EP$1</f>
        <v>0</v>
      </c>
      <c r="EQ138" s="8">
        <f>+MINVU_Mes_Corriente!EQ138*MINVU_Mes_Constante!$EP$1</f>
        <v>0</v>
      </c>
      <c r="ER138" s="8">
        <f>+MINVU_Mes_Corriente!ER138*MINVU_Mes_Constante!$EP$1</f>
        <v>0</v>
      </c>
      <c r="ES138" s="8">
        <f>+MINVU_Mes_Corriente!ES138*MINVU_Mes_Constante!$EP$1</f>
        <v>3960</v>
      </c>
      <c r="ET138" s="8">
        <f>+MINVU_Mes_Corriente!ET138*MINVU_Mes_Constante!$EP$1</f>
        <v>3960</v>
      </c>
      <c r="EU138" s="8">
        <f>+MINVU_Mes_Corriente!EU138*MINVU_Mes_Constante!$EP$1</f>
        <v>3960</v>
      </c>
      <c r="EV138" s="8">
        <f>+MINVU_Mes_Corriente!EV138*MINVU_Mes_Constante!$EP$1</f>
        <v>3960</v>
      </c>
      <c r="EW138" s="8">
        <f>+MINVU_Mes_Corriente!EW138*MINVU_Mes_Constante!$EP$1</f>
        <v>3960</v>
      </c>
      <c r="EX138" s="8">
        <f>+MINVU_Mes_Corriente!EX138*MINVU_Mes_Constante!$EP$1</f>
        <v>3960</v>
      </c>
      <c r="EY138" s="8">
        <f>+MINVU_Mes_Corriente!EY138*MINVU_Mes_Constante!$EP$1</f>
        <v>3960</v>
      </c>
      <c r="EZ138" s="8">
        <f>+MINVU_Mes_Corriente!EZ138*MINVU_Mes_Constante!$EP$1</f>
        <v>3960</v>
      </c>
      <c r="FA138" s="8">
        <f>+MINVU_Mes_Corriente!FA138*MINVU_Mes_Constante!$EP$1</f>
        <v>21799960</v>
      </c>
      <c r="FB138" s="9">
        <f t="shared" si="106"/>
        <v>21799960</v>
      </c>
      <c r="FC138" s="8">
        <f>+MINVU_Mes_Corriente!FC138*MINVU_Mes_Constante!$FC$1</f>
        <v>0</v>
      </c>
      <c r="FD138" s="8">
        <f>+MINVU_Mes_Corriente!FD138*MINVU_Mes_Constante!$FC$1</f>
        <v>0</v>
      </c>
      <c r="FE138" s="8">
        <f>+MINVU_Mes_Corriente!FE138*MINVU_Mes_Constante!$FC$1</f>
        <v>0</v>
      </c>
      <c r="FF138" s="8">
        <f>+MINVU_Mes_Corriente!FF138*MINVU_Mes_Constante!$FC$1</f>
        <v>0</v>
      </c>
      <c r="FG138" s="8">
        <f>+MINVU_Mes_Corriente!FG138*MINVU_Mes_Constante!$FC$1</f>
        <v>0</v>
      </c>
      <c r="FH138" s="8">
        <f>+MINVU_Mes_Corriente!FH138*MINVU_Mes_Constante!$FC$1</f>
        <v>0</v>
      </c>
      <c r="FI138" s="8">
        <f>+MINVU_Mes_Corriente!FI138*MINVU_Mes_Constante!$FC$1</f>
        <v>0</v>
      </c>
      <c r="FJ138" s="8"/>
      <c r="FK138" s="8"/>
      <c r="FL138" s="8"/>
      <c r="FM138" s="8"/>
      <c r="FN138" s="8"/>
      <c r="FO138" s="9">
        <f t="shared" si="107"/>
        <v>0</v>
      </c>
    </row>
    <row r="139" spans="2:171" ht="14.25" customHeight="1" thickBot="1" x14ac:dyDescent="0.35">
      <c r="B139" s="14" t="s">
        <v>72</v>
      </c>
      <c r="C139" s="16">
        <f t="shared" ref="C139:AH139" si="108">SUM(C121:C138)</f>
        <v>684437.82470710378</v>
      </c>
      <c r="D139" s="16">
        <f t="shared" si="108"/>
        <v>727077.25671066297</v>
      </c>
      <c r="E139" s="16">
        <f t="shared" si="108"/>
        <v>740759.46700281778</v>
      </c>
      <c r="F139" s="16">
        <f t="shared" si="108"/>
        <v>824664.2767314252</v>
      </c>
      <c r="G139" s="16">
        <f t="shared" si="108"/>
        <v>1122482.4398635626</v>
      </c>
      <c r="H139" s="16">
        <f t="shared" si="108"/>
        <v>1308540.407533739</v>
      </c>
      <c r="I139" s="16">
        <f t="shared" si="108"/>
        <v>1750948.6172326861</v>
      </c>
      <c r="J139" s="16">
        <f t="shared" si="108"/>
        <v>2768516.8278214443</v>
      </c>
      <c r="K139" s="16">
        <f t="shared" si="108"/>
        <v>4612837.9424588466</v>
      </c>
      <c r="L139" s="16">
        <f t="shared" si="108"/>
        <v>5822533.9406792251</v>
      </c>
      <c r="M139" s="16">
        <f t="shared" si="108"/>
        <v>67952711.999110192</v>
      </c>
      <c r="N139" s="16">
        <f t="shared" si="108"/>
        <v>87211424.35978052</v>
      </c>
      <c r="O139" s="16">
        <f t="shared" si="108"/>
        <v>87211424.35978052</v>
      </c>
      <c r="P139" s="16">
        <f t="shared" si="108"/>
        <v>232208.93223469233</v>
      </c>
      <c r="Q139" s="16">
        <f t="shared" si="108"/>
        <v>895082.94161102385</v>
      </c>
      <c r="R139" s="16">
        <f t="shared" si="108"/>
        <v>1120769.4911208972</v>
      </c>
      <c r="S139" s="16">
        <f t="shared" si="108"/>
        <v>4335003.4232135229</v>
      </c>
      <c r="T139" s="16">
        <f t="shared" si="108"/>
        <v>5943565.4959511282</v>
      </c>
      <c r="U139" s="16">
        <f t="shared" si="108"/>
        <v>12711681.551072592</v>
      </c>
      <c r="V139" s="16">
        <f t="shared" si="108"/>
        <v>13321673.347918732</v>
      </c>
      <c r="W139" s="16">
        <f t="shared" si="108"/>
        <v>16224563.622389536</v>
      </c>
      <c r="X139" s="16">
        <f t="shared" si="108"/>
        <v>22030089.609035362</v>
      </c>
      <c r="Y139" s="16">
        <f t="shared" si="108"/>
        <v>23325959.154425334</v>
      </c>
      <c r="Z139" s="16">
        <f t="shared" si="108"/>
        <v>32974719.222900968</v>
      </c>
      <c r="AA139" s="16">
        <f t="shared" si="108"/>
        <v>69645276.301747382</v>
      </c>
      <c r="AB139" s="16">
        <f t="shared" si="108"/>
        <v>69645276.301747382</v>
      </c>
      <c r="AC139" s="16">
        <f t="shared" si="108"/>
        <v>10076.586249827085</v>
      </c>
      <c r="AD139" s="16">
        <f t="shared" si="108"/>
        <v>461378.27334347769</v>
      </c>
      <c r="AE139" s="16">
        <f t="shared" si="108"/>
        <v>864890.6128095173</v>
      </c>
      <c r="AF139" s="16">
        <f t="shared" si="108"/>
        <v>1179890.1098353849</v>
      </c>
      <c r="AG139" s="16">
        <f t="shared" si="108"/>
        <v>2769022.3234195602</v>
      </c>
      <c r="AH139" s="16">
        <f t="shared" si="108"/>
        <v>3998043.9150643237</v>
      </c>
      <c r="AI139" s="16">
        <f t="shared" ref="AI139:BN139" si="109">SUM(AI121:AI138)</f>
        <v>5301091.4616129464</v>
      </c>
      <c r="AJ139" s="16">
        <f t="shared" si="109"/>
        <v>9041141.8198920991</v>
      </c>
      <c r="AK139" s="16">
        <f t="shared" si="109"/>
        <v>15318501.383040531</v>
      </c>
      <c r="AL139" s="16">
        <f t="shared" si="109"/>
        <v>22158559.770369343</v>
      </c>
      <c r="AM139" s="16">
        <f t="shared" si="109"/>
        <v>25156515.724996533</v>
      </c>
      <c r="AN139" s="16">
        <f t="shared" si="109"/>
        <v>40219136.505740762</v>
      </c>
      <c r="AO139" s="16">
        <f t="shared" si="109"/>
        <v>40219136.505740762</v>
      </c>
      <c r="AP139" s="16">
        <f t="shared" si="109"/>
        <v>357.64804544839711</v>
      </c>
      <c r="AQ139" s="16">
        <f t="shared" si="109"/>
        <v>857672.52644393349</v>
      </c>
      <c r="AR139" s="16">
        <f t="shared" si="109"/>
        <v>1006671.3623698092</v>
      </c>
      <c r="AS139" s="16">
        <f t="shared" si="109"/>
        <v>1806922.165020965</v>
      </c>
      <c r="AT139" s="16">
        <f t="shared" si="109"/>
        <v>3259119.5401055044</v>
      </c>
      <c r="AU139" s="16">
        <f t="shared" si="109"/>
        <v>4149329.1713783308</v>
      </c>
      <c r="AV139" s="16">
        <f t="shared" si="109"/>
        <v>4605705.811984309</v>
      </c>
      <c r="AW139" s="16">
        <f t="shared" si="109"/>
        <v>5332616.5970512656</v>
      </c>
      <c r="AX139" s="16">
        <f t="shared" si="109"/>
        <v>5609217.4573244946</v>
      </c>
      <c r="AY139" s="16">
        <f t="shared" si="109"/>
        <v>6819106.8037332613</v>
      </c>
      <c r="AZ139" s="16">
        <f t="shared" si="109"/>
        <v>7936442.1563641289</v>
      </c>
      <c r="BA139" s="16">
        <f t="shared" si="109"/>
        <v>50874454.627620719</v>
      </c>
      <c r="BB139" s="16">
        <f t="shared" si="109"/>
        <v>50874454.627620719</v>
      </c>
      <c r="BC139" s="16">
        <f t="shared" si="109"/>
        <v>3687.1467756824486</v>
      </c>
      <c r="BD139" s="16">
        <f t="shared" si="109"/>
        <v>155769.34379533169</v>
      </c>
      <c r="BE139" s="16">
        <f t="shared" si="109"/>
        <v>1223183.2063826979</v>
      </c>
      <c r="BF139" s="16">
        <f t="shared" si="109"/>
        <v>1340269.9282605834</v>
      </c>
      <c r="BG139" s="16">
        <f t="shared" si="109"/>
        <v>1764698.1284452067</v>
      </c>
      <c r="BH139" s="16">
        <f t="shared" si="109"/>
        <v>6900105.439535805</v>
      </c>
      <c r="BI139" s="16">
        <f t="shared" si="109"/>
        <v>7217345.5885533448</v>
      </c>
      <c r="BJ139" s="16">
        <f t="shared" si="109"/>
        <v>7476065.4303046279</v>
      </c>
      <c r="BK139" s="16">
        <f t="shared" si="109"/>
        <v>7869790.4610312553</v>
      </c>
      <c r="BL139" s="16">
        <f t="shared" si="109"/>
        <v>8201142.3394434936</v>
      </c>
      <c r="BM139" s="16">
        <f t="shared" si="109"/>
        <v>8750679.9396017436</v>
      </c>
      <c r="BN139" s="16">
        <f t="shared" si="109"/>
        <v>20377681.610180669</v>
      </c>
      <c r="BO139" s="16">
        <f t="shared" ref="BO139:CT139" si="110">SUM(BO121:BO138)</f>
        <v>20377681.610180669</v>
      </c>
      <c r="BP139" s="16">
        <f t="shared" si="110"/>
        <v>79694.048143405889</v>
      </c>
      <c r="BQ139" s="16">
        <f t="shared" si="110"/>
        <v>185397.85198463511</v>
      </c>
      <c r="BR139" s="16">
        <f t="shared" si="110"/>
        <v>1343921.7825864274</v>
      </c>
      <c r="BS139" s="16">
        <f t="shared" si="110"/>
        <v>1876003.9928297051</v>
      </c>
      <c r="BT139" s="16">
        <f t="shared" si="110"/>
        <v>4931855.1034571063</v>
      </c>
      <c r="BU139" s="16">
        <f t="shared" si="110"/>
        <v>5258247.3195902705</v>
      </c>
      <c r="BV139" s="16">
        <f t="shared" si="110"/>
        <v>6457286.9846350839</v>
      </c>
      <c r="BW139" s="16">
        <f t="shared" si="110"/>
        <v>6704561.5306017939</v>
      </c>
      <c r="BX139" s="16">
        <f t="shared" si="110"/>
        <v>30003876.00921895</v>
      </c>
      <c r="BY139" s="16">
        <f t="shared" si="110"/>
        <v>36687581.610499367</v>
      </c>
      <c r="BZ139" s="16">
        <f t="shared" si="110"/>
        <v>43304627.419974394</v>
      </c>
      <c r="CA139" s="16">
        <f t="shared" si="110"/>
        <v>60823128.201280415</v>
      </c>
      <c r="CB139" s="16">
        <f t="shared" si="110"/>
        <v>60823128.201280415</v>
      </c>
      <c r="CC139" s="16">
        <f t="shared" si="110"/>
        <v>8427.8135024244693</v>
      </c>
      <c r="CD139" s="16">
        <f t="shared" si="110"/>
        <v>1172809.5822454307</v>
      </c>
      <c r="CE139" s="16">
        <f t="shared" si="110"/>
        <v>1194551.5479298772</v>
      </c>
      <c r="CF139" s="16">
        <f t="shared" si="110"/>
        <v>1398231.8582618427</v>
      </c>
      <c r="CG139" s="16">
        <f t="shared" si="110"/>
        <v>2048935.4054457291</v>
      </c>
      <c r="CH139" s="16">
        <f t="shared" si="110"/>
        <v>2128378.8228273029</v>
      </c>
      <c r="CI139" s="16">
        <f t="shared" si="110"/>
        <v>2714285.7426333455</v>
      </c>
      <c r="CJ139" s="16">
        <f t="shared" si="110"/>
        <v>3757747.9492726596</v>
      </c>
      <c r="CK139" s="16">
        <f t="shared" si="110"/>
        <v>3948207.8403580757</v>
      </c>
      <c r="CL139" s="16">
        <f t="shared" si="110"/>
        <v>6866259.4755688179</v>
      </c>
      <c r="CM139" s="16">
        <f t="shared" si="110"/>
        <v>17740740.322267815</v>
      </c>
      <c r="CN139" s="16">
        <f t="shared" si="110"/>
        <v>39571018.733308464</v>
      </c>
      <c r="CO139" s="16">
        <f t="shared" si="110"/>
        <v>39571018.733308464</v>
      </c>
      <c r="CP139" s="16">
        <f t="shared" si="110"/>
        <v>36844.19582366589</v>
      </c>
      <c r="CQ139" s="16">
        <f t="shared" si="110"/>
        <v>492637.11577726208</v>
      </c>
      <c r="CR139" s="16">
        <f t="shared" si="110"/>
        <v>502255.0378190254</v>
      </c>
      <c r="CS139" s="16">
        <f t="shared" si="110"/>
        <v>609225.90139211132</v>
      </c>
      <c r="CT139" s="16">
        <f t="shared" si="110"/>
        <v>798226.68863109034</v>
      </c>
      <c r="CU139" s="16">
        <f t="shared" ref="CU139:DZ139" si="111">SUM(CU121:CU138)</f>
        <v>2981041.2208816702</v>
      </c>
      <c r="CV139" s="16">
        <f t="shared" si="111"/>
        <v>13227707.664501157</v>
      </c>
      <c r="CW139" s="16">
        <f t="shared" si="111"/>
        <v>15373479.000696054</v>
      </c>
      <c r="CX139" s="16">
        <f t="shared" si="111"/>
        <v>18979545.727378186</v>
      </c>
      <c r="CY139" s="16">
        <f t="shared" si="111"/>
        <v>19991665.977494195</v>
      </c>
      <c r="CZ139" s="16">
        <f t="shared" si="111"/>
        <v>23237677.908584684</v>
      </c>
      <c r="DA139" s="16">
        <f t="shared" si="111"/>
        <v>45262072.950348027</v>
      </c>
      <c r="DB139" s="16">
        <f t="shared" si="111"/>
        <v>45262072.950348027</v>
      </c>
      <c r="DC139" s="16">
        <f t="shared" si="111"/>
        <v>77425.001131570869</v>
      </c>
      <c r="DD139" s="16">
        <f t="shared" si="111"/>
        <v>77762.188663717767</v>
      </c>
      <c r="DE139" s="16">
        <f t="shared" si="111"/>
        <v>233313.54099372504</v>
      </c>
      <c r="DF139" s="16">
        <f t="shared" si="111"/>
        <v>404429.46980763314</v>
      </c>
      <c r="DG139" s="16">
        <f t="shared" si="111"/>
        <v>414158.45406851167</v>
      </c>
      <c r="DH139" s="16">
        <f t="shared" si="111"/>
        <v>438596.68244007835</v>
      </c>
      <c r="DI139" s="16">
        <f t="shared" si="111"/>
        <v>7078868.9675959293</v>
      </c>
      <c r="DJ139" s="16">
        <f t="shared" si="111"/>
        <v>8673299.5518979561</v>
      </c>
      <c r="DK139" s="16">
        <f t="shared" si="111"/>
        <v>11183605.654768033</v>
      </c>
      <c r="DL139" s="16">
        <f t="shared" si="111"/>
        <v>11302845.281761141</v>
      </c>
      <c r="DM139" s="16">
        <f t="shared" si="111"/>
        <v>11907577.633165317</v>
      </c>
      <c r="DN139" s="16">
        <f t="shared" si="111"/>
        <v>214071523.10297304</v>
      </c>
      <c r="DO139" s="16">
        <f t="shared" si="111"/>
        <v>214071523.10297304</v>
      </c>
      <c r="DP139" s="16">
        <f t="shared" si="111"/>
        <v>1352607.2244655583</v>
      </c>
      <c r="DQ139" s="16">
        <f t="shared" si="111"/>
        <v>1506015.660926366</v>
      </c>
      <c r="DR139" s="16">
        <f t="shared" si="111"/>
        <v>1549856.9928741094</v>
      </c>
      <c r="DS139" s="16">
        <f t="shared" si="111"/>
        <v>1603679.2214964372</v>
      </c>
      <c r="DT139" s="16">
        <f t="shared" si="111"/>
        <v>5946906.9602137776</v>
      </c>
      <c r="DU139" s="16">
        <f t="shared" si="111"/>
        <v>6122769.7108076019</v>
      </c>
      <c r="DV139" s="16">
        <f t="shared" si="111"/>
        <v>6154588.5498812357</v>
      </c>
      <c r="DW139" s="16">
        <f t="shared" si="111"/>
        <v>6365279.5475059394</v>
      </c>
      <c r="DX139" s="16">
        <f t="shared" si="111"/>
        <v>6411104.0825415682</v>
      </c>
      <c r="DY139" s="16">
        <f t="shared" si="111"/>
        <v>6598301.5849168655</v>
      </c>
      <c r="DZ139" s="16">
        <f t="shared" si="111"/>
        <v>7282554.2298099771</v>
      </c>
      <c r="EA139" s="16">
        <f t="shared" ref="EA139:FF139" si="112">SUM(EA121:EA138)</f>
        <v>36109728.201306418</v>
      </c>
      <c r="EB139" s="16">
        <f t="shared" si="112"/>
        <v>36109728.201306418</v>
      </c>
      <c r="EC139" s="16">
        <f t="shared" si="112"/>
        <v>1524077.6915356936</v>
      </c>
      <c r="ED139" s="16">
        <f t="shared" si="112"/>
        <v>1524077.6915356936</v>
      </c>
      <c r="EE139" s="16">
        <f t="shared" si="112"/>
        <v>1666806.7129331562</v>
      </c>
      <c r="EF139" s="16">
        <f t="shared" si="112"/>
        <v>1687997.6909676192</v>
      </c>
      <c r="EG139" s="16">
        <f t="shared" si="112"/>
        <v>1813720.1378526788</v>
      </c>
      <c r="EH139" s="16">
        <f t="shared" si="112"/>
        <v>1821452.7500473389</v>
      </c>
      <c r="EI139" s="16">
        <f t="shared" si="112"/>
        <v>8222774.9818216236</v>
      </c>
      <c r="EJ139" s="16">
        <f t="shared" si="112"/>
        <v>8421620.5267941635</v>
      </c>
      <c r="EK139" s="16">
        <f t="shared" si="112"/>
        <v>8469382.7258095015</v>
      </c>
      <c r="EL139" s="16">
        <f t="shared" si="112"/>
        <v>8587070.4972543046</v>
      </c>
      <c r="EM139" s="16">
        <f t="shared" si="112"/>
        <v>10924098.656693807</v>
      </c>
      <c r="EN139" s="16">
        <f t="shared" si="112"/>
        <v>19719204.869721632</v>
      </c>
      <c r="EO139" s="16">
        <f t="shared" si="112"/>
        <v>19719204.869721632</v>
      </c>
      <c r="EP139" s="16">
        <f t="shared" si="112"/>
        <v>0</v>
      </c>
      <c r="EQ139" s="16">
        <f t="shared" si="112"/>
        <v>757870</v>
      </c>
      <c r="ER139" s="16">
        <f t="shared" si="112"/>
        <v>840115</v>
      </c>
      <c r="ES139" s="16">
        <f t="shared" si="112"/>
        <v>868223</v>
      </c>
      <c r="ET139" s="16">
        <f t="shared" si="112"/>
        <v>926963</v>
      </c>
      <c r="EU139" s="16">
        <f t="shared" si="112"/>
        <v>963380</v>
      </c>
      <c r="EV139" s="16">
        <f t="shared" si="112"/>
        <v>1034533</v>
      </c>
      <c r="EW139" s="16">
        <f t="shared" si="112"/>
        <v>2263041</v>
      </c>
      <c r="EX139" s="16">
        <f t="shared" si="112"/>
        <v>2326135</v>
      </c>
      <c r="EY139" s="16">
        <f t="shared" si="112"/>
        <v>3001496</v>
      </c>
      <c r="EZ139" s="16">
        <f t="shared" si="112"/>
        <v>3233477</v>
      </c>
      <c r="FA139" s="16">
        <f t="shared" si="112"/>
        <v>36971438</v>
      </c>
      <c r="FB139" s="16">
        <f t="shared" si="112"/>
        <v>36971438</v>
      </c>
      <c r="FC139" s="16">
        <f t="shared" si="112"/>
        <v>1719166</v>
      </c>
      <c r="FD139" s="16">
        <f t="shared" si="112"/>
        <v>1719166</v>
      </c>
      <c r="FE139" s="16">
        <f t="shared" si="112"/>
        <v>1866021</v>
      </c>
      <c r="FF139" s="16">
        <f t="shared" si="112"/>
        <v>1873924</v>
      </c>
      <c r="FG139" s="16">
        <f t="shared" ref="FG139:GL139" si="113">SUM(FG121:FG138)</f>
        <v>1910136</v>
      </c>
      <c r="FH139" s="16">
        <f t="shared" si="113"/>
        <v>1978750</v>
      </c>
      <c r="FI139" s="16">
        <f t="shared" si="113"/>
        <v>1989460</v>
      </c>
      <c r="FJ139" s="16">
        <f t="shared" si="113"/>
        <v>0</v>
      </c>
      <c r="FK139" s="16">
        <f t="shared" si="113"/>
        <v>0</v>
      </c>
      <c r="FL139" s="16">
        <f t="shared" si="113"/>
        <v>0</v>
      </c>
      <c r="FM139" s="16">
        <f t="shared" si="113"/>
        <v>0</v>
      </c>
      <c r="FN139" s="16">
        <f t="shared" si="113"/>
        <v>0</v>
      </c>
      <c r="FO139" s="16">
        <f t="shared" si="113"/>
        <v>1989460</v>
      </c>
    </row>
    <row r="140" spans="2:171" ht="14.25" customHeight="1" thickTop="1" x14ac:dyDescent="0.3"/>
    <row r="141" spans="2:171" ht="14.25" customHeight="1" x14ac:dyDescent="0.3"/>
    <row r="142" spans="2:171" ht="14.25" customHeight="1" x14ac:dyDescent="0.35">
      <c r="B142" s="3" t="s">
        <v>73</v>
      </c>
    </row>
    <row r="143" spans="2:171" ht="14.25" customHeight="1" x14ac:dyDescent="0.3">
      <c r="B143" s="4" t="s">
        <v>74</v>
      </c>
    </row>
    <row r="144" spans="2:171" ht="14.25" customHeight="1" x14ac:dyDescent="0.3">
      <c r="C144" s="33" t="s">
        <v>4</v>
      </c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3" t="s">
        <v>5</v>
      </c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3" t="s">
        <v>6</v>
      </c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3" t="s">
        <v>7</v>
      </c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3" t="s">
        <v>8</v>
      </c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3" t="s">
        <v>9</v>
      </c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3" t="s">
        <v>10</v>
      </c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3" t="s">
        <v>11</v>
      </c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3" t="s">
        <v>12</v>
      </c>
      <c r="DD144" s="34"/>
      <c r="DE144" s="34"/>
      <c r="DF144" s="34"/>
      <c r="DG144" s="34"/>
      <c r="DH144" s="34"/>
      <c r="DI144" s="34"/>
      <c r="DJ144" s="34"/>
      <c r="DK144" s="34"/>
      <c r="DL144" s="34"/>
      <c r="DM144" s="34"/>
      <c r="DN144" s="34"/>
      <c r="DO144" s="34"/>
      <c r="DP144" s="33" t="s">
        <v>13</v>
      </c>
      <c r="DQ144" s="34"/>
      <c r="DR144" s="34"/>
      <c r="DS144" s="34"/>
      <c r="DT144" s="34"/>
      <c r="DU144" s="34"/>
      <c r="DV144" s="34"/>
      <c r="DW144" s="34"/>
      <c r="DX144" s="34"/>
      <c r="DY144" s="34"/>
      <c r="DZ144" s="34"/>
      <c r="EA144" s="34"/>
      <c r="EB144" s="34"/>
      <c r="EC144" s="33" t="s">
        <v>14</v>
      </c>
      <c r="ED144" s="34"/>
      <c r="EE144" s="34"/>
      <c r="EF144" s="34"/>
      <c r="EG144" s="34"/>
      <c r="EH144" s="34"/>
      <c r="EI144" s="34"/>
      <c r="EJ144" s="34"/>
      <c r="EK144" s="34"/>
      <c r="EL144" s="34"/>
      <c r="EM144" s="34"/>
      <c r="EN144" s="34"/>
      <c r="EO144" s="34"/>
      <c r="EP144" s="33" t="s">
        <v>15</v>
      </c>
      <c r="EQ144" s="34"/>
      <c r="ER144" s="34"/>
      <c r="ES144" s="34"/>
      <c r="ET144" s="34"/>
      <c r="EU144" s="34"/>
      <c r="EV144" s="34"/>
      <c r="EW144" s="34"/>
      <c r="EX144" s="34"/>
      <c r="EY144" s="34"/>
      <c r="EZ144" s="34"/>
      <c r="FA144" s="34"/>
      <c r="FB144" s="34"/>
      <c r="FC144" s="33" t="s">
        <v>16</v>
      </c>
      <c r="FD144" s="34"/>
      <c r="FE144" s="34"/>
      <c r="FF144" s="34"/>
      <c r="FG144" s="34"/>
      <c r="FH144" s="34"/>
      <c r="FI144" s="34"/>
      <c r="FJ144" s="34"/>
      <c r="FK144" s="34"/>
      <c r="FL144" s="34"/>
      <c r="FM144" s="34"/>
      <c r="FN144" s="34"/>
      <c r="FO144" s="34"/>
    </row>
    <row r="145" spans="2:171" ht="14.25" customHeight="1" x14ac:dyDescent="0.3">
      <c r="B145" s="5" t="s">
        <v>17</v>
      </c>
      <c r="C145" s="6" t="s">
        <v>18</v>
      </c>
      <c r="D145" s="6" t="s">
        <v>19</v>
      </c>
      <c r="E145" s="6" t="s">
        <v>20</v>
      </c>
      <c r="F145" s="6" t="s">
        <v>21</v>
      </c>
      <c r="G145" s="6" t="s">
        <v>22</v>
      </c>
      <c r="H145" s="6" t="s">
        <v>23</v>
      </c>
      <c r="I145" s="6" t="s">
        <v>24</v>
      </c>
      <c r="J145" s="6" t="s">
        <v>25</v>
      </c>
      <c r="K145" s="6" t="s">
        <v>26</v>
      </c>
      <c r="L145" s="6" t="s">
        <v>27</v>
      </c>
      <c r="M145" s="6" t="s">
        <v>28</v>
      </c>
      <c r="N145" s="6" t="s">
        <v>29</v>
      </c>
      <c r="O145" s="6" t="s">
        <v>30</v>
      </c>
      <c r="P145" s="6" t="s">
        <v>18</v>
      </c>
      <c r="Q145" s="6" t="s">
        <v>19</v>
      </c>
      <c r="R145" s="6" t="s">
        <v>20</v>
      </c>
      <c r="S145" s="6" t="s">
        <v>21</v>
      </c>
      <c r="T145" s="6" t="s">
        <v>22</v>
      </c>
      <c r="U145" s="6" t="s">
        <v>23</v>
      </c>
      <c r="V145" s="6" t="s">
        <v>24</v>
      </c>
      <c r="W145" s="6" t="s">
        <v>25</v>
      </c>
      <c r="X145" s="6" t="s">
        <v>26</v>
      </c>
      <c r="Y145" s="6" t="s">
        <v>27</v>
      </c>
      <c r="Z145" s="6" t="s">
        <v>28</v>
      </c>
      <c r="AA145" s="6" t="s">
        <v>29</v>
      </c>
      <c r="AB145" s="6" t="s">
        <v>31</v>
      </c>
      <c r="AC145" s="6" t="s">
        <v>18</v>
      </c>
      <c r="AD145" s="6" t="s">
        <v>19</v>
      </c>
      <c r="AE145" s="6" t="s">
        <v>20</v>
      </c>
      <c r="AF145" s="6" t="s">
        <v>21</v>
      </c>
      <c r="AG145" s="6" t="s">
        <v>22</v>
      </c>
      <c r="AH145" s="6" t="s">
        <v>23</v>
      </c>
      <c r="AI145" s="6" t="s">
        <v>24</v>
      </c>
      <c r="AJ145" s="6" t="s">
        <v>25</v>
      </c>
      <c r="AK145" s="6" t="s">
        <v>26</v>
      </c>
      <c r="AL145" s="6" t="s">
        <v>27</v>
      </c>
      <c r="AM145" s="6" t="s">
        <v>28</v>
      </c>
      <c r="AN145" s="6" t="s">
        <v>29</v>
      </c>
      <c r="AO145" s="6" t="s">
        <v>32</v>
      </c>
      <c r="AP145" s="6" t="s">
        <v>18</v>
      </c>
      <c r="AQ145" s="6" t="s">
        <v>19</v>
      </c>
      <c r="AR145" s="6" t="s">
        <v>20</v>
      </c>
      <c r="AS145" s="6" t="s">
        <v>21</v>
      </c>
      <c r="AT145" s="6" t="s">
        <v>22</v>
      </c>
      <c r="AU145" s="6" t="s">
        <v>23</v>
      </c>
      <c r="AV145" s="6" t="s">
        <v>24</v>
      </c>
      <c r="AW145" s="6" t="s">
        <v>25</v>
      </c>
      <c r="AX145" s="6" t="s">
        <v>26</v>
      </c>
      <c r="AY145" s="6" t="s">
        <v>27</v>
      </c>
      <c r="AZ145" s="6" t="s">
        <v>28</v>
      </c>
      <c r="BA145" s="6" t="s">
        <v>29</v>
      </c>
      <c r="BB145" s="6" t="s">
        <v>33</v>
      </c>
      <c r="BC145" s="6" t="s">
        <v>18</v>
      </c>
      <c r="BD145" s="6" t="s">
        <v>19</v>
      </c>
      <c r="BE145" s="6" t="s">
        <v>20</v>
      </c>
      <c r="BF145" s="6" t="s">
        <v>21</v>
      </c>
      <c r="BG145" s="6" t="s">
        <v>22</v>
      </c>
      <c r="BH145" s="6" t="s">
        <v>23</v>
      </c>
      <c r="BI145" s="6" t="s">
        <v>24</v>
      </c>
      <c r="BJ145" s="6" t="s">
        <v>25</v>
      </c>
      <c r="BK145" s="6" t="s">
        <v>26</v>
      </c>
      <c r="BL145" s="6" t="s">
        <v>27</v>
      </c>
      <c r="BM145" s="6" t="s">
        <v>28</v>
      </c>
      <c r="BN145" s="6" t="s">
        <v>29</v>
      </c>
      <c r="BO145" s="6" t="s">
        <v>34</v>
      </c>
      <c r="BP145" s="6" t="s">
        <v>18</v>
      </c>
      <c r="BQ145" s="6" t="s">
        <v>19</v>
      </c>
      <c r="BR145" s="6" t="s">
        <v>20</v>
      </c>
      <c r="BS145" s="6" t="s">
        <v>21</v>
      </c>
      <c r="BT145" s="6" t="s">
        <v>22</v>
      </c>
      <c r="BU145" s="6" t="s">
        <v>23</v>
      </c>
      <c r="BV145" s="6" t="s">
        <v>24</v>
      </c>
      <c r="BW145" s="6" t="s">
        <v>25</v>
      </c>
      <c r="BX145" s="6" t="s">
        <v>26</v>
      </c>
      <c r="BY145" s="6" t="s">
        <v>27</v>
      </c>
      <c r="BZ145" s="6" t="s">
        <v>28</v>
      </c>
      <c r="CA145" s="6" t="s">
        <v>29</v>
      </c>
      <c r="CB145" s="6" t="s">
        <v>35</v>
      </c>
      <c r="CC145" s="6" t="s">
        <v>18</v>
      </c>
      <c r="CD145" s="6" t="s">
        <v>19</v>
      </c>
      <c r="CE145" s="6" t="s">
        <v>20</v>
      </c>
      <c r="CF145" s="6" t="s">
        <v>21</v>
      </c>
      <c r="CG145" s="6" t="s">
        <v>22</v>
      </c>
      <c r="CH145" s="6" t="s">
        <v>23</v>
      </c>
      <c r="CI145" s="6" t="s">
        <v>24</v>
      </c>
      <c r="CJ145" s="6" t="s">
        <v>25</v>
      </c>
      <c r="CK145" s="6" t="s">
        <v>26</v>
      </c>
      <c r="CL145" s="6" t="s">
        <v>27</v>
      </c>
      <c r="CM145" s="6" t="s">
        <v>28</v>
      </c>
      <c r="CN145" s="6" t="s">
        <v>29</v>
      </c>
      <c r="CO145" s="6" t="s">
        <v>36</v>
      </c>
      <c r="CP145" s="6" t="s">
        <v>18</v>
      </c>
      <c r="CQ145" s="6" t="s">
        <v>19</v>
      </c>
      <c r="CR145" s="6" t="s">
        <v>20</v>
      </c>
      <c r="CS145" s="6" t="s">
        <v>21</v>
      </c>
      <c r="CT145" s="6" t="s">
        <v>22</v>
      </c>
      <c r="CU145" s="6" t="s">
        <v>23</v>
      </c>
      <c r="CV145" s="6" t="s">
        <v>24</v>
      </c>
      <c r="CW145" s="6" t="s">
        <v>25</v>
      </c>
      <c r="CX145" s="6" t="s">
        <v>26</v>
      </c>
      <c r="CY145" s="6" t="s">
        <v>27</v>
      </c>
      <c r="CZ145" s="6" t="s">
        <v>28</v>
      </c>
      <c r="DA145" s="6" t="s">
        <v>29</v>
      </c>
      <c r="DB145" s="6" t="s">
        <v>37</v>
      </c>
      <c r="DC145" s="6" t="s">
        <v>18</v>
      </c>
      <c r="DD145" s="6" t="s">
        <v>19</v>
      </c>
      <c r="DE145" s="6" t="s">
        <v>20</v>
      </c>
      <c r="DF145" s="6" t="s">
        <v>21</v>
      </c>
      <c r="DG145" s="6" t="s">
        <v>22</v>
      </c>
      <c r="DH145" s="6" t="s">
        <v>23</v>
      </c>
      <c r="DI145" s="6" t="s">
        <v>24</v>
      </c>
      <c r="DJ145" s="6" t="s">
        <v>25</v>
      </c>
      <c r="DK145" s="6" t="s">
        <v>26</v>
      </c>
      <c r="DL145" s="6" t="s">
        <v>27</v>
      </c>
      <c r="DM145" s="6" t="s">
        <v>28</v>
      </c>
      <c r="DN145" s="6" t="s">
        <v>29</v>
      </c>
      <c r="DO145" s="6" t="s">
        <v>38</v>
      </c>
      <c r="DP145" s="6" t="s">
        <v>18</v>
      </c>
      <c r="DQ145" s="6" t="s">
        <v>19</v>
      </c>
      <c r="DR145" s="6" t="s">
        <v>20</v>
      </c>
      <c r="DS145" s="6" t="s">
        <v>21</v>
      </c>
      <c r="DT145" s="6" t="s">
        <v>22</v>
      </c>
      <c r="DU145" s="6" t="s">
        <v>23</v>
      </c>
      <c r="DV145" s="6" t="s">
        <v>24</v>
      </c>
      <c r="DW145" s="6" t="s">
        <v>25</v>
      </c>
      <c r="DX145" s="6" t="s">
        <v>26</v>
      </c>
      <c r="DY145" s="6" t="s">
        <v>27</v>
      </c>
      <c r="DZ145" s="6" t="s">
        <v>28</v>
      </c>
      <c r="EA145" s="6" t="s">
        <v>29</v>
      </c>
      <c r="EB145" s="6" t="s">
        <v>39</v>
      </c>
      <c r="EC145" s="6" t="s">
        <v>18</v>
      </c>
      <c r="ED145" s="6" t="s">
        <v>19</v>
      </c>
      <c r="EE145" s="6" t="s">
        <v>20</v>
      </c>
      <c r="EF145" s="6" t="s">
        <v>21</v>
      </c>
      <c r="EG145" s="6" t="s">
        <v>22</v>
      </c>
      <c r="EH145" s="6" t="s">
        <v>23</v>
      </c>
      <c r="EI145" s="6" t="s">
        <v>24</v>
      </c>
      <c r="EJ145" s="6" t="s">
        <v>25</v>
      </c>
      <c r="EK145" s="6" t="s">
        <v>26</v>
      </c>
      <c r="EL145" s="6" t="s">
        <v>27</v>
      </c>
      <c r="EM145" s="6" t="s">
        <v>28</v>
      </c>
      <c r="EN145" s="6" t="s">
        <v>29</v>
      </c>
      <c r="EO145" s="6" t="s">
        <v>40</v>
      </c>
      <c r="EP145" s="6" t="s">
        <v>18</v>
      </c>
      <c r="EQ145" s="6" t="s">
        <v>19</v>
      </c>
      <c r="ER145" s="6" t="s">
        <v>20</v>
      </c>
      <c r="ES145" s="6" t="s">
        <v>21</v>
      </c>
      <c r="ET145" s="6" t="s">
        <v>22</v>
      </c>
      <c r="EU145" s="6" t="s">
        <v>23</v>
      </c>
      <c r="EV145" s="6" t="s">
        <v>24</v>
      </c>
      <c r="EW145" s="6" t="s">
        <v>25</v>
      </c>
      <c r="EX145" s="6" t="s">
        <v>26</v>
      </c>
      <c r="EY145" s="6" t="s">
        <v>27</v>
      </c>
      <c r="EZ145" s="6" t="s">
        <v>28</v>
      </c>
      <c r="FA145" s="6" t="s">
        <v>29</v>
      </c>
      <c r="FB145" s="6" t="s">
        <v>41</v>
      </c>
      <c r="FC145" s="6" t="s">
        <v>18</v>
      </c>
      <c r="FD145" s="6" t="s">
        <v>19</v>
      </c>
      <c r="FE145" s="6" t="s">
        <v>20</v>
      </c>
      <c r="FF145" s="6" t="s">
        <v>21</v>
      </c>
      <c r="FG145" s="6" t="s">
        <v>22</v>
      </c>
      <c r="FH145" s="6" t="s">
        <v>23</v>
      </c>
      <c r="FI145" s="6" t="s">
        <v>24</v>
      </c>
      <c r="FJ145" s="6" t="s">
        <v>25</v>
      </c>
      <c r="FK145" s="6" t="s">
        <v>26</v>
      </c>
      <c r="FL145" s="6" t="s">
        <v>27</v>
      </c>
      <c r="FM145" s="6" t="s">
        <v>28</v>
      </c>
      <c r="FN145" s="6" t="s">
        <v>29</v>
      </c>
      <c r="FO145" s="6" t="s">
        <v>42</v>
      </c>
    </row>
    <row r="146" spans="2:171" ht="14.25" customHeight="1" x14ac:dyDescent="0.3">
      <c r="B146" s="7" t="s">
        <v>43</v>
      </c>
      <c r="C146" s="8">
        <f>+MINVU_Mes_Corriente!C146*MINVU_Mes_Constante!$C$1</f>
        <v>116592781.62746553</v>
      </c>
      <c r="D146" s="8">
        <f>+MINVU_Mes_Corriente!D146*MINVU_Mes_Constante!$C$1</f>
        <v>116592781.62746553</v>
      </c>
      <c r="E146" s="8">
        <f>+MINVU_Mes_Corriente!E146*MINVU_Mes_Constante!$C$1</f>
        <v>167695999.10336649</v>
      </c>
      <c r="F146" s="8">
        <f>+MINVU_Mes_Corriente!F146*MINVU_Mes_Constante!$C$1</f>
        <v>167695999.10336649</v>
      </c>
      <c r="G146" s="8">
        <f>+MINVU_Mes_Corriente!G146*MINVU_Mes_Constante!$C$1</f>
        <v>167695999.10336649</v>
      </c>
      <c r="H146" s="8">
        <f>+MINVU_Mes_Corriente!H146*MINVU_Mes_Constante!$C$1</f>
        <v>167695999.10336649</v>
      </c>
      <c r="I146" s="8">
        <f>+MINVU_Mes_Corriente!I146*MINVU_Mes_Constante!$C$1</f>
        <v>167695999.10336649</v>
      </c>
      <c r="J146" s="8">
        <f>+MINVU_Mes_Corriente!J146*MINVU_Mes_Constante!$C$1</f>
        <v>167695999.10336649</v>
      </c>
      <c r="K146" s="8">
        <f>+MINVU_Mes_Corriente!K146*MINVU_Mes_Constante!$C$1</f>
        <v>167695999.10336649</v>
      </c>
      <c r="L146" s="8">
        <f>+MINVU_Mes_Corriente!L146*MINVU_Mes_Constante!$C$1</f>
        <v>167695999.10336649</v>
      </c>
      <c r="M146" s="8">
        <f>+MINVU_Mes_Corriente!M146*MINVU_Mes_Constante!$C$1</f>
        <v>167695999.10336649</v>
      </c>
      <c r="N146" s="8">
        <f>+MINVU_Mes_Corriente!N146*MINVU_Mes_Constante!$C$1</f>
        <v>167695999.10336649</v>
      </c>
      <c r="O146" s="9">
        <f t="shared" ref="O146:O163" si="114">N146</f>
        <v>167695999.10336649</v>
      </c>
      <c r="P146" s="8">
        <f>+MINVU_Mes_Corriente!P146*MINVU_Mes_Constante!$P$1</f>
        <v>162350373.0865179</v>
      </c>
      <c r="Q146" s="8">
        <f>+MINVU_Mes_Corriente!Q146*MINVU_Mes_Constante!$P$1</f>
        <v>162350373.0865179</v>
      </c>
      <c r="R146" s="8">
        <f>+MINVU_Mes_Corriente!R146*MINVU_Mes_Constante!$P$1</f>
        <v>162350373.0865179</v>
      </c>
      <c r="S146" s="8">
        <f>+MINVU_Mes_Corriente!S146*MINVU_Mes_Constante!$P$1</f>
        <v>162350373.0865179</v>
      </c>
      <c r="T146" s="8">
        <f>+MINVU_Mes_Corriente!T146*MINVU_Mes_Constante!$P$1</f>
        <v>162350373.0865179</v>
      </c>
      <c r="U146" s="8">
        <f>+MINVU_Mes_Corriente!U146*MINVU_Mes_Constante!$P$1</f>
        <v>162350373.0865179</v>
      </c>
      <c r="V146" s="8">
        <f>+MINVU_Mes_Corriente!V146*MINVU_Mes_Constante!$P$1</f>
        <v>162350373.0865179</v>
      </c>
      <c r="W146" s="8">
        <f>+MINVU_Mes_Corriente!W146*MINVU_Mes_Constante!$P$1</f>
        <v>162350373.0865179</v>
      </c>
      <c r="X146" s="8">
        <f>+MINVU_Mes_Corriente!X146*MINVU_Mes_Constante!$P$1</f>
        <v>162350373.0865179</v>
      </c>
      <c r="Y146" s="8">
        <f>+MINVU_Mes_Corriente!Y146*MINVU_Mes_Constante!$P$1</f>
        <v>162350373.0865179</v>
      </c>
      <c r="Z146" s="8">
        <f>+MINVU_Mes_Corriente!Z146*MINVU_Mes_Constante!$P$1</f>
        <v>162350373.0865179</v>
      </c>
      <c r="AA146" s="8">
        <f>+MINVU_Mes_Corriente!AA146*MINVU_Mes_Constante!$P$1</f>
        <v>162350373.0865179</v>
      </c>
      <c r="AB146" s="9">
        <f t="shared" ref="AB146:AB163" si="115">AA146</f>
        <v>162350373.0865179</v>
      </c>
      <c r="AC146" s="8">
        <f>+MINVU_Mes_Corriente!AC146*MINVU_Mes_Constante!$AC$1</f>
        <v>175720979.314428</v>
      </c>
      <c r="AD146" s="8">
        <f>+MINVU_Mes_Corriente!AD146*MINVU_Mes_Constante!$AC$1</f>
        <v>175720979.314428</v>
      </c>
      <c r="AE146" s="8">
        <f>+MINVU_Mes_Corriente!AE146*MINVU_Mes_Constante!$AC$1</f>
        <v>175720979.314428</v>
      </c>
      <c r="AF146" s="8">
        <f>+MINVU_Mes_Corriente!AF146*MINVU_Mes_Constante!$AC$1</f>
        <v>175720979.314428</v>
      </c>
      <c r="AG146" s="8">
        <f>+MINVU_Mes_Corriente!AG146*MINVU_Mes_Constante!$AC$1</f>
        <v>175720979.314428</v>
      </c>
      <c r="AH146" s="8">
        <f>+MINVU_Mes_Corriente!AH146*MINVU_Mes_Constante!$AC$1</f>
        <v>175720979.314428</v>
      </c>
      <c r="AI146" s="8">
        <f>+MINVU_Mes_Corriente!AI146*MINVU_Mes_Constante!$AC$1</f>
        <v>175720979.314428</v>
      </c>
      <c r="AJ146" s="8">
        <f>+MINVU_Mes_Corriente!AJ146*MINVU_Mes_Constante!$AC$1</f>
        <v>175720979.314428</v>
      </c>
      <c r="AK146" s="8">
        <f>+MINVU_Mes_Corriente!AK146*MINVU_Mes_Constante!$AC$1</f>
        <v>175720979.314428</v>
      </c>
      <c r="AL146" s="8">
        <f>+MINVU_Mes_Corriente!AL146*MINVU_Mes_Constante!$AC$1</f>
        <v>175720979.314428</v>
      </c>
      <c r="AM146" s="8">
        <f>+MINVU_Mes_Corriente!AM146*MINVU_Mes_Constante!$AC$1</f>
        <v>175720979.314428</v>
      </c>
      <c r="AN146" s="8">
        <f>+MINVU_Mes_Corriente!AN146*MINVU_Mes_Constante!$AC$1</f>
        <v>175720979.314428</v>
      </c>
      <c r="AO146" s="9">
        <f t="shared" ref="AO146:AO163" si="116">AN146</f>
        <v>175720979.314428</v>
      </c>
      <c r="AP146" s="8">
        <f>+MINVU_Mes_Corriente!AP146*MINVU_Mes_Constante!$AP$1</f>
        <v>180236439.88259163</v>
      </c>
      <c r="AQ146" s="8">
        <f>+MINVU_Mes_Corriente!AQ146*MINVU_Mes_Constante!$AP$1</f>
        <v>180236439.88259163</v>
      </c>
      <c r="AR146" s="8">
        <f>+MINVU_Mes_Corriente!AR146*MINVU_Mes_Constante!$AP$1</f>
        <v>180236439.88259163</v>
      </c>
      <c r="AS146" s="8">
        <f>+MINVU_Mes_Corriente!AS146*MINVU_Mes_Constante!$AP$1</f>
        <v>180236439.88259163</v>
      </c>
      <c r="AT146" s="8">
        <f>+MINVU_Mes_Corriente!AT146*MINVU_Mes_Constante!$AP$1</f>
        <v>180236439.88259163</v>
      </c>
      <c r="AU146" s="8">
        <f>+MINVU_Mes_Corriente!AU146*MINVU_Mes_Constante!$AP$1</f>
        <v>180236439.88259163</v>
      </c>
      <c r="AV146" s="8">
        <f>+MINVU_Mes_Corriente!AV146*MINVU_Mes_Constante!$AP$1</f>
        <v>180236439.88259163</v>
      </c>
      <c r="AW146" s="8">
        <f>+MINVU_Mes_Corriente!AW146*MINVU_Mes_Constante!$AP$1</f>
        <v>180236439.88259163</v>
      </c>
      <c r="AX146" s="8">
        <f>+MINVU_Mes_Corriente!AX146*MINVU_Mes_Constante!$AP$1</f>
        <v>180236439.88259163</v>
      </c>
      <c r="AY146" s="8">
        <f>+MINVU_Mes_Corriente!AY146*MINVU_Mes_Constante!$AP$1</f>
        <v>180236439.88259163</v>
      </c>
      <c r="AZ146" s="8">
        <f>+MINVU_Mes_Corriente!AZ146*MINVU_Mes_Constante!$AP$1</f>
        <v>180236439.88259163</v>
      </c>
      <c r="BA146" s="8">
        <f>+MINVU_Mes_Corriente!BA146*MINVU_Mes_Constante!$AP$1</f>
        <v>180236439.88259163</v>
      </c>
      <c r="BB146" s="9">
        <f t="shared" ref="BB146:BB163" si="117">BA146</f>
        <v>180236439.88259163</v>
      </c>
      <c r="BC146" s="8">
        <f>+MINVU_Mes_Corriente!BC146*MINVU_Mes_Constante!$BC$1</f>
        <v>170112026.3238824</v>
      </c>
      <c r="BD146" s="8">
        <f>+MINVU_Mes_Corriente!BD146*MINVU_Mes_Constante!$BC$1</f>
        <v>170112026.3238824</v>
      </c>
      <c r="BE146" s="8">
        <f>+MINVU_Mes_Corriente!BE146*MINVU_Mes_Constante!$BC$1</f>
        <v>170112026.3238824</v>
      </c>
      <c r="BF146" s="8">
        <f>+MINVU_Mes_Corriente!BF146*MINVU_Mes_Constante!$BC$1</f>
        <v>170112026.3238824</v>
      </c>
      <c r="BG146" s="8">
        <f>+MINVU_Mes_Corriente!BG146*MINVU_Mes_Constante!$BC$1</f>
        <v>170112026.3238824</v>
      </c>
      <c r="BH146" s="8">
        <f>+MINVU_Mes_Corriente!BH146*MINVU_Mes_Constante!$BC$1</f>
        <v>170112026.3238824</v>
      </c>
      <c r="BI146" s="8">
        <f>+MINVU_Mes_Corriente!BI146*MINVU_Mes_Constante!$BC$1</f>
        <v>170112026.3238824</v>
      </c>
      <c r="BJ146" s="8">
        <f>+MINVU_Mes_Corriente!BJ146*MINVU_Mes_Constante!$BC$1</f>
        <v>170112026.3238824</v>
      </c>
      <c r="BK146" s="8">
        <f>+MINVU_Mes_Corriente!BK146*MINVU_Mes_Constante!$BC$1</f>
        <v>170112026.3238824</v>
      </c>
      <c r="BL146" s="8">
        <f>+MINVU_Mes_Corriente!BL146*MINVU_Mes_Constante!$BC$1</f>
        <v>170112026.3238824</v>
      </c>
      <c r="BM146" s="8">
        <f>+MINVU_Mes_Corriente!BM146*MINVU_Mes_Constante!$BC$1</f>
        <v>170112026.3238824</v>
      </c>
      <c r="BN146" s="8">
        <f>+MINVU_Mes_Corriente!BN146*MINVU_Mes_Constante!$BC$1</f>
        <v>170112026.3238824</v>
      </c>
      <c r="BO146" s="9">
        <f t="shared" ref="BO146:BO163" si="118">BN146</f>
        <v>170112026.3238824</v>
      </c>
      <c r="BP146" s="8">
        <f>+MINVU_Mes_Corriente!BP146*MINVU_Mes_Constante!$BP$1</f>
        <v>167022600.3149808</v>
      </c>
      <c r="BQ146" s="8">
        <f>+MINVU_Mes_Corriente!BQ146*MINVU_Mes_Constante!$BP$1</f>
        <v>167022600.3149808</v>
      </c>
      <c r="BR146" s="8">
        <f>+MINVU_Mes_Corriente!BR146*MINVU_Mes_Constante!$BP$1</f>
        <v>167022600.3149808</v>
      </c>
      <c r="BS146" s="8">
        <f>+MINVU_Mes_Corriente!BS146*MINVU_Mes_Constante!$BP$1</f>
        <v>167022600.3149808</v>
      </c>
      <c r="BT146" s="8">
        <f>+MINVU_Mes_Corriente!BT146*MINVU_Mes_Constante!$BP$1</f>
        <v>167022600.3149808</v>
      </c>
      <c r="BU146" s="8">
        <f>+MINVU_Mes_Corriente!BU146*MINVU_Mes_Constante!$BP$1</f>
        <v>167022600.3149808</v>
      </c>
      <c r="BV146" s="8">
        <f>+MINVU_Mes_Corriente!BV146*MINVU_Mes_Constante!$BP$1</f>
        <v>167022600.3149808</v>
      </c>
      <c r="BW146" s="8">
        <f>+MINVU_Mes_Corriente!BW146*MINVU_Mes_Constante!$BP$1</f>
        <v>167022600.3149808</v>
      </c>
      <c r="BX146" s="8">
        <f>+MINVU_Mes_Corriente!BX146*MINVU_Mes_Constante!$BP$1</f>
        <v>167022600.3149808</v>
      </c>
      <c r="BY146" s="8">
        <f>+MINVU_Mes_Corriente!BY146*MINVU_Mes_Constante!$BP$1</f>
        <v>167022600.3149808</v>
      </c>
      <c r="BZ146" s="8">
        <f>+MINVU_Mes_Corriente!BZ146*MINVU_Mes_Constante!$BP$1</f>
        <v>167022600.3149808</v>
      </c>
      <c r="CA146" s="8">
        <f>+MINVU_Mes_Corriente!CA146*MINVU_Mes_Constante!$BP$1</f>
        <v>167022600.3149808</v>
      </c>
      <c r="CB146" s="9">
        <f t="shared" ref="CB146:CB163" si="119">CA146</f>
        <v>167022600.3149808</v>
      </c>
      <c r="CC146" s="8">
        <f>+MINVU_Mes_Corriente!CC146*MINVU_Mes_Constante!$CC$1</f>
        <v>191357565.97463635</v>
      </c>
      <c r="CD146" s="8">
        <f>+MINVU_Mes_Corriente!CD146*MINVU_Mes_Constante!$CC$1</f>
        <v>191357565.97463635</v>
      </c>
      <c r="CE146" s="8">
        <f>+MINVU_Mes_Corriente!CE146*MINVU_Mes_Constante!$CC$1</f>
        <v>191357565.97463635</v>
      </c>
      <c r="CF146" s="8">
        <f>+MINVU_Mes_Corriente!CF146*MINVU_Mes_Constante!$CC$1</f>
        <v>191357565.97463635</v>
      </c>
      <c r="CG146" s="8">
        <f>+MINVU_Mes_Corriente!CG146*MINVU_Mes_Constante!$CC$1</f>
        <v>191357565.97463635</v>
      </c>
      <c r="CH146" s="8">
        <f>+MINVU_Mes_Corriente!CH146*MINVU_Mes_Constante!$CC$1</f>
        <v>191357565.97463635</v>
      </c>
      <c r="CI146" s="8">
        <f>+MINVU_Mes_Corriente!CI146*MINVU_Mes_Constante!$CC$1</f>
        <v>191357565.97463635</v>
      </c>
      <c r="CJ146" s="8">
        <f>+MINVU_Mes_Corriente!CJ146*MINVU_Mes_Constante!$CC$1</f>
        <v>191357565.97463635</v>
      </c>
      <c r="CK146" s="8">
        <f>+MINVU_Mes_Corriente!CK146*MINVU_Mes_Constante!$CC$1</f>
        <v>191357565.97463635</v>
      </c>
      <c r="CL146" s="8">
        <f>+MINVU_Mes_Corriente!CL146*MINVU_Mes_Constante!$CC$1</f>
        <v>191357565.97463635</v>
      </c>
      <c r="CM146" s="8">
        <f>+MINVU_Mes_Corriente!CM146*MINVU_Mes_Constante!$CC$1</f>
        <v>191357565.97463635</v>
      </c>
      <c r="CN146" s="8">
        <f>+MINVU_Mes_Corriente!CN146*MINVU_Mes_Constante!$CC$1</f>
        <v>191357565.97463635</v>
      </c>
      <c r="CO146" s="9">
        <f t="shared" ref="CO146:CO163" si="120">CN146</f>
        <v>191357565.97463635</v>
      </c>
      <c r="CP146" s="8">
        <f>+MINVU_Mes_Corriente!CP146*MINVU_Mes_Constante!$CP$1</f>
        <v>223220583.212993</v>
      </c>
      <c r="CQ146" s="8">
        <f>+MINVU_Mes_Corriente!CQ146*MINVU_Mes_Constante!$CP$1</f>
        <v>223220583.212993</v>
      </c>
      <c r="CR146" s="8">
        <f>+MINVU_Mes_Corriente!CR146*MINVU_Mes_Constante!$CP$1</f>
        <v>223220583.212993</v>
      </c>
      <c r="CS146" s="8">
        <f>+MINVU_Mes_Corriente!CS146*MINVU_Mes_Constante!$CP$1</f>
        <v>223220583.212993</v>
      </c>
      <c r="CT146" s="8">
        <f>+MINVU_Mes_Corriente!CT146*MINVU_Mes_Constante!$CP$1</f>
        <v>223220583.212993</v>
      </c>
      <c r="CU146" s="8">
        <f>+MINVU_Mes_Corriente!CU146*MINVU_Mes_Constante!$CP$1</f>
        <v>223220583.212993</v>
      </c>
      <c r="CV146" s="8">
        <f>+MINVU_Mes_Corriente!CV146*MINVU_Mes_Constante!$CP$1</f>
        <v>223220583.212993</v>
      </c>
      <c r="CW146" s="8">
        <f>+MINVU_Mes_Corriente!CW146*MINVU_Mes_Constante!$CP$1</f>
        <v>223220583.212993</v>
      </c>
      <c r="CX146" s="8">
        <f>+MINVU_Mes_Corriente!CX146*MINVU_Mes_Constante!$CP$1</f>
        <v>223220583.212993</v>
      </c>
      <c r="CY146" s="8">
        <f>+MINVU_Mes_Corriente!CY146*MINVU_Mes_Constante!$CP$1</f>
        <v>223220583.212993</v>
      </c>
      <c r="CZ146" s="8">
        <f>+MINVU_Mes_Corriente!CZ146*MINVU_Mes_Constante!$CP$1</f>
        <v>223220583.212993</v>
      </c>
      <c r="DA146" s="8">
        <f>+MINVU_Mes_Corriente!DA146*MINVU_Mes_Constante!$CP$1</f>
        <v>223220583.212993</v>
      </c>
      <c r="DB146" s="9">
        <f t="shared" ref="DB146:DB163" si="121">DA146</f>
        <v>223220583.212993</v>
      </c>
      <c r="DC146" s="8">
        <f>+MINVU_Mes_Corriente!DC146*MINVU_Mes_Constante!$DC$1</f>
        <v>253520120.91081175</v>
      </c>
      <c r="DD146" s="8">
        <f>+MINVU_Mes_Corriente!DD146*MINVU_Mes_Constante!$DC$1</f>
        <v>253520120.91081175</v>
      </c>
      <c r="DE146" s="8">
        <f>+MINVU_Mes_Corriente!DE146*MINVU_Mes_Constante!$DC$1</f>
        <v>253520120.91081175</v>
      </c>
      <c r="DF146" s="8">
        <f>+MINVU_Mes_Corriente!DF146*MINVU_Mes_Constante!$DC$1</f>
        <v>253520120.91081175</v>
      </c>
      <c r="DG146" s="8">
        <f>+MINVU_Mes_Corriente!DG146*MINVU_Mes_Constante!$DC$1</f>
        <v>253520120.91081175</v>
      </c>
      <c r="DH146" s="8">
        <f>+MINVU_Mes_Corriente!DH146*MINVU_Mes_Constante!$DC$1</f>
        <v>253520120.91081175</v>
      </c>
      <c r="DI146" s="8">
        <f>+MINVU_Mes_Corriente!DI146*MINVU_Mes_Constante!$DC$1</f>
        <v>253520120.91081175</v>
      </c>
      <c r="DJ146" s="8">
        <f>+MINVU_Mes_Corriente!DJ146*MINVU_Mes_Constante!$DC$1</f>
        <v>253520120.91081175</v>
      </c>
      <c r="DK146" s="8">
        <f>+MINVU_Mes_Corriente!DK146*MINVU_Mes_Constante!$DC$1</f>
        <v>253520120.91081175</v>
      </c>
      <c r="DL146" s="8">
        <f>+MINVU_Mes_Corriente!DL146*MINVU_Mes_Constante!$DC$1</f>
        <v>253520120.91081175</v>
      </c>
      <c r="DM146" s="8">
        <f>+MINVU_Mes_Corriente!DM146*MINVU_Mes_Constante!$DC$1</f>
        <v>253520120.91081175</v>
      </c>
      <c r="DN146" s="8">
        <f>+MINVU_Mes_Corriente!DN146*MINVU_Mes_Constante!$DC$1</f>
        <v>253520120.91081175</v>
      </c>
      <c r="DO146" s="9">
        <f t="shared" ref="DO146:DO163" si="122">DN146</f>
        <v>253520120.91081175</v>
      </c>
      <c r="DP146" s="8">
        <f>+MINVU_Mes_Corriente!DP146*MINVU_Mes_Constante!$DP$1</f>
        <v>282999501.3598575</v>
      </c>
      <c r="DQ146" s="8">
        <f>+MINVU_Mes_Corriente!DQ146*MINVU_Mes_Constante!$DP$1</f>
        <v>282999501.3598575</v>
      </c>
      <c r="DR146" s="8">
        <f>+MINVU_Mes_Corriente!DR146*MINVU_Mes_Constante!$DP$1</f>
        <v>282999501.3598575</v>
      </c>
      <c r="DS146" s="8">
        <f>+MINVU_Mes_Corriente!DS146*MINVU_Mes_Constante!$DP$1</f>
        <v>282999501.3598575</v>
      </c>
      <c r="DT146" s="8">
        <f>+MINVU_Mes_Corriente!DT146*MINVU_Mes_Constante!$DP$1</f>
        <v>282999501.3598575</v>
      </c>
      <c r="DU146" s="8">
        <f>+MINVU_Mes_Corriente!DU146*MINVU_Mes_Constante!$DP$1</f>
        <v>282999501.3598575</v>
      </c>
      <c r="DV146" s="8">
        <f>+MINVU_Mes_Corriente!DV146*MINVU_Mes_Constante!$DP$1</f>
        <v>282999501.3598575</v>
      </c>
      <c r="DW146" s="8">
        <f>+MINVU_Mes_Corriente!DW146*MINVU_Mes_Constante!$DP$1</f>
        <v>282999501.3598575</v>
      </c>
      <c r="DX146" s="8">
        <f>+MINVU_Mes_Corriente!DX146*MINVU_Mes_Constante!$DP$1</f>
        <v>282999501.3598575</v>
      </c>
      <c r="DY146" s="8">
        <f>+MINVU_Mes_Corriente!DY146*MINVU_Mes_Constante!$DP$1</f>
        <v>282999501.3598575</v>
      </c>
      <c r="DZ146" s="8">
        <f>+MINVU_Mes_Corriente!DZ146*MINVU_Mes_Constante!$DP$1</f>
        <v>282999501.3598575</v>
      </c>
      <c r="EA146" s="8">
        <f>+MINVU_Mes_Corriente!EA146*MINVU_Mes_Constante!$DP$1</f>
        <v>282999501.3598575</v>
      </c>
      <c r="EB146" s="9">
        <f t="shared" ref="EB146:EB163" si="123">EA146</f>
        <v>282999501.3598575</v>
      </c>
      <c r="EC146" s="8">
        <f>+MINVU_Mes_Corriente!EC146*MINVU_Mes_Constante!$EC$1</f>
        <v>268752373.9638325</v>
      </c>
      <c r="ED146" s="8">
        <f>+MINVU_Mes_Corriente!ED146*MINVU_Mes_Constante!$EC$1</f>
        <v>268752373.9638325</v>
      </c>
      <c r="EE146" s="8">
        <f>+MINVU_Mes_Corriente!EE146*MINVU_Mes_Constante!$EC$1</f>
        <v>268752373.9638325</v>
      </c>
      <c r="EF146" s="8">
        <f>+MINVU_Mes_Corriente!EF146*MINVU_Mes_Constante!$EC$1</f>
        <v>268752373.9638325</v>
      </c>
      <c r="EG146" s="8">
        <f>+MINVU_Mes_Corriente!EG146*MINVU_Mes_Constante!$EC$1</f>
        <v>268752373.9638325</v>
      </c>
      <c r="EH146" s="8">
        <f>+MINVU_Mes_Corriente!EH146*MINVU_Mes_Constante!$EC$1</f>
        <v>268752373.9638325</v>
      </c>
      <c r="EI146" s="8">
        <f>+MINVU_Mes_Corriente!EI146*MINVU_Mes_Constante!$EC$1</f>
        <v>268752373.9638325</v>
      </c>
      <c r="EJ146" s="8">
        <f>+MINVU_Mes_Corriente!EJ146*MINVU_Mes_Constante!$EC$1</f>
        <v>268752373.9638325</v>
      </c>
      <c r="EK146" s="8">
        <f>+MINVU_Mes_Corriente!EK146*MINVU_Mes_Constante!$EC$1</f>
        <v>268752373.9638325</v>
      </c>
      <c r="EL146" s="8">
        <f>+MINVU_Mes_Corriente!EL146*MINVU_Mes_Constante!$EC$1</f>
        <v>268752373.9638325</v>
      </c>
      <c r="EM146" s="8">
        <f>+MINVU_Mes_Corriente!EM146*MINVU_Mes_Constante!$EC$1</f>
        <v>268752373.9638325</v>
      </c>
      <c r="EN146" s="8">
        <f>+MINVU_Mes_Corriente!EN146*MINVU_Mes_Constante!$EC$1</f>
        <v>268752373.9638325</v>
      </c>
      <c r="EO146" s="9">
        <f t="shared" ref="EO146:EO163" si="124">EN146</f>
        <v>268752373.9638325</v>
      </c>
      <c r="EP146" s="8">
        <f>+MINVU_Mes_Corriente!EP146*MINVU_Mes_Constante!$EP$1</f>
        <v>288622626</v>
      </c>
      <c r="EQ146" s="8">
        <f>+MINVU_Mes_Corriente!EQ146*MINVU_Mes_Constante!$EP$1</f>
        <v>288622626</v>
      </c>
      <c r="ER146" s="8">
        <f>+MINVU_Mes_Corriente!ER146*MINVU_Mes_Constante!$EP$1</f>
        <v>288622626</v>
      </c>
      <c r="ES146" s="8">
        <f>+MINVU_Mes_Corriente!ES146*MINVU_Mes_Constante!$EP$1</f>
        <v>288622626</v>
      </c>
      <c r="ET146" s="8">
        <f>+MINVU_Mes_Corriente!ET146*MINVU_Mes_Constante!$EP$1</f>
        <v>288622626</v>
      </c>
      <c r="EU146" s="8">
        <f>+MINVU_Mes_Corriente!EU146*MINVU_Mes_Constante!$EP$1</f>
        <v>288622626</v>
      </c>
      <c r="EV146" s="8">
        <f>+MINVU_Mes_Corriente!EV146*MINVU_Mes_Constante!$EP$1</f>
        <v>288622626</v>
      </c>
      <c r="EW146" s="8">
        <f>+MINVU_Mes_Corriente!EW146*MINVU_Mes_Constante!$EP$1</f>
        <v>288622626</v>
      </c>
      <c r="EX146" s="8">
        <f>+MINVU_Mes_Corriente!EX146*MINVU_Mes_Constante!$EP$1</f>
        <v>288622626</v>
      </c>
      <c r="EY146" s="8">
        <f>+MINVU_Mes_Corriente!EY146*MINVU_Mes_Constante!$EP$1</f>
        <v>288622626</v>
      </c>
      <c r="EZ146" s="8">
        <f>+MINVU_Mes_Corriente!EZ146*MINVU_Mes_Constante!$EP$1</f>
        <v>288622626</v>
      </c>
      <c r="FA146" s="8">
        <f>+MINVU_Mes_Corriente!FA146*MINVU_Mes_Constante!$EP$1</f>
        <v>288622626</v>
      </c>
      <c r="FB146" s="9">
        <f t="shared" ref="FB146:FB163" si="125">FA146</f>
        <v>288622626</v>
      </c>
      <c r="FC146" s="8">
        <f>+MINVU_Mes_Corriente!FC146*MINVU_Mes_Constante!$FC$1</f>
        <v>359934455</v>
      </c>
      <c r="FD146" s="8">
        <f>+MINVU_Mes_Corriente!FD146*MINVU_Mes_Constante!$FC$1</f>
        <v>359934455</v>
      </c>
      <c r="FE146" s="8">
        <f>+MINVU_Mes_Corriente!FE146*MINVU_Mes_Constante!$FC$1</f>
        <v>359934455</v>
      </c>
      <c r="FF146" s="8">
        <f>+MINVU_Mes_Corriente!FF146*MINVU_Mes_Constante!$FC$1</f>
        <v>359934455</v>
      </c>
      <c r="FG146" s="8">
        <f>+MINVU_Mes_Corriente!FG146*MINVU_Mes_Constante!$FC$1</f>
        <v>359934455</v>
      </c>
      <c r="FH146" s="8">
        <f>+MINVU_Mes_Corriente!FH146*MINVU_Mes_Constante!$FC$1</f>
        <v>359934455</v>
      </c>
      <c r="FI146" s="8">
        <f>+MINVU_Mes_Corriente!FI146*MINVU_Mes_Constante!$FC$1</f>
        <v>359934455</v>
      </c>
      <c r="FJ146" s="8"/>
      <c r="FK146" s="8"/>
      <c r="FL146" s="8"/>
      <c r="FM146" s="8"/>
      <c r="FN146" s="8"/>
      <c r="FO146" s="9">
        <f t="shared" ref="FO146:FO163" si="126">FI146</f>
        <v>359934455</v>
      </c>
    </row>
    <row r="147" spans="2:171" ht="14.25" customHeight="1" x14ac:dyDescent="0.3">
      <c r="B147" s="7" t="s">
        <v>44</v>
      </c>
      <c r="C147" s="8">
        <f>+MINVU_Mes_Corriente!C147*MINVU_Mes_Constante!$C$1</f>
        <v>0</v>
      </c>
      <c r="D147" s="8">
        <f>+MINVU_Mes_Corriente!D147*MINVU_Mes_Constante!$C$1</f>
        <v>0</v>
      </c>
      <c r="E147" s="8">
        <f>+MINVU_Mes_Corriente!E147*MINVU_Mes_Constante!$C$1</f>
        <v>0</v>
      </c>
      <c r="F147" s="8">
        <f>+MINVU_Mes_Corriente!F147*MINVU_Mes_Constante!$C$1</f>
        <v>0</v>
      </c>
      <c r="G147" s="8">
        <f>+MINVU_Mes_Corriente!G147*MINVU_Mes_Constante!$C$1</f>
        <v>0</v>
      </c>
      <c r="H147" s="8">
        <f>+MINVU_Mes_Corriente!H147*MINVU_Mes_Constante!$C$1</f>
        <v>0</v>
      </c>
      <c r="I147" s="8">
        <f>+MINVU_Mes_Corriente!I147*MINVU_Mes_Constante!$C$1</f>
        <v>0</v>
      </c>
      <c r="J147" s="8">
        <f>+MINVU_Mes_Corriente!J147*MINVU_Mes_Constante!$C$1</f>
        <v>0</v>
      </c>
      <c r="K147" s="8">
        <f>+MINVU_Mes_Corriente!K147*MINVU_Mes_Constante!$C$1</f>
        <v>0</v>
      </c>
      <c r="L147" s="8">
        <f>+MINVU_Mes_Corriente!L147*MINVU_Mes_Constante!$C$1</f>
        <v>0</v>
      </c>
      <c r="M147" s="8">
        <f>+MINVU_Mes_Corriente!M147*MINVU_Mes_Constante!$C$1</f>
        <v>0</v>
      </c>
      <c r="N147" s="8">
        <f>+MINVU_Mes_Corriente!N147*MINVU_Mes_Constante!$C$1</f>
        <v>0</v>
      </c>
      <c r="O147" s="9">
        <f t="shared" si="114"/>
        <v>0</v>
      </c>
      <c r="P147" s="8">
        <f>+MINVU_Mes_Corriente!P147*MINVU_Mes_Constante!$P$1</f>
        <v>0</v>
      </c>
      <c r="Q147" s="8">
        <f>+MINVU_Mes_Corriente!Q147*MINVU_Mes_Constante!$P$1</f>
        <v>0</v>
      </c>
      <c r="R147" s="8">
        <f>+MINVU_Mes_Corriente!R147*MINVU_Mes_Constante!$P$1</f>
        <v>0</v>
      </c>
      <c r="S147" s="8">
        <f>+MINVU_Mes_Corriente!S147*MINVU_Mes_Constante!$P$1</f>
        <v>0</v>
      </c>
      <c r="T147" s="8">
        <f>+MINVU_Mes_Corriente!T147*MINVU_Mes_Constante!$P$1</f>
        <v>0</v>
      </c>
      <c r="U147" s="8">
        <f>+MINVU_Mes_Corriente!U147*MINVU_Mes_Constante!$P$1</f>
        <v>0</v>
      </c>
      <c r="V147" s="8">
        <f>+MINVU_Mes_Corriente!V147*MINVU_Mes_Constante!$P$1</f>
        <v>0</v>
      </c>
      <c r="W147" s="8">
        <f>+MINVU_Mes_Corriente!W147*MINVU_Mes_Constante!$P$1</f>
        <v>0</v>
      </c>
      <c r="X147" s="8">
        <f>+MINVU_Mes_Corriente!X147*MINVU_Mes_Constante!$P$1</f>
        <v>0</v>
      </c>
      <c r="Y147" s="8">
        <f>+MINVU_Mes_Corriente!Y147*MINVU_Mes_Constante!$P$1</f>
        <v>0</v>
      </c>
      <c r="Z147" s="8">
        <f>+MINVU_Mes_Corriente!Z147*MINVU_Mes_Constante!$P$1</f>
        <v>0</v>
      </c>
      <c r="AA147" s="8">
        <f>+MINVU_Mes_Corriente!AA147*MINVU_Mes_Constante!$P$1</f>
        <v>0</v>
      </c>
      <c r="AB147" s="9">
        <f t="shared" si="115"/>
        <v>0</v>
      </c>
      <c r="AC147" s="8">
        <f>+MINVU_Mes_Corriente!AC147*MINVU_Mes_Constante!$AC$1</f>
        <v>0</v>
      </c>
      <c r="AD147" s="8">
        <f>+MINVU_Mes_Corriente!AD147*MINVU_Mes_Constante!$AC$1</f>
        <v>0</v>
      </c>
      <c r="AE147" s="8">
        <f>+MINVU_Mes_Corriente!AE147*MINVU_Mes_Constante!$AC$1</f>
        <v>0</v>
      </c>
      <c r="AF147" s="8">
        <f>+MINVU_Mes_Corriente!AF147*MINVU_Mes_Constante!$AC$1</f>
        <v>0</v>
      </c>
      <c r="AG147" s="8">
        <f>+MINVU_Mes_Corriente!AG147*MINVU_Mes_Constante!$AC$1</f>
        <v>0</v>
      </c>
      <c r="AH147" s="8">
        <f>+MINVU_Mes_Corriente!AH147*MINVU_Mes_Constante!$AC$1</f>
        <v>0</v>
      </c>
      <c r="AI147" s="8">
        <f>+MINVU_Mes_Corriente!AI147*MINVU_Mes_Constante!$AC$1</f>
        <v>0</v>
      </c>
      <c r="AJ147" s="8">
        <f>+MINVU_Mes_Corriente!AJ147*MINVU_Mes_Constante!$AC$1</f>
        <v>0</v>
      </c>
      <c r="AK147" s="8">
        <f>+MINVU_Mes_Corriente!AK147*MINVU_Mes_Constante!$AC$1</f>
        <v>0</v>
      </c>
      <c r="AL147" s="8">
        <f>+MINVU_Mes_Corriente!AL147*MINVU_Mes_Constante!$AC$1</f>
        <v>0</v>
      </c>
      <c r="AM147" s="8">
        <f>+MINVU_Mes_Corriente!AM147*MINVU_Mes_Constante!$AC$1</f>
        <v>0</v>
      </c>
      <c r="AN147" s="8">
        <f>+MINVU_Mes_Corriente!AN147*MINVU_Mes_Constante!$AC$1</f>
        <v>0</v>
      </c>
      <c r="AO147" s="9">
        <f t="shared" si="116"/>
        <v>0</v>
      </c>
      <c r="AP147" s="8">
        <f>+MINVU_Mes_Corriente!AP147*MINVU_Mes_Constante!$AP$1</f>
        <v>0</v>
      </c>
      <c r="AQ147" s="8">
        <f>+MINVU_Mes_Corriente!AQ147*MINVU_Mes_Constante!$AP$1</f>
        <v>0</v>
      </c>
      <c r="AR147" s="8">
        <f>+MINVU_Mes_Corriente!AR147*MINVU_Mes_Constante!$AP$1</f>
        <v>0</v>
      </c>
      <c r="AS147" s="8">
        <f>+MINVU_Mes_Corriente!AS147*MINVU_Mes_Constante!$AP$1</f>
        <v>0</v>
      </c>
      <c r="AT147" s="8">
        <f>+MINVU_Mes_Corriente!AT147*MINVU_Mes_Constante!$AP$1</f>
        <v>0</v>
      </c>
      <c r="AU147" s="8">
        <f>+MINVU_Mes_Corriente!AU147*MINVU_Mes_Constante!$AP$1</f>
        <v>0</v>
      </c>
      <c r="AV147" s="8">
        <f>+MINVU_Mes_Corriente!AV147*MINVU_Mes_Constante!$AP$1</f>
        <v>0</v>
      </c>
      <c r="AW147" s="8">
        <f>+MINVU_Mes_Corriente!AW147*MINVU_Mes_Constante!$AP$1</f>
        <v>0</v>
      </c>
      <c r="AX147" s="8">
        <f>+MINVU_Mes_Corriente!AX147*MINVU_Mes_Constante!$AP$1</f>
        <v>0</v>
      </c>
      <c r="AY147" s="8">
        <f>+MINVU_Mes_Corriente!AY147*MINVU_Mes_Constante!$AP$1</f>
        <v>0</v>
      </c>
      <c r="AZ147" s="8">
        <f>+MINVU_Mes_Corriente!AZ147*MINVU_Mes_Constante!$AP$1</f>
        <v>0</v>
      </c>
      <c r="BA147" s="8">
        <f>+MINVU_Mes_Corriente!BA147*MINVU_Mes_Constante!$AP$1</f>
        <v>0</v>
      </c>
      <c r="BB147" s="9">
        <f t="shared" si="117"/>
        <v>0</v>
      </c>
      <c r="BC147" s="8">
        <f>+MINVU_Mes_Corriente!BC147*MINVU_Mes_Constante!$BC$1</f>
        <v>0</v>
      </c>
      <c r="BD147" s="8">
        <f>+MINVU_Mes_Corriente!BD147*MINVU_Mes_Constante!$BC$1</f>
        <v>0</v>
      </c>
      <c r="BE147" s="8">
        <f>+MINVU_Mes_Corriente!BE147*MINVU_Mes_Constante!$BC$1</f>
        <v>0</v>
      </c>
      <c r="BF147" s="8">
        <f>+MINVU_Mes_Corriente!BF147*MINVU_Mes_Constante!$BC$1</f>
        <v>0</v>
      </c>
      <c r="BG147" s="8">
        <f>+MINVU_Mes_Corriente!BG147*MINVU_Mes_Constante!$BC$1</f>
        <v>0</v>
      </c>
      <c r="BH147" s="8">
        <f>+MINVU_Mes_Corriente!BH147*MINVU_Mes_Constante!$BC$1</f>
        <v>0</v>
      </c>
      <c r="BI147" s="8">
        <f>+MINVU_Mes_Corriente!BI147*MINVU_Mes_Constante!$BC$1</f>
        <v>0</v>
      </c>
      <c r="BJ147" s="8">
        <f>+MINVU_Mes_Corriente!BJ147*MINVU_Mes_Constante!$BC$1</f>
        <v>0</v>
      </c>
      <c r="BK147" s="8">
        <f>+MINVU_Mes_Corriente!BK147*MINVU_Mes_Constante!$BC$1</f>
        <v>0</v>
      </c>
      <c r="BL147" s="8">
        <f>+MINVU_Mes_Corriente!BL147*MINVU_Mes_Constante!$BC$1</f>
        <v>0</v>
      </c>
      <c r="BM147" s="8">
        <f>+MINVU_Mes_Corriente!BM147*MINVU_Mes_Constante!$BC$1</f>
        <v>0</v>
      </c>
      <c r="BN147" s="8">
        <f>+MINVU_Mes_Corriente!BN147*MINVU_Mes_Constante!$BC$1</f>
        <v>0</v>
      </c>
      <c r="BO147" s="9">
        <f t="shared" si="118"/>
        <v>0</v>
      </c>
      <c r="BP147" s="8">
        <f>+MINVU_Mes_Corriente!BP147*MINVU_Mes_Constante!$BP$1</f>
        <v>0</v>
      </c>
      <c r="BQ147" s="8">
        <f>+MINVU_Mes_Corriente!BQ147*MINVU_Mes_Constante!$BP$1</f>
        <v>0</v>
      </c>
      <c r="BR147" s="8">
        <f>+MINVU_Mes_Corriente!BR147*MINVU_Mes_Constante!$BP$1</f>
        <v>0</v>
      </c>
      <c r="BS147" s="8">
        <f>+MINVU_Mes_Corriente!BS147*MINVU_Mes_Constante!$BP$1</f>
        <v>0</v>
      </c>
      <c r="BT147" s="8">
        <f>+MINVU_Mes_Corriente!BT147*MINVU_Mes_Constante!$BP$1</f>
        <v>0</v>
      </c>
      <c r="BU147" s="8">
        <f>+MINVU_Mes_Corriente!BU147*MINVU_Mes_Constante!$BP$1</f>
        <v>0</v>
      </c>
      <c r="BV147" s="8">
        <f>+MINVU_Mes_Corriente!BV147*MINVU_Mes_Constante!$BP$1</f>
        <v>0</v>
      </c>
      <c r="BW147" s="8">
        <f>+MINVU_Mes_Corriente!BW147*MINVU_Mes_Constante!$BP$1</f>
        <v>0</v>
      </c>
      <c r="BX147" s="8">
        <f>+MINVU_Mes_Corriente!BX147*MINVU_Mes_Constante!$BP$1</f>
        <v>0</v>
      </c>
      <c r="BY147" s="8">
        <f>+MINVU_Mes_Corriente!BY147*MINVU_Mes_Constante!$BP$1</f>
        <v>0</v>
      </c>
      <c r="BZ147" s="8">
        <f>+MINVU_Mes_Corriente!BZ147*MINVU_Mes_Constante!$BP$1</f>
        <v>0</v>
      </c>
      <c r="CA147" s="8">
        <f>+MINVU_Mes_Corriente!CA147*MINVU_Mes_Constante!$BP$1</f>
        <v>0</v>
      </c>
      <c r="CB147" s="9">
        <f t="shared" si="119"/>
        <v>0</v>
      </c>
      <c r="CC147" s="8">
        <f>+MINVU_Mes_Corriente!CC147*MINVU_Mes_Constante!$CC$1</f>
        <v>0</v>
      </c>
      <c r="CD147" s="8">
        <f>+MINVU_Mes_Corriente!CD147*MINVU_Mes_Constante!$CC$1</f>
        <v>0</v>
      </c>
      <c r="CE147" s="8">
        <f>+MINVU_Mes_Corriente!CE147*MINVU_Mes_Constante!$CC$1</f>
        <v>0</v>
      </c>
      <c r="CF147" s="8">
        <f>+MINVU_Mes_Corriente!CF147*MINVU_Mes_Constante!$CC$1</f>
        <v>0</v>
      </c>
      <c r="CG147" s="8">
        <f>+MINVU_Mes_Corriente!CG147*MINVU_Mes_Constante!$CC$1</f>
        <v>0</v>
      </c>
      <c r="CH147" s="8">
        <f>+MINVU_Mes_Corriente!CH147*MINVU_Mes_Constante!$CC$1</f>
        <v>0</v>
      </c>
      <c r="CI147" s="8">
        <f>+MINVU_Mes_Corriente!CI147*MINVU_Mes_Constante!$CC$1</f>
        <v>0</v>
      </c>
      <c r="CJ147" s="8">
        <f>+MINVU_Mes_Corriente!CJ147*MINVU_Mes_Constante!$CC$1</f>
        <v>0</v>
      </c>
      <c r="CK147" s="8">
        <f>+MINVU_Mes_Corriente!CK147*MINVU_Mes_Constante!$CC$1</f>
        <v>0</v>
      </c>
      <c r="CL147" s="8">
        <f>+MINVU_Mes_Corriente!CL147*MINVU_Mes_Constante!$CC$1</f>
        <v>0</v>
      </c>
      <c r="CM147" s="8">
        <f>+MINVU_Mes_Corriente!CM147*MINVU_Mes_Constante!$CC$1</f>
        <v>0</v>
      </c>
      <c r="CN147" s="8">
        <f>+MINVU_Mes_Corriente!CN147*MINVU_Mes_Constante!$CC$1</f>
        <v>0</v>
      </c>
      <c r="CO147" s="9">
        <f t="shared" si="120"/>
        <v>0</v>
      </c>
      <c r="CP147" s="8">
        <f>+MINVU_Mes_Corriente!CP147*MINVU_Mes_Constante!$CP$1</f>
        <v>0</v>
      </c>
      <c r="CQ147" s="8">
        <f>+MINVU_Mes_Corriente!CQ147*MINVU_Mes_Constante!$CP$1</f>
        <v>0</v>
      </c>
      <c r="CR147" s="8">
        <f>+MINVU_Mes_Corriente!CR147*MINVU_Mes_Constante!$CP$1</f>
        <v>0</v>
      </c>
      <c r="CS147" s="8">
        <f>+MINVU_Mes_Corriente!CS147*MINVU_Mes_Constante!$CP$1</f>
        <v>0</v>
      </c>
      <c r="CT147" s="8">
        <f>+MINVU_Mes_Corriente!CT147*MINVU_Mes_Constante!$CP$1</f>
        <v>0</v>
      </c>
      <c r="CU147" s="8">
        <f>+MINVU_Mes_Corriente!CU147*MINVU_Mes_Constante!$CP$1</f>
        <v>0</v>
      </c>
      <c r="CV147" s="8">
        <f>+MINVU_Mes_Corriente!CV147*MINVU_Mes_Constante!$CP$1</f>
        <v>0</v>
      </c>
      <c r="CW147" s="8">
        <f>+MINVU_Mes_Corriente!CW147*MINVU_Mes_Constante!$CP$1</f>
        <v>0</v>
      </c>
      <c r="CX147" s="8">
        <f>+MINVU_Mes_Corriente!CX147*MINVU_Mes_Constante!$CP$1</f>
        <v>0</v>
      </c>
      <c r="CY147" s="8">
        <f>+MINVU_Mes_Corriente!CY147*MINVU_Mes_Constante!$CP$1</f>
        <v>0</v>
      </c>
      <c r="CZ147" s="8">
        <f>+MINVU_Mes_Corriente!CZ147*MINVU_Mes_Constante!$CP$1</f>
        <v>0</v>
      </c>
      <c r="DA147" s="8">
        <f>+MINVU_Mes_Corriente!DA147*MINVU_Mes_Constante!$CP$1</f>
        <v>0</v>
      </c>
      <c r="DB147" s="9">
        <f t="shared" si="121"/>
        <v>0</v>
      </c>
      <c r="DC147" s="8">
        <f>+MINVU_Mes_Corriente!DC147*MINVU_Mes_Constante!$DC$1</f>
        <v>0</v>
      </c>
      <c r="DD147" s="8">
        <f>+MINVU_Mes_Corriente!DD147*MINVU_Mes_Constante!$DC$1</f>
        <v>0</v>
      </c>
      <c r="DE147" s="8">
        <f>+MINVU_Mes_Corriente!DE147*MINVU_Mes_Constante!$DC$1</f>
        <v>0</v>
      </c>
      <c r="DF147" s="8">
        <f>+MINVU_Mes_Corriente!DF147*MINVU_Mes_Constante!$DC$1</f>
        <v>0</v>
      </c>
      <c r="DG147" s="8">
        <f>+MINVU_Mes_Corriente!DG147*MINVU_Mes_Constante!$DC$1</f>
        <v>0</v>
      </c>
      <c r="DH147" s="8">
        <f>+MINVU_Mes_Corriente!DH147*MINVU_Mes_Constante!$DC$1</f>
        <v>0</v>
      </c>
      <c r="DI147" s="8">
        <f>+MINVU_Mes_Corriente!DI147*MINVU_Mes_Constante!$DC$1</f>
        <v>0</v>
      </c>
      <c r="DJ147" s="8">
        <f>+MINVU_Mes_Corriente!DJ147*MINVU_Mes_Constante!$DC$1</f>
        <v>0</v>
      </c>
      <c r="DK147" s="8">
        <f>+MINVU_Mes_Corriente!DK147*MINVU_Mes_Constante!$DC$1</f>
        <v>0</v>
      </c>
      <c r="DL147" s="8">
        <f>+MINVU_Mes_Corriente!DL147*MINVU_Mes_Constante!$DC$1</f>
        <v>0</v>
      </c>
      <c r="DM147" s="8">
        <f>+MINVU_Mes_Corriente!DM147*MINVU_Mes_Constante!$DC$1</f>
        <v>0</v>
      </c>
      <c r="DN147" s="8">
        <f>+MINVU_Mes_Corriente!DN147*MINVU_Mes_Constante!$DC$1</f>
        <v>0</v>
      </c>
      <c r="DO147" s="9">
        <f t="shared" si="122"/>
        <v>0</v>
      </c>
      <c r="DP147" s="8">
        <f>+MINVU_Mes_Corriente!DP147*MINVU_Mes_Constante!$DP$1</f>
        <v>0</v>
      </c>
      <c r="DQ147" s="8">
        <f>+MINVU_Mes_Corriente!DQ147*MINVU_Mes_Constante!$DP$1</f>
        <v>0</v>
      </c>
      <c r="DR147" s="8">
        <f>+MINVU_Mes_Corriente!DR147*MINVU_Mes_Constante!$DP$1</f>
        <v>0</v>
      </c>
      <c r="DS147" s="8">
        <f>+MINVU_Mes_Corriente!DS147*MINVU_Mes_Constante!$DP$1</f>
        <v>0</v>
      </c>
      <c r="DT147" s="8">
        <f>+MINVU_Mes_Corriente!DT147*MINVU_Mes_Constante!$DP$1</f>
        <v>0</v>
      </c>
      <c r="DU147" s="8">
        <f>+MINVU_Mes_Corriente!DU147*MINVU_Mes_Constante!$DP$1</f>
        <v>0</v>
      </c>
      <c r="DV147" s="8">
        <f>+MINVU_Mes_Corriente!DV147*MINVU_Mes_Constante!$DP$1</f>
        <v>0</v>
      </c>
      <c r="DW147" s="8">
        <f>+MINVU_Mes_Corriente!DW147*MINVU_Mes_Constante!$DP$1</f>
        <v>0</v>
      </c>
      <c r="DX147" s="8">
        <f>+MINVU_Mes_Corriente!DX147*MINVU_Mes_Constante!$DP$1</f>
        <v>0</v>
      </c>
      <c r="DY147" s="8">
        <f>+MINVU_Mes_Corriente!DY147*MINVU_Mes_Constante!$DP$1</f>
        <v>0</v>
      </c>
      <c r="DZ147" s="8">
        <f>+MINVU_Mes_Corriente!DZ147*MINVU_Mes_Constante!$DP$1</f>
        <v>0</v>
      </c>
      <c r="EA147" s="8">
        <f>+MINVU_Mes_Corriente!EA147*MINVU_Mes_Constante!$DP$1</f>
        <v>0</v>
      </c>
      <c r="EB147" s="9">
        <f t="shared" si="123"/>
        <v>0</v>
      </c>
      <c r="EC147" s="8">
        <f>+MINVU_Mes_Corriente!EC147*MINVU_Mes_Constante!$EC$1</f>
        <v>0</v>
      </c>
      <c r="ED147" s="8">
        <f>+MINVU_Mes_Corriente!ED147*MINVU_Mes_Constante!$EC$1</f>
        <v>0</v>
      </c>
      <c r="EE147" s="8">
        <f>+MINVU_Mes_Corriente!EE147*MINVU_Mes_Constante!$EC$1</f>
        <v>0</v>
      </c>
      <c r="EF147" s="8">
        <f>+MINVU_Mes_Corriente!EF147*MINVU_Mes_Constante!$EC$1</f>
        <v>0</v>
      </c>
      <c r="EG147" s="8">
        <f>+MINVU_Mes_Corriente!EG147*MINVU_Mes_Constante!$EC$1</f>
        <v>0</v>
      </c>
      <c r="EH147" s="8">
        <f>+MINVU_Mes_Corriente!EH147*MINVU_Mes_Constante!$EC$1</f>
        <v>0</v>
      </c>
      <c r="EI147" s="8">
        <f>+MINVU_Mes_Corriente!EI147*MINVU_Mes_Constante!$EC$1</f>
        <v>0</v>
      </c>
      <c r="EJ147" s="8">
        <f>+MINVU_Mes_Corriente!EJ147*MINVU_Mes_Constante!$EC$1</f>
        <v>0</v>
      </c>
      <c r="EK147" s="8">
        <f>+MINVU_Mes_Corriente!EK147*MINVU_Mes_Constante!$EC$1</f>
        <v>0</v>
      </c>
      <c r="EL147" s="8">
        <f>+MINVU_Mes_Corriente!EL147*MINVU_Mes_Constante!$EC$1</f>
        <v>0</v>
      </c>
      <c r="EM147" s="8">
        <f>+MINVU_Mes_Corriente!EM147*MINVU_Mes_Constante!$EC$1</f>
        <v>0</v>
      </c>
      <c r="EN147" s="8">
        <f>+MINVU_Mes_Corriente!EN147*MINVU_Mes_Constante!$EC$1</f>
        <v>0</v>
      </c>
      <c r="EO147" s="9">
        <f t="shared" si="124"/>
        <v>0</v>
      </c>
      <c r="EP147" s="8">
        <f>+MINVU_Mes_Corriente!EP147*MINVU_Mes_Constante!$EP$1</f>
        <v>0</v>
      </c>
      <c r="EQ147" s="8">
        <f>+MINVU_Mes_Corriente!EQ147*MINVU_Mes_Constante!$EP$1</f>
        <v>0</v>
      </c>
      <c r="ER147" s="8">
        <f>+MINVU_Mes_Corriente!ER147*MINVU_Mes_Constante!$EP$1</f>
        <v>0</v>
      </c>
      <c r="ES147" s="8">
        <f>+MINVU_Mes_Corriente!ES147*MINVU_Mes_Constante!$EP$1</f>
        <v>0</v>
      </c>
      <c r="ET147" s="8">
        <f>+MINVU_Mes_Corriente!ET147*MINVU_Mes_Constante!$EP$1</f>
        <v>0</v>
      </c>
      <c r="EU147" s="8">
        <f>+MINVU_Mes_Corriente!EU147*MINVU_Mes_Constante!$EP$1</f>
        <v>0</v>
      </c>
      <c r="EV147" s="8">
        <f>+MINVU_Mes_Corriente!EV147*MINVU_Mes_Constante!$EP$1</f>
        <v>0</v>
      </c>
      <c r="EW147" s="8">
        <f>+MINVU_Mes_Corriente!EW147*MINVU_Mes_Constante!$EP$1</f>
        <v>0</v>
      </c>
      <c r="EX147" s="8">
        <f>+MINVU_Mes_Corriente!EX147*MINVU_Mes_Constante!$EP$1</f>
        <v>0</v>
      </c>
      <c r="EY147" s="8">
        <f>+MINVU_Mes_Corriente!EY147*MINVU_Mes_Constante!$EP$1</f>
        <v>0</v>
      </c>
      <c r="EZ147" s="8">
        <f>+MINVU_Mes_Corriente!EZ147*MINVU_Mes_Constante!$EP$1</f>
        <v>0</v>
      </c>
      <c r="FA147" s="8">
        <f>+MINVU_Mes_Corriente!FA147*MINVU_Mes_Constante!$EP$1</f>
        <v>0</v>
      </c>
      <c r="FB147" s="9">
        <f t="shared" si="125"/>
        <v>0</v>
      </c>
      <c r="FC147" s="8">
        <f>+MINVU_Mes_Corriente!FC147*MINVU_Mes_Constante!$FC$1</f>
        <v>0</v>
      </c>
      <c r="FD147" s="8">
        <f>+MINVU_Mes_Corriente!FD147*MINVU_Mes_Constante!$FC$1</f>
        <v>0</v>
      </c>
      <c r="FE147" s="8">
        <f>+MINVU_Mes_Corriente!FE147*MINVU_Mes_Constante!$FC$1</f>
        <v>0</v>
      </c>
      <c r="FF147" s="8">
        <f>+MINVU_Mes_Corriente!FF147*MINVU_Mes_Constante!$FC$1</f>
        <v>0</v>
      </c>
      <c r="FG147" s="8">
        <f>+MINVU_Mes_Corriente!FG147*MINVU_Mes_Constante!$FC$1</f>
        <v>0</v>
      </c>
      <c r="FH147" s="8">
        <f>+MINVU_Mes_Corriente!FH147*MINVU_Mes_Constante!$FC$1</f>
        <v>0</v>
      </c>
      <c r="FI147" s="8">
        <f>+MINVU_Mes_Corriente!FI147*MINVU_Mes_Constante!$FC$1</f>
        <v>0</v>
      </c>
      <c r="FJ147" s="8"/>
      <c r="FK147" s="8"/>
      <c r="FL147" s="8"/>
      <c r="FM147" s="8"/>
      <c r="FN147" s="8"/>
      <c r="FO147" s="9">
        <f t="shared" si="126"/>
        <v>0</v>
      </c>
    </row>
    <row r="148" spans="2:171" ht="14.25" customHeight="1" x14ac:dyDescent="0.3">
      <c r="B148" s="7" t="s">
        <v>45</v>
      </c>
      <c r="C148" s="8">
        <f>+MINVU_Mes_Corriente!C148*MINVU_Mes_Constante!$C$1</f>
        <v>13445453.286371054</v>
      </c>
      <c r="D148" s="8">
        <f>+MINVU_Mes_Corriente!D148*MINVU_Mes_Constante!$C$1</f>
        <v>13445453.286371054</v>
      </c>
      <c r="E148" s="8">
        <f>+MINVU_Mes_Corriente!E148*MINVU_Mes_Constante!$C$1</f>
        <v>13445453.286371054</v>
      </c>
      <c r="F148" s="8">
        <f>+MINVU_Mes_Corriente!F148*MINVU_Mes_Constante!$C$1</f>
        <v>13445453.286371054</v>
      </c>
      <c r="G148" s="8">
        <f>+MINVU_Mes_Corriente!G148*MINVU_Mes_Constante!$C$1</f>
        <v>13445453.286371054</v>
      </c>
      <c r="H148" s="8">
        <f>+MINVU_Mes_Corriente!H148*MINVU_Mes_Constante!$C$1</f>
        <v>13445453.286371054</v>
      </c>
      <c r="I148" s="8">
        <f>+MINVU_Mes_Corriente!I148*MINVU_Mes_Constante!$C$1</f>
        <v>13445453.286371054</v>
      </c>
      <c r="J148" s="8">
        <f>+MINVU_Mes_Corriente!J148*MINVU_Mes_Constante!$C$1</f>
        <v>13445453.286371054</v>
      </c>
      <c r="K148" s="8">
        <f>+MINVU_Mes_Corriente!K148*MINVU_Mes_Constante!$C$1</f>
        <v>13445453.286371054</v>
      </c>
      <c r="L148" s="8">
        <f>+MINVU_Mes_Corriente!L148*MINVU_Mes_Constante!$C$1</f>
        <v>13445453.286371054</v>
      </c>
      <c r="M148" s="8">
        <f>+MINVU_Mes_Corriente!M148*MINVU_Mes_Constante!$C$1</f>
        <v>13445453.286371054</v>
      </c>
      <c r="N148" s="8">
        <f>+MINVU_Mes_Corriente!N148*MINVU_Mes_Constante!$C$1</f>
        <v>13445453.286371054</v>
      </c>
      <c r="O148" s="9">
        <f t="shared" si="114"/>
        <v>13445453.286371054</v>
      </c>
      <c r="P148" s="8">
        <f>+MINVU_Mes_Corriente!P148*MINVU_Mes_Constante!$P$1</f>
        <v>44015453.864469372</v>
      </c>
      <c r="Q148" s="8">
        <f>+MINVU_Mes_Corriente!Q148*MINVU_Mes_Constante!$P$1</f>
        <v>44015453.864469372</v>
      </c>
      <c r="R148" s="8">
        <f>+MINVU_Mes_Corriente!R148*MINVU_Mes_Constante!$P$1</f>
        <v>44015453.864469372</v>
      </c>
      <c r="S148" s="8">
        <f>+MINVU_Mes_Corriente!S148*MINVU_Mes_Constante!$P$1</f>
        <v>44015453.864469372</v>
      </c>
      <c r="T148" s="8">
        <f>+MINVU_Mes_Corriente!T148*MINVU_Mes_Constante!$P$1</f>
        <v>44015453.864469372</v>
      </c>
      <c r="U148" s="8">
        <f>+MINVU_Mes_Corriente!U148*MINVU_Mes_Constante!$P$1</f>
        <v>44015453.864469372</v>
      </c>
      <c r="V148" s="8">
        <f>+MINVU_Mes_Corriente!V148*MINVU_Mes_Constante!$P$1</f>
        <v>44015453.864469372</v>
      </c>
      <c r="W148" s="8">
        <f>+MINVU_Mes_Corriente!W148*MINVU_Mes_Constante!$P$1</f>
        <v>44015453.864469372</v>
      </c>
      <c r="X148" s="8">
        <f>+MINVU_Mes_Corriente!X148*MINVU_Mes_Constante!$P$1</f>
        <v>44015453.864469372</v>
      </c>
      <c r="Y148" s="8">
        <f>+MINVU_Mes_Corriente!Y148*MINVU_Mes_Constante!$P$1</f>
        <v>44015453.864469372</v>
      </c>
      <c r="Z148" s="8">
        <f>+MINVU_Mes_Corriente!Z148*MINVU_Mes_Constante!$P$1</f>
        <v>44015453.864469372</v>
      </c>
      <c r="AA148" s="8">
        <f>+MINVU_Mes_Corriente!AA148*MINVU_Mes_Constante!$P$1</f>
        <v>44015453.864469372</v>
      </c>
      <c r="AB148" s="9">
        <f t="shared" si="115"/>
        <v>44015453.864469372</v>
      </c>
      <c r="AC148" s="8">
        <f>+MINVU_Mes_Corriente!AC148*MINVU_Mes_Constante!$AC$1</f>
        <v>54007363.095587216</v>
      </c>
      <c r="AD148" s="8">
        <f>+MINVU_Mes_Corriente!AD148*MINVU_Mes_Constante!$AC$1</f>
        <v>54007363.095587216</v>
      </c>
      <c r="AE148" s="8">
        <f>+MINVU_Mes_Corriente!AE148*MINVU_Mes_Constante!$AC$1</f>
        <v>54007363.095587216</v>
      </c>
      <c r="AF148" s="8">
        <f>+MINVU_Mes_Corriente!AF148*MINVU_Mes_Constante!$AC$1</f>
        <v>54007363.095587216</v>
      </c>
      <c r="AG148" s="8">
        <f>+MINVU_Mes_Corriente!AG148*MINVU_Mes_Constante!$AC$1</f>
        <v>54007363.095587216</v>
      </c>
      <c r="AH148" s="8">
        <f>+MINVU_Mes_Corriente!AH148*MINVU_Mes_Constante!$AC$1</f>
        <v>54007363.095587216</v>
      </c>
      <c r="AI148" s="8">
        <f>+MINVU_Mes_Corriente!AI148*MINVU_Mes_Constante!$AC$1</f>
        <v>54007363.095587216</v>
      </c>
      <c r="AJ148" s="8">
        <f>+MINVU_Mes_Corriente!AJ148*MINVU_Mes_Constante!$AC$1</f>
        <v>54007363.095587216</v>
      </c>
      <c r="AK148" s="8">
        <f>+MINVU_Mes_Corriente!AK148*MINVU_Mes_Constante!$AC$1</f>
        <v>54007363.095587216</v>
      </c>
      <c r="AL148" s="8">
        <f>+MINVU_Mes_Corriente!AL148*MINVU_Mes_Constante!$AC$1</f>
        <v>54007363.095587216</v>
      </c>
      <c r="AM148" s="8">
        <f>+MINVU_Mes_Corriente!AM148*MINVU_Mes_Constante!$AC$1</f>
        <v>54007363.095587216</v>
      </c>
      <c r="AN148" s="8">
        <f>+MINVU_Mes_Corriente!AN148*MINVU_Mes_Constante!$AC$1</f>
        <v>54007363.095587216</v>
      </c>
      <c r="AO148" s="9">
        <f t="shared" si="116"/>
        <v>54007363.095587216</v>
      </c>
      <c r="AP148" s="8">
        <f>+MINVU_Mes_Corriente!AP148*MINVU_Mes_Constante!$AP$1</f>
        <v>19130660.455836602</v>
      </c>
      <c r="AQ148" s="8">
        <f>+MINVU_Mes_Corriente!AQ148*MINVU_Mes_Constante!$AP$1</f>
        <v>19130660.455836602</v>
      </c>
      <c r="AR148" s="8">
        <f>+MINVU_Mes_Corriente!AR148*MINVU_Mes_Constante!$AP$1</f>
        <v>19130660.455836602</v>
      </c>
      <c r="AS148" s="8">
        <f>+MINVU_Mes_Corriente!AS148*MINVU_Mes_Constante!$AP$1</f>
        <v>19130660.455836602</v>
      </c>
      <c r="AT148" s="8">
        <f>+MINVU_Mes_Corriente!AT148*MINVU_Mes_Constante!$AP$1</f>
        <v>19130660.455836602</v>
      </c>
      <c r="AU148" s="8">
        <f>+MINVU_Mes_Corriente!AU148*MINVU_Mes_Constante!$AP$1</f>
        <v>19130660.455836602</v>
      </c>
      <c r="AV148" s="8">
        <f>+MINVU_Mes_Corriente!AV148*MINVU_Mes_Constante!$AP$1</f>
        <v>19130660.455836602</v>
      </c>
      <c r="AW148" s="8">
        <f>+MINVU_Mes_Corriente!AW148*MINVU_Mes_Constante!$AP$1</f>
        <v>19130660.455836602</v>
      </c>
      <c r="AX148" s="8">
        <f>+MINVU_Mes_Corriente!AX148*MINVU_Mes_Constante!$AP$1</f>
        <v>19130660.455836602</v>
      </c>
      <c r="AY148" s="8">
        <f>+MINVU_Mes_Corriente!AY148*MINVU_Mes_Constante!$AP$1</f>
        <v>19130660.455836602</v>
      </c>
      <c r="AZ148" s="8">
        <f>+MINVU_Mes_Corriente!AZ148*MINVU_Mes_Constante!$AP$1</f>
        <v>19130660.455836602</v>
      </c>
      <c r="BA148" s="8">
        <f>+MINVU_Mes_Corriente!BA148*MINVU_Mes_Constante!$AP$1</f>
        <v>19130660.455836602</v>
      </c>
      <c r="BB148" s="9">
        <f t="shared" si="117"/>
        <v>19130660.455836602</v>
      </c>
      <c r="BC148" s="8">
        <f>+MINVU_Mes_Corriente!BC148*MINVU_Mes_Constante!$BC$1</f>
        <v>18102565.08242121</v>
      </c>
      <c r="BD148" s="8">
        <f>+MINVU_Mes_Corriente!BD148*MINVU_Mes_Constante!$BC$1</f>
        <v>18102565.08242121</v>
      </c>
      <c r="BE148" s="8">
        <f>+MINVU_Mes_Corriente!BE148*MINVU_Mes_Constante!$BC$1</f>
        <v>18102565.08242121</v>
      </c>
      <c r="BF148" s="8">
        <f>+MINVU_Mes_Corriente!BF148*MINVU_Mes_Constante!$BC$1</f>
        <v>18102565.08242121</v>
      </c>
      <c r="BG148" s="8">
        <f>+MINVU_Mes_Corriente!BG148*MINVU_Mes_Constante!$BC$1</f>
        <v>18102565.08242121</v>
      </c>
      <c r="BH148" s="8">
        <f>+MINVU_Mes_Corriente!BH148*MINVU_Mes_Constante!$BC$1</f>
        <v>18102565.08242121</v>
      </c>
      <c r="BI148" s="8">
        <f>+MINVU_Mes_Corriente!BI148*MINVU_Mes_Constante!$BC$1</f>
        <v>18102565.08242121</v>
      </c>
      <c r="BJ148" s="8">
        <f>+MINVU_Mes_Corriente!BJ148*MINVU_Mes_Constante!$BC$1</f>
        <v>18102565.08242121</v>
      </c>
      <c r="BK148" s="8">
        <f>+MINVU_Mes_Corriente!BK148*MINVU_Mes_Constante!$BC$1</f>
        <v>18102565.08242121</v>
      </c>
      <c r="BL148" s="8">
        <f>+MINVU_Mes_Corriente!BL148*MINVU_Mes_Constante!$BC$1</f>
        <v>18102565.08242121</v>
      </c>
      <c r="BM148" s="8">
        <f>+MINVU_Mes_Corriente!BM148*MINVU_Mes_Constante!$BC$1</f>
        <v>18102565.08242121</v>
      </c>
      <c r="BN148" s="8">
        <f>+MINVU_Mes_Corriente!BN148*MINVU_Mes_Constante!$BC$1</f>
        <v>18102565.08242121</v>
      </c>
      <c r="BO148" s="9">
        <f t="shared" si="118"/>
        <v>18102565.08242121</v>
      </c>
      <c r="BP148" s="8">
        <f>+MINVU_Mes_Corriente!BP148*MINVU_Mes_Constante!$BP$1</f>
        <v>29010971.212548018</v>
      </c>
      <c r="BQ148" s="8">
        <f>+MINVU_Mes_Corriente!BQ148*MINVU_Mes_Constante!$BP$1</f>
        <v>29010971.212548018</v>
      </c>
      <c r="BR148" s="8">
        <f>+MINVU_Mes_Corriente!BR148*MINVU_Mes_Constante!$BP$1</f>
        <v>29010971.212548018</v>
      </c>
      <c r="BS148" s="8">
        <f>+MINVU_Mes_Corriente!BS148*MINVU_Mes_Constante!$BP$1</f>
        <v>29010971.212548018</v>
      </c>
      <c r="BT148" s="8">
        <f>+MINVU_Mes_Corriente!BT148*MINVU_Mes_Constante!$BP$1</f>
        <v>29010971.212548018</v>
      </c>
      <c r="BU148" s="8">
        <f>+MINVU_Mes_Corriente!BU148*MINVU_Mes_Constante!$BP$1</f>
        <v>29010971.212548018</v>
      </c>
      <c r="BV148" s="8">
        <f>+MINVU_Mes_Corriente!BV148*MINVU_Mes_Constante!$BP$1</f>
        <v>29010971.212548018</v>
      </c>
      <c r="BW148" s="8">
        <f>+MINVU_Mes_Corriente!BW148*MINVU_Mes_Constante!$BP$1</f>
        <v>29010971.212548018</v>
      </c>
      <c r="BX148" s="8">
        <f>+MINVU_Mes_Corriente!BX148*MINVU_Mes_Constante!$BP$1</f>
        <v>29010971.212548018</v>
      </c>
      <c r="BY148" s="8">
        <f>+MINVU_Mes_Corriente!BY148*MINVU_Mes_Constante!$BP$1</f>
        <v>29010971.212548018</v>
      </c>
      <c r="BZ148" s="8">
        <f>+MINVU_Mes_Corriente!BZ148*MINVU_Mes_Constante!$BP$1</f>
        <v>29010971.212548018</v>
      </c>
      <c r="CA148" s="8">
        <f>+MINVU_Mes_Corriente!CA148*MINVU_Mes_Constante!$BP$1</f>
        <v>29010971.212548018</v>
      </c>
      <c r="CB148" s="9">
        <f t="shared" si="119"/>
        <v>29010971.212548018</v>
      </c>
      <c r="CC148" s="8">
        <f>+MINVU_Mes_Corriente!CC148*MINVU_Mes_Constante!$CC$1</f>
        <v>28974909.762029096</v>
      </c>
      <c r="CD148" s="8">
        <f>+MINVU_Mes_Corriente!CD148*MINVU_Mes_Constante!$CC$1</f>
        <v>28974909.762029096</v>
      </c>
      <c r="CE148" s="8">
        <f>+MINVU_Mes_Corriente!CE148*MINVU_Mes_Constante!$CC$1</f>
        <v>28974909.762029096</v>
      </c>
      <c r="CF148" s="8">
        <f>+MINVU_Mes_Corriente!CF148*MINVU_Mes_Constante!$CC$1</f>
        <v>28974909.762029096</v>
      </c>
      <c r="CG148" s="8">
        <f>+MINVU_Mes_Corriente!CG148*MINVU_Mes_Constante!$CC$1</f>
        <v>28974909.762029096</v>
      </c>
      <c r="CH148" s="8">
        <f>+MINVU_Mes_Corriente!CH148*MINVU_Mes_Constante!$CC$1</f>
        <v>28974909.762029096</v>
      </c>
      <c r="CI148" s="8">
        <f>+MINVU_Mes_Corriente!CI148*MINVU_Mes_Constante!$CC$1</f>
        <v>28974909.762029096</v>
      </c>
      <c r="CJ148" s="8">
        <f>+MINVU_Mes_Corriente!CJ148*MINVU_Mes_Constante!$CC$1</f>
        <v>28974909.762029096</v>
      </c>
      <c r="CK148" s="8">
        <f>+MINVU_Mes_Corriente!CK148*MINVU_Mes_Constante!$CC$1</f>
        <v>28974909.762029096</v>
      </c>
      <c r="CL148" s="8">
        <f>+MINVU_Mes_Corriente!CL148*MINVU_Mes_Constante!$CC$1</f>
        <v>28974909.762029096</v>
      </c>
      <c r="CM148" s="8">
        <f>+MINVU_Mes_Corriente!CM148*MINVU_Mes_Constante!$CC$1</f>
        <v>28974909.762029096</v>
      </c>
      <c r="CN148" s="8">
        <f>+MINVU_Mes_Corriente!CN148*MINVU_Mes_Constante!$CC$1</f>
        <v>28974909.762029096</v>
      </c>
      <c r="CO148" s="9">
        <f t="shared" si="120"/>
        <v>28974909.762029096</v>
      </c>
      <c r="CP148" s="8">
        <f>+MINVU_Mes_Corriente!CP148*MINVU_Mes_Constante!$CP$1</f>
        <v>31399110.914617162</v>
      </c>
      <c r="CQ148" s="8">
        <f>+MINVU_Mes_Corriente!CQ148*MINVU_Mes_Constante!$CP$1</f>
        <v>31399110.914617162</v>
      </c>
      <c r="CR148" s="8">
        <f>+MINVU_Mes_Corriente!CR148*MINVU_Mes_Constante!$CP$1</f>
        <v>31399110.914617162</v>
      </c>
      <c r="CS148" s="8">
        <f>+MINVU_Mes_Corriente!CS148*MINVU_Mes_Constante!$CP$1</f>
        <v>31399110.914617162</v>
      </c>
      <c r="CT148" s="8">
        <f>+MINVU_Mes_Corriente!CT148*MINVU_Mes_Constante!$CP$1</f>
        <v>31399110.914617162</v>
      </c>
      <c r="CU148" s="8">
        <f>+MINVU_Mes_Corriente!CU148*MINVU_Mes_Constante!$CP$1</f>
        <v>31399110.914617162</v>
      </c>
      <c r="CV148" s="8">
        <f>+MINVU_Mes_Corriente!CV148*MINVU_Mes_Constante!$CP$1</f>
        <v>31399110.914617162</v>
      </c>
      <c r="CW148" s="8">
        <f>+MINVU_Mes_Corriente!CW148*MINVU_Mes_Constante!$CP$1</f>
        <v>31399110.914617162</v>
      </c>
      <c r="CX148" s="8">
        <f>+MINVU_Mes_Corriente!CX148*MINVU_Mes_Constante!$CP$1</f>
        <v>31399110.914617162</v>
      </c>
      <c r="CY148" s="8">
        <f>+MINVU_Mes_Corriente!CY148*MINVU_Mes_Constante!$CP$1</f>
        <v>31399110.914617162</v>
      </c>
      <c r="CZ148" s="8">
        <f>+MINVU_Mes_Corriente!CZ148*MINVU_Mes_Constante!$CP$1</f>
        <v>31399110.914617162</v>
      </c>
      <c r="DA148" s="8">
        <f>+MINVU_Mes_Corriente!DA148*MINVU_Mes_Constante!$CP$1</f>
        <v>31399110.914617162</v>
      </c>
      <c r="DB148" s="9">
        <f t="shared" si="121"/>
        <v>31399110.914617162</v>
      </c>
      <c r="DC148" s="8">
        <f>+MINVU_Mes_Corriente!DC148*MINVU_Mes_Constante!$DC$1</f>
        <v>44234723.059973277</v>
      </c>
      <c r="DD148" s="8">
        <f>+MINVU_Mes_Corriente!DD148*MINVU_Mes_Constante!$DC$1</f>
        <v>44234723.059973277</v>
      </c>
      <c r="DE148" s="8">
        <f>+MINVU_Mes_Corriente!DE148*MINVU_Mes_Constante!$DC$1</f>
        <v>44234723.059973277</v>
      </c>
      <c r="DF148" s="8">
        <f>+MINVU_Mes_Corriente!DF148*MINVU_Mes_Constante!$DC$1</f>
        <v>44234723.059973277</v>
      </c>
      <c r="DG148" s="8">
        <f>+MINVU_Mes_Corriente!DG148*MINVU_Mes_Constante!$DC$1</f>
        <v>44234723.059973277</v>
      </c>
      <c r="DH148" s="8">
        <f>+MINVU_Mes_Corriente!DH148*MINVU_Mes_Constante!$DC$1</f>
        <v>44234723.059973277</v>
      </c>
      <c r="DI148" s="8">
        <f>+MINVU_Mes_Corriente!DI148*MINVU_Mes_Constante!$DC$1</f>
        <v>44234723.059973277</v>
      </c>
      <c r="DJ148" s="8">
        <f>+MINVU_Mes_Corriente!DJ148*MINVU_Mes_Constante!$DC$1</f>
        <v>44234723.059973277</v>
      </c>
      <c r="DK148" s="8">
        <f>+MINVU_Mes_Corriente!DK148*MINVU_Mes_Constante!$DC$1</f>
        <v>44234723.059973277</v>
      </c>
      <c r="DL148" s="8">
        <f>+MINVU_Mes_Corriente!DL148*MINVU_Mes_Constante!$DC$1</f>
        <v>44234723.059973277</v>
      </c>
      <c r="DM148" s="8">
        <f>+MINVU_Mes_Corriente!DM148*MINVU_Mes_Constante!$DC$1</f>
        <v>44234723.059973277</v>
      </c>
      <c r="DN148" s="8">
        <f>+MINVU_Mes_Corriente!DN148*MINVU_Mes_Constante!$DC$1</f>
        <v>44234723.059973277</v>
      </c>
      <c r="DO148" s="9">
        <f t="shared" si="122"/>
        <v>44234723.059973277</v>
      </c>
      <c r="DP148" s="8">
        <f>+MINVU_Mes_Corriente!DP148*MINVU_Mes_Constante!$DP$1</f>
        <v>84605799.999406189</v>
      </c>
      <c r="DQ148" s="8">
        <f>+MINVU_Mes_Corriente!DQ148*MINVU_Mes_Constante!$DP$1</f>
        <v>84605799.999406189</v>
      </c>
      <c r="DR148" s="8">
        <f>+MINVU_Mes_Corriente!DR148*MINVU_Mes_Constante!$DP$1</f>
        <v>84605799.999406189</v>
      </c>
      <c r="DS148" s="8">
        <f>+MINVU_Mes_Corriente!DS148*MINVU_Mes_Constante!$DP$1</f>
        <v>84605799.999406189</v>
      </c>
      <c r="DT148" s="8">
        <f>+MINVU_Mes_Corriente!DT148*MINVU_Mes_Constante!$DP$1</f>
        <v>84605799.999406189</v>
      </c>
      <c r="DU148" s="8">
        <f>+MINVU_Mes_Corriente!DU148*MINVU_Mes_Constante!$DP$1</f>
        <v>84605799.999406189</v>
      </c>
      <c r="DV148" s="8">
        <f>+MINVU_Mes_Corriente!DV148*MINVU_Mes_Constante!$DP$1</f>
        <v>84605799.999406189</v>
      </c>
      <c r="DW148" s="8">
        <f>+MINVU_Mes_Corriente!DW148*MINVU_Mes_Constante!$DP$1</f>
        <v>84605799.999406189</v>
      </c>
      <c r="DX148" s="8">
        <f>+MINVU_Mes_Corriente!DX148*MINVU_Mes_Constante!$DP$1</f>
        <v>84605799.999406189</v>
      </c>
      <c r="DY148" s="8">
        <f>+MINVU_Mes_Corriente!DY148*MINVU_Mes_Constante!$DP$1</f>
        <v>84605799.999406189</v>
      </c>
      <c r="DZ148" s="8">
        <f>+MINVU_Mes_Corriente!DZ148*MINVU_Mes_Constante!$DP$1</f>
        <v>84605799.999406189</v>
      </c>
      <c r="EA148" s="8">
        <f>+MINVU_Mes_Corriente!EA148*MINVU_Mes_Constante!$DP$1</f>
        <v>84605799.999406189</v>
      </c>
      <c r="EB148" s="9">
        <f t="shared" si="123"/>
        <v>84605799.999406189</v>
      </c>
      <c r="EC148" s="8">
        <f>+MINVU_Mes_Corriente!EC148*MINVU_Mes_Constante!$EC$1</f>
        <v>72648634.313387588</v>
      </c>
      <c r="ED148" s="8">
        <f>+MINVU_Mes_Corriente!ED148*MINVU_Mes_Constante!$EC$1</f>
        <v>72648634.313387588</v>
      </c>
      <c r="EE148" s="8">
        <f>+MINVU_Mes_Corriente!EE148*MINVU_Mes_Constante!$EC$1</f>
        <v>72648634.313387588</v>
      </c>
      <c r="EF148" s="8">
        <f>+MINVU_Mes_Corriente!EF148*MINVU_Mes_Constante!$EC$1</f>
        <v>72648634.313387588</v>
      </c>
      <c r="EG148" s="8">
        <f>+MINVU_Mes_Corriente!EG148*MINVU_Mes_Constante!$EC$1</f>
        <v>72648634.313387588</v>
      </c>
      <c r="EH148" s="8">
        <f>+MINVU_Mes_Corriente!EH148*MINVU_Mes_Constante!$EC$1</f>
        <v>72648634.313387588</v>
      </c>
      <c r="EI148" s="8">
        <f>+MINVU_Mes_Corriente!EI148*MINVU_Mes_Constante!$EC$1</f>
        <v>72648634.313387588</v>
      </c>
      <c r="EJ148" s="8">
        <f>+MINVU_Mes_Corriente!EJ148*MINVU_Mes_Constante!$EC$1</f>
        <v>72648634.313387588</v>
      </c>
      <c r="EK148" s="8">
        <f>+MINVU_Mes_Corriente!EK148*MINVU_Mes_Constante!$EC$1</f>
        <v>72648634.313387588</v>
      </c>
      <c r="EL148" s="8">
        <f>+MINVU_Mes_Corriente!EL148*MINVU_Mes_Constante!$EC$1</f>
        <v>72648634.313387588</v>
      </c>
      <c r="EM148" s="8">
        <f>+MINVU_Mes_Corriente!EM148*MINVU_Mes_Constante!$EC$1</f>
        <v>72648634.313387588</v>
      </c>
      <c r="EN148" s="8">
        <f>+MINVU_Mes_Corriente!EN148*MINVU_Mes_Constante!$EC$1</f>
        <v>72648634.313387588</v>
      </c>
      <c r="EO148" s="9">
        <f t="shared" si="124"/>
        <v>72648634.313387588</v>
      </c>
      <c r="EP148" s="8">
        <f>+MINVU_Mes_Corriente!EP148*MINVU_Mes_Constante!$EP$1</f>
        <v>102230033</v>
      </c>
      <c r="EQ148" s="8">
        <f>+MINVU_Mes_Corriente!EQ148*MINVU_Mes_Constante!$EP$1</f>
        <v>102230033</v>
      </c>
      <c r="ER148" s="8">
        <f>+MINVU_Mes_Corriente!ER148*MINVU_Mes_Constante!$EP$1</f>
        <v>102230033</v>
      </c>
      <c r="ES148" s="8">
        <f>+MINVU_Mes_Corriente!ES148*MINVU_Mes_Constante!$EP$1</f>
        <v>102230033</v>
      </c>
      <c r="ET148" s="8">
        <f>+MINVU_Mes_Corriente!ET148*MINVU_Mes_Constante!$EP$1</f>
        <v>102230033</v>
      </c>
      <c r="EU148" s="8">
        <f>+MINVU_Mes_Corriente!EU148*MINVU_Mes_Constante!$EP$1</f>
        <v>102230033</v>
      </c>
      <c r="EV148" s="8">
        <f>+MINVU_Mes_Corriente!EV148*MINVU_Mes_Constante!$EP$1</f>
        <v>102230033</v>
      </c>
      <c r="EW148" s="8">
        <f>+MINVU_Mes_Corriente!EW148*MINVU_Mes_Constante!$EP$1</f>
        <v>102230033</v>
      </c>
      <c r="EX148" s="8">
        <f>+MINVU_Mes_Corriente!EX148*MINVU_Mes_Constante!$EP$1</f>
        <v>102230033</v>
      </c>
      <c r="EY148" s="8">
        <f>+MINVU_Mes_Corriente!EY148*MINVU_Mes_Constante!$EP$1</f>
        <v>102230033</v>
      </c>
      <c r="EZ148" s="8">
        <f>+MINVU_Mes_Corriente!EZ148*MINVU_Mes_Constante!$EP$1</f>
        <v>102230033</v>
      </c>
      <c r="FA148" s="8">
        <f>+MINVU_Mes_Corriente!FA148*MINVU_Mes_Constante!$EP$1</f>
        <v>102230033</v>
      </c>
      <c r="FB148" s="9">
        <f t="shared" si="125"/>
        <v>102230033</v>
      </c>
      <c r="FC148" s="8">
        <f>+MINVU_Mes_Corriente!FC148*MINVU_Mes_Constante!$FC$1</f>
        <v>109150858</v>
      </c>
      <c r="FD148" s="8">
        <f>+MINVU_Mes_Corriente!FD148*MINVU_Mes_Constante!$FC$1</f>
        <v>109150858</v>
      </c>
      <c r="FE148" s="8">
        <f>+MINVU_Mes_Corriente!FE148*MINVU_Mes_Constante!$FC$1</f>
        <v>109150858</v>
      </c>
      <c r="FF148" s="8">
        <f>+MINVU_Mes_Corriente!FF148*MINVU_Mes_Constante!$FC$1</f>
        <v>109150858</v>
      </c>
      <c r="FG148" s="8">
        <f>+MINVU_Mes_Corriente!FG148*MINVU_Mes_Constante!$FC$1</f>
        <v>109150858</v>
      </c>
      <c r="FH148" s="8">
        <f>+MINVU_Mes_Corriente!FH148*MINVU_Mes_Constante!$FC$1</f>
        <v>109150858</v>
      </c>
      <c r="FI148" s="8">
        <f>+MINVU_Mes_Corriente!FI148*MINVU_Mes_Constante!$FC$1</f>
        <v>109150858</v>
      </c>
      <c r="FJ148" s="8"/>
      <c r="FK148" s="8"/>
      <c r="FL148" s="8"/>
      <c r="FM148" s="8"/>
      <c r="FN148" s="8"/>
      <c r="FO148" s="9">
        <f t="shared" si="126"/>
        <v>109150858</v>
      </c>
    </row>
    <row r="149" spans="2:171" ht="14.25" customHeight="1" x14ac:dyDescent="0.3">
      <c r="B149" s="7" t="s">
        <v>46</v>
      </c>
      <c r="C149" s="8">
        <f>+MINVU_Mes_Corriente!C149*MINVU_Mes_Constante!$C$1</f>
        <v>28116859.512679819</v>
      </c>
      <c r="D149" s="8">
        <f>+MINVU_Mes_Corriente!D149*MINVU_Mes_Constante!$C$1</f>
        <v>28116859.512679819</v>
      </c>
      <c r="E149" s="8">
        <f>+MINVU_Mes_Corriente!E149*MINVU_Mes_Constante!$C$1</f>
        <v>28116859.512679819</v>
      </c>
      <c r="F149" s="8">
        <f>+MINVU_Mes_Corriente!F149*MINVU_Mes_Constante!$C$1</f>
        <v>28116859.512679819</v>
      </c>
      <c r="G149" s="8">
        <f>+MINVU_Mes_Corriente!G149*MINVU_Mes_Constante!$C$1</f>
        <v>28116859.512679819</v>
      </c>
      <c r="H149" s="8">
        <f>+MINVU_Mes_Corriente!H149*MINVU_Mes_Constante!$C$1</f>
        <v>28116859.512679819</v>
      </c>
      <c r="I149" s="8">
        <f>+MINVU_Mes_Corriente!I149*MINVU_Mes_Constante!$C$1</f>
        <v>28116859.512679819</v>
      </c>
      <c r="J149" s="8">
        <f>+MINVU_Mes_Corriente!J149*MINVU_Mes_Constante!$C$1</f>
        <v>28116859.512679819</v>
      </c>
      <c r="K149" s="8">
        <f>+MINVU_Mes_Corriente!K149*MINVU_Mes_Constante!$C$1</f>
        <v>28116859.512679819</v>
      </c>
      <c r="L149" s="8">
        <f>+MINVU_Mes_Corriente!L149*MINVU_Mes_Constante!$C$1</f>
        <v>28116859.512679819</v>
      </c>
      <c r="M149" s="8">
        <f>+MINVU_Mes_Corriente!M149*MINVU_Mes_Constante!$C$1</f>
        <v>28116859.512679819</v>
      </c>
      <c r="N149" s="8">
        <f>+MINVU_Mes_Corriente!N149*MINVU_Mes_Constante!$C$1</f>
        <v>28116859.512679819</v>
      </c>
      <c r="O149" s="9">
        <f t="shared" si="114"/>
        <v>28116859.512679819</v>
      </c>
      <c r="P149" s="8">
        <f>+MINVU_Mes_Corriente!P149*MINVU_Mes_Constante!$P$1</f>
        <v>42135515.966756627</v>
      </c>
      <c r="Q149" s="8">
        <f>+MINVU_Mes_Corriente!Q149*MINVU_Mes_Constante!$P$1</f>
        <v>42135515.966756627</v>
      </c>
      <c r="R149" s="8">
        <f>+MINVU_Mes_Corriente!R149*MINVU_Mes_Constante!$P$1</f>
        <v>42135515.966756627</v>
      </c>
      <c r="S149" s="8">
        <f>+MINVU_Mes_Corriente!S149*MINVU_Mes_Constante!$P$1</f>
        <v>42135515.966756627</v>
      </c>
      <c r="T149" s="8">
        <f>+MINVU_Mes_Corriente!T149*MINVU_Mes_Constante!$P$1</f>
        <v>42135515.966756627</v>
      </c>
      <c r="U149" s="8">
        <f>+MINVU_Mes_Corriente!U149*MINVU_Mes_Constante!$P$1</f>
        <v>42135515.966756627</v>
      </c>
      <c r="V149" s="8">
        <f>+MINVU_Mes_Corriente!V149*MINVU_Mes_Constante!$P$1</f>
        <v>42135515.966756627</v>
      </c>
      <c r="W149" s="8">
        <f>+MINVU_Mes_Corriente!W149*MINVU_Mes_Constante!$P$1</f>
        <v>42135515.966756627</v>
      </c>
      <c r="X149" s="8">
        <f>+MINVU_Mes_Corriente!X149*MINVU_Mes_Constante!$P$1</f>
        <v>42135515.966756627</v>
      </c>
      <c r="Y149" s="8">
        <f>+MINVU_Mes_Corriente!Y149*MINVU_Mes_Constante!$P$1</f>
        <v>42135515.966756627</v>
      </c>
      <c r="Z149" s="8">
        <f>+MINVU_Mes_Corriente!Z149*MINVU_Mes_Constante!$P$1</f>
        <v>42135515.966756627</v>
      </c>
      <c r="AA149" s="8">
        <f>+MINVU_Mes_Corriente!AA149*MINVU_Mes_Constante!$P$1</f>
        <v>42135515.966756627</v>
      </c>
      <c r="AB149" s="9">
        <f t="shared" si="115"/>
        <v>42135515.966756627</v>
      </c>
      <c r="AC149" s="8">
        <f>+MINVU_Mes_Corriente!AC149*MINVU_Mes_Constante!$AC$1</f>
        <v>110189291.89376123</v>
      </c>
      <c r="AD149" s="8">
        <f>+MINVU_Mes_Corriente!AD149*MINVU_Mes_Constante!$AC$1</f>
        <v>110189291.89376123</v>
      </c>
      <c r="AE149" s="8">
        <f>+MINVU_Mes_Corriente!AE149*MINVU_Mes_Constante!$AC$1</f>
        <v>110189291.89376123</v>
      </c>
      <c r="AF149" s="8">
        <f>+MINVU_Mes_Corriente!AF149*MINVU_Mes_Constante!$AC$1</f>
        <v>110189291.89376123</v>
      </c>
      <c r="AG149" s="8">
        <f>+MINVU_Mes_Corriente!AG149*MINVU_Mes_Constante!$AC$1</f>
        <v>110189291.89376123</v>
      </c>
      <c r="AH149" s="8">
        <f>+MINVU_Mes_Corriente!AH149*MINVU_Mes_Constante!$AC$1</f>
        <v>110189291.89376123</v>
      </c>
      <c r="AI149" s="8">
        <f>+MINVU_Mes_Corriente!AI149*MINVU_Mes_Constante!$AC$1</f>
        <v>110189291.89376123</v>
      </c>
      <c r="AJ149" s="8">
        <f>+MINVU_Mes_Corriente!AJ149*MINVU_Mes_Constante!$AC$1</f>
        <v>110189291.89376123</v>
      </c>
      <c r="AK149" s="8">
        <f>+MINVU_Mes_Corriente!AK149*MINVU_Mes_Constante!$AC$1</f>
        <v>110189291.89376123</v>
      </c>
      <c r="AL149" s="8">
        <f>+MINVU_Mes_Corriente!AL149*MINVU_Mes_Constante!$AC$1</f>
        <v>110189291.89376123</v>
      </c>
      <c r="AM149" s="8">
        <f>+MINVU_Mes_Corriente!AM149*MINVU_Mes_Constante!$AC$1</f>
        <v>110189291.89376123</v>
      </c>
      <c r="AN149" s="8">
        <f>+MINVU_Mes_Corriente!AN149*MINVU_Mes_Constante!$AC$1</f>
        <v>110189291.89376123</v>
      </c>
      <c r="AO149" s="9">
        <f t="shared" si="116"/>
        <v>110189291.89376123</v>
      </c>
      <c r="AP149" s="8">
        <f>+MINVU_Mes_Corriente!AP149*MINVU_Mes_Constante!$AP$1</f>
        <v>75314422.486406058</v>
      </c>
      <c r="AQ149" s="8">
        <f>+MINVU_Mes_Corriente!AQ149*MINVU_Mes_Constante!$AP$1</f>
        <v>75314422.486406058</v>
      </c>
      <c r="AR149" s="8">
        <f>+MINVU_Mes_Corriente!AR149*MINVU_Mes_Constante!$AP$1</f>
        <v>75314422.486406058</v>
      </c>
      <c r="AS149" s="8">
        <f>+MINVU_Mes_Corriente!AS149*MINVU_Mes_Constante!$AP$1</f>
        <v>75314422.486406058</v>
      </c>
      <c r="AT149" s="8">
        <f>+MINVU_Mes_Corriente!AT149*MINVU_Mes_Constante!$AP$1</f>
        <v>75314422.486406058</v>
      </c>
      <c r="AU149" s="8">
        <f>+MINVU_Mes_Corriente!AU149*MINVU_Mes_Constante!$AP$1</f>
        <v>75314422.486406058</v>
      </c>
      <c r="AV149" s="8">
        <f>+MINVU_Mes_Corriente!AV149*MINVU_Mes_Constante!$AP$1</f>
        <v>75314422.486406058</v>
      </c>
      <c r="AW149" s="8">
        <f>+MINVU_Mes_Corriente!AW149*MINVU_Mes_Constante!$AP$1</f>
        <v>75314422.486406058</v>
      </c>
      <c r="AX149" s="8">
        <f>+MINVU_Mes_Corriente!AX149*MINVU_Mes_Constante!$AP$1</f>
        <v>75314422.486406058</v>
      </c>
      <c r="AY149" s="8">
        <f>+MINVU_Mes_Corriente!AY149*MINVU_Mes_Constante!$AP$1</f>
        <v>75314422.486406058</v>
      </c>
      <c r="AZ149" s="8">
        <f>+MINVU_Mes_Corriente!AZ149*MINVU_Mes_Constante!$AP$1</f>
        <v>75314422.486406058</v>
      </c>
      <c r="BA149" s="8">
        <f>+MINVU_Mes_Corriente!BA149*MINVU_Mes_Constante!$AP$1</f>
        <v>75314422.486406058</v>
      </c>
      <c r="BB149" s="9">
        <f t="shared" si="117"/>
        <v>75314422.486406058</v>
      </c>
      <c r="BC149" s="8">
        <f>+MINVU_Mes_Corriente!BC149*MINVU_Mes_Constante!$BC$1</f>
        <v>73939966.608993813</v>
      </c>
      <c r="BD149" s="8">
        <f>+MINVU_Mes_Corriente!BD149*MINVU_Mes_Constante!$BC$1</f>
        <v>73939966.608993813</v>
      </c>
      <c r="BE149" s="8">
        <f>+MINVU_Mes_Corriente!BE149*MINVU_Mes_Constante!$BC$1</f>
        <v>73939966.608993813</v>
      </c>
      <c r="BF149" s="8">
        <f>+MINVU_Mes_Corriente!BF149*MINVU_Mes_Constante!$BC$1</f>
        <v>73939966.608993813</v>
      </c>
      <c r="BG149" s="8">
        <f>+MINVU_Mes_Corriente!BG149*MINVU_Mes_Constante!$BC$1</f>
        <v>73939966.608993813</v>
      </c>
      <c r="BH149" s="8">
        <f>+MINVU_Mes_Corriente!BH149*MINVU_Mes_Constante!$BC$1</f>
        <v>73939966.608993813</v>
      </c>
      <c r="BI149" s="8">
        <f>+MINVU_Mes_Corriente!BI149*MINVU_Mes_Constante!$BC$1</f>
        <v>73939966.608993813</v>
      </c>
      <c r="BJ149" s="8">
        <f>+MINVU_Mes_Corriente!BJ149*MINVU_Mes_Constante!$BC$1</f>
        <v>73939966.608993813</v>
      </c>
      <c r="BK149" s="8">
        <f>+MINVU_Mes_Corriente!BK149*MINVU_Mes_Constante!$BC$1</f>
        <v>73939966.608993813</v>
      </c>
      <c r="BL149" s="8">
        <f>+MINVU_Mes_Corriente!BL149*MINVU_Mes_Constante!$BC$1</f>
        <v>73939966.608993813</v>
      </c>
      <c r="BM149" s="8">
        <f>+MINVU_Mes_Corriente!BM149*MINVU_Mes_Constante!$BC$1</f>
        <v>73939966.608993813</v>
      </c>
      <c r="BN149" s="8">
        <f>+MINVU_Mes_Corriente!BN149*MINVU_Mes_Constante!$BC$1</f>
        <v>73939966.608993813</v>
      </c>
      <c r="BO149" s="9">
        <f t="shared" si="118"/>
        <v>73939966.608993813</v>
      </c>
      <c r="BP149" s="8">
        <f>+MINVU_Mes_Corriente!BP149*MINVU_Mes_Constante!$BP$1</f>
        <v>55479502.795390531</v>
      </c>
      <c r="BQ149" s="8">
        <f>+MINVU_Mes_Corriente!BQ149*MINVU_Mes_Constante!$BP$1</f>
        <v>55479502.795390531</v>
      </c>
      <c r="BR149" s="8">
        <f>+MINVU_Mes_Corriente!BR149*MINVU_Mes_Constante!$BP$1</f>
        <v>55479502.795390531</v>
      </c>
      <c r="BS149" s="8">
        <f>+MINVU_Mes_Corriente!BS149*MINVU_Mes_Constante!$BP$1</f>
        <v>55479502.795390531</v>
      </c>
      <c r="BT149" s="8">
        <f>+MINVU_Mes_Corriente!BT149*MINVU_Mes_Constante!$BP$1</f>
        <v>55479502.795390531</v>
      </c>
      <c r="BU149" s="8">
        <f>+MINVU_Mes_Corriente!BU149*MINVU_Mes_Constante!$BP$1</f>
        <v>55479502.795390531</v>
      </c>
      <c r="BV149" s="8">
        <f>+MINVU_Mes_Corriente!BV149*MINVU_Mes_Constante!$BP$1</f>
        <v>55479502.795390531</v>
      </c>
      <c r="BW149" s="8">
        <f>+MINVU_Mes_Corriente!BW149*MINVU_Mes_Constante!$BP$1</f>
        <v>55479502.795390531</v>
      </c>
      <c r="BX149" s="8">
        <f>+MINVU_Mes_Corriente!BX149*MINVU_Mes_Constante!$BP$1</f>
        <v>55479502.795390531</v>
      </c>
      <c r="BY149" s="8">
        <f>+MINVU_Mes_Corriente!BY149*MINVU_Mes_Constante!$BP$1</f>
        <v>55479502.795390531</v>
      </c>
      <c r="BZ149" s="8">
        <f>+MINVU_Mes_Corriente!BZ149*MINVU_Mes_Constante!$BP$1</f>
        <v>55479502.795390531</v>
      </c>
      <c r="CA149" s="8">
        <f>+MINVU_Mes_Corriente!CA149*MINVU_Mes_Constante!$BP$1</f>
        <v>55479502.795390531</v>
      </c>
      <c r="CB149" s="9">
        <f t="shared" si="119"/>
        <v>55479502.795390531</v>
      </c>
      <c r="CC149" s="8">
        <f>+MINVU_Mes_Corriente!CC149*MINVU_Mes_Constante!$CC$1</f>
        <v>55324619.465124957</v>
      </c>
      <c r="CD149" s="8">
        <f>+MINVU_Mes_Corriente!CD149*MINVU_Mes_Constante!$CC$1</f>
        <v>55324619.465124957</v>
      </c>
      <c r="CE149" s="8">
        <f>+MINVU_Mes_Corriente!CE149*MINVU_Mes_Constante!$CC$1</f>
        <v>55324619.465124957</v>
      </c>
      <c r="CF149" s="8">
        <f>+MINVU_Mes_Corriente!CF149*MINVU_Mes_Constante!$CC$1</f>
        <v>55324619.465124957</v>
      </c>
      <c r="CG149" s="8">
        <f>+MINVU_Mes_Corriente!CG149*MINVU_Mes_Constante!$CC$1</f>
        <v>55324619.465124957</v>
      </c>
      <c r="CH149" s="8">
        <f>+MINVU_Mes_Corriente!CH149*MINVU_Mes_Constante!$CC$1</f>
        <v>55324619.465124957</v>
      </c>
      <c r="CI149" s="8">
        <f>+MINVU_Mes_Corriente!CI149*MINVU_Mes_Constante!$CC$1</f>
        <v>55324619.465124957</v>
      </c>
      <c r="CJ149" s="8">
        <f>+MINVU_Mes_Corriente!CJ149*MINVU_Mes_Constante!$CC$1</f>
        <v>55324619.465124957</v>
      </c>
      <c r="CK149" s="8">
        <f>+MINVU_Mes_Corriente!CK149*MINVU_Mes_Constante!$CC$1</f>
        <v>55324619.465124957</v>
      </c>
      <c r="CL149" s="8">
        <f>+MINVU_Mes_Corriente!CL149*MINVU_Mes_Constante!$CC$1</f>
        <v>55324619.465124957</v>
      </c>
      <c r="CM149" s="8">
        <f>+MINVU_Mes_Corriente!CM149*MINVU_Mes_Constante!$CC$1</f>
        <v>55324619.465124957</v>
      </c>
      <c r="CN149" s="8">
        <f>+MINVU_Mes_Corriente!CN149*MINVU_Mes_Constante!$CC$1</f>
        <v>55324619.465124957</v>
      </c>
      <c r="CO149" s="9">
        <f t="shared" si="120"/>
        <v>55324619.465124957</v>
      </c>
      <c r="CP149" s="8">
        <f>+MINVU_Mes_Corriente!CP149*MINVU_Mes_Constante!$CP$1</f>
        <v>56581574.995127596</v>
      </c>
      <c r="CQ149" s="8">
        <f>+MINVU_Mes_Corriente!CQ149*MINVU_Mes_Constante!$CP$1</f>
        <v>56581574.995127596</v>
      </c>
      <c r="CR149" s="8">
        <f>+MINVU_Mes_Corriente!CR149*MINVU_Mes_Constante!$CP$1</f>
        <v>56581574.995127596</v>
      </c>
      <c r="CS149" s="8">
        <f>+MINVU_Mes_Corriente!CS149*MINVU_Mes_Constante!$CP$1</f>
        <v>56581574.995127596</v>
      </c>
      <c r="CT149" s="8">
        <f>+MINVU_Mes_Corriente!CT149*MINVU_Mes_Constante!$CP$1</f>
        <v>56581574.995127596</v>
      </c>
      <c r="CU149" s="8">
        <f>+MINVU_Mes_Corriente!CU149*MINVU_Mes_Constante!$CP$1</f>
        <v>56581574.995127596</v>
      </c>
      <c r="CV149" s="8">
        <f>+MINVU_Mes_Corriente!CV149*MINVU_Mes_Constante!$CP$1</f>
        <v>56581574.995127596</v>
      </c>
      <c r="CW149" s="8">
        <f>+MINVU_Mes_Corriente!CW149*MINVU_Mes_Constante!$CP$1</f>
        <v>56581574.995127596</v>
      </c>
      <c r="CX149" s="8">
        <f>+MINVU_Mes_Corriente!CX149*MINVU_Mes_Constante!$CP$1</f>
        <v>56581574.995127596</v>
      </c>
      <c r="CY149" s="8">
        <f>+MINVU_Mes_Corriente!CY149*MINVU_Mes_Constante!$CP$1</f>
        <v>56581574.995127596</v>
      </c>
      <c r="CZ149" s="8">
        <f>+MINVU_Mes_Corriente!CZ149*MINVU_Mes_Constante!$CP$1</f>
        <v>56581574.995127596</v>
      </c>
      <c r="DA149" s="8">
        <f>+MINVU_Mes_Corriente!DA149*MINVU_Mes_Constante!$CP$1</f>
        <v>56581574.995127596</v>
      </c>
      <c r="DB149" s="9">
        <f t="shared" si="121"/>
        <v>56581574.995127596</v>
      </c>
      <c r="DC149" s="8">
        <f>+MINVU_Mes_Corriente!DC149*MINVU_Mes_Constante!$DC$1</f>
        <v>73616148.751774549</v>
      </c>
      <c r="DD149" s="8">
        <f>+MINVU_Mes_Corriente!DD149*MINVU_Mes_Constante!$DC$1</f>
        <v>73616148.751774549</v>
      </c>
      <c r="DE149" s="8">
        <f>+MINVU_Mes_Corriente!DE149*MINVU_Mes_Constante!$DC$1</f>
        <v>73616148.751774549</v>
      </c>
      <c r="DF149" s="8">
        <f>+MINVU_Mes_Corriente!DF149*MINVU_Mes_Constante!$DC$1</f>
        <v>73616148.751774549</v>
      </c>
      <c r="DG149" s="8">
        <f>+MINVU_Mes_Corriente!DG149*MINVU_Mes_Constante!$DC$1</f>
        <v>73616148.751774549</v>
      </c>
      <c r="DH149" s="8">
        <f>+MINVU_Mes_Corriente!DH149*MINVU_Mes_Constante!$DC$1</f>
        <v>73616148.751774549</v>
      </c>
      <c r="DI149" s="8">
        <f>+MINVU_Mes_Corriente!DI149*MINVU_Mes_Constante!$DC$1</f>
        <v>73616148.751774549</v>
      </c>
      <c r="DJ149" s="8">
        <f>+MINVU_Mes_Corriente!DJ149*MINVU_Mes_Constante!$DC$1</f>
        <v>73616148.751774549</v>
      </c>
      <c r="DK149" s="8">
        <f>+MINVU_Mes_Corriente!DK149*MINVU_Mes_Constante!$DC$1</f>
        <v>73616148.751774549</v>
      </c>
      <c r="DL149" s="8">
        <f>+MINVU_Mes_Corriente!DL149*MINVU_Mes_Constante!$DC$1</f>
        <v>73616148.751774549</v>
      </c>
      <c r="DM149" s="8">
        <f>+MINVU_Mes_Corriente!DM149*MINVU_Mes_Constante!$DC$1</f>
        <v>73616148.751774549</v>
      </c>
      <c r="DN149" s="8">
        <f>+MINVU_Mes_Corriente!DN149*MINVU_Mes_Constante!$DC$1</f>
        <v>73616148.751774549</v>
      </c>
      <c r="DO149" s="9">
        <f t="shared" si="122"/>
        <v>73616148.751774549</v>
      </c>
      <c r="DP149" s="8">
        <f>+MINVU_Mes_Corriente!DP149*MINVU_Mes_Constante!$DP$1</f>
        <v>95491695.826603338</v>
      </c>
      <c r="DQ149" s="8">
        <f>+MINVU_Mes_Corriente!DQ149*MINVU_Mes_Constante!$DP$1</f>
        <v>95491695.826603338</v>
      </c>
      <c r="DR149" s="8">
        <f>+MINVU_Mes_Corriente!DR149*MINVU_Mes_Constante!$DP$1</f>
        <v>95491695.826603338</v>
      </c>
      <c r="DS149" s="8">
        <f>+MINVU_Mes_Corriente!DS149*MINVU_Mes_Constante!$DP$1</f>
        <v>95491695.826603338</v>
      </c>
      <c r="DT149" s="8">
        <f>+MINVU_Mes_Corriente!DT149*MINVU_Mes_Constante!$DP$1</f>
        <v>95491695.826603338</v>
      </c>
      <c r="DU149" s="8">
        <f>+MINVU_Mes_Corriente!DU149*MINVU_Mes_Constante!$DP$1</f>
        <v>95491695.826603338</v>
      </c>
      <c r="DV149" s="8">
        <f>+MINVU_Mes_Corriente!DV149*MINVU_Mes_Constante!$DP$1</f>
        <v>95491695.826603338</v>
      </c>
      <c r="DW149" s="8">
        <f>+MINVU_Mes_Corriente!DW149*MINVU_Mes_Constante!$DP$1</f>
        <v>95491695.826603338</v>
      </c>
      <c r="DX149" s="8">
        <f>+MINVU_Mes_Corriente!DX149*MINVU_Mes_Constante!$DP$1</f>
        <v>95491695.826603338</v>
      </c>
      <c r="DY149" s="8">
        <f>+MINVU_Mes_Corriente!DY149*MINVU_Mes_Constante!$DP$1</f>
        <v>95491695.826603338</v>
      </c>
      <c r="DZ149" s="8">
        <f>+MINVU_Mes_Corriente!DZ149*MINVU_Mes_Constante!$DP$1</f>
        <v>95491695.826603338</v>
      </c>
      <c r="EA149" s="8">
        <f>+MINVU_Mes_Corriente!EA149*MINVU_Mes_Constante!$DP$1</f>
        <v>95491695.826603338</v>
      </c>
      <c r="EB149" s="9">
        <f t="shared" si="123"/>
        <v>95491695.826603338</v>
      </c>
      <c r="EC149" s="8">
        <f>+MINVU_Mes_Corriente!EC149*MINVU_Mes_Constante!$EC$1</f>
        <v>100818183.64874074</v>
      </c>
      <c r="ED149" s="8">
        <f>+MINVU_Mes_Corriente!ED149*MINVU_Mes_Constante!$EC$1</f>
        <v>100818183.64874074</v>
      </c>
      <c r="EE149" s="8">
        <f>+MINVU_Mes_Corriente!EE149*MINVU_Mes_Constante!$EC$1</f>
        <v>100818183.64874074</v>
      </c>
      <c r="EF149" s="8">
        <f>+MINVU_Mes_Corriente!EF149*MINVU_Mes_Constante!$EC$1</f>
        <v>100818183.64874074</v>
      </c>
      <c r="EG149" s="8">
        <f>+MINVU_Mes_Corriente!EG149*MINVU_Mes_Constante!$EC$1</f>
        <v>100818183.64874074</v>
      </c>
      <c r="EH149" s="8">
        <f>+MINVU_Mes_Corriente!EH149*MINVU_Mes_Constante!$EC$1</f>
        <v>100818183.64874074</v>
      </c>
      <c r="EI149" s="8">
        <f>+MINVU_Mes_Corriente!EI149*MINVU_Mes_Constante!$EC$1</f>
        <v>100818183.64874074</v>
      </c>
      <c r="EJ149" s="8">
        <f>+MINVU_Mes_Corriente!EJ149*MINVU_Mes_Constante!$EC$1</f>
        <v>100818183.64874074</v>
      </c>
      <c r="EK149" s="8">
        <f>+MINVU_Mes_Corriente!EK149*MINVU_Mes_Constante!$EC$1</f>
        <v>100818183.64874074</v>
      </c>
      <c r="EL149" s="8">
        <f>+MINVU_Mes_Corriente!EL149*MINVU_Mes_Constante!$EC$1</f>
        <v>100818183.64874074</v>
      </c>
      <c r="EM149" s="8">
        <f>+MINVU_Mes_Corriente!EM149*MINVU_Mes_Constante!$EC$1</f>
        <v>100818183.64874074</v>
      </c>
      <c r="EN149" s="8">
        <f>+MINVU_Mes_Corriente!EN149*MINVU_Mes_Constante!$EC$1</f>
        <v>100818183.64874074</v>
      </c>
      <c r="EO149" s="9">
        <f t="shared" si="124"/>
        <v>100818183.64874074</v>
      </c>
      <c r="EP149" s="8">
        <f>+MINVU_Mes_Corriente!EP149*MINVU_Mes_Constante!$EP$1</f>
        <v>125360133</v>
      </c>
      <c r="EQ149" s="8">
        <f>+MINVU_Mes_Corriente!EQ149*MINVU_Mes_Constante!$EP$1</f>
        <v>125360133</v>
      </c>
      <c r="ER149" s="8">
        <f>+MINVU_Mes_Corriente!ER149*MINVU_Mes_Constante!$EP$1</f>
        <v>125360133</v>
      </c>
      <c r="ES149" s="8">
        <f>+MINVU_Mes_Corriente!ES149*MINVU_Mes_Constante!$EP$1</f>
        <v>125360133</v>
      </c>
      <c r="ET149" s="8">
        <f>+MINVU_Mes_Corriente!ET149*MINVU_Mes_Constante!$EP$1</f>
        <v>125360133</v>
      </c>
      <c r="EU149" s="8">
        <f>+MINVU_Mes_Corriente!EU149*MINVU_Mes_Constante!$EP$1</f>
        <v>125360133</v>
      </c>
      <c r="EV149" s="8">
        <f>+MINVU_Mes_Corriente!EV149*MINVU_Mes_Constante!$EP$1</f>
        <v>125360133</v>
      </c>
      <c r="EW149" s="8">
        <f>+MINVU_Mes_Corriente!EW149*MINVU_Mes_Constante!$EP$1</f>
        <v>125360133</v>
      </c>
      <c r="EX149" s="8">
        <f>+MINVU_Mes_Corriente!EX149*MINVU_Mes_Constante!$EP$1</f>
        <v>125360133</v>
      </c>
      <c r="EY149" s="8">
        <f>+MINVU_Mes_Corriente!EY149*MINVU_Mes_Constante!$EP$1</f>
        <v>125360133</v>
      </c>
      <c r="EZ149" s="8">
        <f>+MINVU_Mes_Corriente!EZ149*MINVU_Mes_Constante!$EP$1</f>
        <v>125360133</v>
      </c>
      <c r="FA149" s="8">
        <f>+MINVU_Mes_Corriente!FA149*MINVU_Mes_Constante!$EP$1</f>
        <v>125360133</v>
      </c>
      <c r="FB149" s="9">
        <f t="shared" si="125"/>
        <v>125360133</v>
      </c>
      <c r="FC149" s="8">
        <f>+MINVU_Mes_Corriente!FC149*MINVU_Mes_Constante!$FC$1</f>
        <v>124147527</v>
      </c>
      <c r="FD149" s="8">
        <f>+MINVU_Mes_Corriente!FD149*MINVU_Mes_Constante!$FC$1</f>
        <v>124147527</v>
      </c>
      <c r="FE149" s="8">
        <f>+MINVU_Mes_Corriente!FE149*MINVU_Mes_Constante!$FC$1</f>
        <v>124147527</v>
      </c>
      <c r="FF149" s="8">
        <f>+MINVU_Mes_Corriente!FF149*MINVU_Mes_Constante!$FC$1</f>
        <v>124147527</v>
      </c>
      <c r="FG149" s="8">
        <f>+MINVU_Mes_Corriente!FG149*MINVU_Mes_Constante!$FC$1</f>
        <v>124147527</v>
      </c>
      <c r="FH149" s="8">
        <f>+MINVU_Mes_Corriente!FH149*MINVU_Mes_Constante!$FC$1</f>
        <v>124147527</v>
      </c>
      <c r="FI149" s="8">
        <f>+MINVU_Mes_Corriente!FI149*MINVU_Mes_Constante!$FC$1</f>
        <v>124147527</v>
      </c>
      <c r="FJ149" s="8"/>
      <c r="FK149" s="8"/>
      <c r="FL149" s="8"/>
      <c r="FM149" s="8"/>
      <c r="FN149" s="8"/>
      <c r="FO149" s="9">
        <f t="shared" si="126"/>
        <v>124147527</v>
      </c>
    </row>
    <row r="150" spans="2:171" ht="14.25" customHeight="1" x14ac:dyDescent="0.3">
      <c r="B150" s="7" t="s">
        <v>47</v>
      </c>
      <c r="C150" s="8">
        <f>+MINVU_Mes_Corriente!C150*MINVU_Mes_Constante!$C$1</f>
        <v>27185858.341984283</v>
      </c>
      <c r="D150" s="8">
        <f>+MINVU_Mes_Corriente!D150*MINVU_Mes_Constante!$C$1</f>
        <v>27185858.341984283</v>
      </c>
      <c r="E150" s="8">
        <f>+MINVU_Mes_Corriente!E150*MINVU_Mes_Constante!$C$1</f>
        <v>27185858.341984283</v>
      </c>
      <c r="F150" s="8">
        <f>+MINVU_Mes_Corriente!F150*MINVU_Mes_Constante!$C$1</f>
        <v>27185858.341984283</v>
      </c>
      <c r="G150" s="8">
        <f>+MINVU_Mes_Corriente!G150*MINVU_Mes_Constante!$C$1</f>
        <v>27185858.341984283</v>
      </c>
      <c r="H150" s="8">
        <f>+MINVU_Mes_Corriente!H150*MINVU_Mes_Constante!$C$1</f>
        <v>27185858.341984283</v>
      </c>
      <c r="I150" s="8">
        <f>+MINVU_Mes_Corriente!I150*MINVU_Mes_Constante!$C$1</f>
        <v>27185858.341984283</v>
      </c>
      <c r="J150" s="8">
        <f>+MINVU_Mes_Corriente!J150*MINVU_Mes_Constante!$C$1</f>
        <v>27185858.341984283</v>
      </c>
      <c r="K150" s="8">
        <f>+MINVU_Mes_Corriente!K150*MINVU_Mes_Constante!$C$1</f>
        <v>27185858.341984283</v>
      </c>
      <c r="L150" s="8">
        <f>+MINVU_Mes_Corriente!L150*MINVU_Mes_Constante!$C$1</f>
        <v>27185858.341984283</v>
      </c>
      <c r="M150" s="8">
        <f>+MINVU_Mes_Corriente!M150*MINVU_Mes_Constante!$C$1</f>
        <v>27185858.341984283</v>
      </c>
      <c r="N150" s="8">
        <f>+MINVU_Mes_Corriente!N150*MINVU_Mes_Constante!$C$1</f>
        <v>27185858.341984283</v>
      </c>
      <c r="O150" s="9">
        <f t="shared" si="114"/>
        <v>27185858.341984283</v>
      </c>
      <c r="P150" s="8">
        <f>+MINVU_Mes_Corriente!P150*MINVU_Mes_Constante!$P$1</f>
        <v>32261061.587725516</v>
      </c>
      <c r="Q150" s="8">
        <f>+MINVU_Mes_Corriente!Q150*MINVU_Mes_Constante!$P$1</f>
        <v>32261061.587725516</v>
      </c>
      <c r="R150" s="8">
        <f>+MINVU_Mes_Corriente!R150*MINVU_Mes_Constante!$P$1</f>
        <v>32261061.587725516</v>
      </c>
      <c r="S150" s="8">
        <f>+MINVU_Mes_Corriente!S150*MINVU_Mes_Constante!$P$1</f>
        <v>32261061.587725516</v>
      </c>
      <c r="T150" s="8">
        <f>+MINVU_Mes_Corriente!T150*MINVU_Mes_Constante!$P$1</f>
        <v>32261061.587725516</v>
      </c>
      <c r="U150" s="8">
        <f>+MINVU_Mes_Corriente!U150*MINVU_Mes_Constante!$P$1</f>
        <v>32261061.587725516</v>
      </c>
      <c r="V150" s="8">
        <f>+MINVU_Mes_Corriente!V150*MINVU_Mes_Constante!$P$1</f>
        <v>32261061.587725516</v>
      </c>
      <c r="W150" s="8">
        <f>+MINVU_Mes_Corriente!W150*MINVU_Mes_Constante!$P$1</f>
        <v>32261061.587725516</v>
      </c>
      <c r="X150" s="8">
        <f>+MINVU_Mes_Corriente!X150*MINVU_Mes_Constante!$P$1</f>
        <v>32261061.587725516</v>
      </c>
      <c r="Y150" s="8">
        <f>+MINVU_Mes_Corriente!Y150*MINVU_Mes_Constante!$P$1</f>
        <v>32261061.587725516</v>
      </c>
      <c r="Z150" s="8">
        <f>+MINVU_Mes_Corriente!Z150*MINVU_Mes_Constante!$P$1</f>
        <v>32261061.587725516</v>
      </c>
      <c r="AA150" s="8">
        <f>+MINVU_Mes_Corriente!AA150*MINVU_Mes_Constante!$P$1</f>
        <v>32261061.587725516</v>
      </c>
      <c r="AB150" s="9">
        <f t="shared" si="115"/>
        <v>32261061.587725516</v>
      </c>
      <c r="AC150" s="8">
        <f>+MINVU_Mes_Corriente!AC150*MINVU_Mes_Constante!$AC$1</f>
        <v>36368926.857103333</v>
      </c>
      <c r="AD150" s="8">
        <f>+MINVU_Mes_Corriente!AD150*MINVU_Mes_Constante!$AC$1</f>
        <v>36368926.857103333</v>
      </c>
      <c r="AE150" s="8">
        <f>+MINVU_Mes_Corriente!AE150*MINVU_Mes_Constante!$AC$1</f>
        <v>36368926.857103333</v>
      </c>
      <c r="AF150" s="8">
        <f>+MINVU_Mes_Corriente!AF150*MINVU_Mes_Constante!$AC$1</f>
        <v>36368926.857103333</v>
      </c>
      <c r="AG150" s="8">
        <f>+MINVU_Mes_Corriente!AG150*MINVU_Mes_Constante!$AC$1</f>
        <v>36368926.857103333</v>
      </c>
      <c r="AH150" s="8">
        <f>+MINVU_Mes_Corriente!AH150*MINVU_Mes_Constante!$AC$1</f>
        <v>36368926.857103333</v>
      </c>
      <c r="AI150" s="8">
        <f>+MINVU_Mes_Corriente!AI150*MINVU_Mes_Constante!$AC$1</f>
        <v>36368926.857103333</v>
      </c>
      <c r="AJ150" s="8">
        <f>+MINVU_Mes_Corriente!AJ150*MINVU_Mes_Constante!$AC$1</f>
        <v>36368926.857103333</v>
      </c>
      <c r="AK150" s="8">
        <f>+MINVU_Mes_Corriente!AK150*MINVU_Mes_Constante!$AC$1</f>
        <v>36368926.857103333</v>
      </c>
      <c r="AL150" s="8">
        <f>+MINVU_Mes_Corriente!AL150*MINVU_Mes_Constante!$AC$1</f>
        <v>36368926.857103333</v>
      </c>
      <c r="AM150" s="8">
        <f>+MINVU_Mes_Corriente!AM150*MINVU_Mes_Constante!$AC$1</f>
        <v>36368926.857103333</v>
      </c>
      <c r="AN150" s="8">
        <f>+MINVU_Mes_Corriente!AN150*MINVU_Mes_Constante!$AC$1</f>
        <v>36368926.857103333</v>
      </c>
      <c r="AO150" s="9">
        <f t="shared" si="116"/>
        <v>36368926.857103333</v>
      </c>
      <c r="AP150" s="8">
        <f>+MINVU_Mes_Corriente!AP150*MINVU_Mes_Constante!$AP$1</f>
        <v>29369568.312457729</v>
      </c>
      <c r="AQ150" s="8">
        <f>+MINVU_Mes_Corriente!AQ150*MINVU_Mes_Constante!$AP$1</f>
        <v>29369568.312457729</v>
      </c>
      <c r="AR150" s="8">
        <f>+MINVU_Mes_Corriente!AR150*MINVU_Mes_Constante!$AP$1</f>
        <v>29369568.312457729</v>
      </c>
      <c r="AS150" s="8">
        <f>+MINVU_Mes_Corriente!AS150*MINVU_Mes_Constante!$AP$1</f>
        <v>29369568.312457729</v>
      </c>
      <c r="AT150" s="8">
        <f>+MINVU_Mes_Corriente!AT150*MINVU_Mes_Constante!$AP$1</f>
        <v>29369568.312457729</v>
      </c>
      <c r="AU150" s="8">
        <f>+MINVU_Mes_Corriente!AU150*MINVU_Mes_Constante!$AP$1</f>
        <v>29369568.312457729</v>
      </c>
      <c r="AV150" s="8">
        <f>+MINVU_Mes_Corriente!AV150*MINVU_Mes_Constante!$AP$1</f>
        <v>29369568.312457729</v>
      </c>
      <c r="AW150" s="8">
        <f>+MINVU_Mes_Corriente!AW150*MINVU_Mes_Constante!$AP$1</f>
        <v>29369568.312457729</v>
      </c>
      <c r="AX150" s="8">
        <f>+MINVU_Mes_Corriente!AX150*MINVU_Mes_Constante!$AP$1</f>
        <v>29369568.312457729</v>
      </c>
      <c r="AY150" s="8">
        <f>+MINVU_Mes_Corriente!AY150*MINVU_Mes_Constante!$AP$1</f>
        <v>29369568.312457729</v>
      </c>
      <c r="AZ150" s="8">
        <f>+MINVU_Mes_Corriente!AZ150*MINVU_Mes_Constante!$AP$1</f>
        <v>29369568.312457729</v>
      </c>
      <c r="BA150" s="8">
        <f>+MINVU_Mes_Corriente!BA150*MINVU_Mes_Constante!$AP$1</f>
        <v>29369568.312457729</v>
      </c>
      <c r="BB150" s="9">
        <f t="shared" si="117"/>
        <v>29369568.312457729</v>
      </c>
      <c r="BC150" s="8">
        <f>+MINVU_Mes_Corriente!BC150*MINVU_Mes_Constante!$BC$1</f>
        <v>24279728.95925096</v>
      </c>
      <c r="BD150" s="8">
        <f>+MINVU_Mes_Corriente!BD150*MINVU_Mes_Constante!$BC$1</f>
        <v>24279728.95925096</v>
      </c>
      <c r="BE150" s="8">
        <f>+MINVU_Mes_Corriente!BE150*MINVU_Mes_Constante!$BC$1</f>
        <v>24279728.95925096</v>
      </c>
      <c r="BF150" s="8">
        <f>+MINVU_Mes_Corriente!BF150*MINVU_Mes_Constante!$BC$1</f>
        <v>24279728.95925096</v>
      </c>
      <c r="BG150" s="8">
        <f>+MINVU_Mes_Corriente!BG150*MINVU_Mes_Constante!$BC$1</f>
        <v>24279728.95925096</v>
      </c>
      <c r="BH150" s="8">
        <f>+MINVU_Mes_Corriente!BH150*MINVU_Mes_Constante!$BC$1</f>
        <v>24279728.95925096</v>
      </c>
      <c r="BI150" s="8">
        <f>+MINVU_Mes_Corriente!BI150*MINVU_Mes_Constante!$BC$1</f>
        <v>24279728.95925096</v>
      </c>
      <c r="BJ150" s="8">
        <f>+MINVU_Mes_Corriente!BJ150*MINVU_Mes_Constante!$BC$1</f>
        <v>24279728.95925096</v>
      </c>
      <c r="BK150" s="8">
        <f>+MINVU_Mes_Corriente!BK150*MINVU_Mes_Constante!$BC$1</f>
        <v>24279728.95925096</v>
      </c>
      <c r="BL150" s="8">
        <f>+MINVU_Mes_Corriente!BL150*MINVU_Mes_Constante!$BC$1</f>
        <v>24279728.95925096</v>
      </c>
      <c r="BM150" s="8">
        <f>+MINVU_Mes_Corriente!BM150*MINVU_Mes_Constante!$BC$1</f>
        <v>24279728.95925096</v>
      </c>
      <c r="BN150" s="8">
        <f>+MINVU_Mes_Corriente!BN150*MINVU_Mes_Constante!$BC$1</f>
        <v>24279728.95925096</v>
      </c>
      <c r="BO150" s="9">
        <f t="shared" si="118"/>
        <v>24279728.95925096</v>
      </c>
      <c r="BP150" s="8">
        <f>+MINVU_Mes_Corriente!BP150*MINVU_Mes_Constante!$BP$1</f>
        <v>40992523.538796417</v>
      </c>
      <c r="BQ150" s="8">
        <f>+MINVU_Mes_Corriente!BQ150*MINVU_Mes_Constante!$BP$1</f>
        <v>40992523.538796417</v>
      </c>
      <c r="BR150" s="8">
        <f>+MINVU_Mes_Corriente!BR150*MINVU_Mes_Constante!$BP$1</f>
        <v>40992523.538796417</v>
      </c>
      <c r="BS150" s="8">
        <f>+MINVU_Mes_Corriente!BS150*MINVU_Mes_Constante!$BP$1</f>
        <v>40992523.538796417</v>
      </c>
      <c r="BT150" s="8">
        <f>+MINVU_Mes_Corriente!BT150*MINVU_Mes_Constante!$BP$1</f>
        <v>40992523.538796417</v>
      </c>
      <c r="BU150" s="8">
        <f>+MINVU_Mes_Corriente!BU150*MINVU_Mes_Constante!$BP$1</f>
        <v>40992523.538796417</v>
      </c>
      <c r="BV150" s="8">
        <f>+MINVU_Mes_Corriente!BV150*MINVU_Mes_Constante!$BP$1</f>
        <v>40992523.538796417</v>
      </c>
      <c r="BW150" s="8">
        <f>+MINVU_Mes_Corriente!BW150*MINVU_Mes_Constante!$BP$1</f>
        <v>40992523.538796417</v>
      </c>
      <c r="BX150" s="8">
        <f>+MINVU_Mes_Corriente!BX150*MINVU_Mes_Constante!$BP$1</f>
        <v>40992523.538796417</v>
      </c>
      <c r="BY150" s="8">
        <f>+MINVU_Mes_Corriente!BY150*MINVU_Mes_Constante!$BP$1</f>
        <v>40992523.538796417</v>
      </c>
      <c r="BZ150" s="8">
        <f>+MINVU_Mes_Corriente!BZ150*MINVU_Mes_Constante!$BP$1</f>
        <v>40992523.538796417</v>
      </c>
      <c r="CA150" s="8">
        <f>+MINVU_Mes_Corriente!CA150*MINVU_Mes_Constante!$BP$1</f>
        <v>40992523.538796417</v>
      </c>
      <c r="CB150" s="9">
        <f t="shared" si="119"/>
        <v>40992523.538796417</v>
      </c>
      <c r="CC150" s="8">
        <f>+MINVU_Mes_Corriente!CC150*MINVU_Mes_Constante!$CC$1</f>
        <v>40911189.15106304</v>
      </c>
      <c r="CD150" s="8">
        <f>+MINVU_Mes_Corriente!CD150*MINVU_Mes_Constante!$CC$1</f>
        <v>40911189.15106304</v>
      </c>
      <c r="CE150" s="8">
        <f>+MINVU_Mes_Corriente!CE150*MINVU_Mes_Constante!$CC$1</f>
        <v>40911189.15106304</v>
      </c>
      <c r="CF150" s="8">
        <f>+MINVU_Mes_Corriente!CF150*MINVU_Mes_Constante!$CC$1</f>
        <v>40911189.15106304</v>
      </c>
      <c r="CG150" s="8">
        <f>+MINVU_Mes_Corriente!CG150*MINVU_Mes_Constante!$CC$1</f>
        <v>40911189.15106304</v>
      </c>
      <c r="CH150" s="8">
        <f>+MINVU_Mes_Corriente!CH150*MINVU_Mes_Constante!$CC$1</f>
        <v>40911189.15106304</v>
      </c>
      <c r="CI150" s="8">
        <f>+MINVU_Mes_Corriente!CI150*MINVU_Mes_Constante!$CC$1</f>
        <v>40911189.15106304</v>
      </c>
      <c r="CJ150" s="8">
        <f>+MINVU_Mes_Corriente!CJ150*MINVU_Mes_Constante!$CC$1</f>
        <v>40911189.15106304</v>
      </c>
      <c r="CK150" s="8">
        <f>+MINVU_Mes_Corriente!CK150*MINVU_Mes_Constante!$CC$1</f>
        <v>40911189.15106304</v>
      </c>
      <c r="CL150" s="8">
        <f>+MINVU_Mes_Corriente!CL150*MINVU_Mes_Constante!$CC$1</f>
        <v>40911189.15106304</v>
      </c>
      <c r="CM150" s="8">
        <f>+MINVU_Mes_Corriente!CM150*MINVU_Mes_Constante!$CC$1</f>
        <v>40911189.15106304</v>
      </c>
      <c r="CN150" s="8">
        <f>+MINVU_Mes_Corriente!CN150*MINVU_Mes_Constante!$CC$1</f>
        <v>40911189.15106304</v>
      </c>
      <c r="CO150" s="9">
        <f t="shared" si="120"/>
        <v>40911189.15106304</v>
      </c>
      <c r="CP150" s="8">
        <f>+MINVU_Mes_Corriente!CP150*MINVU_Mes_Constante!$CP$1</f>
        <v>39887356.804872379</v>
      </c>
      <c r="CQ150" s="8">
        <f>+MINVU_Mes_Corriente!CQ150*MINVU_Mes_Constante!$CP$1</f>
        <v>39887356.804872379</v>
      </c>
      <c r="CR150" s="8">
        <f>+MINVU_Mes_Corriente!CR150*MINVU_Mes_Constante!$CP$1</f>
        <v>39887356.804872379</v>
      </c>
      <c r="CS150" s="8">
        <f>+MINVU_Mes_Corriente!CS150*MINVU_Mes_Constante!$CP$1</f>
        <v>39887356.804872379</v>
      </c>
      <c r="CT150" s="8">
        <f>+MINVU_Mes_Corriente!CT150*MINVU_Mes_Constante!$CP$1</f>
        <v>39887356.804872379</v>
      </c>
      <c r="CU150" s="8">
        <f>+MINVU_Mes_Corriente!CU150*MINVU_Mes_Constante!$CP$1</f>
        <v>39887356.804872379</v>
      </c>
      <c r="CV150" s="8">
        <f>+MINVU_Mes_Corriente!CV150*MINVU_Mes_Constante!$CP$1</f>
        <v>39887356.804872379</v>
      </c>
      <c r="CW150" s="8">
        <f>+MINVU_Mes_Corriente!CW150*MINVU_Mes_Constante!$CP$1</f>
        <v>39887356.804872379</v>
      </c>
      <c r="CX150" s="8">
        <f>+MINVU_Mes_Corriente!CX150*MINVU_Mes_Constante!$CP$1</f>
        <v>39887356.804872379</v>
      </c>
      <c r="CY150" s="8">
        <f>+MINVU_Mes_Corriente!CY150*MINVU_Mes_Constante!$CP$1</f>
        <v>39887356.804872379</v>
      </c>
      <c r="CZ150" s="8">
        <f>+MINVU_Mes_Corriente!CZ150*MINVU_Mes_Constante!$CP$1</f>
        <v>39887356.804872379</v>
      </c>
      <c r="DA150" s="8">
        <f>+MINVU_Mes_Corriente!DA150*MINVU_Mes_Constante!$CP$1</f>
        <v>39887356.804872379</v>
      </c>
      <c r="DB150" s="9">
        <f t="shared" si="121"/>
        <v>39887356.804872379</v>
      </c>
      <c r="DC150" s="8">
        <f>+MINVU_Mes_Corriente!DC150*MINVU_Mes_Constante!$DC$1</f>
        <v>49618397.445118837</v>
      </c>
      <c r="DD150" s="8">
        <f>+MINVU_Mes_Corriente!DD150*MINVU_Mes_Constante!$DC$1</f>
        <v>49618397.445118837</v>
      </c>
      <c r="DE150" s="8">
        <f>+MINVU_Mes_Corriente!DE150*MINVU_Mes_Constante!$DC$1</f>
        <v>49618397.445118837</v>
      </c>
      <c r="DF150" s="8">
        <f>+MINVU_Mes_Corriente!DF150*MINVU_Mes_Constante!$DC$1</f>
        <v>49618397.445118837</v>
      </c>
      <c r="DG150" s="8">
        <f>+MINVU_Mes_Corriente!DG150*MINVU_Mes_Constante!$DC$1</f>
        <v>49618397.445118837</v>
      </c>
      <c r="DH150" s="8">
        <f>+MINVU_Mes_Corriente!DH150*MINVU_Mes_Constante!$DC$1</f>
        <v>49618397.445118837</v>
      </c>
      <c r="DI150" s="8">
        <f>+MINVU_Mes_Corriente!DI150*MINVU_Mes_Constante!$DC$1</f>
        <v>49618397.445118837</v>
      </c>
      <c r="DJ150" s="8">
        <f>+MINVU_Mes_Corriente!DJ150*MINVU_Mes_Constante!$DC$1</f>
        <v>49618397.445118837</v>
      </c>
      <c r="DK150" s="8">
        <f>+MINVU_Mes_Corriente!DK150*MINVU_Mes_Constante!$DC$1</f>
        <v>49618397.445118837</v>
      </c>
      <c r="DL150" s="8">
        <f>+MINVU_Mes_Corriente!DL150*MINVU_Mes_Constante!$DC$1</f>
        <v>49618397.445118837</v>
      </c>
      <c r="DM150" s="8">
        <f>+MINVU_Mes_Corriente!DM150*MINVU_Mes_Constante!$DC$1</f>
        <v>49618397.445118837</v>
      </c>
      <c r="DN150" s="8">
        <f>+MINVU_Mes_Corriente!DN150*MINVU_Mes_Constante!$DC$1</f>
        <v>49618397.445118837</v>
      </c>
      <c r="DO150" s="9">
        <f t="shared" si="122"/>
        <v>49618397.445118837</v>
      </c>
      <c r="DP150" s="8">
        <f>+MINVU_Mes_Corriente!DP150*MINVU_Mes_Constante!$DP$1</f>
        <v>72166076.447743475</v>
      </c>
      <c r="DQ150" s="8">
        <f>+MINVU_Mes_Corriente!DQ150*MINVU_Mes_Constante!$DP$1</f>
        <v>72166076.447743475</v>
      </c>
      <c r="DR150" s="8">
        <f>+MINVU_Mes_Corriente!DR150*MINVU_Mes_Constante!$DP$1</f>
        <v>72166076.447743475</v>
      </c>
      <c r="DS150" s="8">
        <f>+MINVU_Mes_Corriente!DS150*MINVU_Mes_Constante!$DP$1</f>
        <v>72166076.447743475</v>
      </c>
      <c r="DT150" s="8">
        <f>+MINVU_Mes_Corriente!DT150*MINVU_Mes_Constante!$DP$1</f>
        <v>72166076.447743475</v>
      </c>
      <c r="DU150" s="8">
        <f>+MINVU_Mes_Corriente!DU150*MINVU_Mes_Constante!$DP$1</f>
        <v>72166076.447743475</v>
      </c>
      <c r="DV150" s="8">
        <f>+MINVU_Mes_Corriente!DV150*MINVU_Mes_Constante!$DP$1</f>
        <v>72166076.447743475</v>
      </c>
      <c r="DW150" s="8">
        <f>+MINVU_Mes_Corriente!DW150*MINVU_Mes_Constante!$DP$1</f>
        <v>72166076.447743475</v>
      </c>
      <c r="DX150" s="8">
        <f>+MINVU_Mes_Corriente!DX150*MINVU_Mes_Constante!$DP$1</f>
        <v>72166076.447743475</v>
      </c>
      <c r="DY150" s="8">
        <f>+MINVU_Mes_Corriente!DY150*MINVU_Mes_Constante!$DP$1</f>
        <v>72166076.447743475</v>
      </c>
      <c r="DZ150" s="8">
        <f>+MINVU_Mes_Corriente!DZ150*MINVU_Mes_Constante!$DP$1</f>
        <v>72166076.447743475</v>
      </c>
      <c r="EA150" s="8">
        <f>+MINVU_Mes_Corriente!EA150*MINVU_Mes_Constante!$DP$1</f>
        <v>72166076.447743475</v>
      </c>
      <c r="EB150" s="9">
        <f t="shared" si="123"/>
        <v>72166076.447743475</v>
      </c>
      <c r="EC150" s="8">
        <f>+MINVU_Mes_Corriente!EC150*MINVU_Mes_Constante!$EC$1</f>
        <v>59736502.267941661</v>
      </c>
      <c r="ED150" s="8">
        <f>+MINVU_Mes_Corriente!ED150*MINVU_Mes_Constante!$EC$1</f>
        <v>59736502.267941661</v>
      </c>
      <c r="EE150" s="8">
        <f>+MINVU_Mes_Corriente!EE150*MINVU_Mes_Constante!$EC$1</f>
        <v>59736502.267941661</v>
      </c>
      <c r="EF150" s="8">
        <f>+MINVU_Mes_Corriente!EF150*MINVU_Mes_Constante!$EC$1</f>
        <v>59736502.267941661</v>
      </c>
      <c r="EG150" s="8">
        <f>+MINVU_Mes_Corriente!EG150*MINVU_Mes_Constante!$EC$1</f>
        <v>59736502.267941661</v>
      </c>
      <c r="EH150" s="8">
        <f>+MINVU_Mes_Corriente!EH150*MINVU_Mes_Constante!$EC$1</f>
        <v>59736502.267941661</v>
      </c>
      <c r="EI150" s="8">
        <f>+MINVU_Mes_Corriente!EI150*MINVU_Mes_Constante!$EC$1</f>
        <v>59736502.267941661</v>
      </c>
      <c r="EJ150" s="8">
        <f>+MINVU_Mes_Corriente!EJ150*MINVU_Mes_Constante!$EC$1</f>
        <v>59736502.267941661</v>
      </c>
      <c r="EK150" s="8">
        <f>+MINVU_Mes_Corriente!EK150*MINVU_Mes_Constante!$EC$1</f>
        <v>59736502.267941661</v>
      </c>
      <c r="EL150" s="8">
        <f>+MINVU_Mes_Corriente!EL150*MINVU_Mes_Constante!$EC$1</f>
        <v>59736502.267941661</v>
      </c>
      <c r="EM150" s="8">
        <f>+MINVU_Mes_Corriente!EM150*MINVU_Mes_Constante!$EC$1</f>
        <v>59736502.267941661</v>
      </c>
      <c r="EN150" s="8">
        <f>+MINVU_Mes_Corriente!EN150*MINVU_Mes_Constante!$EC$1</f>
        <v>59736502.267941661</v>
      </c>
      <c r="EO150" s="9">
        <f t="shared" si="124"/>
        <v>59736502.267941661</v>
      </c>
      <c r="EP150" s="8">
        <f>+MINVU_Mes_Corriente!EP150*MINVU_Mes_Constante!$EP$1</f>
        <v>72789613</v>
      </c>
      <c r="EQ150" s="8">
        <f>+MINVU_Mes_Corriente!EQ150*MINVU_Mes_Constante!$EP$1</f>
        <v>72789613</v>
      </c>
      <c r="ER150" s="8">
        <f>+MINVU_Mes_Corriente!ER150*MINVU_Mes_Constante!$EP$1</f>
        <v>72789613</v>
      </c>
      <c r="ES150" s="8">
        <f>+MINVU_Mes_Corriente!ES150*MINVU_Mes_Constante!$EP$1</f>
        <v>72789613</v>
      </c>
      <c r="ET150" s="8">
        <f>+MINVU_Mes_Corriente!ET150*MINVU_Mes_Constante!$EP$1</f>
        <v>72789613</v>
      </c>
      <c r="EU150" s="8">
        <f>+MINVU_Mes_Corriente!EU150*MINVU_Mes_Constante!$EP$1</f>
        <v>72789613</v>
      </c>
      <c r="EV150" s="8">
        <f>+MINVU_Mes_Corriente!EV150*MINVU_Mes_Constante!$EP$1</f>
        <v>72789613</v>
      </c>
      <c r="EW150" s="8">
        <f>+MINVU_Mes_Corriente!EW150*MINVU_Mes_Constante!$EP$1</f>
        <v>72789613</v>
      </c>
      <c r="EX150" s="8">
        <f>+MINVU_Mes_Corriente!EX150*MINVU_Mes_Constante!$EP$1</f>
        <v>72789613</v>
      </c>
      <c r="EY150" s="8">
        <f>+MINVU_Mes_Corriente!EY150*MINVU_Mes_Constante!$EP$1</f>
        <v>72789613</v>
      </c>
      <c r="EZ150" s="8">
        <f>+MINVU_Mes_Corriente!EZ150*MINVU_Mes_Constante!$EP$1</f>
        <v>72789613</v>
      </c>
      <c r="FA150" s="8">
        <f>+MINVU_Mes_Corriente!FA150*MINVU_Mes_Constante!$EP$1</f>
        <v>72789613</v>
      </c>
      <c r="FB150" s="9">
        <f t="shared" si="125"/>
        <v>72789613</v>
      </c>
      <c r="FC150" s="8">
        <f>+MINVU_Mes_Corriente!FC150*MINVU_Mes_Constante!$FC$1</f>
        <v>132477179</v>
      </c>
      <c r="FD150" s="8">
        <f>+MINVU_Mes_Corriente!FD150*MINVU_Mes_Constante!$FC$1</f>
        <v>132477179</v>
      </c>
      <c r="FE150" s="8">
        <f>+MINVU_Mes_Corriente!FE150*MINVU_Mes_Constante!$FC$1</f>
        <v>132477179</v>
      </c>
      <c r="FF150" s="8">
        <f>+MINVU_Mes_Corriente!FF150*MINVU_Mes_Constante!$FC$1</f>
        <v>132477179</v>
      </c>
      <c r="FG150" s="8">
        <f>+MINVU_Mes_Corriente!FG150*MINVU_Mes_Constante!$FC$1</f>
        <v>132477179</v>
      </c>
      <c r="FH150" s="8">
        <f>+MINVU_Mes_Corriente!FH150*MINVU_Mes_Constante!$FC$1</f>
        <v>132477179</v>
      </c>
      <c r="FI150" s="8">
        <f>+MINVU_Mes_Corriente!FI150*MINVU_Mes_Constante!$FC$1</f>
        <v>132477179</v>
      </c>
      <c r="FJ150" s="8"/>
      <c r="FK150" s="8"/>
      <c r="FL150" s="8"/>
      <c r="FM150" s="8"/>
      <c r="FN150" s="8"/>
      <c r="FO150" s="9">
        <f t="shared" si="126"/>
        <v>132477179</v>
      </c>
    </row>
    <row r="151" spans="2:171" ht="14.25" customHeight="1" x14ac:dyDescent="0.3">
      <c r="B151" s="7" t="s">
        <v>48</v>
      </c>
      <c r="C151" s="8">
        <f>+MINVU_Mes_Corriente!C151*MINVU_Mes_Constante!$C$1</f>
        <v>14644566.798161058</v>
      </c>
      <c r="D151" s="8">
        <f>+MINVU_Mes_Corriente!D151*MINVU_Mes_Constante!$C$1</f>
        <v>14644566.798161058</v>
      </c>
      <c r="E151" s="8">
        <f>+MINVU_Mes_Corriente!E151*MINVU_Mes_Constante!$C$1</f>
        <v>14644566.798161058</v>
      </c>
      <c r="F151" s="8">
        <f>+MINVU_Mes_Corriente!F151*MINVU_Mes_Constante!$C$1</f>
        <v>14644566.798161058</v>
      </c>
      <c r="G151" s="8">
        <f>+MINVU_Mes_Corriente!G151*MINVU_Mes_Constante!$C$1</f>
        <v>14644566.798161058</v>
      </c>
      <c r="H151" s="8">
        <f>+MINVU_Mes_Corriente!H151*MINVU_Mes_Constante!$C$1</f>
        <v>14644566.798161058</v>
      </c>
      <c r="I151" s="8">
        <f>+MINVU_Mes_Corriente!I151*MINVU_Mes_Constante!$C$1</f>
        <v>14644566.798161058</v>
      </c>
      <c r="J151" s="8">
        <f>+MINVU_Mes_Corriente!J151*MINVU_Mes_Constante!$C$1</f>
        <v>14644566.798161058</v>
      </c>
      <c r="K151" s="8">
        <f>+MINVU_Mes_Corriente!K151*MINVU_Mes_Constante!$C$1</f>
        <v>14644566.798161058</v>
      </c>
      <c r="L151" s="8">
        <f>+MINVU_Mes_Corriente!L151*MINVU_Mes_Constante!$C$1</f>
        <v>14644566.798161058</v>
      </c>
      <c r="M151" s="8">
        <f>+MINVU_Mes_Corriente!M151*MINVU_Mes_Constante!$C$1</f>
        <v>14644566.798161058</v>
      </c>
      <c r="N151" s="8">
        <f>+MINVU_Mes_Corriente!N151*MINVU_Mes_Constante!$C$1</f>
        <v>14644566.798161058</v>
      </c>
      <c r="O151" s="9">
        <f t="shared" si="114"/>
        <v>14644566.798161058</v>
      </c>
      <c r="P151" s="8">
        <f>+MINVU_Mes_Corriente!P151*MINVU_Mes_Constante!$P$1</f>
        <v>16629733.664725097</v>
      </c>
      <c r="Q151" s="8">
        <f>+MINVU_Mes_Corriente!Q151*MINVU_Mes_Constante!$P$1</f>
        <v>16629733.664725097</v>
      </c>
      <c r="R151" s="8">
        <f>+MINVU_Mes_Corriente!R151*MINVU_Mes_Constante!$P$1</f>
        <v>16629733.664725097</v>
      </c>
      <c r="S151" s="8">
        <f>+MINVU_Mes_Corriente!S151*MINVU_Mes_Constante!$P$1</f>
        <v>16629733.664725097</v>
      </c>
      <c r="T151" s="8">
        <f>+MINVU_Mes_Corriente!T151*MINVU_Mes_Constante!$P$1</f>
        <v>16629733.664725097</v>
      </c>
      <c r="U151" s="8">
        <f>+MINVU_Mes_Corriente!U151*MINVU_Mes_Constante!$P$1</f>
        <v>16629733.664725097</v>
      </c>
      <c r="V151" s="8">
        <f>+MINVU_Mes_Corriente!V151*MINVU_Mes_Constante!$P$1</f>
        <v>16629733.664725097</v>
      </c>
      <c r="W151" s="8">
        <f>+MINVU_Mes_Corriente!W151*MINVU_Mes_Constante!$P$1</f>
        <v>16629733.664725097</v>
      </c>
      <c r="X151" s="8">
        <f>+MINVU_Mes_Corriente!X151*MINVU_Mes_Constante!$P$1</f>
        <v>16629733.664725097</v>
      </c>
      <c r="Y151" s="8">
        <f>+MINVU_Mes_Corriente!Y151*MINVU_Mes_Constante!$P$1</f>
        <v>16629733.664725097</v>
      </c>
      <c r="Z151" s="8">
        <f>+MINVU_Mes_Corriente!Z151*MINVU_Mes_Constante!$P$1</f>
        <v>16629733.664725097</v>
      </c>
      <c r="AA151" s="8">
        <f>+MINVU_Mes_Corriente!AA151*MINVU_Mes_Constante!$P$1</f>
        <v>16629733.664725097</v>
      </c>
      <c r="AB151" s="9">
        <f t="shared" si="115"/>
        <v>16629733.664725097</v>
      </c>
      <c r="AC151" s="8">
        <f>+MINVU_Mes_Corriente!AC151*MINVU_Mes_Constante!$AC$1</f>
        <v>57359891.857241668</v>
      </c>
      <c r="AD151" s="8">
        <f>+MINVU_Mes_Corriente!AD151*MINVU_Mes_Constante!$AC$1</f>
        <v>57359891.857241668</v>
      </c>
      <c r="AE151" s="8">
        <f>+MINVU_Mes_Corriente!AE151*MINVU_Mes_Constante!$AC$1</f>
        <v>57359891.857241668</v>
      </c>
      <c r="AF151" s="8">
        <f>+MINVU_Mes_Corriente!AF151*MINVU_Mes_Constante!$AC$1</f>
        <v>57359891.857241668</v>
      </c>
      <c r="AG151" s="8">
        <f>+MINVU_Mes_Corriente!AG151*MINVU_Mes_Constante!$AC$1</f>
        <v>57359891.857241668</v>
      </c>
      <c r="AH151" s="8">
        <f>+MINVU_Mes_Corriente!AH151*MINVU_Mes_Constante!$AC$1</f>
        <v>57359891.857241668</v>
      </c>
      <c r="AI151" s="8">
        <f>+MINVU_Mes_Corriente!AI151*MINVU_Mes_Constante!$AC$1</f>
        <v>57359891.857241668</v>
      </c>
      <c r="AJ151" s="8">
        <f>+MINVU_Mes_Corriente!AJ151*MINVU_Mes_Constante!$AC$1</f>
        <v>57359891.857241668</v>
      </c>
      <c r="AK151" s="8">
        <f>+MINVU_Mes_Corriente!AK151*MINVU_Mes_Constante!$AC$1</f>
        <v>57359891.857241668</v>
      </c>
      <c r="AL151" s="8">
        <f>+MINVU_Mes_Corriente!AL151*MINVU_Mes_Constante!$AC$1</f>
        <v>57359891.857241668</v>
      </c>
      <c r="AM151" s="8">
        <f>+MINVU_Mes_Corriente!AM151*MINVU_Mes_Constante!$AC$1</f>
        <v>57359891.857241668</v>
      </c>
      <c r="AN151" s="8">
        <f>+MINVU_Mes_Corriente!AN151*MINVU_Mes_Constante!$AC$1</f>
        <v>57359891.857241668</v>
      </c>
      <c r="AO151" s="9">
        <f t="shared" si="116"/>
        <v>57359891.857241668</v>
      </c>
      <c r="AP151" s="8">
        <f>+MINVU_Mes_Corriente!AP151*MINVU_Mes_Constante!$AP$1</f>
        <v>42833576.286216691</v>
      </c>
      <c r="AQ151" s="8">
        <f>+MINVU_Mes_Corriente!AQ151*MINVU_Mes_Constante!$AP$1</f>
        <v>42833576.286216691</v>
      </c>
      <c r="AR151" s="8">
        <f>+MINVU_Mes_Corriente!AR151*MINVU_Mes_Constante!$AP$1</f>
        <v>42833576.286216691</v>
      </c>
      <c r="AS151" s="8">
        <f>+MINVU_Mes_Corriente!AS151*MINVU_Mes_Constante!$AP$1</f>
        <v>42833576.286216691</v>
      </c>
      <c r="AT151" s="8">
        <f>+MINVU_Mes_Corriente!AT151*MINVU_Mes_Constante!$AP$1</f>
        <v>42833576.286216691</v>
      </c>
      <c r="AU151" s="8">
        <f>+MINVU_Mes_Corriente!AU151*MINVU_Mes_Constante!$AP$1</f>
        <v>42833576.286216691</v>
      </c>
      <c r="AV151" s="8">
        <f>+MINVU_Mes_Corriente!AV151*MINVU_Mes_Constante!$AP$1</f>
        <v>42833576.286216691</v>
      </c>
      <c r="AW151" s="8">
        <f>+MINVU_Mes_Corriente!AW151*MINVU_Mes_Constante!$AP$1</f>
        <v>42833576.286216691</v>
      </c>
      <c r="AX151" s="8">
        <f>+MINVU_Mes_Corriente!AX151*MINVU_Mes_Constante!$AP$1</f>
        <v>42833576.286216691</v>
      </c>
      <c r="AY151" s="8">
        <f>+MINVU_Mes_Corriente!AY151*MINVU_Mes_Constante!$AP$1</f>
        <v>42833576.286216691</v>
      </c>
      <c r="AZ151" s="8">
        <f>+MINVU_Mes_Corriente!AZ151*MINVU_Mes_Constante!$AP$1</f>
        <v>42833576.286216691</v>
      </c>
      <c r="BA151" s="8">
        <f>+MINVU_Mes_Corriente!BA151*MINVU_Mes_Constante!$AP$1</f>
        <v>42833576.286216691</v>
      </c>
      <c r="BB151" s="9">
        <f t="shared" si="117"/>
        <v>42833576.286216691</v>
      </c>
      <c r="BC151" s="8">
        <f>+MINVU_Mes_Corriente!BC151*MINVU_Mes_Constante!$BC$1</f>
        <v>28026394.554398004</v>
      </c>
      <c r="BD151" s="8">
        <f>+MINVU_Mes_Corriente!BD151*MINVU_Mes_Constante!$BC$1</f>
        <v>28026394.554398004</v>
      </c>
      <c r="BE151" s="8">
        <f>+MINVU_Mes_Corriente!BE151*MINVU_Mes_Constante!$BC$1</f>
        <v>28026394.554398004</v>
      </c>
      <c r="BF151" s="8">
        <f>+MINVU_Mes_Corriente!BF151*MINVU_Mes_Constante!$BC$1</f>
        <v>28026394.554398004</v>
      </c>
      <c r="BG151" s="8">
        <f>+MINVU_Mes_Corriente!BG151*MINVU_Mes_Constante!$BC$1</f>
        <v>28026394.554398004</v>
      </c>
      <c r="BH151" s="8">
        <f>+MINVU_Mes_Corriente!BH151*MINVU_Mes_Constante!$BC$1</f>
        <v>28026394.554398004</v>
      </c>
      <c r="BI151" s="8">
        <f>+MINVU_Mes_Corriente!BI151*MINVU_Mes_Constante!$BC$1</f>
        <v>28026394.554398004</v>
      </c>
      <c r="BJ151" s="8">
        <f>+MINVU_Mes_Corriente!BJ151*MINVU_Mes_Constante!$BC$1</f>
        <v>28026394.554398004</v>
      </c>
      <c r="BK151" s="8">
        <f>+MINVU_Mes_Corriente!BK151*MINVU_Mes_Constante!$BC$1</f>
        <v>28026394.554398004</v>
      </c>
      <c r="BL151" s="8">
        <f>+MINVU_Mes_Corriente!BL151*MINVU_Mes_Constante!$BC$1</f>
        <v>28026394.554398004</v>
      </c>
      <c r="BM151" s="8">
        <f>+MINVU_Mes_Corriente!BM151*MINVU_Mes_Constante!$BC$1</f>
        <v>28026394.554398004</v>
      </c>
      <c r="BN151" s="8">
        <f>+MINVU_Mes_Corriente!BN151*MINVU_Mes_Constante!$BC$1</f>
        <v>28026394.554398004</v>
      </c>
      <c r="BO151" s="9">
        <f t="shared" si="118"/>
        <v>28026394.554398004</v>
      </c>
      <c r="BP151" s="8">
        <f>+MINVU_Mes_Corriente!BP151*MINVU_Mes_Constante!$BP$1</f>
        <v>25139105.986171577</v>
      </c>
      <c r="BQ151" s="8">
        <f>+MINVU_Mes_Corriente!BQ151*MINVU_Mes_Constante!$BP$1</f>
        <v>25139105.986171577</v>
      </c>
      <c r="BR151" s="8">
        <f>+MINVU_Mes_Corriente!BR151*MINVU_Mes_Constante!$BP$1</f>
        <v>25139105.986171577</v>
      </c>
      <c r="BS151" s="8">
        <f>+MINVU_Mes_Corriente!BS151*MINVU_Mes_Constante!$BP$1</f>
        <v>25139105.986171577</v>
      </c>
      <c r="BT151" s="8">
        <f>+MINVU_Mes_Corriente!BT151*MINVU_Mes_Constante!$BP$1</f>
        <v>25139105.986171577</v>
      </c>
      <c r="BU151" s="8">
        <f>+MINVU_Mes_Corriente!BU151*MINVU_Mes_Constante!$BP$1</f>
        <v>25139105.986171577</v>
      </c>
      <c r="BV151" s="8">
        <f>+MINVU_Mes_Corriente!BV151*MINVU_Mes_Constante!$BP$1</f>
        <v>25139105.986171577</v>
      </c>
      <c r="BW151" s="8">
        <f>+MINVU_Mes_Corriente!BW151*MINVU_Mes_Constante!$BP$1</f>
        <v>25139105.986171577</v>
      </c>
      <c r="BX151" s="8">
        <f>+MINVU_Mes_Corriente!BX151*MINVU_Mes_Constante!$BP$1</f>
        <v>25139105.986171577</v>
      </c>
      <c r="BY151" s="8">
        <f>+MINVU_Mes_Corriente!BY151*MINVU_Mes_Constante!$BP$1</f>
        <v>25139105.986171577</v>
      </c>
      <c r="BZ151" s="8">
        <f>+MINVU_Mes_Corriente!BZ151*MINVU_Mes_Constante!$BP$1</f>
        <v>25139105.986171577</v>
      </c>
      <c r="CA151" s="8">
        <f>+MINVU_Mes_Corriente!CA151*MINVU_Mes_Constante!$BP$1</f>
        <v>25139105.986171577</v>
      </c>
      <c r="CB151" s="9">
        <f t="shared" si="119"/>
        <v>25139105.986171577</v>
      </c>
      <c r="CC151" s="8">
        <f>+MINVU_Mes_Corriente!CC151*MINVU_Mes_Constante!$CC$1</f>
        <v>25126191.961208507</v>
      </c>
      <c r="CD151" s="8">
        <f>+MINVU_Mes_Corriente!CD151*MINVU_Mes_Constante!$CC$1</f>
        <v>25126191.961208507</v>
      </c>
      <c r="CE151" s="8">
        <f>+MINVU_Mes_Corriente!CE151*MINVU_Mes_Constante!$CC$1</f>
        <v>25126191.961208507</v>
      </c>
      <c r="CF151" s="8">
        <f>+MINVU_Mes_Corriente!CF151*MINVU_Mes_Constante!$CC$1</f>
        <v>25126191.961208507</v>
      </c>
      <c r="CG151" s="8">
        <f>+MINVU_Mes_Corriente!CG151*MINVU_Mes_Constante!$CC$1</f>
        <v>25126191.961208507</v>
      </c>
      <c r="CH151" s="8">
        <f>+MINVU_Mes_Corriente!CH151*MINVU_Mes_Constante!$CC$1</f>
        <v>25126191.961208507</v>
      </c>
      <c r="CI151" s="8">
        <f>+MINVU_Mes_Corriente!CI151*MINVU_Mes_Constante!$CC$1</f>
        <v>25126191.961208507</v>
      </c>
      <c r="CJ151" s="8">
        <f>+MINVU_Mes_Corriente!CJ151*MINVU_Mes_Constante!$CC$1</f>
        <v>25126191.961208507</v>
      </c>
      <c r="CK151" s="8">
        <f>+MINVU_Mes_Corriente!CK151*MINVU_Mes_Constante!$CC$1</f>
        <v>25126191.961208507</v>
      </c>
      <c r="CL151" s="8">
        <f>+MINVU_Mes_Corriente!CL151*MINVU_Mes_Constante!$CC$1</f>
        <v>25126191.961208507</v>
      </c>
      <c r="CM151" s="8">
        <f>+MINVU_Mes_Corriente!CM151*MINVU_Mes_Constante!$CC$1</f>
        <v>25126191.961208507</v>
      </c>
      <c r="CN151" s="8">
        <f>+MINVU_Mes_Corriente!CN151*MINVU_Mes_Constante!$CC$1</f>
        <v>25126191.961208507</v>
      </c>
      <c r="CO151" s="9">
        <f t="shared" si="120"/>
        <v>25126191.961208507</v>
      </c>
      <c r="CP151" s="8">
        <f>+MINVU_Mes_Corriente!CP151*MINVU_Mes_Constante!$CP$1</f>
        <v>25785057.063341063</v>
      </c>
      <c r="CQ151" s="8">
        <f>+MINVU_Mes_Corriente!CQ151*MINVU_Mes_Constante!$CP$1</f>
        <v>25785057.063341063</v>
      </c>
      <c r="CR151" s="8">
        <f>+MINVU_Mes_Corriente!CR151*MINVU_Mes_Constante!$CP$1</f>
        <v>25785057.063341063</v>
      </c>
      <c r="CS151" s="8">
        <f>+MINVU_Mes_Corriente!CS151*MINVU_Mes_Constante!$CP$1</f>
        <v>25785057.063341063</v>
      </c>
      <c r="CT151" s="8">
        <f>+MINVU_Mes_Corriente!CT151*MINVU_Mes_Constante!$CP$1</f>
        <v>25785057.063341063</v>
      </c>
      <c r="CU151" s="8">
        <f>+MINVU_Mes_Corriente!CU151*MINVU_Mes_Constante!$CP$1</f>
        <v>25785057.063341063</v>
      </c>
      <c r="CV151" s="8">
        <f>+MINVU_Mes_Corriente!CV151*MINVU_Mes_Constante!$CP$1</f>
        <v>25785057.063341063</v>
      </c>
      <c r="CW151" s="8">
        <f>+MINVU_Mes_Corriente!CW151*MINVU_Mes_Constante!$CP$1</f>
        <v>25785057.063341063</v>
      </c>
      <c r="CX151" s="8">
        <f>+MINVU_Mes_Corriente!CX151*MINVU_Mes_Constante!$CP$1</f>
        <v>25785057.063341063</v>
      </c>
      <c r="CY151" s="8">
        <f>+MINVU_Mes_Corriente!CY151*MINVU_Mes_Constante!$CP$1</f>
        <v>25785057.063341063</v>
      </c>
      <c r="CZ151" s="8">
        <f>+MINVU_Mes_Corriente!CZ151*MINVU_Mes_Constante!$CP$1</f>
        <v>25785057.063341063</v>
      </c>
      <c r="DA151" s="8">
        <f>+MINVU_Mes_Corriente!DA151*MINVU_Mes_Constante!$CP$1</f>
        <v>25785057.063341063</v>
      </c>
      <c r="DB151" s="9">
        <f t="shared" si="121"/>
        <v>25785057.063341063</v>
      </c>
      <c r="DC151" s="8">
        <f>+MINVU_Mes_Corriente!DC151*MINVU_Mes_Constante!$DC$1</f>
        <v>37345398.443781525</v>
      </c>
      <c r="DD151" s="8">
        <f>+MINVU_Mes_Corriente!DD151*MINVU_Mes_Constante!$DC$1</f>
        <v>37345398.443781525</v>
      </c>
      <c r="DE151" s="8">
        <f>+MINVU_Mes_Corriente!DE151*MINVU_Mes_Constante!$DC$1</f>
        <v>37345398.443781525</v>
      </c>
      <c r="DF151" s="8">
        <f>+MINVU_Mes_Corriente!DF151*MINVU_Mes_Constante!$DC$1</f>
        <v>37345398.443781525</v>
      </c>
      <c r="DG151" s="8">
        <f>+MINVU_Mes_Corriente!DG151*MINVU_Mes_Constante!$DC$1</f>
        <v>37345398.443781525</v>
      </c>
      <c r="DH151" s="8">
        <f>+MINVU_Mes_Corriente!DH151*MINVU_Mes_Constante!$DC$1</f>
        <v>37345398.443781525</v>
      </c>
      <c r="DI151" s="8">
        <f>+MINVU_Mes_Corriente!DI151*MINVU_Mes_Constante!$DC$1</f>
        <v>37345398.443781525</v>
      </c>
      <c r="DJ151" s="8">
        <f>+MINVU_Mes_Corriente!DJ151*MINVU_Mes_Constante!$DC$1</f>
        <v>37345398.443781525</v>
      </c>
      <c r="DK151" s="8">
        <f>+MINVU_Mes_Corriente!DK151*MINVU_Mes_Constante!$DC$1</f>
        <v>37345398.443781525</v>
      </c>
      <c r="DL151" s="8">
        <f>+MINVU_Mes_Corriente!DL151*MINVU_Mes_Constante!$DC$1</f>
        <v>37345398.443781525</v>
      </c>
      <c r="DM151" s="8">
        <f>+MINVU_Mes_Corriente!DM151*MINVU_Mes_Constante!$DC$1</f>
        <v>37345398.443781525</v>
      </c>
      <c r="DN151" s="8">
        <f>+MINVU_Mes_Corriente!DN151*MINVU_Mes_Constante!$DC$1</f>
        <v>37345398.443781525</v>
      </c>
      <c r="DO151" s="9">
        <f t="shared" si="122"/>
        <v>37345398.443781525</v>
      </c>
      <c r="DP151" s="8">
        <f>+MINVU_Mes_Corriente!DP151*MINVU_Mes_Constante!$DP$1</f>
        <v>51500866.699524947</v>
      </c>
      <c r="DQ151" s="8">
        <f>+MINVU_Mes_Corriente!DQ151*MINVU_Mes_Constante!$DP$1</f>
        <v>51500866.699524947</v>
      </c>
      <c r="DR151" s="8">
        <f>+MINVU_Mes_Corriente!DR151*MINVU_Mes_Constante!$DP$1</f>
        <v>51500866.699524947</v>
      </c>
      <c r="DS151" s="8">
        <f>+MINVU_Mes_Corriente!DS151*MINVU_Mes_Constante!$DP$1</f>
        <v>51500866.699524947</v>
      </c>
      <c r="DT151" s="8">
        <f>+MINVU_Mes_Corriente!DT151*MINVU_Mes_Constante!$DP$1</f>
        <v>51500866.699524947</v>
      </c>
      <c r="DU151" s="8">
        <f>+MINVU_Mes_Corriente!DU151*MINVU_Mes_Constante!$DP$1</f>
        <v>51500866.699524947</v>
      </c>
      <c r="DV151" s="8">
        <f>+MINVU_Mes_Corriente!DV151*MINVU_Mes_Constante!$DP$1</f>
        <v>51500866.699524947</v>
      </c>
      <c r="DW151" s="8">
        <f>+MINVU_Mes_Corriente!DW151*MINVU_Mes_Constante!$DP$1</f>
        <v>51500866.699524947</v>
      </c>
      <c r="DX151" s="8">
        <f>+MINVU_Mes_Corriente!DX151*MINVU_Mes_Constante!$DP$1</f>
        <v>51500866.699524947</v>
      </c>
      <c r="DY151" s="8">
        <f>+MINVU_Mes_Corriente!DY151*MINVU_Mes_Constante!$DP$1</f>
        <v>51500866.699524947</v>
      </c>
      <c r="DZ151" s="8">
        <f>+MINVU_Mes_Corriente!DZ151*MINVU_Mes_Constante!$DP$1</f>
        <v>51500866.699524947</v>
      </c>
      <c r="EA151" s="8">
        <f>+MINVU_Mes_Corriente!EA151*MINVU_Mes_Constante!$DP$1</f>
        <v>51500866.699524947</v>
      </c>
      <c r="EB151" s="9">
        <f t="shared" si="123"/>
        <v>51500866.699524947</v>
      </c>
      <c r="EC151" s="8">
        <f>+MINVU_Mes_Corriente!EC151*MINVU_Mes_Constante!$EC$1</f>
        <v>55075636.388941474</v>
      </c>
      <c r="ED151" s="8">
        <f>+MINVU_Mes_Corriente!ED151*MINVU_Mes_Constante!$EC$1</f>
        <v>55075636.388941474</v>
      </c>
      <c r="EE151" s="8">
        <f>+MINVU_Mes_Corriente!EE151*MINVU_Mes_Constante!$EC$1</f>
        <v>55075636.388941474</v>
      </c>
      <c r="EF151" s="8">
        <f>+MINVU_Mes_Corriente!EF151*MINVU_Mes_Constante!$EC$1</f>
        <v>55075636.388941474</v>
      </c>
      <c r="EG151" s="8">
        <f>+MINVU_Mes_Corriente!EG151*MINVU_Mes_Constante!$EC$1</f>
        <v>55075636.388941474</v>
      </c>
      <c r="EH151" s="8">
        <f>+MINVU_Mes_Corriente!EH151*MINVU_Mes_Constante!$EC$1</f>
        <v>55075636.388941474</v>
      </c>
      <c r="EI151" s="8">
        <f>+MINVU_Mes_Corriente!EI151*MINVU_Mes_Constante!$EC$1</f>
        <v>55075636.388941474</v>
      </c>
      <c r="EJ151" s="8">
        <f>+MINVU_Mes_Corriente!EJ151*MINVU_Mes_Constante!$EC$1</f>
        <v>55075636.388941474</v>
      </c>
      <c r="EK151" s="8">
        <f>+MINVU_Mes_Corriente!EK151*MINVU_Mes_Constante!$EC$1</f>
        <v>55075636.388941474</v>
      </c>
      <c r="EL151" s="8">
        <f>+MINVU_Mes_Corriente!EL151*MINVU_Mes_Constante!$EC$1</f>
        <v>55075636.388941474</v>
      </c>
      <c r="EM151" s="8">
        <f>+MINVU_Mes_Corriente!EM151*MINVU_Mes_Constante!$EC$1</f>
        <v>55075636.388941474</v>
      </c>
      <c r="EN151" s="8">
        <f>+MINVU_Mes_Corriente!EN151*MINVU_Mes_Constante!$EC$1</f>
        <v>55075636.388941474</v>
      </c>
      <c r="EO151" s="9">
        <f t="shared" si="124"/>
        <v>55075636.388941474</v>
      </c>
      <c r="EP151" s="8">
        <f>+MINVU_Mes_Corriente!EP151*MINVU_Mes_Constante!$EP$1</f>
        <v>92931481</v>
      </c>
      <c r="EQ151" s="8">
        <f>+MINVU_Mes_Corriente!EQ151*MINVU_Mes_Constante!$EP$1</f>
        <v>92931481</v>
      </c>
      <c r="ER151" s="8">
        <f>+MINVU_Mes_Corriente!ER151*MINVU_Mes_Constante!$EP$1</f>
        <v>92931481</v>
      </c>
      <c r="ES151" s="8">
        <f>+MINVU_Mes_Corriente!ES151*MINVU_Mes_Constante!$EP$1</f>
        <v>92931481</v>
      </c>
      <c r="ET151" s="8">
        <f>+MINVU_Mes_Corriente!ET151*MINVU_Mes_Constante!$EP$1</f>
        <v>92931481</v>
      </c>
      <c r="EU151" s="8">
        <f>+MINVU_Mes_Corriente!EU151*MINVU_Mes_Constante!$EP$1</f>
        <v>92931481</v>
      </c>
      <c r="EV151" s="8">
        <f>+MINVU_Mes_Corriente!EV151*MINVU_Mes_Constante!$EP$1</f>
        <v>92931481</v>
      </c>
      <c r="EW151" s="8">
        <f>+MINVU_Mes_Corriente!EW151*MINVU_Mes_Constante!$EP$1</f>
        <v>92931481</v>
      </c>
      <c r="EX151" s="8">
        <f>+MINVU_Mes_Corriente!EX151*MINVU_Mes_Constante!$EP$1</f>
        <v>92931481</v>
      </c>
      <c r="EY151" s="8">
        <f>+MINVU_Mes_Corriente!EY151*MINVU_Mes_Constante!$EP$1</f>
        <v>92931481</v>
      </c>
      <c r="EZ151" s="8">
        <f>+MINVU_Mes_Corriente!EZ151*MINVU_Mes_Constante!$EP$1</f>
        <v>92931481</v>
      </c>
      <c r="FA151" s="8">
        <f>+MINVU_Mes_Corriente!FA151*MINVU_Mes_Constante!$EP$1</f>
        <v>92931481</v>
      </c>
      <c r="FB151" s="9">
        <f t="shared" si="125"/>
        <v>92931481</v>
      </c>
      <c r="FC151" s="8">
        <f>+MINVU_Mes_Corriente!FC151*MINVU_Mes_Constante!$FC$1</f>
        <v>89750044</v>
      </c>
      <c r="FD151" s="8">
        <f>+MINVU_Mes_Corriente!FD151*MINVU_Mes_Constante!$FC$1</f>
        <v>89750044</v>
      </c>
      <c r="FE151" s="8">
        <f>+MINVU_Mes_Corriente!FE151*MINVU_Mes_Constante!$FC$1</f>
        <v>89750044</v>
      </c>
      <c r="FF151" s="8">
        <f>+MINVU_Mes_Corriente!FF151*MINVU_Mes_Constante!$FC$1</f>
        <v>89750044</v>
      </c>
      <c r="FG151" s="8">
        <f>+MINVU_Mes_Corriente!FG151*MINVU_Mes_Constante!$FC$1</f>
        <v>89750044</v>
      </c>
      <c r="FH151" s="8">
        <f>+MINVU_Mes_Corriente!FH151*MINVU_Mes_Constante!$FC$1</f>
        <v>89750044</v>
      </c>
      <c r="FI151" s="8">
        <f>+MINVU_Mes_Corriente!FI151*MINVU_Mes_Constante!$FC$1</f>
        <v>89750044</v>
      </c>
      <c r="FJ151" s="8"/>
      <c r="FK151" s="8"/>
      <c r="FL151" s="8"/>
      <c r="FM151" s="8"/>
      <c r="FN151" s="8"/>
      <c r="FO151" s="9">
        <f t="shared" si="126"/>
        <v>89750044</v>
      </c>
    </row>
    <row r="152" spans="2:171" ht="14.25" customHeight="1" x14ac:dyDescent="0.3">
      <c r="B152" s="7" t="s">
        <v>49</v>
      </c>
      <c r="C152" s="8">
        <f>+MINVU_Mes_Corriente!C152*MINVU_Mes_Constante!$C$1</f>
        <v>40306561.677294977</v>
      </c>
      <c r="D152" s="8">
        <f>+MINVU_Mes_Corriente!D152*MINVU_Mes_Constante!$C$1</f>
        <v>40306561.677294977</v>
      </c>
      <c r="E152" s="8">
        <f>+MINVU_Mes_Corriente!E152*MINVU_Mes_Constante!$C$1</f>
        <v>40306561.677294977</v>
      </c>
      <c r="F152" s="8">
        <f>+MINVU_Mes_Corriente!F152*MINVU_Mes_Constante!$C$1</f>
        <v>40306561.677294977</v>
      </c>
      <c r="G152" s="8">
        <f>+MINVU_Mes_Corriente!G152*MINVU_Mes_Constante!$C$1</f>
        <v>40306561.677294977</v>
      </c>
      <c r="H152" s="8">
        <f>+MINVU_Mes_Corriente!H152*MINVU_Mes_Constante!$C$1</f>
        <v>40306561.677294977</v>
      </c>
      <c r="I152" s="8">
        <f>+MINVU_Mes_Corriente!I152*MINVU_Mes_Constante!$C$1</f>
        <v>40306561.677294977</v>
      </c>
      <c r="J152" s="8">
        <f>+MINVU_Mes_Corriente!J152*MINVU_Mes_Constante!$C$1</f>
        <v>40306561.677294977</v>
      </c>
      <c r="K152" s="8">
        <f>+MINVU_Mes_Corriente!K152*MINVU_Mes_Constante!$C$1</f>
        <v>40306561.677294977</v>
      </c>
      <c r="L152" s="8">
        <f>+MINVU_Mes_Corriente!L152*MINVU_Mes_Constante!$C$1</f>
        <v>40306561.677294977</v>
      </c>
      <c r="M152" s="8">
        <f>+MINVU_Mes_Corriente!M152*MINVU_Mes_Constante!$C$1</f>
        <v>40306561.677294977</v>
      </c>
      <c r="N152" s="8">
        <f>+MINVU_Mes_Corriente!N152*MINVU_Mes_Constante!$C$1</f>
        <v>40306561.677294977</v>
      </c>
      <c r="O152" s="9">
        <f t="shared" si="114"/>
        <v>40306561.677294977</v>
      </c>
      <c r="P152" s="8">
        <f>+MINVU_Mes_Corriente!P152*MINVU_Mes_Constante!$P$1</f>
        <v>58775483.346213929</v>
      </c>
      <c r="Q152" s="8">
        <f>+MINVU_Mes_Corriente!Q152*MINVU_Mes_Constante!$P$1</f>
        <v>58775483.346213929</v>
      </c>
      <c r="R152" s="8">
        <f>+MINVU_Mes_Corriente!R152*MINVU_Mes_Constante!$P$1</f>
        <v>58775483.346213929</v>
      </c>
      <c r="S152" s="8">
        <f>+MINVU_Mes_Corriente!S152*MINVU_Mes_Constante!$P$1</f>
        <v>58775483.346213929</v>
      </c>
      <c r="T152" s="8">
        <f>+MINVU_Mes_Corriente!T152*MINVU_Mes_Constante!$P$1</f>
        <v>58775483.346213929</v>
      </c>
      <c r="U152" s="8">
        <f>+MINVU_Mes_Corriente!U152*MINVU_Mes_Constante!$P$1</f>
        <v>58775483.346213929</v>
      </c>
      <c r="V152" s="8">
        <f>+MINVU_Mes_Corriente!V152*MINVU_Mes_Constante!$P$1</f>
        <v>58775483.346213929</v>
      </c>
      <c r="W152" s="8">
        <f>+MINVU_Mes_Corriente!W152*MINVU_Mes_Constante!$P$1</f>
        <v>58775483.346213929</v>
      </c>
      <c r="X152" s="8">
        <f>+MINVU_Mes_Corriente!X152*MINVU_Mes_Constante!$P$1</f>
        <v>58775483.346213929</v>
      </c>
      <c r="Y152" s="8">
        <f>+MINVU_Mes_Corriente!Y152*MINVU_Mes_Constante!$P$1</f>
        <v>58775483.346213929</v>
      </c>
      <c r="Z152" s="8">
        <f>+MINVU_Mes_Corriente!Z152*MINVU_Mes_Constante!$P$1</f>
        <v>58775483.346213929</v>
      </c>
      <c r="AA152" s="8">
        <f>+MINVU_Mes_Corriente!AA152*MINVU_Mes_Constante!$P$1</f>
        <v>58775483.346213929</v>
      </c>
      <c r="AB152" s="9">
        <f t="shared" si="115"/>
        <v>58775483.346213929</v>
      </c>
      <c r="AC152" s="8">
        <f>+MINVU_Mes_Corriente!AC152*MINVU_Mes_Constante!$AC$1</f>
        <v>90176590.059482634</v>
      </c>
      <c r="AD152" s="8">
        <f>+MINVU_Mes_Corriente!AD152*MINVU_Mes_Constante!$AC$1</f>
        <v>90176590.059482634</v>
      </c>
      <c r="AE152" s="8">
        <f>+MINVU_Mes_Corriente!AE152*MINVU_Mes_Constante!$AC$1</f>
        <v>90176590.059482634</v>
      </c>
      <c r="AF152" s="8">
        <f>+MINVU_Mes_Corriente!AF152*MINVU_Mes_Constante!$AC$1</f>
        <v>90176590.059482634</v>
      </c>
      <c r="AG152" s="8">
        <f>+MINVU_Mes_Corriente!AG152*MINVU_Mes_Constante!$AC$1</f>
        <v>90176590.059482634</v>
      </c>
      <c r="AH152" s="8">
        <f>+MINVU_Mes_Corriente!AH152*MINVU_Mes_Constante!$AC$1</f>
        <v>90176590.059482634</v>
      </c>
      <c r="AI152" s="8">
        <f>+MINVU_Mes_Corriente!AI152*MINVU_Mes_Constante!$AC$1</f>
        <v>90176590.059482634</v>
      </c>
      <c r="AJ152" s="8">
        <f>+MINVU_Mes_Corriente!AJ152*MINVU_Mes_Constante!$AC$1</f>
        <v>90176590.059482634</v>
      </c>
      <c r="AK152" s="8">
        <f>+MINVU_Mes_Corriente!AK152*MINVU_Mes_Constante!$AC$1</f>
        <v>90176590.059482634</v>
      </c>
      <c r="AL152" s="8">
        <f>+MINVU_Mes_Corriente!AL152*MINVU_Mes_Constante!$AC$1</f>
        <v>90176590.059482634</v>
      </c>
      <c r="AM152" s="8">
        <f>+MINVU_Mes_Corriente!AM152*MINVU_Mes_Constante!$AC$1</f>
        <v>90176590.059482634</v>
      </c>
      <c r="AN152" s="8">
        <f>+MINVU_Mes_Corriente!AN152*MINVU_Mes_Constante!$AC$1</f>
        <v>90176590.059482634</v>
      </c>
      <c r="AO152" s="9">
        <f t="shared" si="116"/>
        <v>90176590.059482634</v>
      </c>
      <c r="AP152" s="8">
        <f>+MINVU_Mes_Corriente!AP152*MINVU_Mes_Constante!$AP$1</f>
        <v>102262233.21872041</v>
      </c>
      <c r="AQ152" s="8">
        <f>+MINVU_Mes_Corriente!AQ152*MINVU_Mes_Constante!$AP$1</f>
        <v>102262233.21872041</v>
      </c>
      <c r="AR152" s="8">
        <f>+MINVU_Mes_Corriente!AR152*MINVU_Mes_Constante!$AP$1</f>
        <v>102262233.21872041</v>
      </c>
      <c r="AS152" s="8">
        <f>+MINVU_Mes_Corriente!AS152*MINVU_Mes_Constante!$AP$1</f>
        <v>102262233.21872041</v>
      </c>
      <c r="AT152" s="8">
        <f>+MINVU_Mes_Corriente!AT152*MINVU_Mes_Constante!$AP$1</f>
        <v>102262233.21872041</v>
      </c>
      <c r="AU152" s="8">
        <f>+MINVU_Mes_Corriente!AU152*MINVU_Mes_Constante!$AP$1</f>
        <v>102262233.21872041</v>
      </c>
      <c r="AV152" s="8">
        <f>+MINVU_Mes_Corriente!AV152*MINVU_Mes_Constante!$AP$1</f>
        <v>102262233.21872041</v>
      </c>
      <c r="AW152" s="8">
        <f>+MINVU_Mes_Corriente!AW152*MINVU_Mes_Constante!$AP$1</f>
        <v>102262233.21872041</v>
      </c>
      <c r="AX152" s="8">
        <f>+MINVU_Mes_Corriente!AX152*MINVU_Mes_Constante!$AP$1</f>
        <v>102262233.21872041</v>
      </c>
      <c r="AY152" s="8">
        <f>+MINVU_Mes_Corriente!AY152*MINVU_Mes_Constante!$AP$1</f>
        <v>102262233.21872041</v>
      </c>
      <c r="AZ152" s="8">
        <f>+MINVU_Mes_Corriente!AZ152*MINVU_Mes_Constante!$AP$1</f>
        <v>102262233.21872041</v>
      </c>
      <c r="BA152" s="8">
        <f>+MINVU_Mes_Corriente!BA152*MINVU_Mes_Constante!$AP$1</f>
        <v>102262233.21872041</v>
      </c>
      <c r="BB152" s="9">
        <f t="shared" si="117"/>
        <v>102262233.21872041</v>
      </c>
      <c r="BC152" s="8">
        <f>+MINVU_Mes_Corriente!BC152*MINVU_Mes_Constante!$BC$1</f>
        <v>110791223.49914284</v>
      </c>
      <c r="BD152" s="8">
        <f>+MINVU_Mes_Corriente!BD152*MINVU_Mes_Constante!$BC$1</f>
        <v>110791223.49914284</v>
      </c>
      <c r="BE152" s="8">
        <f>+MINVU_Mes_Corriente!BE152*MINVU_Mes_Constante!$BC$1</f>
        <v>110791223.49914284</v>
      </c>
      <c r="BF152" s="8">
        <f>+MINVU_Mes_Corriente!BF152*MINVU_Mes_Constante!$BC$1</f>
        <v>110791223.49914284</v>
      </c>
      <c r="BG152" s="8">
        <f>+MINVU_Mes_Corriente!BG152*MINVU_Mes_Constante!$BC$1</f>
        <v>110791223.49914284</v>
      </c>
      <c r="BH152" s="8">
        <f>+MINVU_Mes_Corriente!BH152*MINVU_Mes_Constante!$BC$1</f>
        <v>110791223.49914284</v>
      </c>
      <c r="BI152" s="8">
        <f>+MINVU_Mes_Corriente!BI152*MINVU_Mes_Constante!$BC$1</f>
        <v>110791223.49914284</v>
      </c>
      <c r="BJ152" s="8">
        <f>+MINVU_Mes_Corriente!BJ152*MINVU_Mes_Constante!$BC$1</f>
        <v>110791223.49914284</v>
      </c>
      <c r="BK152" s="8">
        <f>+MINVU_Mes_Corriente!BK152*MINVU_Mes_Constante!$BC$1</f>
        <v>110791223.49914284</v>
      </c>
      <c r="BL152" s="8">
        <f>+MINVU_Mes_Corriente!BL152*MINVU_Mes_Constante!$BC$1</f>
        <v>110791223.49914284</v>
      </c>
      <c r="BM152" s="8">
        <f>+MINVU_Mes_Corriente!BM152*MINVU_Mes_Constante!$BC$1</f>
        <v>110791223.49914284</v>
      </c>
      <c r="BN152" s="8">
        <f>+MINVU_Mes_Corriente!BN152*MINVU_Mes_Constante!$BC$1</f>
        <v>110791223.49914284</v>
      </c>
      <c r="BO152" s="9">
        <f t="shared" si="118"/>
        <v>110791223.49914284</v>
      </c>
      <c r="BP152" s="8">
        <f>+MINVU_Mes_Corriente!BP152*MINVU_Mes_Constante!$BP$1</f>
        <v>106018440.46478875</v>
      </c>
      <c r="BQ152" s="8">
        <f>+MINVU_Mes_Corriente!BQ152*MINVU_Mes_Constante!$BP$1</f>
        <v>106018440.46478875</v>
      </c>
      <c r="BR152" s="8">
        <f>+MINVU_Mes_Corriente!BR152*MINVU_Mes_Constante!$BP$1</f>
        <v>106018440.46478875</v>
      </c>
      <c r="BS152" s="8">
        <f>+MINVU_Mes_Corriente!BS152*MINVU_Mes_Constante!$BP$1</f>
        <v>106018440.46478875</v>
      </c>
      <c r="BT152" s="8">
        <f>+MINVU_Mes_Corriente!BT152*MINVU_Mes_Constante!$BP$1</f>
        <v>106018440.46478875</v>
      </c>
      <c r="BU152" s="8">
        <f>+MINVU_Mes_Corriente!BU152*MINVU_Mes_Constante!$BP$1</f>
        <v>106018440.46478875</v>
      </c>
      <c r="BV152" s="8">
        <f>+MINVU_Mes_Corriente!BV152*MINVU_Mes_Constante!$BP$1</f>
        <v>106018440.46478875</v>
      </c>
      <c r="BW152" s="8">
        <f>+MINVU_Mes_Corriente!BW152*MINVU_Mes_Constante!$BP$1</f>
        <v>106018440.46478875</v>
      </c>
      <c r="BX152" s="8">
        <f>+MINVU_Mes_Corriente!BX152*MINVU_Mes_Constante!$BP$1</f>
        <v>106018440.46478875</v>
      </c>
      <c r="BY152" s="8">
        <f>+MINVU_Mes_Corriente!BY152*MINVU_Mes_Constante!$BP$1</f>
        <v>106018440.46478875</v>
      </c>
      <c r="BZ152" s="8">
        <f>+MINVU_Mes_Corriente!BZ152*MINVU_Mes_Constante!$BP$1</f>
        <v>106018440.46478875</v>
      </c>
      <c r="CA152" s="8">
        <f>+MINVU_Mes_Corriente!CA152*MINVU_Mes_Constante!$BP$1</f>
        <v>106018440.46478875</v>
      </c>
      <c r="CB152" s="9">
        <f t="shared" si="119"/>
        <v>106018440.46478875</v>
      </c>
      <c r="CC152" s="8">
        <f>+MINVU_Mes_Corriente!CC152*MINVU_Mes_Constante!$CC$1</f>
        <v>106048614.539351</v>
      </c>
      <c r="CD152" s="8">
        <f>+MINVU_Mes_Corriente!CD152*MINVU_Mes_Constante!$CC$1</f>
        <v>106048614.539351</v>
      </c>
      <c r="CE152" s="8">
        <f>+MINVU_Mes_Corriente!CE152*MINVU_Mes_Constante!$CC$1</f>
        <v>106048614.539351</v>
      </c>
      <c r="CF152" s="8">
        <f>+MINVU_Mes_Corriente!CF152*MINVU_Mes_Constante!$CC$1</f>
        <v>106048614.539351</v>
      </c>
      <c r="CG152" s="8">
        <f>+MINVU_Mes_Corriente!CG152*MINVU_Mes_Constante!$CC$1</f>
        <v>106048614.539351</v>
      </c>
      <c r="CH152" s="8">
        <f>+MINVU_Mes_Corriente!CH152*MINVU_Mes_Constante!$CC$1</f>
        <v>106048614.539351</v>
      </c>
      <c r="CI152" s="8">
        <f>+MINVU_Mes_Corriente!CI152*MINVU_Mes_Constante!$CC$1</f>
        <v>106048614.539351</v>
      </c>
      <c r="CJ152" s="8">
        <f>+MINVU_Mes_Corriente!CJ152*MINVU_Mes_Constante!$CC$1</f>
        <v>106048614.539351</v>
      </c>
      <c r="CK152" s="8">
        <f>+MINVU_Mes_Corriente!CK152*MINVU_Mes_Constante!$CC$1</f>
        <v>106048614.539351</v>
      </c>
      <c r="CL152" s="8">
        <f>+MINVU_Mes_Corriente!CL152*MINVU_Mes_Constante!$CC$1</f>
        <v>106048614.539351</v>
      </c>
      <c r="CM152" s="8">
        <f>+MINVU_Mes_Corriente!CM152*MINVU_Mes_Constante!$CC$1</f>
        <v>106048614.539351</v>
      </c>
      <c r="CN152" s="8">
        <f>+MINVU_Mes_Corriente!CN152*MINVU_Mes_Constante!$CC$1</f>
        <v>106048614.539351</v>
      </c>
      <c r="CO152" s="9">
        <f t="shared" si="120"/>
        <v>106048614.539351</v>
      </c>
      <c r="CP152" s="8">
        <f>+MINVU_Mes_Corriente!CP152*MINVU_Mes_Constante!$CP$1</f>
        <v>104869949.67772619</v>
      </c>
      <c r="CQ152" s="8">
        <f>+MINVU_Mes_Corriente!CQ152*MINVU_Mes_Constante!$CP$1</f>
        <v>104869949.67772619</v>
      </c>
      <c r="CR152" s="8">
        <f>+MINVU_Mes_Corriente!CR152*MINVU_Mes_Constante!$CP$1</f>
        <v>104869949.67772619</v>
      </c>
      <c r="CS152" s="8">
        <f>+MINVU_Mes_Corriente!CS152*MINVU_Mes_Constante!$CP$1</f>
        <v>104869949.67772619</v>
      </c>
      <c r="CT152" s="8">
        <f>+MINVU_Mes_Corriente!CT152*MINVU_Mes_Constante!$CP$1</f>
        <v>104869949.67772619</v>
      </c>
      <c r="CU152" s="8">
        <f>+MINVU_Mes_Corriente!CU152*MINVU_Mes_Constante!$CP$1</f>
        <v>104869949.67772619</v>
      </c>
      <c r="CV152" s="8">
        <f>+MINVU_Mes_Corriente!CV152*MINVU_Mes_Constante!$CP$1</f>
        <v>104869949.67772619</v>
      </c>
      <c r="CW152" s="8">
        <f>+MINVU_Mes_Corriente!CW152*MINVU_Mes_Constante!$CP$1</f>
        <v>104869949.67772619</v>
      </c>
      <c r="CX152" s="8">
        <f>+MINVU_Mes_Corriente!CX152*MINVU_Mes_Constante!$CP$1</f>
        <v>104869949.67772619</v>
      </c>
      <c r="CY152" s="8">
        <f>+MINVU_Mes_Corriente!CY152*MINVU_Mes_Constante!$CP$1</f>
        <v>104869949.67772619</v>
      </c>
      <c r="CZ152" s="8">
        <f>+MINVU_Mes_Corriente!CZ152*MINVU_Mes_Constante!$CP$1</f>
        <v>104869949.67772619</v>
      </c>
      <c r="DA152" s="8">
        <f>+MINVU_Mes_Corriente!DA152*MINVU_Mes_Constante!$CP$1</f>
        <v>104869949.67772619</v>
      </c>
      <c r="DB152" s="9">
        <f t="shared" si="121"/>
        <v>104869949.67772619</v>
      </c>
      <c r="DC152" s="8">
        <f>+MINVU_Mes_Corriente!DC152*MINVU_Mes_Constante!$DC$1</f>
        <v>77450892.638205975</v>
      </c>
      <c r="DD152" s="8">
        <f>+MINVU_Mes_Corriente!DD152*MINVU_Mes_Constante!$DC$1</f>
        <v>77450892.638205975</v>
      </c>
      <c r="DE152" s="8">
        <f>+MINVU_Mes_Corriente!DE152*MINVU_Mes_Constante!$DC$1</f>
        <v>77450892.638205975</v>
      </c>
      <c r="DF152" s="8">
        <f>+MINVU_Mes_Corriente!DF152*MINVU_Mes_Constante!$DC$1</f>
        <v>77450892.638205975</v>
      </c>
      <c r="DG152" s="8">
        <f>+MINVU_Mes_Corriente!DG152*MINVU_Mes_Constante!$DC$1</f>
        <v>77450892.638205975</v>
      </c>
      <c r="DH152" s="8">
        <f>+MINVU_Mes_Corriente!DH152*MINVU_Mes_Constante!$DC$1</f>
        <v>77450892.638205975</v>
      </c>
      <c r="DI152" s="8">
        <f>+MINVU_Mes_Corriente!DI152*MINVU_Mes_Constante!$DC$1</f>
        <v>77450892.638205975</v>
      </c>
      <c r="DJ152" s="8">
        <f>+MINVU_Mes_Corriente!DJ152*MINVU_Mes_Constante!$DC$1</f>
        <v>77450892.638205975</v>
      </c>
      <c r="DK152" s="8">
        <f>+MINVU_Mes_Corriente!DK152*MINVU_Mes_Constante!$DC$1</f>
        <v>77450892.638205975</v>
      </c>
      <c r="DL152" s="8">
        <f>+MINVU_Mes_Corriente!DL152*MINVU_Mes_Constante!$DC$1</f>
        <v>77450892.638205975</v>
      </c>
      <c r="DM152" s="8">
        <f>+MINVU_Mes_Corriente!DM152*MINVU_Mes_Constante!$DC$1</f>
        <v>77450892.638205975</v>
      </c>
      <c r="DN152" s="8">
        <f>+MINVU_Mes_Corriente!DN152*MINVU_Mes_Constante!$DC$1</f>
        <v>77450892.638205975</v>
      </c>
      <c r="DO152" s="9">
        <f t="shared" si="122"/>
        <v>77450892.638205975</v>
      </c>
      <c r="DP152" s="8">
        <f>+MINVU_Mes_Corriente!DP152*MINVU_Mes_Constante!$DP$1</f>
        <v>116585078.4726841</v>
      </c>
      <c r="DQ152" s="8">
        <f>+MINVU_Mes_Corriente!DQ152*MINVU_Mes_Constante!$DP$1</f>
        <v>116585078.4726841</v>
      </c>
      <c r="DR152" s="8">
        <f>+MINVU_Mes_Corriente!DR152*MINVU_Mes_Constante!$DP$1</f>
        <v>116585078.4726841</v>
      </c>
      <c r="DS152" s="8">
        <f>+MINVU_Mes_Corriente!DS152*MINVU_Mes_Constante!$DP$1</f>
        <v>116585078.4726841</v>
      </c>
      <c r="DT152" s="8">
        <f>+MINVU_Mes_Corriente!DT152*MINVU_Mes_Constante!$DP$1</f>
        <v>116585078.4726841</v>
      </c>
      <c r="DU152" s="8">
        <f>+MINVU_Mes_Corriente!DU152*MINVU_Mes_Constante!$DP$1</f>
        <v>116585078.4726841</v>
      </c>
      <c r="DV152" s="8">
        <f>+MINVU_Mes_Corriente!DV152*MINVU_Mes_Constante!$DP$1</f>
        <v>116585078.4726841</v>
      </c>
      <c r="DW152" s="8">
        <f>+MINVU_Mes_Corriente!DW152*MINVU_Mes_Constante!$DP$1</f>
        <v>116585078.4726841</v>
      </c>
      <c r="DX152" s="8">
        <f>+MINVU_Mes_Corriente!DX152*MINVU_Mes_Constante!$DP$1</f>
        <v>116585078.4726841</v>
      </c>
      <c r="DY152" s="8">
        <f>+MINVU_Mes_Corriente!DY152*MINVU_Mes_Constante!$DP$1</f>
        <v>116585078.4726841</v>
      </c>
      <c r="DZ152" s="8">
        <f>+MINVU_Mes_Corriente!DZ152*MINVU_Mes_Constante!$DP$1</f>
        <v>116585078.4726841</v>
      </c>
      <c r="EA152" s="8">
        <f>+MINVU_Mes_Corriente!EA152*MINVU_Mes_Constante!$DP$1</f>
        <v>116585078.4726841</v>
      </c>
      <c r="EB152" s="9">
        <f t="shared" si="123"/>
        <v>116585078.4726841</v>
      </c>
      <c r="EC152" s="8">
        <f>+MINVU_Mes_Corriente!EC152*MINVU_Mes_Constante!$EC$1</f>
        <v>127967635.40427946</v>
      </c>
      <c r="ED152" s="8">
        <f>+MINVU_Mes_Corriente!ED152*MINVU_Mes_Constante!$EC$1</f>
        <v>127967635.40427946</v>
      </c>
      <c r="EE152" s="8">
        <f>+MINVU_Mes_Corriente!EE152*MINVU_Mes_Constante!$EC$1</f>
        <v>127967635.40427946</v>
      </c>
      <c r="EF152" s="8">
        <f>+MINVU_Mes_Corriente!EF152*MINVU_Mes_Constante!$EC$1</f>
        <v>127967635.40427946</v>
      </c>
      <c r="EG152" s="8">
        <f>+MINVU_Mes_Corriente!EG152*MINVU_Mes_Constante!$EC$1</f>
        <v>127967635.40427946</v>
      </c>
      <c r="EH152" s="8">
        <f>+MINVU_Mes_Corriente!EH152*MINVU_Mes_Constante!$EC$1</f>
        <v>127967635.40427946</v>
      </c>
      <c r="EI152" s="8">
        <f>+MINVU_Mes_Corriente!EI152*MINVU_Mes_Constante!$EC$1</f>
        <v>127967635.40427946</v>
      </c>
      <c r="EJ152" s="8">
        <f>+MINVU_Mes_Corriente!EJ152*MINVU_Mes_Constante!$EC$1</f>
        <v>127967635.40427946</v>
      </c>
      <c r="EK152" s="8">
        <f>+MINVU_Mes_Corriente!EK152*MINVU_Mes_Constante!$EC$1</f>
        <v>127967635.40427946</v>
      </c>
      <c r="EL152" s="8">
        <f>+MINVU_Mes_Corriente!EL152*MINVU_Mes_Constante!$EC$1</f>
        <v>127967635.40427946</v>
      </c>
      <c r="EM152" s="8">
        <f>+MINVU_Mes_Corriente!EM152*MINVU_Mes_Constante!$EC$1</f>
        <v>127967635.40427946</v>
      </c>
      <c r="EN152" s="8">
        <f>+MINVU_Mes_Corriente!EN152*MINVU_Mes_Constante!$EC$1</f>
        <v>127967635.40427946</v>
      </c>
      <c r="EO152" s="9">
        <f t="shared" si="124"/>
        <v>127967635.40427946</v>
      </c>
      <c r="EP152" s="8">
        <f>+MINVU_Mes_Corriente!EP152*MINVU_Mes_Constante!$EP$1</f>
        <v>145360457</v>
      </c>
      <c r="EQ152" s="8">
        <f>+MINVU_Mes_Corriente!EQ152*MINVU_Mes_Constante!$EP$1</f>
        <v>145360457</v>
      </c>
      <c r="ER152" s="8">
        <f>+MINVU_Mes_Corriente!ER152*MINVU_Mes_Constante!$EP$1</f>
        <v>145360457</v>
      </c>
      <c r="ES152" s="8">
        <f>+MINVU_Mes_Corriente!ES152*MINVU_Mes_Constante!$EP$1</f>
        <v>145360457</v>
      </c>
      <c r="ET152" s="8">
        <f>+MINVU_Mes_Corriente!ET152*MINVU_Mes_Constante!$EP$1</f>
        <v>145360457</v>
      </c>
      <c r="EU152" s="8">
        <f>+MINVU_Mes_Corriente!EU152*MINVU_Mes_Constante!$EP$1</f>
        <v>145360457</v>
      </c>
      <c r="EV152" s="8">
        <f>+MINVU_Mes_Corriente!EV152*MINVU_Mes_Constante!$EP$1</f>
        <v>145360457</v>
      </c>
      <c r="EW152" s="8">
        <f>+MINVU_Mes_Corriente!EW152*MINVU_Mes_Constante!$EP$1</f>
        <v>145360457</v>
      </c>
      <c r="EX152" s="8">
        <f>+MINVU_Mes_Corriente!EX152*MINVU_Mes_Constante!$EP$1</f>
        <v>145360457</v>
      </c>
      <c r="EY152" s="8">
        <f>+MINVU_Mes_Corriente!EY152*MINVU_Mes_Constante!$EP$1</f>
        <v>145360457</v>
      </c>
      <c r="EZ152" s="8">
        <f>+MINVU_Mes_Corriente!EZ152*MINVU_Mes_Constante!$EP$1</f>
        <v>145360457</v>
      </c>
      <c r="FA152" s="8">
        <f>+MINVU_Mes_Corriente!FA152*MINVU_Mes_Constante!$EP$1</f>
        <v>145360457</v>
      </c>
      <c r="FB152" s="9">
        <f t="shared" si="125"/>
        <v>145360457</v>
      </c>
      <c r="FC152" s="8">
        <f>+MINVU_Mes_Corriente!FC152*MINVU_Mes_Constante!$FC$1</f>
        <v>135508027</v>
      </c>
      <c r="FD152" s="8">
        <f>+MINVU_Mes_Corriente!FD152*MINVU_Mes_Constante!$FC$1</f>
        <v>135508027</v>
      </c>
      <c r="FE152" s="8">
        <f>+MINVU_Mes_Corriente!FE152*MINVU_Mes_Constante!$FC$1</f>
        <v>135508027</v>
      </c>
      <c r="FF152" s="8">
        <f>+MINVU_Mes_Corriente!FF152*MINVU_Mes_Constante!$FC$1</f>
        <v>135508027</v>
      </c>
      <c r="FG152" s="8">
        <f>+MINVU_Mes_Corriente!FG152*MINVU_Mes_Constante!$FC$1</f>
        <v>135508027</v>
      </c>
      <c r="FH152" s="8">
        <f>+MINVU_Mes_Corriente!FH152*MINVU_Mes_Constante!$FC$1</f>
        <v>135508027</v>
      </c>
      <c r="FI152" s="8">
        <f>+MINVU_Mes_Corriente!FI152*MINVU_Mes_Constante!$FC$1</f>
        <v>135508027</v>
      </c>
      <c r="FJ152" s="8"/>
      <c r="FK152" s="8"/>
      <c r="FL152" s="8"/>
      <c r="FM152" s="8"/>
      <c r="FN152" s="8"/>
      <c r="FO152" s="9">
        <f t="shared" si="126"/>
        <v>135508027</v>
      </c>
    </row>
    <row r="153" spans="2:171" ht="14.25" customHeight="1" x14ac:dyDescent="0.3">
      <c r="B153" s="7" t="s">
        <v>50</v>
      </c>
      <c r="C153" s="8">
        <f>+MINVU_Mes_Corriente!C153*MINVU_Mes_Constante!$C$1</f>
        <v>136013951.6013644</v>
      </c>
      <c r="D153" s="8">
        <f>+MINVU_Mes_Corriente!D153*MINVU_Mes_Constante!$C$1</f>
        <v>136013951.6013644</v>
      </c>
      <c r="E153" s="8">
        <f>+MINVU_Mes_Corriente!E153*MINVU_Mes_Constante!$C$1</f>
        <v>136013951.6013644</v>
      </c>
      <c r="F153" s="8">
        <f>+MINVU_Mes_Corriente!F153*MINVU_Mes_Constante!$C$1</f>
        <v>136013951.6013644</v>
      </c>
      <c r="G153" s="8">
        <f>+MINVU_Mes_Corriente!G153*MINVU_Mes_Constante!$C$1</f>
        <v>136013951.6013644</v>
      </c>
      <c r="H153" s="8">
        <f>+MINVU_Mes_Corriente!H153*MINVU_Mes_Constante!$C$1</f>
        <v>136013951.6013644</v>
      </c>
      <c r="I153" s="8">
        <f>+MINVU_Mes_Corriente!I153*MINVU_Mes_Constante!$C$1</f>
        <v>136013951.6013644</v>
      </c>
      <c r="J153" s="8">
        <f>+MINVU_Mes_Corriente!J153*MINVU_Mes_Constante!$C$1</f>
        <v>136013951.6013644</v>
      </c>
      <c r="K153" s="8">
        <f>+MINVU_Mes_Corriente!K153*MINVU_Mes_Constante!$C$1</f>
        <v>136013951.6013644</v>
      </c>
      <c r="L153" s="8">
        <f>+MINVU_Mes_Corriente!L153*MINVU_Mes_Constante!$C$1</f>
        <v>136013951.6013644</v>
      </c>
      <c r="M153" s="8">
        <f>+MINVU_Mes_Corriente!M153*MINVU_Mes_Constante!$C$1</f>
        <v>136013951.6013644</v>
      </c>
      <c r="N153" s="8">
        <f>+MINVU_Mes_Corriente!N153*MINVU_Mes_Constante!$C$1</f>
        <v>136013951.6013644</v>
      </c>
      <c r="O153" s="9">
        <f t="shared" si="114"/>
        <v>136013951.6013644</v>
      </c>
      <c r="P153" s="8">
        <f>+MINVU_Mes_Corriente!P153*MINVU_Mes_Constante!$P$1</f>
        <v>199258972.29947427</v>
      </c>
      <c r="Q153" s="8">
        <f>+MINVU_Mes_Corriente!Q153*MINVU_Mes_Constante!$P$1</f>
        <v>199258972.29947427</v>
      </c>
      <c r="R153" s="8">
        <f>+MINVU_Mes_Corriente!R153*MINVU_Mes_Constante!$P$1</f>
        <v>199258972.29947427</v>
      </c>
      <c r="S153" s="8">
        <f>+MINVU_Mes_Corriente!S153*MINVU_Mes_Constante!$P$1</f>
        <v>199258972.29947427</v>
      </c>
      <c r="T153" s="8">
        <f>+MINVU_Mes_Corriente!T153*MINVU_Mes_Constante!$P$1</f>
        <v>199258972.29947427</v>
      </c>
      <c r="U153" s="8">
        <f>+MINVU_Mes_Corriente!U153*MINVU_Mes_Constante!$P$1</f>
        <v>199258972.29947427</v>
      </c>
      <c r="V153" s="8">
        <f>+MINVU_Mes_Corriente!V153*MINVU_Mes_Constante!$P$1</f>
        <v>199258972.29947427</v>
      </c>
      <c r="W153" s="8">
        <f>+MINVU_Mes_Corriente!W153*MINVU_Mes_Constante!$P$1</f>
        <v>199258972.29947427</v>
      </c>
      <c r="X153" s="8">
        <f>+MINVU_Mes_Corriente!X153*MINVU_Mes_Constante!$P$1</f>
        <v>199258972.29947427</v>
      </c>
      <c r="Y153" s="8">
        <f>+MINVU_Mes_Corriente!Y153*MINVU_Mes_Constante!$P$1</f>
        <v>199258972.29947427</v>
      </c>
      <c r="Z153" s="8">
        <f>+MINVU_Mes_Corriente!Z153*MINVU_Mes_Constante!$P$1</f>
        <v>199258972.29947427</v>
      </c>
      <c r="AA153" s="8">
        <f>+MINVU_Mes_Corriente!AA153*MINVU_Mes_Constante!$P$1</f>
        <v>199258972.29947427</v>
      </c>
      <c r="AB153" s="9">
        <f t="shared" si="115"/>
        <v>199258972.29947427</v>
      </c>
      <c r="AC153" s="8">
        <f>+MINVU_Mes_Corriente!AC153*MINVU_Mes_Constante!$AC$1</f>
        <v>167022598.61391616</v>
      </c>
      <c r="AD153" s="8">
        <f>+MINVU_Mes_Corriente!AD153*MINVU_Mes_Constante!$AC$1</f>
        <v>167022598.61391616</v>
      </c>
      <c r="AE153" s="8">
        <f>+MINVU_Mes_Corriente!AE153*MINVU_Mes_Constante!$AC$1</f>
        <v>167022598.61391616</v>
      </c>
      <c r="AF153" s="8">
        <f>+MINVU_Mes_Corriente!AF153*MINVU_Mes_Constante!$AC$1</f>
        <v>167022598.61391616</v>
      </c>
      <c r="AG153" s="8">
        <f>+MINVU_Mes_Corriente!AG153*MINVU_Mes_Constante!$AC$1</f>
        <v>167022598.61391616</v>
      </c>
      <c r="AH153" s="8">
        <f>+MINVU_Mes_Corriente!AH153*MINVU_Mes_Constante!$AC$1</f>
        <v>167022598.61391616</v>
      </c>
      <c r="AI153" s="8">
        <f>+MINVU_Mes_Corriente!AI153*MINVU_Mes_Constante!$AC$1</f>
        <v>167022598.61391616</v>
      </c>
      <c r="AJ153" s="8">
        <f>+MINVU_Mes_Corriente!AJ153*MINVU_Mes_Constante!$AC$1</f>
        <v>167022598.61391616</v>
      </c>
      <c r="AK153" s="8">
        <f>+MINVU_Mes_Corriente!AK153*MINVU_Mes_Constante!$AC$1</f>
        <v>167022598.61391616</v>
      </c>
      <c r="AL153" s="8">
        <f>+MINVU_Mes_Corriente!AL153*MINVU_Mes_Constante!$AC$1</f>
        <v>167022598.61391616</v>
      </c>
      <c r="AM153" s="8">
        <f>+MINVU_Mes_Corriente!AM153*MINVU_Mes_Constante!$AC$1</f>
        <v>167022598.61391616</v>
      </c>
      <c r="AN153" s="8">
        <f>+MINVU_Mes_Corriente!AN153*MINVU_Mes_Constante!$AC$1</f>
        <v>167022598.61391616</v>
      </c>
      <c r="AO153" s="9">
        <f t="shared" si="116"/>
        <v>167022598.61391616</v>
      </c>
      <c r="AP153" s="8">
        <f>+MINVU_Mes_Corriente!AP153*MINVU_Mes_Constante!$AP$1</f>
        <v>139864055.56824023</v>
      </c>
      <c r="AQ153" s="8">
        <f>+MINVU_Mes_Corriente!AQ153*MINVU_Mes_Constante!$AP$1</f>
        <v>139864055.56824023</v>
      </c>
      <c r="AR153" s="8">
        <f>+MINVU_Mes_Corriente!AR153*MINVU_Mes_Constante!$AP$1</f>
        <v>139864055.56824023</v>
      </c>
      <c r="AS153" s="8">
        <f>+MINVU_Mes_Corriente!AS153*MINVU_Mes_Constante!$AP$1</f>
        <v>139864055.56824023</v>
      </c>
      <c r="AT153" s="8">
        <f>+MINVU_Mes_Corriente!AT153*MINVU_Mes_Constante!$AP$1</f>
        <v>139864055.56824023</v>
      </c>
      <c r="AU153" s="8">
        <f>+MINVU_Mes_Corriente!AU153*MINVU_Mes_Constante!$AP$1</f>
        <v>139864055.56824023</v>
      </c>
      <c r="AV153" s="8">
        <f>+MINVU_Mes_Corriente!AV153*MINVU_Mes_Constante!$AP$1</f>
        <v>139864055.56824023</v>
      </c>
      <c r="AW153" s="8">
        <f>+MINVU_Mes_Corriente!AW153*MINVU_Mes_Constante!$AP$1</f>
        <v>139864055.56824023</v>
      </c>
      <c r="AX153" s="8">
        <f>+MINVU_Mes_Corriente!AX153*MINVU_Mes_Constante!$AP$1</f>
        <v>139864055.56824023</v>
      </c>
      <c r="AY153" s="8">
        <f>+MINVU_Mes_Corriente!AY153*MINVU_Mes_Constante!$AP$1</f>
        <v>139864055.56824023</v>
      </c>
      <c r="AZ153" s="8">
        <f>+MINVU_Mes_Corriente!AZ153*MINVU_Mes_Constante!$AP$1</f>
        <v>139864055.56824023</v>
      </c>
      <c r="BA153" s="8">
        <f>+MINVU_Mes_Corriente!BA153*MINVU_Mes_Constante!$AP$1</f>
        <v>139864055.56824023</v>
      </c>
      <c r="BB153" s="9">
        <f t="shared" si="117"/>
        <v>139864055.56824023</v>
      </c>
      <c r="BC153" s="8">
        <f>+MINVU_Mes_Corriente!BC153*MINVU_Mes_Constante!$BC$1</f>
        <v>177556888.60820261</v>
      </c>
      <c r="BD153" s="8">
        <f>+MINVU_Mes_Corriente!BD153*MINVU_Mes_Constante!$BC$1</f>
        <v>177556888.60820261</v>
      </c>
      <c r="BE153" s="8">
        <f>+MINVU_Mes_Corriente!BE153*MINVU_Mes_Constante!$BC$1</f>
        <v>177556888.60820261</v>
      </c>
      <c r="BF153" s="8">
        <f>+MINVU_Mes_Corriente!BF153*MINVU_Mes_Constante!$BC$1</f>
        <v>177556888.60820261</v>
      </c>
      <c r="BG153" s="8">
        <f>+MINVU_Mes_Corriente!BG153*MINVU_Mes_Constante!$BC$1</f>
        <v>177556888.60820261</v>
      </c>
      <c r="BH153" s="8">
        <f>+MINVU_Mes_Corriente!BH153*MINVU_Mes_Constante!$BC$1</f>
        <v>177556888.60820261</v>
      </c>
      <c r="BI153" s="8">
        <f>+MINVU_Mes_Corriente!BI153*MINVU_Mes_Constante!$BC$1</f>
        <v>177556888.60820261</v>
      </c>
      <c r="BJ153" s="8">
        <f>+MINVU_Mes_Corriente!BJ153*MINVU_Mes_Constante!$BC$1</f>
        <v>177556888.60820261</v>
      </c>
      <c r="BK153" s="8">
        <f>+MINVU_Mes_Corriente!BK153*MINVU_Mes_Constante!$BC$1</f>
        <v>177556888.60820261</v>
      </c>
      <c r="BL153" s="8">
        <f>+MINVU_Mes_Corriente!BL153*MINVU_Mes_Constante!$BC$1</f>
        <v>177556888.60820261</v>
      </c>
      <c r="BM153" s="8">
        <f>+MINVU_Mes_Corriente!BM153*MINVU_Mes_Constante!$BC$1</f>
        <v>177556888.60820261</v>
      </c>
      <c r="BN153" s="8">
        <f>+MINVU_Mes_Corriente!BN153*MINVU_Mes_Constante!$BC$1</f>
        <v>177556888.60820261</v>
      </c>
      <c r="BO153" s="9">
        <f t="shared" si="118"/>
        <v>177556888.60820261</v>
      </c>
      <c r="BP153" s="8">
        <f>+MINVU_Mes_Corriente!BP153*MINVU_Mes_Constante!$BP$1</f>
        <v>159186396.17131883</v>
      </c>
      <c r="BQ153" s="8">
        <f>+MINVU_Mes_Corriente!BQ153*MINVU_Mes_Constante!$BP$1</f>
        <v>159186396.17131883</v>
      </c>
      <c r="BR153" s="8">
        <f>+MINVU_Mes_Corriente!BR153*MINVU_Mes_Constante!$BP$1</f>
        <v>159186396.17131883</v>
      </c>
      <c r="BS153" s="8">
        <f>+MINVU_Mes_Corriente!BS153*MINVU_Mes_Constante!$BP$1</f>
        <v>159186396.17131883</v>
      </c>
      <c r="BT153" s="8">
        <f>+MINVU_Mes_Corriente!BT153*MINVU_Mes_Constante!$BP$1</f>
        <v>159186396.17131883</v>
      </c>
      <c r="BU153" s="8">
        <f>+MINVU_Mes_Corriente!BU153*MINVU_Mes_Constante!$BP$1</f>
        <v>159186396.17131883</v>
      </c>
      <c r="BV153" s="8">
        <f>+MINVU_Mes_Corriente!BV153*MINVU_Mes_Constante!$BP$1</f>
        <v>159186396.17131883</v>
      </c>
      <c r="BW153" s="8">
        <f>+MINVU_Mes_Corriente!BW153*MINVU_Mes_Constante!$BP$1</f>
        <v>159186396.17131883</v>
      </c>
      <c r="BX153" s="8">
        <f>+MINVU_Mes_Corriente!BX153*MINVU_Mes_Constante!$BP$1</f>
        <v>159186396.17131883</v>
      </c>
      <c r="BY153" s="8">
        <f>+MINVU_Mes_Corriente!BY153*MINVU_Mes_Constante!$BP$1</f>
        <v>159186396.17131883</v>
      </c>
      <c r="BZ153" s="8">
        <f>+MINVU_Mes_Corriente!BZ153*MINVU_Mes_Constante!$BP$1</f>
        <v>159186396.17131883</v>
      </c>
      <c r="CA153" s="8">
        <f>+MINVU_Mes_Corriente!CA153*MINVU_Mes_Constante!$BP$1</f>
        <v>159186396.17131883</v>
      </c>
      <c r="CB153" s="9">
        <f t="shared" si="119"/>
        <v>159186396.17131883</v>
      </c>
      <c r="CC153" s="8">
        <f>+MINVU_Mes_Corriente!CC153*MINVU_Mes_Constante!$CC$1</f>
        <v>158754315.41066769</v>
      </c>
      <c r="CD153" s="8">
        <f>+MINVU_Mes_Corriente!CD153*MINVU_Mes_Constante!$CC$1</f>
        <v>158754315.41066769</v>
      </c>
      <c r="CE153" s="8">
        <f>+MINVU_Mes_Corriente!CE153*MINVU_Mes_Constante!$CC$1</f>
        <v>158754315.41066769</v>
      </c>
      <c r="CF153" s="8">
        <f>+MINVU_Mes_Corriente!CF153*MINVU_Mes_Constante!$CC$1</f>
        <v>158754315.41066769</v>
      </c>
      <c r="CG153" s="8">
        <f>+MINVU_Mes_Corriente!CG153*MINVU_Mes_Constante!$CC$1</f>
        <v>158754315.41066769</v>
      </c>
      <c r="CH153" s="8">
        <f>+MINVU_Mes_Corriente!CH153*MINVU_Mes_Constante!$CC$1</f>
        <v>158754315.41066769</v>
      </c>
      <c r="CI153" s="8">
        <f>+MINVU_Mes_Corriente!CI153*MINVU_Mes_Constante!$CC$1</f>
        <v>158754315.41066769</v>
      </c>
      <c r="CJ153" s="8">
        <f>+MINVU_Mes_Corriente!CJ153*MINVU_Mes_Constante!$CC$1</f>
        <v>158754315.41066769</v>
      </c>
      <c r="CK153" s="8">
        <f>+MINVU_Mes_Corriente!CK153*MINVU_Mes_Constante!$CC$1</f>
        <v>158754315.41066769</v>
      </c>
      <c r="CL153" s="8">
        <f>+MINVU_Mes_Corriente!CL153*MINVU_Mes_Constante!$CC$1</f>
        <v>158754315.41066769</v>
      </c>
      <c r="CM153" s="8">
        <f>+MINVU_Mes_Corriente!CM153*MINVU_Mes_Constante!$CC$1</f>
        <v>158754315.41066769</v>
      </c>
      <c r="CN153" s="8">
        <f>+MINVU_Mes_Corriente!CN153*MINVU_Mes_Constante!$CC$1</f>
        <v>158754315.41066769</v>
      </c>
      <c r="CO153" s="9">
        <f t="shared" si="120"/>
        <v>158754315.41066769</v>
      </c>
      <c r="CP153" s="8">
        <f>+MINVU_Mes_Corriente!CP153*MINVU_Mes_Constante!$CP$1</f>
        <v>155260633.79234335</v>
      </c>
      <c r="CQ153" s="8">
        <f>+MINVU_Mes_Corriente!CQ153*MINVU_Mes_Constante!$CP$1</f>
        <v>155260633.79234335</v>
      </c>
      <c r="CR153" s="8">
        <f>+MINVU_Mes_Corriente!CR153*MINVU_Mes_Constante!$CP$1</f>
        <v>155260633.79234335</v>
      </c>
      <c r="CS153" s="8">
        <f>+MINVU_Mes_Corriente!CS153*MINVU_Mes_Constante!$CP$1</f>
        <v>155260633.79234335</v>
      </c>
      <c r="CT153" s="8">
        <f>+MINVU_Mes_Corriente!CT153*MINVU_Mes_Constante!$CP$1</f>
        <v>155260633.79234335</v>
      </c>
      <c r="CU153" s="8">
        <f>+MINVU_Mes_Corriente!CU153*MINVU_Mes_Constante!$CP$1</f>
        <v>155260633.79234335</v>
      </c>
      <c r="CV153" s="8">
        <f>+MINVU_Mes_Corriente!CV153*MINVU_Mes_Constante!$CP$1</f>
        <v>155260633.79234335</v>
      </c>
      <c r="CW153" s="8">
        <f>+MINVU_Mes_Corriente!CW153*MINVU_Mes_Constante!$CP$1</f>
        <v>155260633.79234335</v>
      </c>
      <c r="CX153" s="8">
        <f>+MINVU_Mes_Corriente!CX153*MINVU_Mes_Constante!$CP$1</f>
        <v>155260633.79234335</v>
      </c>
      <c r="CY153" s="8">
        <f>+MINVU_Mes_Corriente!CY153*MINVU_Mes_Constante!$CP$1</f>
        <v>155260633.79234335</v>
      </c>
      <c r="CZ153" s="8">
        <f>+MINVU_Mes_Corriente!CZ153*MINVU_Mes_Constante!$CP$1</f>
        <v>155260633.79234335</v>
      </c>
      <c r="DA153" s="8">
        <f>+MINVU_Mes_Corriente!DA153*MINVU_Mes_Constante!$CP$1</f>
        <v>155260633.79234335</v>
      </c>
      <c r="DB153" s="9">
        <f t="shared" si="121"/>
        <v>155260633.79234335</v>
      </c>
      <c r="DC153" s="8">
        <f>+MINVU_Mes_Corriente!DC153*MINVU_Mes_Constante!$DC$1</f>
        <v>186782591.07108331</v>
      </c>
      <c r="DD153" s="8">
        <f>+MINVU_Mes_Corriente!DD153*MINVU_Mes_Constante!$DC$1</f>
        <v>186782591.07108331</v>
      </c>
      <c r="DE153" s="8">
        <f>+MINVU_Mes_Corriente!DE153*MINVU_Mes_Constante!$DC$1</f>
        <v>186782591.07108331</v>
      </c>
      <c r="DF153" s="8">
        <f>+MINVU_Mes_Corriente!DF153*MINVU_Mes_Constante!$DC$1</f>
        <v>186782591.07108331</v>
      </c>
      <c r="DG153" s="8">
        <f>+MINVU_Mes_Corriente!DG153*MINVU_Mes_Constante!$DC$1</f>
        <v>186782591.07108331</v>
      </c>
      <c r="DH153" s="8">
        <f>+MINVU_Mes_Corriente!DH153*MINVU_Mes_Constante!$DC$1</f>
        <v>186782591.07108331</v>
      </c>
      <c r="DI153" s="8">
        <f>+MINVU_Mes_Corriente!DI153*MINVU_Mes_Constante!$DC$1</f>
        <v>186782591.07108331</v>
      </c>
      <c r="DJ153" s="8">
        <f>+MINVU_Mes_Corriente!DJ153*MINVU_Mes_Constante!$DC$1</f>
        <v>186782591.07108331</v>
      </c>
      <c r="DK153" s="8">
        <f>+MINVU_Mes_Corriente!DK153*MINVU_Mes_Constante!$DC$1</f>
        <v>186782591.07108331</v>
      </c>
      <c r="DL153" s="8">
        <f>+MINVU_Mes_Corriente!DL153*MINVU_Mes_Constante!$DC$1</f>
        <v>186782591.07108331</v>
      </c>
      <c r="DM153" s="8">
        <f>+MINVU_Mes_Corriente!DM153*MINVU_Mes_Constante!$DC$1</f>
        <v>186782591.07108331</v>
      </c>
      <c r="DN153" s="8">
        <f>+MINVU_Mes_Corriente!DN153*MINVU_Mes_Constante!$DC$1</f>
        <v>186782591.07108331</v>
      </c>
      <c r="DO153" s="9">
        <f t="shared" si="122"/>
        <v>186782591.07108331</v>
      </c>
      <c r="DP153" s="8">
        <f>+MINVU_Mes_Corriente!DP153*MINVU_Mes_Constante!$DP$1</f>
        <v>216087420.82660335</v>
      </c>
      <c r="DQ153" s="8">
        <f>+MINVU_Mes_Corriente!DQ153*MINVU_Mes_Constante!$DP$1</f>
        <v>216087420.82660335</v>
      </c>
      <c r="DR153" s="8">
        <f>+MINVU_Mes_Corriente!DR153*MINVU_Mes_Constante!$DP$1</f>
        <v>216087420.82660335</v>
      </c>
      <c r="DS153" s="8">
        <f>+MINVU_Mes_Corriente!DS153*MINVU_Mes_Constante!$DP$1</f>
        <v>216087420.82660335</v>
      </c>
      <c r="DT153" s="8">
        <f>+MINVU_Mes_Corriente!DT153*MINVU_Mes_Constante!$DP$1</f>
        <v>216087420.82660335</v>
      </c>
      <c r="DU153" s="8">
        <f>+MINVU_Mes_Corriente!DU153*MINVU_Mes_Constante!$DP$1</f>
        <v>216087420.82660335</v>
      </c>
      <c r="DV153" s="8">
        <f>+MINVU_Mes_Corriente!DV153*MINVU_Mes_Constante!$DP$1</f>
        <v>216087420.82660335</v>
      </c>
      <c r="DW153" s="8">
        <f>+MINVU_Mes_Corriente!DW153*MINVU_Mes_Constante!$DP$1</f>
        <v>216087420.82660335</v>
      </c>
      <c r="DX153" s="8">
        <f>+MINVU_Mes_Corriente!DX153*MINVU_Mes_Constante!$DP$1</f>
        <v>216087420.82660335</v>
      </c>
      <c r="DY153" s="8">
        <f>+MINVU_Mes_Corriente!DY153*MINVU_Mes_Constante!$DP$1</f>
        <v>216087420.82660335</v>
      </c>
      <c r="DZ153" s="8">
        <f>+MINVU_Mes_Corriente!DZ153*MINVU_Mes_Constante!$DP$1</f>
        <v>216087420.82660335</v>
      </c>
      <c r="EA153" s="8">
        <f>+MINVU_Mes_Corriente!EA153*MINVU_Mes_Constante!$DP$1</f>
        <v>216087420.82660335</v>
      </c>
      <c r="EB153" s="9">
        <f t="shared" si="123"/>
        <v>216087420.82660335</v>
      </c>
      <c r="EC153" s="8">
        <f>+MINVU_Mes_Corriente!EC153*MINVU_Mes_Constante!$EC$1</f>
        <v>233551837.07877287</v>
      </c>
      <c r="ED153" s="8">
        <f>+MINVU_Mes_Corriente!ED153*MINVU_Mes_Constante!$EC$1</f>
        <v>233551837.07877287</v>
      </c>
      <c r="EE153" s="8">
        <f>+MINVU_Mes_Corriente!EE153*MINVU_Mes_Constante!$EC$1</f>
        <v>233551837.07877287</v>
      </c>
      <c r="EF153" s="8">
        <f>+MINVU_Mes_Corriente!EF153*MINVU_Mes_Constante!$EC$1</f>
        <v>233551837.07877287</v>
      </c>
      <c r="EG153" s="8">
        <f>+MINVU_Mes_Corriente!EG153*MINVU_Mes_Constante!$EC$1</f>
        <v>233551837.07877287</v>
      </c>
      <c r="EH153" s="8">
        <f>+MINVU_Mes_Corriente!EH153*MINVU_Mes_Constante!$EC$1</f>
        <v>233551837.07877287</v>
      </c>
      <c r="EI153" s="8">
        <f>+MINVU_Mes_Corriente!EI153*MINVU_Mes_Constante!$EC$1</f>
        <v>233551837.07877287</v>
      </c>
      <c r="EJ153" s="8">
        <f>+MINVU_Mes_Corriente!EJ153*MINVU_Mes_Constante!$EC$1</f>
        <v>233551837.07877287</v>
      </c>
      <c r="EK153" s="8">
        <f>+MINVU_Mes_Corriente!EK153*MINVU_Mes_Constante!$EC$1</f>
        <v>233551837.07877287</v>
      </c>
      <c r="EL153" s="8">
        <f>+MINVU_Mes_Corriente!EL153*MINVU_Mes_Constante!$EC$1</f>
        <v>233551837.07877287</v>
      </c>
      <c r="EM153" s="8">
        <f>+MINVU_Mes_Corriente!EM153*MINVU_Mes_Constante!$EC$1</f>
        <v>233551837.07877287</v>
      </c>
      <c r="EN153" s="8">
        <f>+MINVU_Mes_Corriente!EN153*MINVU_Mes_Constante!$EC$1</f>
        <v>233551837.07877287</v>
      </c>
      <c r="EO153" s="9">
        <f t="shared" si="124"/>
        <v>233551837.07877287</v>
      </c>
      <c r="EP153" s="8">
        <f>+MINVU_Mes_Corriente!EP153*MINVU_Mes_Constante!$EP$1</f>
        <v>286562984</v>
      </c>
      <c r="EQ153" s="8">
        <f>+MINVU_Mes_Corriente!EQ153*MINVU_Mes_Constante!$EP$1</f>
        <v>286562984</v>
      </c>
      <c r="ER153" s="8">
        <f>+MINVU_Mes_Corriente!ER153*MINVU_Mes_Constante!$EP$1</f>
        <v>286562984</v>
      </c>
      <c r="ES153" s="8">
        <f>+MINVU_Mes_Corriente!ES153*MINVU_Mes_Constante!$EP$1</f>
        <v>286562984</v>
      </c>
      <c r="ET153" s="8">
        <f>+MINVU_Mes_Corriente!ET153*MINVU_Mes_Constante!$EP$1</f>
        <v>286562984</v>
      </c>
      <c r="EU153" s="8">
        <f>+MINVU_Mes_Corriente!EU153*MINVU_Mes_Constante!$EP$1</f>
        <v>286562984</v>
      </c>
      <c r="EV153" s="8">
        <f>+MINVU_Mes_Corriente!EV153*MINVU_Mes_Constante!$EP$1</f>
        <v>286562984</v>
      </c>
      <c r="EW153" s="8">
        <f>+MINVU_Mes_Corriente!EW153*MINVU_Mes_Constante!$EP$1</f>
        <v>286562984</v>
      </c>
      <c r="EX153" s="8">
        <f>+MINVU_Mes_Corriente!EX153*MINVU_Mes_Constante!$EP$1</f>
        <v>286562984</v>
      </c>
      <c r="EY153" s="8">
        <f>+MINVU_Mes_Corriente!EY153*MINVU_Mes_Constante!$EP$1</f>
        <v>286562984</v>
      </c>
      <c r="EZ153" s="8">
        <f>+MINVU_Mes_Corriente!EZ153*MINVU_Mes_Constante!$EP$1</f>
        <v>286562984</v>
      </c>
      <c r="FA153" s="8">
        <f>+MINVU_Mes_Corriente!FA153*MINVU_Mes_Constante!$EP$1</f>
        <v>286562984</v>
      </c>
      <c r="FB153" s="9">
        <f t="shared" si="125"/>
        <v>286562984</v>
      </c>
      <c r="FC153" s="8">
        <f>+MINVU_Mes_Corriente!FC153*MINVU_Mes_Constante!$FC$1</f>
        <v>241505107</v>
      </c>
      <c r="FD153" s="8">
        <f>+MINVU_Mes_Corriente!FD153*MINVU_Mes_Constante!$FC$1</f>
        <v>241505107</v>
      </c>
      <c r="FE153" s="8">
        <f>+MINVU_Mes_Corriente!FE153*MINVU_Mes_Constante!$FC$1</f>
        <v>241505107</v>
      </c>
      <c r="FF153" s="8">
        <f>+MINVU_Mes_Corriente!FF153*MINVU_Mes_Constante!$FC$1</f>
        <v>241505107</v>
      </c>
      <c r="FG153" s="8">
        <f>+MINVU_Mes_Corriente!FG153*MINVU_Mes_Constante!$FC$1</f>
        <v>241505107</v>
      </c>
      <c r="FH153" s="8">
        <f>+MINVU_Mes_Corriente!FH153*MINVU_Mes_Constante!$FC$1</f>
        <v>241505107</v>
      </c>
      <c r="FI153" s="8">
        <f>+MINVU_Mes_Corriente!FI153*MINVU_Mes_Constante!$FC$1</f>
        <v>241505107</v>
      </c>
      <c r="FJ153" s="8"/>
      <c r="FK153" s="8"/>
      <c r="FL153" s="8"/>
      <c r="FM153" s="8"/>
      <c r="FN153" s="8"/>
      <c r="FO153" s="9">
        <f t="shared" si="126"/>
        <v>241505107</v>
      </c>
    </row>
    <row r="154" spans="2:171" ht="14.25" customHeight="1" x14ac:dyDescent="0.3">
      <c r="B154" s="7" t="s">
        <v>51</v>
      </c>
      <c r="C154" s="8">
        <f>+MINVU_Mes_Corriente!C154*MINVU_Mes_Constante!$C$1</f>
        <v>390015925.14607745</v>
      </c>
      <c r="D154" s="8">
        <f>+MINVU_Mes_Corriente!D154*MINVU_Mes_Constante!$C$1</f>
        <v>390015925.14607745</v>
      </c>
      <c r="E154" s="8">
        <f>+MINVU_Mes_Corriente!E154*MINVU_Mes_Constante!$C$1</f>
        <v>390015925.14607745</v>
      </c>
      <c r="F154" s="8">
        <f>+MINVU_Mes_Corriente!F154*MINVU_Mes_Constante!$C$1</f>
        <v>390015925.14607745</v>
      </c>
      <c r="G154" s="8">
        <f>+MINVU_Mes_Corriente!G154*MINVU_Mes_Constante!$C$1</f>
        <v>390015925.14607745</v>
      </c>
      <c r="H154" s="8">
        <f>+MINVU_Mes_Corriente!H154*MINVU_Mes_Constante!$C$1</f>
        <v>390015925.14607745</v>
      </c>
      <c r="I154" s="8">
        <f>+MINVU_Mes_Corriente!I154*MINVU_Mes_Constante!$C$1</f>
        <v>390015925.14607745</v>
      </c>
      <c r="J154" s="8">
        <f>+MINVU_Mes_Corriente!J154*MINVU_Mes_Constante!$C$1</f>
        <v>390015925.14607745</v>
      </c>
      <c r="K154" s="8">
        <f>+MINVU_Mes_Corriente!K154*MINVU_Mes_Constante!$C$1</f>
        <v>390015925.14607745</v>
      </c>
      <c r="L154" s="8">
        <f>+MINVU_Mes_Corriente!L154*MINVU_Mes_Constante!$C$1</f>
        <v>390015925.14607745</v>
      </c>
      <c r="M154" s="8">
        <f>+MINVU_Mes_Corriente!M154*MINVU_Mes_Constante!$C$1</f>
        <v>390015925.14607745</v>
      </c>
      <c r="N154" s="8">
        <f>+MINVU_Mes_Corriente!N154*MINVU_Mes_Constante!$C$1</f>
        <v>390015925.14607745</v>
      </c>
      <c r="O154" s="9">
        <f t="shared" si="114"/>
        <v>390015925.14607745</v>
      </c>
      <c r="P154" s="8">
        <f>+MINVU_Mes_Corriente!P154*MINVU_Mes_Constante!$P$1</f>
        <v>400319426.08665991</v>
      </c>
      <c r="Q154" s="8">
        <f>+MINVU_Mes_Corriente!Q154*MINVU_Mes_Constante!$P$1</f>
        <v>400319426.08665991</v>
      </c>
      <c r="R154" s="8">
        <f>+MINVU_Mes_Corriente!R154*MINVU_Mes_Constante!$P$1</f>
        <v>400319426.08665991</v>
      </c>
      <c r="S154" s="8">
        <f>+MINVU_Mes_Corriente!S154*MINVU_Mes_Constante!$P$1</f>
        <v>400319426.08665991</v>
      </c>
      <c r="T154" s="8">
        <f>+MINVU_Mes_Corriente!T154*MINVU_Mes_Constante!$P$1</f>
        <v>400319426.08665991</v>
      </c>
      <c r="U154" s="8">
        <f>+MINVU_Mes_Corriente!U154*MINVU_Mes_Constante!$P$1</f>
        <v>400319426.08665991</v>
      </c>
      <c r="V154" s="8">
        <f>+MINVU_Mes_Corriente!V154*MINVU_Mes_Constante!$P$1</f>
        <v>400319426.08665991</v>
      </c>
      <c r="W154" s="8">
        <f>+MINVU_Mes_Corriente!W154*MINVU_Mes_Constante!$P$1</f>
        <v>400319426.08665991</v>
      </c>
      <c r="X154" s="8">
        <f>+MINVU_Mes_Corriente!X154*MINVU_Mes_Constante!$P$1</f>
        <v>400319426.08665991</v>
      </c>
      <c r="Y154" s="8">
        <f>+MINVU_Mes_Corriente!Y154*MINVU_Mes_Constante!$P$1</f>
        <v>400319426.08665991</v>
      </c>
      <c r="Z154" s="8">
        <f>+MINVU_Mes_Corriente!Z154*MINVU_Mes_Constante!$P$1</f>
        <v>400319426.08665991</v>
      </c>
      <c r="AA154" s="8">
        <f>+MINVU_Mes_Corriente!AA154*MINVU_Mes_Constante!$P$1</f>
        <v>400319426.08665991</v>
      </c>
      <c r="AB154" s="9">
        <f t="shared" si="115"/>
        <v>400319426.08665991</v>
      </c>
      <c r="AC154" s="8">
        <f>+MINVU_Mes_Corriente!AC154*MINVU_Mes_Constante!$AC$1</f>
        <v>438971858.57047999</v>
      </c>
      <c r="AD154" s="8">
        <f>+MINVU_Mes_Corriente!AD154*MINVU_Mes_Constante!$AC$1</f>
        <v>438971858.57047999</v>
      </c>
      <c r="AE154" s="8">
        <f>+MINVU_Mes_Corriente!AE154*MINVU_Mes_Constante!$AC$1</f>
        <v>438971858.57047999</v>
      </c>
      <c r="AF154" s="8">
        <f>+MINVU_Mes_Corriente!AF154*MINVU_Mes_Constante!$AC$1</f>
        <v>438971858.57047999</v>
      </c>
      <c r="AG154" s="8">
        <f>+MINVU_Mes_Corriente!AG154*MINVU_Mes_Constante!$AC$1</f>
        <v>438971858.57047999</v>
      </c>
      <c r="AH154" s="8">
        <f>+MINVU_Mes_Corriente!AH154*MINVU_Mes_Constante!$AC$1</f>
        <v>438971858.57047999</v>
      </c>
      <c r="AI154" s="8">
        <f>+MINVU_Mes_Corriente!AI154*MINVU_Mes_Constante!$AC$1</f>
        <v>438971858.57047999</v>
      </c>
      <c r="AJ154" s="8">
        <f>+MINVU_Mes_Corriente!AJ154*MINVU_Mes_Constante!$AC$1</f>
        <v>438971858.57047999</v>
      </c>
      <c r="AK154" s="8">
        <f>+MINVU_Mes_Corriente!AK154*MINVU_Mes_Constante!$AC$1</f>
        <v>438971858.57047999</v>
      </c>
      <c r="AL154" s="8">
        <f>+MINVU_Mes_Corriente!AL154*MINVU_Mes_Constante!$AC$1</f>
        <v>438971858.57047999</v>
      </c>
      <c r="AM154" s="8">
        <f>+MINVU_Mes_Corriente!AM154*MINVU_Mes_Constante!$AC$1</f>
        <v>438971858.57047999</v>
      </c>
      <c r="AN154" s="8">
        <f>+MINVU_Mes_Corriente!AN154*MINVU_Mes_Constante!$AC$1</f>
        <v>438971858.57047999</v>
      </c>
      <c r="AO154" s="9">
        <f t="shared" si="116"/>
        <v>438971858.57047999</v>
      </c>
      <c r="AP154" s="8">
        <f>+MINVU_Mes_Corriente!AP154*MINVU_Mes_Constante!$AP$1</f>
        <v>399906706.93520898</v>
      </c>
      <c r="AQ154" s="8">
        <f>+MINVU_Mes_Corriente!AQ154*MINVU_Mes_Constante!$AP$1</f>
        <v>399906706.93520898</v>
      </c>
      <c r="AR154" s="8">
        <f>+MINVU_Mes_Corriente!AR154*MINVU_Mes_Constante!$AP$1</f>
        <v>399906706.93520898</v>
      </c>
      <c r="AS154" s="8">
        <f>+MINVU_Mes_Corriente!AS154*MINVU_Mes_Constante!$AP$1</f>
        <v>399906706.93520898</v>
      </c>
      <c r="AT154" s="8">
        <f>+MINVU_Mes_Corriente!AT154*MINVU_Mes_Constante!$AP$1</f>
        <v>399906706.93520898</v>
      </c>
      <c r="AU154" s="8">
        <f>+MINVU_Mes_Corriente!AU154*MINVU_Mes_Constante!$AP$1</f>
        <v>399906706.93520898</v>
      </c>
      <c r="AV154" s="8">
        <f>+MINVU_Mes_Corriente!AV154*MINVU_Mes_Constante!$AP$1</f>
        <v>399906706.93520898</v>
      </c>
      <c r="AW154" s="8">
        <f>+MINVU_Mes_Corriente!AW154*MINVU_Mes_Constante!$AP$1</f>
        <v>399906706.93520898</v>
      </c>
      <c r="AX154" s="8">
        <f>+MINVU_Mes_Corriente!AX154*MINVU_Mes_Constante!$AP$1</f>
        <v>399906706.93520898</v>
      </c>
      <c r="AY154" s="8">
        <f>+MINVU_Mes_Corriente!AY154*MINVU_Mes_Constante!$AP$1</f>
        <v>399906706.93520898</v>
      </c>
      <c r="AZ154" s="8">
        <f>+MINVU_Mes_Corriente!AZ154*MINVU_Mes_Constante!$AP$1</f>
        <v>399906706.93520898</v>
      </c>
      <c r="BA154" s="8">
        <f>+MINVU_Mes_Corriente!BA154*MINVU_Mes_Constante!$AP$1</f>
        <v>399906706.93520898</v>
      </c>
      <c r="BB154" s="9">
        <f t="shared" si="117"/>
        <v>399906706.93520898</v>
      </c>
      <c r="BC154" s="8">
        <f>+MINVU_Mes_Corriente!BC154*MINVU_Mes_Constante!$BC$1</f>
        <v>390916472.38480824</v>
      </c>
      <c r="BD154" s="8">
        <f>+MINVU_Mes_Corriente!BD154*MINVU_Mes_Constante!$BC$1</f>
        <v>390916472.38480824</v>
      </c>
      <c r="BE154" s="8">
        <f>+MINVU_Mes_Corriente!BE154*MINVU_Mes_Constante!$BC$1</f>
        <v>390916472.38480824</v>
      </c>
      <c r="BF154" s="8">
        <f>+MINVU_Mes_Corriente!BF154*MINVU_Mes_Constante!$BC$1</f>
        <v>390916472.38480824</v>
      </c>
      <c r="BG154" s="8">
        <f>+MINVU_Mes_Corriente!BG154*MINVU_Mes_Constante!$BC$1</f>
        <v>390916472.38480824</v>
      </c>
      <c r="BH154" s="8">
        <f>+MINVU_Mes_Corriente!BH154*MINVU_Mes_Constante!$BC$1</f>
        <v>390916472.38480824</v>
      </c>
      <c r="BI154" s="8">
        <f>+MINVU_Mes_Corriente!BI154*MINVU_Mes_Constante!$BC$1</f>
        <v>390916472.38480824</v>
      </c>
      <c r="BJ154" s="8">
        <f>+MINVU_Mes_Corriente!BJ154*MINVU_Mes_Constante!$BC$1</f>
        <v>390916472.38480824</v>
      </c>
      <c r="BK154" s="8">
        <f>+MINVU_Mes_Corriente!BK154*MINVU_Mes_Constante!$BC$1</f>
        <v>390916472.38480824</v>
      </c>
      <c r="BL154" s="8">
        <f>+MINVU_Mes_Corriente!BL154*MINVU_Mes_Constante!$BC$1</f>
        <v>390916472.38480824</v>
      </c>
      <c r="BM154" s="8">
        <f>+MINVU_Mes_Corriente!BM154*MINVU_Mes_Constante!$BC$1</f>
        <v>390916472.38480824</v>
      </c>
      <c r="BN154" s="8">
        <f>+MINVU_Mes_Corriente!BN154*MINVU_Mes_Constante!$BC$1</f>
        <v>390916472.38480824</v>
      </c>
      <c r="BO154" s="9">
        <f t="shared" si="118"/>
        <v>390916472.38480824</v>
      </c>
      <c r="BP154" s="8">
        <f>+MINVU_Mes_Corriente!BP154*MINVU_Mes_Constante!$BP$1</f>
        <v>441314049.74750322</v>
      </c>
      <c r="BQ154" s="8">
        <f>+MINVU_Mes_Corriente!BQ154*MINVU_Mes_Constante!$BP$1</f>
        <v>441314049.74750322</v>
      </c>
      <c r="BR154" s="8">
        <f>+MINVU_Mes_Corriente!BR154*MINVU_Mes_Constante!$BP$1</f>
        <v>441314049.74750322</v>
      </c>
      <c r="BS154" s="8">
        <f>+MINVU_Mes_Corriente!BS154*MINVU_Mes_Constante!$BP$1</f>
        <v>441314049.74750322</v>
      </c>
      <c r="BT154" s="8">
        <f>+MINVU_Mes_Corriente!BT154*MINVU_Mes_Constante!$BP$1</f>
        <v>441314049.74750322</v>
      </c>
      <c r="BU154" s="8">
        <f>+MINVU_Mes_Corriente!BU154*MINVU_Mes_Constante!$BP$1</f>
        <v>441314049.74750322</v>
      </c>
      <c r="BV154" s="8">
        <f>+MINVU_Mes_Corriente!BV154*MINVU_Mes_Constante!$BP$1</f>
        <v>441314049.74750322</v>
      </c>
      <c r="BW154" s="8">
        <f>+MINVU_Mes_Corriente!BW154*MINVU_Mes_Constante!$BP$1</f>
        <v>441314049.74750322</v>
      </c>
      <c r="BX154" s="8">
        <f>+MINVU_Mes_Corriente!BX154*MINVU_Mes_Constante!$BP$1</f>
        <v>441314049.74750322</v>
      </c>
      <c r="BY154" s="8">
        <f>+MINVU_Mes_Corriente!BY154*MINVU_Mes_Constante!$BP$1</f>
        <v>441314049.74750322</v>
      </c>
      <c r="BZ154" s="8">
        <f>+MINVU_Mes_Corriente!BZ154*MINVU_Mes_Constante!$BP$1</f>
        <v>441314049.74750322</v>
      </c>
      <c r="CA154" s="8">
        <f>+MINVU_Mes_Corriente!CA154*MINVU_Mes_Constante!$BP$1</f>
        <v>441314049.74750322</v>
      </c>
      <c r="CB154" s="9">
        <f t="shared" si="119"/>
        <v>441314049.74750322</v>
      </c>
      <c r="CC154" s="8">
        <f>+MINVU_Mes_Corriente!CC154*MINVU_Mes_Constante!$CC$1</f>
        <v>440068440.50578147</v>
      </c>
      <c r="CD154" s="8">
        <f>+MINVU_Mes_Corriente!CD154*MINVU_Mes_Constante!$CC$1</f>
        <v>440068440.50578147</v>
      </c>
      <c r="CE154" s="8">
        <f>+MINVU_Mes_Corriente!CE154*MINVU_Mes_Constante!$CC$1</f>
        <v>440068440.50578147</v>
      </c>
      <c r="CF154" s="8">
        <f>+MINVU_Mes_Corriente!CF154*MINVU_Mes_Constante!$CC$1</f>
        <v>440068440.50578147</v>
      </c>
      <c r="CG154" s="8">
        <f>+MINVU_Mes_Corriente!CG154*MINVU_Mes_Constante!$CC$1</f>
        <v>440068440.50578147</v>
      </c>
      <c r="CH154" s="8">
        <f>+MINVU_Mes_Corriente!CH154*MINVU_Mes_Constante!$CC$1</f>
        <v>440068440.50578147</v>
      </c>
      <c r="CI154" s="8">
        <f>+MINVU_Mes_Corriente!CI154*MINVU_Mes_Constante!$CC$1</f>
        <v>440068440.50578147</v>
      </c>
      <c r="CJ154" s="8">
        <f>+MINVU_Mes_Corriente!CJ154*MINVU_Mes_Constante!$CC$1</f>
        <v>440068440.50578147</v>
      </c>
      <c r="CK154" s="8">
        <f>+MINVU_Mes_Corriente!CK154*MINVU_Mes_Constante!$CC$1</f>
        <v>440068440.50578147</v>
      </c>
      <c r="CL154" s="8">
        <f>+MINVU_Mes_Corriente!CL154*MINVU_Mes_Constante!$CC$1</f>
        <v>440068440.50578147</v>
      </c>
      <c r="CM154" s="8">
        <f>+MINVU_Mes_Corriente!CM154*MINVU_Mes_Constante!$CC$1</f>
        <v>440068440.50578147</v>
      </c>
      <c r="CN154" s="8">
        <f>+MINVU_Mes_Corriente!CN154*MINVU_Mes_Constante!$CC$1</f>
        <v>440068440.50578147</v>
      </c>
      <c r="CO154" s="9">
        <f t="shared" si="120"/>
        <v>440068440.50578147</v>
      </c>
      <c r="CP154" s="8">
        <f>+MINVU_Mes_Corriente!CP154*MINVU_Mes_Constante!$CP$1</f>
        <v>407525818.01554519</v>
      </c>
      <c r="CQ154" s="8">
        <f>+MINVU_Mes_Corriente!CQ154*MINVU_Mes_Constante!$CP$1</f>
        <v>407525818.01554519</v>
      </c>
      <c r="CR154" s="8">
        <f>+MINVU_Mes_Corriente!CR154*MINVU_Mes_Constante!$CP$1</f>
        <v>407525818.01554519</v>
      </c>
      <c r="CS154" s="8">
        <f>+MINVU_Mes_Corriente!CS154*MINVU_Mes_Constante!$CP$1</f>
        <v>407525818.01554519</v>
      </c>
      <c r="CT154" s="8">
        <f>+MINVU_Mes_Corriente!CT154*MINVU_Mes_Constante!$CP$1</f>
        <v>407525818.01554519</v>
      </c>
      <c r="CU154" s="8">
        <f>+MINVU_Mes_Corriente!CU154*MINVU_Mes_Constante!$CP$1</f>
        <v>407525818.01554519</v>
      </c>
      <c r="CV154" s="8">
        <f>+MINVU_Mes_Corriente!CV154*MINVU_Mes_Constante!$CP$1</f>
        <v>407525818.01554519</v>
      </c>
      <c r="CW154" s="8">
        <f>+MINVU_Mes_Corriente!CW154*MINVU_Mes_Constante!$CP$1</f>
        <v>407525818.01554519</v>
      </c>
      <c r="CX154" s="8">
        <f>+MINVU_Mes_Corriente!CX154*MINVU_Mes_Constante!$CP$1</f>
        <v>407525818.01554519</v>
      </c>
      <c r="CY154" s="8">
        <f>+MINVU_Mes_Corriente!CY154*MINVU_Mes_Constante!$CP$1</f>
        <v>407525818.01554519</v>
      </c>
      <c r="CZ154" s="8">
        <f>+MINVU_Mes_Corriente!CZ154*MINVU_Mes_Constante!$CP$1</f>
        <v>407525818.01554519</v>
      </c>
      <c r="DA154" s="8">
        <f>+MINVU_Mes_Corriente!DA154*MINVU_Mes_Constante!$CP$1</f>
        <v>407525818.01554519</v>
      </c>
      <c r="DB154" s="9">
        <f t="shared" si="121"/>
        <v>407525818.01554519</v>
      </c>
      <c r="DC154" s="8">
        <f>+MINVU_Mes_Corriente!DC154*MINVU_Mes_Constante!$DC$1</f>
        <v>456932378.45900649</v>
      </c>
      <c r="DD154" s="8">
        <f>+MINVU_Mes_Corriente!DD154*MINVU_Mes_Constante!$DC$1</f>
        <v>456932378.45900649</v>
      </c>
      <c r="DE154" s="8">
        <f>+MINVU_Mes_Corriente!DE154*MINVU_Mes_Constante!$DC$1</f>
        <v>456932378.45900649</v>
      </c>
      <c r="DF154" s="8">
        <f>+MINVU_Mes_Corriente!DF154*MINVU_Mes_Constante!$DC$1</f>
        <v>456932378.45900649</v>
      </c>
      <c r="DG154" s="8">
        <f>+MINVU_Mes_Corriente!DG154*MINVU_Mes_Constante!$DC$1</f>
        <v>456932378.45900649</v>
      </c>
      <c r="DH154" s="8">
        <f>+MINVU_Mes_Corriente!DH154*MINVU_Mes_Constante!$DC$1</f>
        <v>456932378.45900649</v>
      </c>
      <c r="DI154" s="8">
        <f>+MINVU_Mes_Corriente!DI154*MINVU_Mes_Constante!$DC$1</f>
        <v>456932378.45900649</v>
      </c>
      <c r="DJ154" s="8">
        <f>+MINVU_Mes_Corriente!DJ154*MINVU_Mes_Constante!$DC$1</f>
        <v>456932378.45900649</v>
      </c>
      <c r="DK154" s="8">
        <f>+MINVU_Mes_Corriente!DK154*MINVU_Mes_Constante!$DC$1</f>
        <v>456932378.45900649</v>
      </c>
      <c r="DL154" s="8">
        <f>+MINVU_Mes_Corriente!DL154*MINVU_Mes_Constante!$DC$1</f>
        <v>456932378.45900649</v>
      </c>
      <c r="DM154" s="8">
        <f>+MINVU_Mes_Corriente!DM154*MINVU_Mes_Constante!$DC$1</f>
        <v>456932378.45900649</v>
      </c>
      <c r="DN154" s="8">
        <f>+MINVU_Mes_Corriente!DN154*MINVU_Mes_Constante!$DC$1</f>
        <v>456932378.45900649</v>
      </c>
      <c r="DO154" s="9">
        <f t="shared" si="122"/>
        <v>456932378.45900649</v>
      </c>
      <c r="DP154" s="8">
        <f>+MINVU_Mes_Corriente!DP154*MINVU_Mes_Constante!$DP$1</f>
        <v>418937351.41033256</v>
      </c>
      <c r="DQ154" s="8">
        <f>+MINVU_Mes_Corriente!DQ154*MINVU_Mes_Constante!$DP$1</f>
        <v>418937351.41033256</v>
      </c>
      <c r="DR154" s="8">
        <f>+MINVU_Mes_Corriente!DR154*MINVU_Mes_Constante!$DP$1</f>
        <v>418937351.41033256</v>
      </c>
      <c r="DS154" s="8">
        <f>+MINVU_Mes_Corriente!DS154*MINVU_Mes_Constante!$DP$1</f>
        <v>418937351.41033256</v>
      </c>
      <c r="DT154" s="8">
        <f>+MINVU_Mes_Corriente!DT154*MINVU_Mes_Constante!$DP$1</f>
        <v>418937351.41033256</v>
      </c>
      <c r="DU154" s="8">
        <f>+MINVU_Mes_Corriente!DU154*MINVU_Mes_Constante!$DP$1</f>
        <v>418937351.41033256</v>
      </c>
      <c r="DV154" s="8">
        <f>+MINVU_Mes_Corriente!DV154*MINVU_Mes_Constante!$DP$1</f>
        <v>418937351.41033256</v>
      </c>
      <c r="DW154" s="8">
        <f>+MINVU_Mes_Corriente!DW154*MINVU_Mes_Constante!$DP$1</f>
        <v>418937351.41033256</v>
      </c>
      <c r="DX154" s="8">
        <f>+MINVU_Mes_Corriente!DX154*MINVU_Mes_Constante!$DP$1</f>
        <v>418937351.41033256</v>
      </c>
      <c r="DY154" s="8">
        <f>+MINVU_Mes_Corriente!DY154*MINVU_Mes_Constante!$DP$1</f>
        <v>418937351.41033256</v>
      </c>
      <c r="DZ154" s="8">
        <f>+MINVU_Mes_Corriente!DZ154*MINVU_Mes_Constante!$DP$1</f>
        <v>418937351.41033256</v>
      </c>
      <c r="EA154" s="8">
        <f>+MINVU_Mes_Corriente!EA154*MINVU_Mes_Constante!$DP$1</f>
        <v>418937351.41033256</v>
      </c>
      <c r="EB154" s="9">
        <f t="shared" si="123"/>
        <v>418937351.41033256</v>
      </c>
      <c r="EC154" s="8">
        <f>+MINVU_Mes_Corriente!EC154*MINVU_Mes_Constante!$EC$1</f>
        <v>483981486.97027063</v>
      </c>
      <c r="ED154" s="8">
        <f>+MINVU_Mes_Corriente!ED154*MINVU_Mes_Constante!$EC$1</f>
        <v>483981486.97027063</v>
      </c>
      <c r="EE154" s="8">
        <f>+MINVU_Mes_Corriente!EE154*MINVU_Mes_Constante!$EC$1</f>
        <v>483981486.97027063</v>
      </c>
      <c r="EF154" s="8">
        <f>+MINVU_Mes_Corriente!EF154*MINVU_Mes_Constante!$EC$1</f>
        <v>483981486.97027063</v>
      </c>
      <c r="EG154" s="8">
        <f>+MINVU_Mes_Corriente!EG154*MINVU_Mes_Constante!$EC$1</f>
        <v>483981486.97027063</v>
      </c>
      <c r="EH154" s="8">
        <f>+MINVU_Mes_Corriente!EH154*MINVU_Mes_Constante!$EC$1</f>
        <v>483981486.97027063</v>
      </c>
      <c r="EI154" s="8">
        <f>+MINVU_Mes_Corriente!EI154*MINVU_Mes_Constante!$EC$1</f>
        <v>483981486.97027063</v>
      </c>
      <c r="EJ154" s="8">
        <f>+MINVU_Mes_Corriente!EJ154*MINVU_Mes_Constante!$EC$1</f>
        <v>483981486.97027063</v>
      </c>
      <c r="EK154" s="8">
        <f>+MINVU_Mes_Corriente!EK154*MINVU_Mes_Constante!$EC$1</f>
        <v>483981486.97027063</v>
      </c>
      <c r="EL154" s="8">
        <f>+MINVU_Mes_Corriente!EL154*MINVU_Mes_Constante!$EC$1</f>
        <v>483981486.97027063</v>
      </c>
      <c r="EM154" s="8">
        <f>+MINVU_Mes_Corriente!EM154*MINVU_Mes_Constante!$EC$1</f>
        <v>483981486.97027063</v>
      </c>
      <c r="EN154" s="8">
        <f>+MINVU_Mes_Corriente!EN154*MINVU_Mes_Constante!$EC$1</f>
        <v>483981486.97027063</v>
      </c>
      <c r="EO154" s="9">
        <f t="shared" si="124"/>
        <v>483981486.97027063</v>
      </c>
      <c r="EP154" s="8">
        <f>+MINVU_Mes_Corriente!EP154*MINVU_Mes_Constante!$EP$1</f>
        <v>371219703</v>
      </c>
      <c r="EQ154" s="8">
        <f>+MINVU_Mes_Corriente!EQ154*MINVU_Mes_Constante!$EP$1</f>
        <v>371219703</v>
      </c>
      <c r="ER154" s="8">
        <f>+MINVU_Mes_Corriente!ER154*MINVU_Mes_Constante!$EP$1</f>
        <v>371219703</v>
      </c>
      <c r="ES154" s="8">
        <f>+MINVU_Mes_Corriente!ES154*MINVU_Mes_Constante!$EP$1</f>
        <v>371219703</v>
      </c>
      <c r="ET154" s="8">
        <f>+MINVU_Mes_Corriente!ET154*MINVU_Mes_Constante!$EP$1</f>
        <v>371219703</v>
      </c>
      <c r="EU154" s="8">
        <f>+MINVU_Mes_Corriente!EU154*MINVU_Mes_Constante!$EP$1</f>
        <v>371219703</v>
      </c>
      <c r="EV154" s="8">
        <f>+MINVU_Mes_Corriente!EV154*MINVU_Mes_Constante!$EP$1</f>
        <v>371219703</v>
      </c>
      <c r="EW154" s="8">
        <f>+MINVU_Mes_Corriente!EW154*MINVU_Mes_Constante!$EP$1</f>
        <v>371219703</v>
      </c>
      <c r="EX154" s="8">
        <f>+MINVU_Mes_Corriente!EX154*MINVU_Mes_Constante!$EP$1</f>
        <v>371219703</v>
      </c>
      <c r="EY154" s="8">
        <f>+MINVU_Mes_Corriente!EY154*MINVU_Mes_Constante!$EP$1</f>
        <v>371219703</v>
      </c>
      <c r="EZ154" s="8">
        <f>+MINVU_Mes_Corriente!EZ154*MINVU_Mes_Constante!$EP$1</f>
        <v>371219703</v>
      </c>
      <c r="FA154" s="8">
        <f>+MINVU_Mes_Corriente!FA154*MINVU_Mes_Constante!$EP$1</f>
        <v>371219703</v>
      </c>
      <c r="FB154" s="9">
        <f t="shared" si="125"/>
        <v>371219703</v>
      </c>
      <c r="FC154" s="8">
        <f>+MINVU_Mes_Corriente!FC154*MINVU_Mes_Constante!$FC$1</f>
        <v>776352146</v>
      </c>
      <c r="FD154" s="8">
        <f>+MINVU_Mes_Corriente!FD154*MINVU_Mes_Constante!$FC$1</f>
        <v>776352146</v>
      </c>
      <c r="FE154" s="8">
        <f>+MINVU_Mes_Corriente!FE154*MINVU_Mes_Constante!$FC$1</f>
        <v>776352146</v>
      </c>
      <c r="FF154" s="8">
        <f>+MINVU_Mes_Corriente!FF154*MINVU_Mes_Constante!$FC$1</f>
        <v>776352146</v>
      </c>
      <c r="FG154" s="8">
        <f>+MINVU_Mes_Corriente!FG154*MINVU_Mes_Constante!$FC$1</f>
        <v>776352146</v>
      </c>
      <c r="FH154" s="8">
        <f>+MINVU_Mes_Corriente!FH154*MINVU_Mes_Constante!$FC$1</f>
        <v>776352146</v>
      </c>
      <c r="FI154" s="8">
        <f>+MINVU_Mes_Corriente!FI154*MINVU_Mes_Constante!$FC$1</f>
        <v>776352146</v>
      </c>
      <c r="FJ154" s="8"/>
      <c r="FK154" s="8"/>
      <c r="FL154" s="8"/>
      <c r="FM154" s="8"/>
      <c r="FN154" s="8"/>
      <c r="FO154" s="9">
        <f t="shared" si="126"/>
        <v>776352146</v>
      </c>
    </row>
    <row r="155" spans="2:171" ht="14.25" customHeight="1" x14ac:dyDescent="0.3">
      <c r="B155" s="7" t="s">
        <v>52</v>
      </c>
      <c r="C155" s="8">
        <f>+MINVU_Mes_Corriente!C155*MINVU_Mes_Constante!$C$1</f>
        <v>117862992.72608633</v>
      </c>
      <c r="D155" s="8">
        <f>+MINVU_Mes_Corriente!D155*MINVU_Mes_Constante!$C$1</f>
        <v>117862992.72608633</v>
      </c>
      <c r="E155" s="8">
        <f>+MINVU_Mes_Corriente!E155*MINVU_Mes_Constante!$C$1</f>
        <v>117862992.72608633</v>
      </c>
      <c r="F155" s="8">
        <f>+MINVU_Mes_Corriente!F155*MINVU_Mes_Constante!$C$1</f>
        <v>117862992.72608633</v>
      </c>
      <c r="G155" s="8">
        <f>+MINVU_Mes_Corriente!G155*MINVU_Mes_Constante!$C$1</f>
        <v>117862992.72608633</v>
      </c>
      <c r="H155" s="8">
        <f>+MINVU_Mes_Corriente!H155*MINVU_Mes_Constante!$C$1</f>
        <v>117862992.72608633</v>
      </c>
      <c r="I155" s="8">
        <f>+MINVU_Mes_Corriente!I155*MINVU_Mes_Constante!$C$1</f>
        <v>117862992.72608633</v>
      </c>
      <c r="J155" s="8">
        <f>+MINVU_Mes_Corriente!J155*MINVU_Mes_Constante!$C$1</f>
        <v>117862992.72608633</v>
      </c>
      <c r="K155" s="8">
        <f>+MINVU_Mes_Corriente!K155*MINVU_Mes_Constante!$C$1</f>
        <v>117862992.72608633</v>
      </c>
      <c r="L155" s="8">
        <f>+MINVU_Mes_Corriente!L155*MINVU_Mes_Constante!$C$1</f>
        <v>117862992.72608633</v>
      </c>
      <c r="M155" s="8">
        <f>+MINVU_Mes_Corriente!M155*MINVU_Mes_Constante!$C$1</f>
        <v>117862992.72608633</v>
      </c>
      <c r="N155" s="8">
        <f>+MINVU_Mes_Corriente!N155*MINVU_Mes_Constante!$C$1</f>
        <v>117862992.72608633</v>
      </c>
      <c r="O155" s="9">
        <f t="shared" si="114"/>
        <v>117862992.72608633</v>
      </c>
      <c r="P155" s="8">
        <f>+MINVU_Mes_Corriente!P155*MINVU_Mes_Constante!$P$1</f>
        <v>102882956.82398064</v>
      </c>
      <c r="Q155" s="8">
        <f>+MINVU_Mes_Corriente!Q155*MINVU_Mes_Constante!$P$1</f>
        <v>102882956.82398064</v>
      </c>
      <c r="R155" s="8">
        <f>+MINVU_Mes_Corriente!R155*MINVU_Mes_Constante!$P$1</f>
        <v>102882956.82398064</v>
      </c>
      <c r="S155" s="8">
        <f>+MINVU_Mes_Corriente!S155*MINVU_Mes_Constante!$P$1</f>
        <v>102882956.82398064</v>
      </c>
      <c r="T155" s="8">
        <f>+MINVU_Mes_Corriente!T155*MINVU_Mes_Constante!$P$1</f>
        <v>102882956.82398064</v>
      </c>
      <c r="U155" s="8">
        <f>+MINVU_Mes_Corriente!U155*MINVU_Mes_Constante!$P$1</f>
        <v>102882956.82398064</v>
      </c>
      <c r="V155" s="8">
        <f>+MINVU_Mes_Corriente!V155*MINVU_Mes_Constante!$P$1</f>
        <v>102882956.82398064</v>
      </c>
      <c r="W155" s="8">
        <f>+MINVU_Mes_Corriente!W155*MINVU_Mes_Constante!$P$1</f>
        <v>102882956.82398064</v>
      </c>
      <c r="X155" s="8">
        <f>+MINVU_Mes_Corriente!X155*MINVU_Mes_Constante!$P$1</f>
        <v>102882956.82398064</v>
      </c>
      <c r="Y155" s="8">
        <f>+MINVU_Mes_Corriente!Y155*MINVU_Mes_Constante!$P$1</f>
        <v>102882956.82398064</v>
      </c>
      <c r="Z155" s="8">
        <f>+MINVU_Mes_Corriente!Z155*MINVU_Mes_Constante!$P$1</f>
        <v>102882956.82398064</v>
      </c>
      <c r="AA155" s="8">
        <f>+MINVU_Mes_Corriente!AA155*MINVU_Mes_Constante!$P$1</f>
        <v>102882956.82398064</v>
      </c>
      <c r="AB155" s="9">
        <f t="shared" si="115"/>
        <v>102882956.82398064</v>
      </c>
      <c r="AC155" s="8">
        <f>+MINVU_Mes_Corriente!AC155*MINVU_Mes_Constante!$AC$1</f>
        <v>107964172.47032784</v>
      </c>
      <c r="AD155" s="8">
        <f>+MINVU_Mes_Corriente!AD155*MINVU_Mes_Constante!$AC$1</f>
        <v>107964172.47032784</v>
      </c>
      <c r="AE155" s="8">
        <f>+MINVU_Mes_Corriente!AE155*MINVU_Mes_Constante!$AC$1</f>
        <v>107964172.47032784</v>
      </c>
      <c r="AF155" s="8">
        <f>+MINVU_Mes_Corriente!AF155*MINVU_Mes_Constante!$AC$1</f>
        <v>107964172.47032784</v>
      </c>
      <c r="AG155" s="8">
        <f>+MINVU_Mes_Corriente!AG155*MINVU_Mes_Constante!$AC$1</f>
        <v>107964172.47032784</v>
      </c>
      <c r="AH155" s="8">
        <f>+MINVU_Mes_Corriente!AH155*MINVU_Mes_Constante!$AC$1</f>
        <v>107964172.47032784</v>
      </c>
      <c r="AI155" s="8">
        <f>+MINVU_Mes_Corriente!AI155*MINVU_Mes_Constante!$AC$1</f>
        <v>107964172.47032784</v>
      </c>
      <c r="AJ155" s="8">
        <f>+MINVU_Mes_Corriente!AJ155*MINVU_Mes_Constante!$AC$1</f>
        <v>107964172.47032784</v>
      </c>
      <c r="AK155" s="8">
        <f>+MINVU_Mes_Corriente!AK155*MINVU_Mes_Constante!$AC$1</f>
        <v>107964172.47032784</v>
      </c>
      <c r="AL155" s="8">
        <f>+MINVU_Mes_Corriente!AL155*MINVU_Mes_Constante!$AC$1</f>
        <v>107964172.47032784</v>
      </c>
      <c r="AM155" s="8">
        <f>+MINVU_Mes_Corriente!AM155*MINVU_Mes_Constante!$AC$1</f>
        <v>107964172.47032784</v>
      </c>
      <c r="AN155" s="8">
        <f>+MINVU_Mes_Corriente!AN155*MINVU_Mes_Constante!$AC$1</f>
        <v>107964172.47032784</v>
      </c>
      <c r="AO155" s="9">
        <f t="shared" si="116"/>
        <v>107964172.47032784</v>
      </c>
      <c r="AP155" s="8">
        <f>+MINVU_Mes_Corriente!AP155*MINVU_Mes_Constante!$AP$1</f>
        <v>90895578.313269302</v>
      </c>
      <c r="AQ155" s="8">
        <f>+MINVU_Mes_Corriente!AQ155*MINVU_Mes_Constante!$AP$1</f>
        <v>90895578.313269302</v>
      </c>
      <c r="AR155" s="8">
        <f>+MINVU_Mes_Corriente!AR155*MINVU_Mes_Constante!$AP$1</f>
        <v>90895578.313269302</v>
      </c>
      <c r="AS155" s="8">
        <f>+MINVU_Mes_Corriente!AS155*MINVU_Mes_Constante!$AP$1</f>
        <v>90895578.313269302</v>
      </c>
      <c r="AT155" s="8">
        <f>+MINVU_Mes_Corriente!AT155*MINVU_Mes_Constante!$AP$1</f>
        <v>90895578.313269302</v>
      </c>
      <c r="AU155" s="8">
        <f>+MINVU_Mes_Corriente!AU155*MINVU_Mes_Constante!$AP$1</f>
        <v>90895578.313269302</v>
      </c>
      <c r="AV155" s="8">
        <f>+MINVU_Mes_Corriente!AV155*MINVU_Mes_Constante!$AP$1</f>
        <v>90895578.313269302</v>
      </c>
      <c r="AW155" s="8">
        <f>+MINVU_Mes_Corriente!AW155*MINVU_Mes_Constante!$AP$1</f>
        <v>90895578.313269302</v>
      </c>
      <c r="AX155" s="8">
        <f>+MINVU_Mes_Corriente!AX155*MINVU_Mes_Constante!$AP$1</f>
        <v>90895578.313269302</v>
      </c>
      <c r="AY155" s="8">
        <f>+MINVU_Mes_Corriente!AY155*MINVU_Mes_Constante!$AP$1</f>
        <v>90895578.313269302</v>
      </c>
      <c r="AZ155" s="8">
        <f>+MINVU_Mes_Corriente!AZ155*MINVU_Mes_Constante!$AP$1</f>
        <v>90895578.313269302</v>
      </c>
      <c r="BA155" s="8">
        <f>+MINVU_Mes_Corriente!BA155*MINVU_Mes_Constante!$AP$1</f>
        <v>90895578.313269302</v>
      </c>
      <c r="BB155" s="9">
        <f t="shared" si="117"/>
        <v>90895578.313269302</v>
      </c>
      <c r="BC155" s="8">
        <f>+MINVU_Mes_Corriente!BC155*MINVU_Mes_Constante!$BC$1</f>
        <v>96665784.373466983</v>
      </c>
      <c r="BD155" s="8">
        <f>+MINVU_Mes_Corriente!BD155*MINVU_Mes_Constante!$BC$1</f>
        <v>96665784.373466983</v>
      </c>
      <c r="BE155" s="8">
        <f>+MINVU_Mes_Corriente!BE155*MINVU_Mes_Constante!$BC$1</f>
        <v>96665784.373466983</v>
      </c>
      <c r="BF155" s="8">
        <f>+MINVU_Mes_Corriente!BF155*MINVU_Mes_Constante!$BC$1</f>
        <v>96665784.373466983</v>
      </c>
      <c r="BG155" s="8">
        <f>+MINVU_Mes_Corriente!BG155*MINVU_Mes_Constante!$BC$1</f>
        <v>96665784.373466983</v>
      </c>
      <c r="BH155" s="8">
        <f>+MINVU_Mes_Corriente!BH155*MINVU_Mes_Constante!$BC$1</f>
        <v>96665784.373466983</v>
      </c>
      <c r="BI155" s="8">
        <f>+MINVU_Mes_Corriente!BI155*MINVU_Mes_Constante!$BC$1</f>
        <v>96665784.373466983</v>
      </c>
      <c r="BJ155" s="8">
        <f>+MINVU_Mes_Corriente!BJ155*MINVU_Mes_Constante!$BC$1</f>
        <v>96665784.373466983</v>
      </c>
      <c r="BK155" s="8">
        <f>+MINVU_Mes_Corriente!BK155*MINVU_Mes_Constante!$BC$1</f>
        <v>96665784.373466983</v>
      </c>
      <c r="BL155" s="8">
        <f>+MINVU_Mes_Corriente!BL155*MINVU_Mes_Constante!$BC$1</f>
        <v>96665784.373466983</v>
      </c>
      <c r="BM155" s="8">
        <f>+MINVU_Mes_Corriente!BM155*MINVU_Mes_Constante!$BC$1</f>
        <v>96665784.373466983</v>
      </c>
      <c r="BN155" s="8">
        <f>+MINVU_Mes_Corriente!BN155*MINVU_Mes_Constante!$BC$1</f>
        <v>96665784.373466983</v>
      </c>
      <c r="BO155" s="9">
        <f t="shared" si="118"/>
        <v>96665784.373466983</v>
      </c>
      <c r="BP155" s="8">
        <f>+MINVU_Mes_Corriente!BP155*MINVU_Mes_Constante!$BP$1</f>
        <v>81519476.367733687</v>
      </c>
      <c r="BQ155" s="8">
        <f>+MINVU_Mes_Corriente!BQ155*MINVU_Mes_Constante!$BP$1</f>
        <v>81519476.367733687</v>
      </c>
      <c r="BR155" s="8">
        <f>+MINVU_Mes_Corriente!BR155*MINVU_Mes_Constante!$BP$1</f>
        <v>81519476.367733687</v>
      </c>
      <c r="BS155" s="8">
        <f>+MINVU_Mes_Corriente!BS155*MINVU_Mes_Constante!$BP$1</f>
        <v>81519476.367733687</v>
      </c>
      <c r="BT155" s="8">
        <f>+MINVU_Mes_Corriente!BT155*MINVU_Mes_Constante!$BP$1</f>
        <v>81519476.367733687</v>
      </c>
      <c r="BU155" s="8">
        <f>+MINVU_Mes_Corriente!BU155*MINVU_Mes_Constante!$BP$1</f>
        <v>81519476.367733687</v>
      </c>
      <c r="BV155" s="8">
        <f>+MINVU_Mes_Corriente!BV155*MINVU_Mes_Constante!$BP$1</f>
        <v>81519476.367733687</v>
      </c>
      <c r="BW155" s="8">
        <f>+MINVU_Mes_Corriente!BW155*MINVU_Mes_Constante!$BP$1</f>
        <v>81519476.367733687</v>
      </c>
      <c r="BX155" s="8">
        <f>+MINVU_Mes_Corriente!BX155*MINVU_Mes_Constante!$BP$1</f>
        <v>81519476.367733687</v>
      </c>
      <c r="BY155" s="8">
        <f>+MINVU_Mes_Corriente!BY155*MINVU_Mes_Constante!$BP$1</f>
        <v>81519476.367733687</v>
      </c>
      <c r="BZ155" s="8">
        <f>+MINVU_Mes_Corriente!BZ155*MINVU_Mes_Constante!$BP$1</f>
        <v>81519476.367733687</v>
      </c>
      <c r="CA155" s="8">
        <f>+MINVU_Mes_Corriente!CA155*MINVU_Mes_Constante!$BP$1</f>
        <v>81519476.367733687</v>
      </c>
      <c r="CB155" s="9">
        <f t="shared" si="119"/>
        <v>81519476.367733687</v>
      </c>
      <c r="CC155" s="8">
        <f>+MINVU_Mes_Corriente!CC155*MINVU_Mes_Constante!$CC$1</f>
        <v>81326070.559492737</v>
      </c>
      <c r="CD155" s="8">
        <f>+MINVU_Mes_Corriente!CD155*MINVU_Mes_Constante!$CC$1</f>
        <v>81326070.559492737</v>
      </c>
      <c r="CE155" s="8">
        <f>+MINVU_Mes_Corriente!CE155*MINVU_Mes_Constante!$CC$1</f>
        <v>81326070.559492737</v>
      </c>
      <c r="CF155" s="8">
        <f>+MINVU_Mes_Corriente!CF155*MINVU_Mes_Constante!$CC$1</f>
        <v>81326070.559492737</v>
      </c>
      <c r="CG155" s="8">
        <f>+MINVU_Mes_Corriente!CG155*MINVU_Mes_Constante!$CC$1</f>
        <v>81326070.559492737</v>
      </c>
      <c r="CH155" s="8">
        <f>+MINVU_Mes_Corriente!CH155*MINVU_Mes_Constante!$CC$1</f>
        <v>81326070.559492737</v>
      </c>
      <c r="CI155" s="8">
        <f>+MINVU_Mes_Corriente!CI155*MINVU_Mes_Constante!$CC$1</f>
        <v>81326070.559492737</v>
      </c>
      <c r="CJ155" s="8">
        <f>+MINVU_Mes_Corriente!CJ155*MINVU_Mes_Constante!$CC$1</f>
        <v>81326070.559492737</v>
      </c>
      <c r="CK155" s="8">
        <f>+MINVU_Mes_Corriente!CK155*MINVU_Mes_Constante!$CC$1</f>
        <v>81326070.559492737</v>
      </c>
      <c r="CL155" s="8">
        <f>+MINVU_Mes_Corriente!CL155*MINVU_Mes_Constante!$CC$1</f>
        <v>81326070.559492737</v>
      </c>
      <c r="CM155" s="8">
        <f>+MINVU_Mes_Corriente!CM155*MINVU_Mes_Constante!$CC$1</f>
        <v>81326070.559492737</v>
      </c>
      <c r="CN155" s="8">
        <f>+MINVU_Mes_Corriente!CN155*MINVU_Mes_Constante!$CC$1</f>
        <v>81326070.559492737</v>
      </c>
      <c r="CO155" s="9">
        <f t="shared" si="120"/>
        <v>81326070.559492737</v>
      </c>
      <c r="CP155" s="8">
        <f>+MINVU_Mes_Corriente!CP155*MINVU_Mes_Constante!$CP$1</f>
        <v>82097965.267517388</v>
      </c>
      <c r="CQ155" s="8">
        <f>+MINVU_Mes_Corriente!CQ155*MINVU_Mes_Constante!$CP$1</f>
        <v>82097965.267517388</v>
      </c>
      <c r="CR155" s="8">
        <f>+MINVU_Mes_Corriente!CR155*MINVU_Mes_Constante!$CP$1</f>
        <v>82097965.267517388</v>
      </c>
      <c r="CS155" s="8">
        <f>+MINVU_Mes_Corriente!CS155*MINVU_Mes_Constante!$CP$1</f>
        <v>82097965.267517388</v>
      </c>
      <c r="CT155" s="8">
        <f>+MINVU_Mes_Corriente!CT155*MINVU_Mes_Constante!$CP$1</f>
        <v>82097965.267517388</v>
      </c>
      <c r="CU155" s="8">
        <f>+MINVU_Mes_Corriente!CU155*MINVU_Mes_Constante!$CP$1</f>
        <v>82097965.267517388</v>
      </c>
      <c r="CV155" s="8">
        <f>+MINVU_Mes_Corriente!CV155*MINVU_Mes_Constante!$CP$1</f>
        <v>82097965.267517388</v>
      </c>
      <c r="CW155" s="8">
        <f>+MINVU_Mes_Corriente!CW155*MINVU_Mes_Constante!$CP$1</f>
        <v>82097965.267517388</v>
      </c>
      <c r="CX155" s="8">
        <f>+MINVU_Mes_Corriente!CX155*MINVU_Mes_Constante!$CP$1</f>
        <v>82097965.267517388</v>
      </c>
      <c r="CY155" s="8">
        <f>+MINVU_Mes_Corriente!CY155*MINVU_Mes_Constante!$CP$1</f>
        <v>82097965.267517388</v>
      </c>
      <c r="CZ155" s="8">
        <f>+MINVU_Mes_Corriente!CZ155*MINVU_Mes_Constante!$CP$1</f>
        <v>82097965.267517388</v>
      </c>
      <c r="DA155" s="8">
        <f>+MINVU_Mes_Corriente!DA155*MINVU_Mes_Constante!$CP$1</f>
        <v>82097965.267517388</v>
      </c>
      <c r="DB155" s="9">
        <f t="shared" si="121"/>
        <v>82097965.267517388</v>
      </c>
      <c r="DC155" s="8">
        <f>+MINVU_Mes_Corriente!DC155*MINVU_Mes_Constante!$DC$1</f>
        <v>86699950.016870737</v>
      </c>
      <c r="DD155" s="8">
        <f>+MINVU_Mes_Corriente!DD155*MINVU_Mes_Constante!$DC$1</f>
        <v>86699950.016870737</v>
      </c>
      <c r="DE155" s="8">
        <f>+MINVU_Mes_Corriente!DE155*MINVU_Mes_Constante!$DC$1</f>
        <v>86699950.016870737</v>
      </c>
      <c r="DF155" s="8">
        <f>+MINVU_Mes_Corriente!DF155*MINVU_Mes_Constante!$DC$1</f>
        <v>86699950.016870737</v>
      </c>
      <c r="DG155" s="8">
        <f>+MINVU_Mes_Corriente!DG155*MINVU_Mes_Constante!$DC$1</f>
        <v>86699950.016870737</v>
      </c>
      <c r="DH155" s="8">
        <f>+MINVU_Mes_Corriente!DH155*MINVU_Mes_Constante!$DC$1</f>
        <v>86699950.016870737</v>
      </c>
      <c r="DI155" s="8">
        <f>+MINVU_Mes_Corriente!DI155*MINVU_Mes_Constante!$DC$1</f>
        <v>86699950.016870737</v>
      </c>
      <c r="DJ155" s="8">
        <f>+MINVU_Mes_Corriente!DJ155*MINVU_Mes_Constante!$DC$1</f>
        <v>86699950.016870737</v>
      </c>
      <c r="DK155" s="8">
        <f>+MINVU_Mes_Corriente!DK155*MINVU_Mes_Constante!$DC$1</f>
        <v>86699950.016870737</v>
      </c>
      <c r="DL155" s="8">
        <f>+MINVU_Mes_Corriente!DL155*MINVU_Mes_Constante!$DC$1</f>
        <v>86699950.016870737</v>
      </c>
      <c r="DM155" s="8">
        <f>+MINVU_Mes_Corriente!DM155*MINVU_Mes_Constante!$DC$1</f>
        <v>86699950.016870737</v>
      </c>
      <c r="DN155" s="8">
        <f>+MINVU_Mes_Corriente!DN155*MINVU_Mes_Constante!$DC$1</f>
        <v>86699950.016870737</v>
      </c>
      <c r="DO155" s="9">
        <f t="shared" si="122"/>
        <v>86699950.016870737</v>
      </c>
      <c r="DP155" s="8">
        <f>+MINVU_Mes_Corriente!DP155*MINVU_Mes_Constante!$DP$1</f>
        <v>141111021.24762473</v>
      </c>
      <c r="DQ155" s="8">
        <f>+MINVU_Mes_Corriente!DQ155*MINVU_Mes_Constante!$DP$1</f>
        <v>141111021.24762473</v>
      </c>
      <c r="DR155" s="8">
        <f>+MINVU_Mes_Corriente!DR155*MINVU_Mes_Constante!$DP$1</f>
        <v>141111021.24762473</v>
      </c>
      <c r="DS155" s="8">
        <f>+MINVU_Mes_Corriente!DS155*MINVU_Mes_Constante!$DP$1</f>
        <v>141111021.24762473</v>
      </c>
      <c r="DT155" s="8">
        <f>+MINVU_Mes_Corriente!DT155*MINVU_Mes_Constante!$DP$1</f>
        <v>141111021.24762473</v>
      </c>
      <c r="DU155" s="8">
        <f>+MINVU_Mes_Corriente!DU155*MINVU_Mes_Constante!$DP$1</f>
        <v>141111021.24762473</v>
      </c>
      <c r="DV155" s="8">
        <f>+MINVU_Mes_Corriente!DV155*MINVU_Mes_Constante!$DP$1</f>
        <v>141111021.24762473</v>
      </c>
      <c r="DW155" s="8">
        <f>+MINVU_Mes_Corriente!DW155*MINVU_Mes_Constante!$DP$1</f>
        <v>141111021.24762473</v>
      </c>
      <c r="DX155" s="8">
        <f>+MINVU_Mes_Corriente!DX155*MINVU_Mes_Constante!$DP$1</f>
        <v>141111021.24762473</v>
      </c>
      <c r="DY155" s="8">
        <f>+MINVU_Mes_Corriente!DY155*MINVU_Mes_Constante!$DP$1</f>
        <v>141111021.24762473</v>
      </c>
      <c r="DZ155" s="8">
        <f>+MINVU_Mes_Corriente!DZ155*MINVU_Mes_Constante!$DP$1</f>
        <v>141111021.24762473</v>
      </c>
      <c r="EA155" s="8">
        <f>+MINVU_Mes_Corriente!EA155*MINVU_Mes_Constante!$DP$1</f>
        <v>141111021.24762473</v>
      </c>
      <c r="EB155" s="9">
        <f t="shared" si="123"/>
        <v>141111021.24762473</v>
      </c>
      <c r="EC155" s="8">
        <f>+MINVU_Mes_Corriente!EC155*MINVU_Mes_Constante!$EC$1</f>
        <v>169818451.53095999</v>
      </c>
      <c r="ED155" s="8">
        <f>+MINVU_Mes_Corriente!ED155*MINVU_Mes_Constante!$EC$1</f>
        <v>169818451.53095999</v>
      </c>
      <c r="EE155" s="8">
        <f>+MINVU_Mes_Corriente!EE155*MINVU_Mes_Constante!$EC$1</f>
        <v>169818451.53095999</v>
      </c>
      <c r="EF155" s="8">
        <f>+MINVU_Mes_Corriente!EF155*MINVU_Mes_Constante!$EC$1</f>
        <v>169818451.53095999</v>
      </c>
      <c r="EG155" s="8">
        <f>+MINVU_Mes_Corriente!EG155*MINVU_Mes_Constante!$EC$1</f>
        <v>169818451.53095999</v>
      </c>
      <c r="EH155" s="8">
        <f>+MINVU_Mes_Corriente!EH155*MINVU_Mes_Constante!$EC$1</f>
        <v>169818451.53095999</v>
      </c>
      <c r="EI155" s="8">
        <f>+MINVU_Mes_Corriente!EI155*MINVU_Mes_Constante!$EC$1</f>
        <v>169818451.53095999</v>
      </c>
      <c r="EJ155" s="8">
        <f>+MINVU_Mes_Corriente!EJ155*MINVU_Mes_Constante!$EC$1</f>
        <v>169818451.53095999</v>
      </c>
      <c r="EK155" s="8">
        <f>+MINVU_Mes_Corriente!EK155*MINVU_Mes_Constante!$EC$1</f>
        <v>169818451.53095999</v>
      </c>
      <c r="EL155" s="8">
        <f>+MINVU_Mes_Corriente!EL155*MINVU_Mes_Constante!$EC$1</f>
        <v>169818451.53095999</v>
      </c>
      <c r="EM155" s="8">
        <f>+MINVU_Mes_Corriente!EM155*MINVU_Mes_Constante!$EC$1</f>
        <v>169818451.53095999</v>
      </c>
      <c r="EN155" s="8">
        <f>+MINVU_Mes_Corriente!EN155*MINVU_Mes_Constante!$EC$1</f>
        <v>169818451.53095999</v>
      </c>
      <c r="EO155" s="9">
        <f t="shared" si="124"/>
        <v>169818451.53095999</v>
      </c>
      <c r="EP155" s="8">
        <f>+MINVU_Mes_Corriente!EP155*MINVU_Mes_Constante!$EP$1</f>
        <v>192275210</v>
      </c>
      <c r="EQ155" s="8">
        <f>+MINVU_Mes_Corriente!EQ155*MINVU_Mes_Constante!$EP$1</f>
        <v>192275210</v>
      </c>
      <c r="ER155" s="8">
        <f>+MINVU_Mes_Corriente!ER155*MINVU_Mes_Constante!$EP$1</f>
        <v>192275210</v>
      </c>
      <c r="ES155" s="8">
        <f>+MINVU_Mes_Corriente!ES155*MINVU_Mes_Constante!$EP$1</f>
        <v>192275210</v>
      </c>
      <c r="ET155" s="8">
        <f>+MINVU_Mes_Corriente!ET155*MINVU_Mes_Constante!$EP$1</f>
        <v>192275210</v>
      </c>
      <c r="EU155" s="8">
        <f>+MINVU_Mes_Corriente!EU155*MINVU_Mes_Constante!$EP$1</f>
        <v>192275210</v>
      </c>
      <c r="EV155" s="8">
        <f>+MINVU_Mes_Corriente!EV155*MINVU_Mes_Constante!$EP$1</f>
        <v>192275210</v>
      </c>
      <c r="EW155" s="8">
        <f>+MINVU_Mes_Corriente!EW155*MINVU_Mes_Constante!$EP$1</f>
        <v>192275210</v>
      </c>
      <c r="EX155" s="8">
        <f>+MINVU_Mes_Corriente!EX155*MINVU_Mes_Constante!$EP$1</f>
        <v>192275210</v>
      </c>
      <c r="EY155" s="8">
        <f>+MINVU_Mes_Corriente!EY155*MINVU_Mes_Constante!$EP$1</f>
        <v>192275210</v>
      </c>
      <c r="EZ155" s="8">
        <f>+MINVU_Mes_Corriente!EZ155*MINVU_Mes_Constante!$EP$1</f>
        <v>192275210</v>
      </c>
      <c r="FA155" s="8">
        <f>+MINVU_Mes_Corriente!FA155*MINVU_Mes_Constante!$EP$1</f>
        <v>192275210</v>
      </c>
      <c r="FB155" s="9">
        <f t="shared" si="125"/>
        <v>192275210</v>
      </c>
      <c r="FC155" s="8">
        <f>+MINVU_Mes_Corriente!FC155*MINVU_Mes_Constante!$FC$1</f>
        <v>196116811</v>
      </c>
      <c r="FD155" s="8">
        <f>+MINVU_Mes_Corriente!FD155*MINVU_Mes_Constante!$FC$1</f>
        <v>196116811</v>
      </c>
      <c r="FE155" s="8">
        <f>+MINVU_Mes_Corriente!FE155*MINVU_Mes_Constante!$FC$1</f>
        <v>196116811</v>
      </c>
      <c r="FF155" s="8">
        <f>+MINVU_Mes_Corriente!FF155*MINVU_Mes_Constante!$FC$1</f>
        <v>196116811</v>
      </c>
      <c r="FG155" s="8">
        <f>+MINVU_Mes_Corriente!FG155*MINVU_Mes_Constante!$FC$1</f>
        <v>196116811</v>
      </c>
      <c r="FH155" s="8">
        <f>+MINVU_Mes_Corriente!FH155*MINVU_Mes_Constante!$FC$1</f>
        <v>196116811</v>
      </c>
      <c r="FI155" s="8">
        <f>+MINVU_Mes_Corriente!FI155*MINVU_Mes_Constante!$FC$1</f>
        <v>196116811</v>
      </c>
      <c r="FJ155" s="8"/>
      <c r="FK155" s="8"/>
      <c r="FL155" s="8"/>
      <c r="FM155" s="8"/>
      <c r="FN155" s="8"/>
      <c r="FO155" s="9">
        <f t="shared" si="126"/>
        <v>196116811</v>
      </c>
    </row>
    <row r="156" spans="2:171" ht="14.25" customHeight="1" x14ac:dyDescent="0.3">
      <c r="B156" s="7" t="s">
        <v>53</v>
      </c>
      <c r="C156" s="8">
        <f>+MINVU_Mes_Corriente!C156*MINVU_Mes_Constante!$C$1</f>
        <v>127886632.80943203</v>
      </c>
      <c r="D156" s="8">
        <f>+MINVU_Mes_Corriente!D156*MINVU_Mes_Constante!$C$1</f>
        <v>127886632.80943203</v>
      </c>
      <c r="E156" s="8">
        <f>+MINVU_Mes_Corriente!E156*MINVU_Mes_Constante!$C$1</f>
        <v>127886632.80943203</v>
      </c>
      <c r="F156" s="8">
        <f>+MINVU_Mes_Corriente!F156*MINVU_Mes_Constante!$C$1</f>
        <v>127886632.80943203</v>
      </c>
      <c r="G156" s="8">
        <f>+MINVU_Mes_Corriente!G156*MINVU_Mes_Constante!$C$1</f>
        <v>127886632.80943203</v>
      </c>
      <c r="H156" s="8">
        <f>+MINVU_Mes_Corriente!H156*MINVU_Mes_Constante!$C$1</f>
        <v>127886632.80943203</v>
      </c>
      <c r="I156" s="8">
        <f>+MINVU_Mes_Corriente!I156*MINVU_Mes_Constante!$C$1</f>
        <v>127886632.80943203</v>
      </c>
      <c r="J156" s="8">
        <f>+MINVU_Mes_Corriente!J156*MINVU_Mes_Constante!$C$1</f>
        <v>127886632.80943203</v>
      </c>
      <c r="K156" s="8">
        <f>+MINVU_Mes_Corriente!K156*MINVU_Mes_Constante!$C$1</f>
        <v>127886632.80943203</v>
      </c>
      <c r="L156" s="8">
        <f>+MINVU_Mes_Corriente!L156*MINVU_Mes_Constante!$C$1</f>
        <v>127886632.80943203</v>
      </c>
      <c r="M156" s="8">
        <f>+MINVU_Mes_Corriente!M156*MINVU_Mes_Constante!$C$1</f>
        <v>127886632.80943203</v>
      </c>
      <c r="N156" s="8">
        <f>+MINVU_Mes_Corriente!N156*MINVU_Mes_Constante!$C$1</f>
        <v>127886632.80943203</v>
      </c>
      <c r="O156" s="9">
        <f t="shared" si="114"/>
        <v>127886632.80943203</v>
      </c>
      <c r="P156" s="8">
        <f>+MINVU_Mes_Corriente!P156*MINVU_Mes_Constante!$P$1</f>
        <v>131785536.13382578</v>
      </c>
      <c r="Q156" s="8">
        <f>+MINVU_Mes_Corriente!Q156*MINVU_Mes_Constante!$P$1</f>
        <v>131785536.13382578</v>
      </c>
      <c r="R156" s="8">
        <f>+MINVU_Mes_Corriente!R156*MINVU_Mes_Constante!$P$1</f>
        <v>131785536.13382578</v>
      </c>
      <c r="S156" s="8">
        <f>+MINVU_Mes_Corriente!S156*MINVU_Mes_Constante!$P$1</f>
        <v>131785536.13382578</v>
      </c>
      <c r="T156" s="8">
        <f>+MINVU_Mes_Corriente!T156*MINVU_Mes_Constante!$P$1</f>
        <v>131785536.13382578</v>
      </c>
      <c r="U156" s="8">
        <f>+MINVU_Mes_Corriente!U156*MINVU_Mes_Constante!$P$1</f>
        <v>131785536.13382578</v>
      </c>
      <c r="V156" s="8">
        <f>+MINVU_Mes_Corriente!V156*MINVU_Mes_Constante!$P$1</f>
        <v>131785536.13382578</v>
      </c>
      <c r="W156" s="8">
        <f>+MINVU_Mes_Corriente!W156*MINVU_Mes_Constante!$P$1</f>
        <v>131785536.13382578</v>
      </c>
      <c r="X156" s="8">
        <f>+MINVU_Mes_Corriente!X156*MINVU_Mes_Constante!$P$1</f>
        <v>131785536.13382578</v>
      </c>
      <c r="Y156" s="8">
        <f>+MINVU_Mes_Corriente!Y156*MINVU_Mes_Constante!$P$1</f>
        <v>131785536.13382578</v>
      </c>
      <c r="Z156" s="8">
        <f>+MINVU_Mes_Corriente!Z156*MINVU_Mes_Constante!$P$1</f>
        <v>131785536.13382578</v>
      </c>
      <c r="AA156" s="8">
        <f>+MINVU_Mes_Corriente!AA156*MINVU_Mes_Constante!$P$1</f>
        <v>131785536.13382578</v>
      </c>
      <c r="AB156" s="9">
        <f t="shared" si="115"/>
        <v>131785536.13382578</v>
      </c>
      <c r="AC156" s="8">
        <f>+MINVU_Mes_Corriente!AC156*MINVU_Mes_Constante!$AC$1</f>
        <v>164104697.63812423</v>
      </c>
      <c r="AD156" s="8">
        <f>+MINVU_Mes_Corriente!AD156*MINVU_Mes_Constante!$AC$1</f>
        <v>164104697.63812423</v>
      </c>
      <c r="AE156" s="8">
        <f>+MINVU_Mes_Corriente!AE156*MINVU_Mes_Constante!$AC$1</f>
        <v>164104697.63812423</v>
      </c>
      <c r="AF156" s="8">
        <f>+MINVU_Mes_Corriente!AF156*MINVU_Mes_Constante!$AC$1</f>
        <v>164104697.63812423</v>
      </c>
      <c r="AG156" s="8">
        <f>+MINVU_Mes_Corriente!AG156*MINVU_Mes_Constante!$AC$1</f>
        <v>164104697.63812423</v>
      </c>
      <c r="AH156" s="8">
        <f>+MINVU_Mes_Corriente!AH156*MINVU_Mes_Constante!$AC$1</f>
        <v>164104697.63812423</v>
      </c>
      <c r="AI156" s="8">
        <f>+MINVU_Mes_Corriente!AI156*MINVU_Mes_Constante!$AC$1</f>
        <v>164104697.63812423</v>
      </c>
      <c r="AJ156" s="8">
        <f>+MINVU_Mes_Corriente!AJ156*MINVU_Mes_Constante!$AC$1</f>
        <v>164104697.63812423</v>
      </c>
      <c r="AK156" s="8">
        <f>+MINVU_Mes_Corriente!AK156*MINVU_Mes_Constante!$AC$1</f>
        <v>164104697.63812423</v>
      </c>
      <c r="AL156" s="8">
        <f>+MINVU_Mes_Corriente!AL156*MINVU_Mes_Constante!$AC$1</f>
        <v>164104697.63812423</v>
      </c>
      <c r="AM156" s="8">
        <f>+MINVU_Mes_Corriente!AM156*MINVU_Mes_Constante!$AC$1</f>
        <v>164104697.63812423</v>
      </c>
      <c r="AN156" s="8">
        <f>+MINVU_Mes_Corriente!AN156*MINVU_Mes_Constante!$AC$1</f>
        <v>164104697.63812423</v>
      </c>
      <c r="AO156" s="9">
        <f t="shared" si="116"/>
        <v>164104697.63812423</v>
      </c>
      <c r="AP156" s="8">
        <f>+MINVU_Mes_Corriente!AP156*MINVU_Mes_Constante!$AP$1</f>
        <v>164293481.67699173</v>
      </c>
      <c r="AQ156" s="8">
        <f>+MINVU_Mes_Corriente!AQ156*MINVU_Mes_Constante!$AP$1</f>
        <v>164293481.67699173</v>
      </c>
      <c r="AR156" s="8">
        <f>+MINVU_Mes_Corriente!AR156*MINVU_Mes_Constante!$AP$1</f>
        <v>164293481.67699173</v>
      </c>
      <c r="AS156" s="8">
        <f>+MINVU_Mes_Corriente!AS156*MINVU_Mes_Constante!$AP$1</f>
        <v>164293481.67699173</v>
      </c>
      <c r="AT156" s="8">
        <f>+MINVU_Mes_Corriente!AT156*MINVU_Mes_Constante!$AP$1</f>
        <v>164293481.67699173</v>
      </c>
      <c r="AU156" s="8">
        <f>+MINVU_Mes_Corriente!AU156*MINVU_Mes_Constante!$AP$1</f>
        <v>164293481.67699173</v>
      </c>
      <c r="AV156" s="8">
        <f>+MINVU_Mes_Corriente!AV156*MINVU_Mes_Constante!$AP$1</f>
        <v>164293481.67699173</v>
      </c>
      <c r="AW156" s="8">
        <f>+MINVU_Mes_Corriente!AW156*MINVU_Mes_Constante!$AP$1</f>
        <v>164293481.67699173</v>
      </c>
      <c r="AX156" s="8">
        <f>+MINVU_Mes_Corriente!AX156*MINVU_Mes_Constante!$AP$1</f>
        <v>164293481.67699173</v>
      </c>
      <c r="AY156" s="8">
        <f>+MINVU_Mes_Corriente!AY156*MINVU_Mes_Constante!$AP$1</f>
        <v>164293481.67699173</v>
      </c>
      <c r="AZ156" s="8">
        <f>+MINVU_Mes_Corriente!AZ156*MINVU_Mes_Constante!$AP$1</f>
        <v>164293481.67699173</v>
      </c>
      <c r="BA156" s="8">
        <f>+MINVU_Mes_Corriente!BA156*MINVU_Mes_Constante!$AP$1</f>
        <v>164293481.67699173</v>
      </c>
      <c r="BB156" s="9">
        <f t="shared" si="117"/>
        <v>164293481.67699173</v>
      </c>
      <c r="BC156" s="8">
        <f>+MINVU_Mes_Corriente!BC156*MINVU_Mes_Constante!$BC$1</f>
        <v>143863389.80350789</v>
      </c>
      <c r="BD156" s="8">
        <f>+MINVU_Mes_Corriente!BD156*MINVU_Mes_Constante!$BC$1</f>
        <v>143863389.80350789</v>
      </c>
      <c r="BE156" s="8">
        <f>+MINVU_Mes_Corriente!BE156*MINVU_Mes_Constante!$BC$1</f>
        <v>143863389.80350789</v>
      </c>
      <c r="BF156" s="8">
        <f>+MINVU_Mes_Corriente!BF156*MINVU_Mes_Constante!$BC$1</f>
        <v>143863389.80350789</v>
      </c>
      <c r="BG156" s="8">
        <f>+MINVU_Mes_Corriente!BG156*MINVU_Mes_Constante!$BC$1</f>
        <v>143863389.80350789</v>
      </c>
      <c r="BH156" s="8">
        <f>+MINVU_Mes_Corriente!BH156*MINVU_Mes_Constante!$BC$1</f>
        <v>143863389.80350789</v>
      </c>
      <c r="BI156" s="8">
        <f>+MINVU_Mes_Corriente!BI156*MINVU_Mes_Constante!$BC$1</f>
        <v>143863389.80350789</v>
      </c>
      <c r="BJ156" s="8">
        <f>+MINVU_Mes_Corriente!BJ156*MINVU_Mes_Constante!$BC$1</f>
        <v>143863389.80350789</v>
      </c>
      <c r="BK156" s="8">
        <f>+MINVU_Mes_Corriente!BK156*MINVU_Mes_Constante!$BC$1</f>
        <v>143863389.80350789</v>
      </c>
      <c r="BL156" s="8">
        <f>+MINVU_Mes_Corriente!BL156*MINVU_Mes_Constante!$BC$1</f>
        <v>143863389.80350789</v>
      </c>
      <c r="BM156" s="8">
        <f>+MINVU_Mes_Corriente!BM156*MINVU_Mes_Constante!$BC$1</f>
        <v>143863389.80350789</v>
      </c>
      <c r="BN156" s="8">
        <f>+MINVU_Mes_Corriente!BN156*MINVU_Mes_Constante!$BC$1</f>
        <v>143863389.80350789</v>
      </c>
      <c r="BO156" s="9">
        <f t="shared" si="118"/>
        <v>143863389.80350789</v>
      </c>
      <c r="BP156" s="8">
        <f>+MINVU_Mes_Corriente!BP156*MINVU_Mes_Constante!$BP$1</f>
        <v>164564439.17669657</v>
      </c>
      <c r="BQ156" s="8">
        <f>+MINVU_Mes_Corriente!BQ156*MINVU_Mes_Constante!$BP$1</f>
        <v>164564439.17669657</v>
      </c>
      <c r="BR156" s="8">
        <f>+MINVU_Mes_Corriente!BR156*MINVU_Mes_Constante!$BP$1</f>
        <v>164564439.17669657</v>
      </c>
      <c r="BS156" s="8">
        <f>+MINVU_Mes_Corriente!BS156*MINVU_Mes_Constante!$BP$1</f>
        <v>164564439.17669657</v>
      </c>
      <c r="BT156" s="8">
        <f>+MINVU_Mes_Corriente!BT156*MINVU_Mes_Constante!$BP$1</f>
        <v>164564439.17669657</v>
      </c>
      <c r="BU156" s="8">
        <f>+MINVU_Mes_Corriente!BU156*MINVU_Mes_Constante!$BP$1</f>
        <v>164564439.17669657</v>
      </c>
      <c r="BV156" s="8">
        <f>+MINVU_Mes_Corriente!BV156*MINVU_Mes_Constante!$BP$1</f>
        <v>164564439.17669657</v>
      </c>
      <c r="BW156" s="8">
        <f>+MINVU_Mes_Corriente!BW156*MINVU_Mes_Constante!$BP$1</f>
        <v>164564439.17669657</v>
      </c>
      <c r="BX156" s="8">
        <f>+MINVU_Mes_Corriente!BX156*MINVU_Mes_Constante!$BP$1</f>
        <v>164564439.17669657</v>
      </c>
      <c r="BY156" s="8">
        <f>+MINVU_Mes_Corriente!BY156*MINVU_Mes_Constante!$BP$1</f>
        <v>164564439.17669657</v>
      </c>
      <c r="BZ156" s="8">
        <f>+MINVU_Mes_Corriente!BZ156*MINVU_Mes_Constante!$BP$1</f>
        <v>164564439.17669657</v>
      </c>
      <c r="CA156" s="8">
        <f>+MINVU_Mes_Corriente!CA156*MINVU_Mes_Constante!$BP$1</f>
        <v>164564439.17669657</v>
      </c>
      <c r="CB156" s="9">
        <f t="shared" si="119"/>
        <v>164564439.17669657</v>
      </c>
      <c r="CC156" s="8">
        <f>+MINVU_Mes_Corriente!CC156*MINVU_Mes_Constante!$CC$1</f>
        <v>164138961.46885493</v>
      </c>
      <c r="CD156" s="8">
        <f>+MINVU_Mes_Corriente!CD156*MINVU_Mes_Constante!$CC$1</f>
        <v>164138961.46885493</v>
      </c>
      <c r="CE156" s="8">
        <f>+MINVU_Mes_Corriente!CE156*MINVU_Mes_Constante!$CC$1</f>
        <v>164138961.46885493</v>
      </c>
      <c r="CF156" s="8">
        <f>+MINVU_Mes_Corriente!CF156*MINVU_Mes_Constante!$CC$1</f>
        <v>164138961.46885493</v>
      </c>
      <c r="CG156" s="8">
        <f>+MINVU_Mes_Corriente!CG156*MINVU_Mes_Constante!$CC$1</f>
        <v>164138961.46885493</v>
      </c>
      <c r="CH156" s="8">
        <f>+MINVU_Mes_Corriente!CH156*MINVU_Mes_Constante!$CC$1</f>
        <v>164138961.46885493</v>
      </c>
      <c r="CI156" s="8">
        <f>+MINVU_Mes_Corriente!CI156*MINVU_Mes_Constante!$CC$1</f>
        <v>164138961.46885493</v>
      </c>
      <c r="CJ156" s="8">
        <f>+MINVU_Mes_Corriente!CJ156*MINVU_Mes_Constante!$CC$1</f>
        <v>164138961.46885493</v>
      </c>
      <c r="CK156" s="8">
        <f>+MINVU_Mes_Corriente!CK156*MINVU_Mes_Constante!$CC$1</f>
        <v>164138961.46885493</v>
      </c>
      <c r="CL156" s="8">
        <f>+MINVU_Mes_Corriente!CL156*MINVU_Mes_Constante!$CC$1</f>
        <v>164138961.46885493</v>
      </c>
      <c r="CM156" s="8">
        <f>+MINVU_Mes_Corriente!CM156*MINVU_Mes_Constante!$CC$1</f>
        <v>164138961.46885493</v>
      </c>
      <c r="CN156" s="8">
        <f>+MINVU_Mes_Corriente!CN156*MINVU_Mes_Constante!$CC$1</f>
        <v>164138961.46885493</v>
      </c>
      <c r="CO156" s="9">
        <f t="shared" si="120"/>
        <v>164138961.46885493</v>
      </c>
      <c r="CP156" s="8">
        <f>+MINVU_Mes_Corriente!CP156*MINVU_Mes_Constante!$CP$1</f>
        <v>164186768.91925752</v>
      </c>
      <c r="CQ156" s="8">
        <f>+MINVU_Mes_Corriente!CQ156*MINVU_Mes_Constante!$CP$1</f>
        <v>164186768.91925752</v>
      </c>
      <c r="CR156" s="8">
        <f>+MINVU_Mes_Corriente!CR156*MINVU_Mes_Constante!$CP$1</f>
        <v>164186768.91925752</v>
      </c>
      <c r="CS156" s="8">
        <f>+MINVU_Mes_Corriente!CS156*MINVU_Mes_Constante!$CP$1</f>
        <v>164186768.91925752</v>
      </c>
      <c r="CT156" s="8">
        <f>+MINVU_Mes_Corriente!CT156*MINVU_Mes_Constante!$CP$1</f>
        <v>164186768.91925752</v>
      </c>
      <c r="CU156" s="8">
        <f>+MINVU_Mes_Corriente!CU156*MINVU_Mes_Constante!$CP$1</f>
        <v>164186768.91925752</v>
      </c>
      <c r="CV156" s="8">
        <f>+MINVU_Mes_Corriente!CV156*MINVU_Mes_Constante!$CP$1</f>
        <v>164186768.91925752</v>
      </c>
      <c r="CW156" s="8">
        <f>+MINVU_Mes_Corriente!CW156*MINVU_Mes_Constante!$CP$1</f>
        <v>164186768.91925752</v>
      </c>
      <c r="CX156" s="8">
        <f>+MINVU_Mes_Corriente!CX156*MINVU_Mes_Constante!$CP$1</f>
        <v>164186768.91925752</v>
      </c>
      <c r="CY156" s="8">
        <f>+MINVU_Mes_Corriente!CY156*MINVU_Mes_Constante!$CP$1</f>
        <v>164186768.91925752</v>
      </c>
      <c r="CZ156" s="8">
        <f>+MINVU_Mes_Corriente!CZ156*MINVU_Mes_Constante!$CP$1</f>
        <v>164186768.91925752</v>
      </c>
      <c r="DA156" s="8">
        <f>+MINVU_Mes_Corriente!DA156*MINVU_Mes_Constante!$CP$1</f>
        <v>164186768.91925752</v>
      </c>
      <c r="DB156" s="9">
        <f t="shared" si="121"/>
        <v>164186768.91925752</v>
      </c>
      <c r="DC156" s="8">
        <f>+MINVU_Mes_Corriente!DC156*MINVU_Mes_Constante!$DC$1</f>
        <v>163796364.14628133</v>
      </c>
      <c r="DD156" s="8">
        <f>+MINVU_Mes_Corriente!DD156*MINVU_Mes_Constante!$DC$1</f>
        <v>163796364.14628133</v>
      </c>
      <c r="DE156" s="8">
        <f>+MINVU_Mes_Corriente!DE156*MINVU_Mes_Constante!$DC$1</f>
        <v>163796364.14628133</v>
      </c>
      <c r="DF156" s="8">
        <f>+MINVU_Mes_Corriente!DF156*MINVU_Mes_Constante!$DC$1</f>
        <v>163796364.14628133</v>
      </c>
      <c r="DG156" s="8">
        <f>+MINVU_Mes_Corriente!DG156*MINVU_Mes_Constante!$DC$1</f>
        <v>163796364.14628133</v>
      </c>
      <c r="DH156" s="8">
        <f>+MINVU_Mes_Corriente!DH156*MINVU_Mes_Constante!$DC$1</f>
        <v>163796364.14628133</v>
      </c>
      <c r="DI156" s="8">
        <f>+MINVU_Mes_Corriente!DI156*MINVU_Mes_Constante!$DC$1</f>
        <v>163796364.14628133</v>
      </c>
      <c r="DJ156" s="8">
        <f>+MINVU_Mes_Corriente!DJ156*MINVU_Mes_Constante!$DC$1</f>
        <v>163796364.14628133</v>
      </c>
      <c r="DK156" s="8">
        <f>+MINVU_Mes_Corriente!DK156*MINVU_Mes_Constante!$DC$1</f>
        <v>163796364.14628133</v>
      </c>
      <c r="DL156" s="8">
        <f>+MINVU_Mes_Corriente!DL156*MINVU_Mes_Constante!$DC$1</f>
        <v>163796364.14628133</v>
      </c>
      <c r="DM156" s="8">
        <f>+MINVU_Mes_Corriente!DM156*MINVU_Mes_Constante!$DC$1</f>
        <v>163796364.14628133</v>
      </c>
      <c r="DN156" s="8">
        <f>+MINVU_Mes_Corriente!DN156*MINVU_Mes_Constante!$DC$1</f>
        <v>163796364.14628133</v>
      </c>
      <c r="DO156" s="9">
        <f t="shared" si="122"/>
        <v>163796364.14628133</v>
      </c>
      <c r="DP156" s="8">
        <f>+MINVU_Mes_Corriente!DP156*MINVU_Mes_Constante!$DP$1</f>
        <v>189924869.44061759</v>
      </c>
      <c r="DQ156" s="8">
        <f>+MINVU_Mes_Corriente!DQ156*MINVU_Mes_Constante!$DP$1</f>
        <v>189924869.44061759</v>
      </c>
      <c r="DR156" s="8">
        <f>+MINVU_Mes_Corriente!DR156*MINVU_Mes_Constante!$DP$1</f>
        <v>189924869.44061759</v>
      </c>
      <c r="DS156" s="8">
        <f>+MINVU_Mes_Corriente!DS156*MINVU_Mes_Constante!$DP$1</f>
        <v>189924869.44061759</v>
      </c>
      <c r="DT156" s="8">
        <f>+MINVU_Mes_Corriente!DT156*MINVU_Mes_Constante!$DP$1</f>
        <v>189924869.44061759</v>
      </c>
      <c r="DU156" s="8">
        <f>+MINVU_Mes_Corriente!DU156*MINVU_Mes_Constante!$DP$1</f>
        <v>189924869.44061759</v>
      </c>
      <c r="DV156" s="8">
        <f>+MINVU_Mes_Corriente!DV156*MINVU_Mes_Constante!$DP$1</f>
        <v>189924869.44061759</v>
      </c>
      <c r="DW156" s="8">
        <f>+MINVU_Mes_Corriente!DW156*MINVU_Mes_Constante!$DP$1</f>
        <v>189924869.44061759</v>
      </c>
      <c r="DX156" s="8">
        <f>+MINVU_Mes_Corriente!DX156*MINVU_Mes_Constante!$DP$1</f>
        <v>189924869.44061759</v>
      </c>
      <c r="DY156" s="8">
        <f>+MINVU_Mes_Corriente!DY156*MINVU_Mes_Constante!$DP$1</f>
        <v>189924869.44061759</v>
      </c>
      <c r="DZ156" s="8">
        <f>+MINVU_Mes_Corriente!DZ156*MINVU_Mes_Constante!$DP$1</f>
        <v>189924869.44061759</v>
      </c>
      <c r="EA156" s="8">
        <f>+MINVU_Mes_Corriente!EA156*MINVU_Mes_Constante!$DP$1</f>
        <v>189924869.44061759</v>
      </c>
      <c r="EB156" s="9">
        <f t="shared" si="123"/>
        <v>189924869.44061759</v>
      </c>
      <c r="EC156" s="8">
        <f>+MINVU_Mes_Corriente!EC156*MINVU_Mes_Constante!$EC$1</f>
        <v>197547191.2825222</v>
      </c>
      <c r="ED156" s="8">
        <f>+MINVU_Mes_Corriente!ED156*MINVU_Mes_Constante!$EC$1</f>
        <v>197547191.2825222</v>
      </c>
      <c r="EE156" s="8">
        <f>+MINVU_Mes_Corriente!EE156*MINVU_Mes_Constante!$EC$1</f>
        <v>197547191.2825222</v>
      </c>
      <c r="EF156" s="8">
        <f>+MINVU_Mes_Corriente!EF156*MINVU_Mes_Constante!$EC$1</f>
        <v>197547191.2825222</v>
      </c>
      <c r="EG156" s="8">
        <f>+MINVU_Mes_Corriente!EG156*MINVU_Mes_Constante!$EC$1</f>
        <v>197547191.2825222</v>
      </c>
      <c r="EH156" s="8">
        <f>+MINVU_Mes_Corriente!EH156*MINVU_Mes_Constante!$EC$1</f>
        <v>197547191.2825222</v>
      </c>
      <c r="EI156" s="8">
        <f>+MINVU_Mes_Corriente!EI156*MINVU_Mes_Constante!$EC$1</f>
        <v>197547191.2825222</v>
      </c>
      <c r="EJ156" s="8">
        <f>+MINVU_Mes_Corriente!EJ156*MINVU_Mes_Constante!$EC$1</f>
        <v>197547191.2825222</v>
      </c>
      <c r="EK156" s="8">
        <f>+MINVU_Mes_Corriente!EK156*MINVU_Mes_Constante!$EC$1</f>
        <v>197547191.2825222</v>
      </c>
      <c r="EL156" s="8">
        <f>+MINVU_Mes_Corriente!EL156*MINVU_Mes_Constante!$EC$1</f>
        <v>197547191.2825222</v>
      </c>
      <c r="EM156" s="8">
        <f>+MINVU_Mes_Corriente!EM156*MINVU_Mes_Constante!$EC$1</f>
        <v>197547191.2825222</v>
      </c>
      <c r="EN156" s="8">
        <f>+MINVU_Mes_Corriente!EN156*MINVU_Mes_Constante!$EC$1</f>
        <v>197547191.2825222</v>
      </c>
      <c r="EO156" s="9">
        <f t="shared" si="124"/>
        <v>197547191.2825222</v>
      </c>
      <c r="EP156" s="8">
        <f>+MINVU_Mes_Corriente!EP156*MINVU_Mes_Constante!$EP$1</f>
        <v>263292274</v>
      </c>
      <c r="EQ156" s="8">
        <f>+MINVU_Mes_Corriente!EQ156*MINVU_Mes_Constante!$EP$1</f>
        <v>263292274</v>
      </c>
      <c r="ER156" s="8">
        <f>+MINVU_Mes_Corriente!ER156*MINVU_Mes_Constante!$EP$1</f>
        <v>263292274</v>
      </c>
      <c r="ES156" s="8">
        <f>+MINVU_Mes_Corriente!ES156*MINVU_Mes_Constante!$EP$1</f>
        <v>263292274</v>
      </c>
      <c r="ET156" s="8">
        <f>+MINVU_Mes_Corriente!ET156*MINVU_Mes_Constante!$EP$1</f>
        <v>263292274</v>
      </c>
      <c r="EU156" s="8">
        <f>+MINVU_Mes_Corriente!EU156*MINVU_Mes_Constante!$EP$1</f>
        <v>263292274</v>
      </c>
      <c r="EV156" s="8">
        <f>+MINVU_Mes_Corriente!EV156*MINVU_Mes_Constante!$EP$1</f>
        <v>263292274</v>
      </c>
      <c r="EW156" s="8">
        <f>+MINVU_Mes_Corriente!EW156*MINVU_Mes_Constante!$EP$1</f>
        <v>263292274</v>
      </c>
      <c r="EX156" s="8">
        <f>+MINVU_Mes_Corriente!EX156*MINVU_Mes_Constante!$EP$1</f>
        <v>263292274</v>
      </c>
      <c r="EY156" s="8">
        <f>+MINVU_Mes_Corriente!EY156*MINVU_Mes_Constante!$EP$1</f>
        <v>263292274</v>
      </c>
      <c r="EZ156" s="8">
        <f>+MINVU_Mes_Corriente!EZ156*MINVU_Mes_Constante!$EP$1</f>
        <v>263292274</v>
      </c>
      <c r="FA156" s="8">
        <f>+MINVU_Mes_Corriente!FA156*MINVU_Mes_Constante!$EP$1</f>
        <v>263292274</v>
      </c>
      <c r="FB156" s="9">
        <f t="shared" si="125"/>
        <v>263292274</v>
      </c>
      <c r="FC156" s="8">
        <f>+MINVU_Mes_Corriente!FC156*MINVU_Mes_Constante!$FC$1</f>
        <v>237880088</v>
      </c>
      <c r="FD156" s="8">
        <f>+MINVU_Mes_Corriente!FD156*MINVU_Mes_Constante!$FC$1</f>
        <v>237880088</v>
      </c>
      <c r="FE156" s="8">
        <f>+MINVU_Mes_Corriente!FE156*MINVU_Mes_Constante!$FC$1</f>
        <v>237880088</v>
      </c>
      <c r="FF156" s="8">
        <f>+MINVU_Mes_Corriente!FF156*MINVU_Mes_Constante!$FC$1</f>
        <v>237880088</v>
      </c>
      <c r="FG156" s="8">
        <f>+MINVU_Mes_Corriente!FG156*MINVU_Mes_Constante!$FC$1</f>
        <v>237880088</v>
      </c>
      <c r="FH156" s="8">
        <f>+MINVU_Mes_Corriente!FH156*MINVU_Mes_Constante!$FC$1</f>
        <v>237880088</v>
      </c>
      <c r="FI156" s="8">
        <f>+MINVU_Mes_Corriente!FI156*MINVU_Mes_Constante!$FC$1</f>
        <v>237880088</v>
      </c>
      <c r="FJ156" s="8"/>
      <c r="FK156" s="8"/>
      <c r="FL156" s="8"/>
      <c r="FM156" s="8"/>
      <c r="FN156" s="8"/>
      <c r="FO156" s="9">
        <f t="shared" si="126"/>
        <v>237880088</v>
      </c>
    </row>
    <row r="157" spans="2:171" ht="14.25" customHeight="1" x14ac:dyDescent="0.3">
      <c r="B157" s="7" t="s">
        <v>54</v>
      </c>
      <c r="C157" s="8">
        <f>+MINVU_Mes_Corriente!C157*MINVU_Mes_Constante!$C$1</f>
        <v>0</v>
      </c>
      <c r="D157" s="8">
        <f>+MINVU_Mes_Corriente!D157*MINVU_Mes_Constante!$C$1</f>
        <v>0</v>
      </c>
      <c r="E157" s="8">
        <f>+MINVU_Mes_Corriente!E157*MINVU_Mes_Constante!$C$1</f>
        <v>0</v>
      </c>
      <c r="F157" s="8">
        <f>+MINVU_Mes_Corriente!F157*MINVU_Mes_Constante!$C$1</f>
        <v>0</v>
      </c>
      <c r="G157" s="8">
        <f>+MINVU_Mes_Corriente!G157*MINVU_Mes_Constante!$C$1</f>
        <v>0</v>
      </c>
      <c r="H157" s="8">
        <f>+MINVU_Mes_Corriente!H157*MINVU_Mes_Constante!$C$1</f>
        <v>0</v>
      </c>
      <c r="I157" s="8">
        <f>+MINVU_Mes_Corriente!I157*MINVU_Mes_Constante!$C$1</f>
        <v>0</v>
      </c>
      <c r="J157" s="8">
        <f>+MINVU_Mes_Corriente!J157*MINVU_Mes_Constante!$C$1</f>
        <v>0</v>
      </c>
      <c r="K157" s="8">
        <f>+MINVU_Mes_Corriente!K157*MINVU_Mes_Constante!$C$1</f>
        <v>0</v>
      </c>
      <c r="L157" s="8">
        <f>+MINVU_Mes_Corriente!L157*MINVU_Mes_Constante!$C$1</f>
        <v>0</v>
      </c>
      <c r="M157" s="8">
        <f>+MINVU_Mes_Corriente!M157*MINVU_Mes_Constante!$C$1</f>
        <v>0</v>
      </c>
      <c r="N157" s="8">
        <f>+MINVU_Mes_Corriente!N157*MINVU_Mes_Constante!$C$1</f>
        <v>0</v>
      </c>
      <c r="O157" s="9">
        <f t="shared" si="114"/>
        <v>0</v>
      </c>
      <c r="P157" s="8">
        <f>+MINVU_Mes_Corriente!P157*MINVU_Mes_Constante!$P$1</f>
        <v>0</v>
      </c>
      <c r="Q157" s="8">
        <f>+MINVU_Mes_Corriente!Q157*MINVU_Mes_Constante!$P$1</f>
        <v>0</v>
      </c>
      <c r="R157" s="8">
        <f>+MINVU_Mes_Corriente!R157*MINVU_Mes_Constante!$P$1</f>
        <v>0</v>
      </c>
      <c r="S157" s="8">
        <f>+MINVU_Mes_Corriente!S157*MINVU_Mes_Constante!$P$1</f>
        <v>0</v>
      </c>
      <c r="T157" s="8">
        <f>+MINVU_Mes_Corriente!T157*MINVU_Mes_Constante!$P$1</f>
        <v>0</v>
      </c>
      <c r="U157" s="8">
        <f>+MINVU_Mes_Corriente!U157*MINVU_Mes_Constante!$P$1</f>
        <v>0</v>
      </c>
      <c r="V157" s="8">
        <f>+MINVU_Mes_Corriente!V157*MINVU_Mes_Constante!$P$1</f>
        <v>0</v>
      </c>
      <c r="W157" s="8">
        <f>+MINVU_Mes_Corriente!W157*MINVU_Mes_Constante!$P$1</f>
        <v>0</v>
      </c>
      <c r="X157" s="8">
        <f>+MINVU_Mes_Corriente!X157*MINVU_Mes_Constante!$P$1</f>
        <v>0</v>
      </c>
      <c r="Y157" s="8">
        <f>+MINVU_Mes_Corriente!Y157*MINVU_Mes_Constante!$P$1</f>
        <v>0</v>
      </c>
      <c r="Z157" s="8">
        <f>+MINVU_Mes_Corriente!Z157*MINVU_Mes_Constante!$P$1</f>
        <v>0</v>
      </c>
      <c r="AA157" s="8">
        <f>+MINVU_Mes_Corriente!AA157*MINVU_Mes_Constante!$P$1</f>
        <v>0</v>
      </c>
      <c r="AB157" s="9">
        <f t="shared" si="115"/>
        <v>0</v>
      </c>
      <c r="AC157" s="8">
        <f>+MINVU_Mes_Corriente!AC157*MINVU_Mes_Constante!$AC$1</f>
        <v>0</v>
      </c>
      <c r="AD157" s="8">
        <f>+MINVU_Mes_Corriente!AD157*MINVU_Mes_Constante!$AC$1</f>
        <v>0</v>
      </c>
      <c r="AE157" s="8">
        <f>+MINVU_Mes_Corriente!AE157*MINVU_Mes_Constante!$AC$1</f>
        <v>0</v>
      </c>
      <c r="AF157" s="8">
        <f>+MINVU_Mes_Corriente!AF157*MINVU_Mes_Constante!$AC$1</f>
        <v>0</v>
      </c>
      <c r="AG157" s="8">
        <f>+MINVU_Mes_Corriente!AG157*MINVU_Mes_Constante!$AC$1</f>
        <v>0</v>
      </c>
      <c r="AH157" s="8">
        <f>+MINVU_Mes_Corriente!AH157*MINVU_Mes_Constante!$AC$1</f>
        <v>0</v>
      </c>
      <c r="AI157" s="8">
        <f>+MINVU_Mes_Corriente!AI157*MINVU_Mes_Constante!$AC$1</f>
        <v>0</v>
      </c>
      <c r="AJ157" s="8">
        <f>+MINVU_Mes_Corriente!AJ157*MINVU_Mes_Constante!$AC$1</f>
        <v>0</v>
      </c>
      <c r="AK157" s="8">
        <f>+MINVU_Mes_Corriente!AK157*MINVU_Mes_Constante!$AC$1</f>
        <v>0</v>
      </c>
      <c r="AL157" s="8">
        <f>+MINVU_Mes_Corriente!AL157*MINVU_Mes_Constante!$AC$1</f>
        <v>0</v>
      </c>
      <c r="AM157" s="8">
        <f>+MINVU_Mes_Corriente!AM157*MINVU_Mes_Constante!$AC$1</f>
        <v>0</v>
      </c>
      <c r="AN157" s="8">
        <f>+MINVU_Mes_Corriente!AN157*MINVU_Mes_Constante!$AC$1</f>
        <v>0</v>
      </c>
      <c r="AO157" s="9">
        <f t="shared" si="116"/>
        <v>0</v>
      </c>
      <c r="AP157" s="8">
        <f>+MINVU_Mes_Corriente!AP157*MINVU_Mes_Constante!$AP$1</f>
        <v>0</v>
      </c>
      <c r="AQ157" s="8">
        <f>+MINVU_Mes_Corriente!AQ157*MINVU_Mes_Constante!$AP$1</f>
        <v>0</v>
      </c>
      <c r="AR157" s="8">
        <f>+MINVU_Mes_Corriente!AR157*MINVU_Mes_Constante!$AP$1</f>
        <v>0</v>
      </c>
      <c r="AS157" s="8">
        <f>+MINVU_Mes_Corriente!AS157*MINVU_Mes_Constante!$AP$1</f>
        <v>0</v>
      </c>
      <c r="AT157" s="8">
        <f>+MINVU_Mes_Corriente!AT157*MINVU_Mes_Constante!$AP$1</f>
        <v>0</v>
      </c>
      <c r="AU157" s="8">
        <f>+MINVU_Mes_Corriente!AU157*MINVU_Mes_Constante!$AP$1</f>
        <v>0</v>
      </c>
      <c r="AV157" s="8">
        <f>+MINVU_Mes_Corriente!AV157*MINVU_Mes_Constante!$AP$1</f>
        <v>0</v>
      </c>
      <c r="AW157" s="8">
        <f>+MINVU_Mes_Corriente!AW157*MINVU_Mes_Constante!$AP$1</f>
        <v>0</v>
      </c>
      <c r="AX157" s="8">
        <f>+MINVU_Mes_Corriente!AX157*MINVU_Mes_Constante!$AP$1</f>
        <v>0</v>
      </c>
      <c r="AY157" s="8">
        <f>+MINVU_Mes_Corriente!AY157*MINVU_Mes_Constante!$AP$1</f>
        <v>0</v>
      </c>
      <c r="AZ157" s="8">
        <f>+MINVU_Mes_Corriente!AZ157*MINVU_Mes_Constante!$AP$1</f>
        <v>0</v>
      </c>
      <c r="BA157" s="8">
        <f>+MINVU_Mes_Corriente!BA157*MINVU_Mes_Constante!$AP$1</f>
        <v>0</v>
      </c>
      <c r="BB157" s="9">
        <f t="shared" si="117"/>
        <v>0</v>
      </c>
      <c r="BC157" s="8">
        <f>+MINVU_Mes_Corriente!BC157*MINVU_Mes_Constante!$BC$1</f>
        <v>0</v>
      </c>
      <c r="BD157" s="8">
        <f>+MINVU_Mes_Corriente!BD157*MINVU_Mes_Constante!$BC$1</f>
        <v>0</v>
      </c>
      <c r="BE157" s="8">
        <f>+MINVU_Mes_Corriente!BE157*MINVU_Mes_Constante!$BC$1</f>
        <v>0</v>
      </c>
      <c r="BF157" s="8">
        <f>+MINVU_Mes_Corriente!BF157*MINVU_Mes_Constante!$BC$1</f>
        <v>0</v>
      </c>
      <c r="BG157" s="8">
        <f>+MINVU_Mes_Corriente!BG157*MINVU_Mes_Constante!$BC$1</f>
        <v>0</v>
      </c>
      <c r="BH157" s="8">
        <f>+MINVU_Mes_Corriente!BH157*MINVU_Mes_Constante!$BC$1</f>
        <v>0</v>
      </c>
      <c r="BI157" s="8">
        <f>+MINVU_Mes_Corriente!BI157*MINVU_Mes_Constante!$BC$1</f>
        <v>0</v>
      </c>
      <c r="BJ157" s="8">
        <f>+MINVU_Mes_Corriente!BJ157*MINVU_Mes_Constante!$BC$1</f>
        <v>0</v>
      </c>
      <c r="BK157" s="8">
        <f>+MINVU_Mes_Corriente!BK157*MINVU_Mes_Constante!$BC$1</f>
        <v>0</v>
      </c>
      <c r="BL157" s="8">
        <f>+MINVU_Mes_Corriente!BL157*MINVU_Mes_Constante!$BC$1</f>
        <v>0</v>
      </c>
      <c r="BM157" s="8">
        <f>+MINVU_Mes_Corriente!BM157*MINVU_Mes_Constante!$BC$1</f>
        <v>0</v>
      </c>
      <c r="BN157" s="8">
        <f>+MINVU_Mes_Corriente!BN157*MINVU_Mes_Constante!$BC$1</f>
        <v>0</v>
      </c>
      <c r="BO157" s="9">
        <f t="shared" si="118"/>
        <v>0</v>
      </c>
      <c r="BP157" s="8">
        <f>+MINVU_Mes_Corriente!BP157*MINVU_Mes_Constante!$BP$1</f>
        <v>2797965.33418694</v>
      </c>
      <c r="BQ157" s="8">
        <f>+MINVU_Mes_Corriente!BQ157*MINVU_Mes_Constante!$BP$1</f>
        <v>2797965.33418694</v>
      </c>
      <c r="BR157" s="8">
        <f>+MINVU_Mes_Corriente!BR157*MINVU_Mes_Constante!$BP$1</f>
        <v>2797965.33418694</v>
      </c>
      <c r="BS157" s="8">
        <f>+MINVU_Mes_Corriente!BS157*MINVU_Mes_Constante!$BP$1</f>
        <v>2797965.33418694</v>
      </c>
      <c r="BT157" s="8">
        <f>+MINVU_Mes_Corriente!BT157*MINVU_Mes_Constante!$BP$1</f>
        <v>2797965.33418694</v>
      </c>
      <c r="BU157" s="8">
        <f>+MINVU_Mes_Corriente!BU157*MINVU_Mes_Constante!$BP$1</f>
        <v>2797965.33418694</v>
      </c>
      <c r="BV157" s="8">
        <f>+MINVU_Mes_Corriente!BV157*MINVU_Mes_Constante!$BP$1</f>
        <v>2797965.33418694</v>
      </c>
      <c r="BW157" s="8">
        <f>+MINVU_Mes_Corriente!BW157*MINVU_Mes_Constante!$BP$1</f>
        <v>2797965.33418694</v>
      </c>
      <c r="BX157" s="8">
        <f>+MINVU_Mes_Corriente!BX157*MINVU_Mes_Constante!$BP$1</f>
        <v>2797965.33418694</v>
      </c>
      <c r="BY157" s="8">
        <f>+MINVU_Mes_Corriente!BY157*MINVU_Mes_Constante!$BP$1</f>
        <v>2797965.33418694</v>
      </c>
      <c r="BZ157" s="8">
        <f>+MINVU_Mes_Corriente!BZ157*MINVU_Mes_Constante!$BP$1</f>
        <v>2797965.33418694</v>
      </c>
      <c r="CA157" s="8">
        <f>+MINVU_Mes_Corriente!CA157*MINVU_Mes_Constante!$BP$1</f>
        <v>2797965.33418694</v>
      </c>
      <c r="CB157" s="9">
        <f t="shared" si="119"/>
        <v>2797965.33418694</v>
      </c>
      <c r="CC157" s="8">
        <f>+MINVU_Mes_Corriente!CC157*MINVU_Mes_Constante!$CC$1</f>
        <v>18164118.407310706</v>
      </c>
      <c r="CD157" s="8">
        <f>+MINVU_Mes_Corriente!CD157*MINVU_Mes_Constante!$CC$1</f>
        <v>18164118.407310706</v>
      </c>
      <c r="CE157" s="8">
        <f>+MINVU_Mes_Corriente!CE157*MINVU_Mes_Constante!$CC$1</f>
        <v>18164118.407310706</v>
      </c>
      <c r="CF157" s="8">
        <f>+MINVU_Mes_Corriente!CF157*MINVU_Mes_Constante!$CC$1</f>
        <v>18164118.407310706</v>
      </c>
      <c r="CG157" s="8">
        <f>+MINVU_Mes_Corriente!CG157*MINVU_Mes_Constante!$CC$1</f>
        <v>18164118.407310706</v>
      </c>
      <c r="CH157" s="8">
        <f>+MINVU_Mes_Corriente!CH157*MINVU_Mes_Constante!$CC$1</f>
        <v>18164118.407310706</v>
      </c>
      <c r="CI157" s="8">
        <f>+MINVU_Mes_Corriente!CI157*MINVU_Mes_Constante!$CC$1</f>
        <v>18164118.407310706</v>
      </c>
      <c r="CJ157" s="8">
        <f>+MINVU_Mes_Corriente!CJ157*MINVU_Mes_Constante!$CC$1</f>
        <v>18164118.407310706</v>
      </c>
      <c r="CK157" s="8">
        <f>+MINVU_Mes_Corriente!CK157*MINVU_Mes_Constante!$CC$1</f>
        <v>18164118.407310706</v>
      </c>
      <c r="CL157" s="8">
        <f>+MINVU_Mes_Corriente!CL157*MINVU_Mes_Constante!$CC$1</f>
        <v>18164118.407310706</v>
      </c>
      <c r="CM157" s="8">
        <f>+MINVU_Mes_Corriente!CM157*MINVU_Mes_Constante!$CC$1</f>
        <v>18164118.407310706</v>
      </c>
      <c r="CN157" s="8">
        <f>+MINVU_Mes_Corriente!CN157*MINVU_Mes_Constante!$CC$1</f>
        <v>18164118.407310706</v>
      </c>
      <c r="CO157" s="9">
        <f t="shared" si="120"/>
        <v>18164118.407310706</v>
      </c>
      <c r="CP157" s="8">
        <f>+MINVU_Mes_Corriente!CP157*MINVU_Mes_Constante!$CP$1</f>
        <v>33854066.503016233</v>
      </c>
      <c r="CQ157" s="8">
        <f>+MINVU_Mes_Corriente!CQ157*MINVU_Mes_Constante!$CP$1</f>
        <v>33854066.503016233</v>
      </c>
      <c r="CR157" s="8">
        <f>+MINVU_Mes_Corriente!CR157*MINVU_Mes_Constante!$CP$1</f>
        <v>33854066.503016233</v>
      </c>
      <c r="CS157" s="8">
        <f>+MINVU_Mes_Corriente!CS157*MINVU_Mes_Constante!$CP$1</f>
        <v>33854066.503016233</v>
      </c>
      <c r="CT157" s="8">
        <f>+MINVU_Mes_Corriente!CT157*MINVU_Mes_Constante!$CP$1</f>
        <v>33854066.503016233</v>
      </c>
      <c r="CU157" s="8">
        <f>+MINVU_Mes_Corriente!CU157*MINVU_Mes_Constante!$CP$1</f>
        <v>33854066.503016233</v>
      </c>
      <c r="CV157" s="8">
        <f>+MINVU_Mes_Corriente!CV157*MINVU_Mes_Constante!$CP$1</f>
        <v>33854066.503016233</v>
      </c>
      <c r="CW157" s="8">
        <f>+MINVU_Mes_Corriente!CW157*MINVU_Mes_Constante!$CP$1</f>
        <v>33854066.503016233</v>
      </c>
      <c r="CX157" s="8">
        <f>+MINVU_Mes_Corriente!CX157*MINVU_Mes_Constante!$CP$1</f>
        <v>33854066.503016233</v>
      </c>
      <c r="CY157" s="8">
        <f>+MINVU_Mes_Corriente!CY157*MINVU_Mes_Constante!$CP$1</f>
        <v>33854066.503016233</v>
      </c>
      <c r="CZ157" s="8">
        <f>+MINVU_Mes_Corriente!CZ157*MINVU_Mes_Constante!$CP$1</f>
        <v>33854066.503016233</v>
      </c>
      <c r="DA157" s="8">
        <f>+MINVU_Mes_Corriente!DA157*MINVU_Mes_Constante!$CP$1</f>
        <v>33854066.503016233</v>
      </c>
      <c r="DB157" s="9">
        <f t="shared" si="121"/>
        <v>33854066.503016233</v>
      </c>
      <c r="DC157" s="8">
        <f>+MINVU_Mes_Corriente!DC157*MINVU_Mes_Constante!$DC$1</f>
        <v>76069789.365908891</v>
      </c>
      <c r="DD157" s="8">
        <f>+MINVU_Mes_Corriente!DD157*MINVU_Mes_Constante!$DC$1</f>
        <v>76069789.365908891</v>
      </c>
      <c r="DE157" s="8">
        <f>+MINVU_Mes_Corriente!DE157*MINVU_Mes_Constante!$DC$1</f>
        <v>76069789.365908891</v>
      </c>
      <c r="DF157" s="8">
        <f>+MINVU_Mes_Corriente!DF157*MINVU_Mes_Constante!$DC$1</f>
        <v>76069789.365908891</v>
      </c>
      <c r="DG157" s="8">
        <f>+MINVU_Mes_Corriente!DG157*MINVU_Mes_Constante!$DC$1</f>
        <v>76069789.365908891</v>
      </c>
      <c r="DH157" s="8">
        <f>+MINVU_Mes_Corriente!DH157*MINVU_Mes_Constante!$DC$1</f>
        <v>76069789.365908891</v>
      </c>
      <c r="DI157" s="8">
        <f>+MINVU_Mes_Corriente!DI157*MINVU_Mes_Constante!$DC$1</f>
        <v>76069789.365908891</v>
      </c>
      <c r="DJ157" s="8">
        <f>+MINVU_Mes_Corriente!DJ157*MINVU_Mes_Constante!$DC$1</f>
        <v>76069789.365908891</v>
      </c>
      <c r="DK157" s="8">
        <f>+MINVU_Mes_Corriente!DK157*MINVU_Mes_Constante!$DC$1</f>
        <v>76069789.365908891</v>
      </c>
      <c r="DL157" s="8">
        <f>+MINVU_Mes_Corriente!DL157*MINVU_Mes_Constante!$DC$1</f>
        <v>76069789.365908891</v>
      </c>
      <c r="DM157" s="8">
        <f>+MINVU_Mes_Corriente!DM157*MINVU_Mes_Constante!$DC$1</f>
        <v>76069789.365908891</v>
      </c>
      <c r="DN157" s="8">
        <f>+MINVU_Mes_Corriente!DN157*MINVU_Mes_Constante!$DC$1</f>
        <v>76069789.365908891</v>
      </c>
      <c r="DO157" s="9">
        <f t="shared" si="122"/>
        <v>76069789.365908891</v>
      </c>
      <c r="DP157" s="8">
        <f>+MINVU_Mes_Corriente!DP157*MINVU_Mes_Constante!$DP$1</f>
        <v>120537564.37945369</v>
      </c>
      <c r="DQ157" s="8">
        <f>+MINVU_Mes_Corriente!DQ157*MINVU_Mes_Constante!$DP$1</f>
        <v>120537564.37945369</v>
      </c>
      <c r="DR157" s="8">
        <f>+MINVU_Mes_Corriente!DR157*MINVU_Mes_Constante!$DP$1</f>
        <v>120537564.37945369</v>
      </c>
      <c r="DS157" s="8">
        <f>+MINVU_Mes_Corriente!DS157*MINVU_Mes_Constante!$DP$1</f>
        <v>120537564.37945369</v>
      </c>
      <c r="DT157" s="8">
        <f>+MINVU_Mes_Corriente!DT157*MINVU_Mes_Constante!$DP$1</f>
        <v>120537564.37945369</v>
      </c>
      <c r="DU157" s="8">
        <f>+MINVU_Mes_Corriente!DU157*MINVU_Mes_Constante!$DP$1</f>
        <v>120537564.37945369</v>
      </c>
      <c r="DV157" s="8">
        <f>+MINVU_Mes_Corriente!DV157*MINVU_Mes_Constante!$DP$1</f>
        <v>120537564.37945369</v>
      </c>
      <c r="DW157" s="8">
        <f>+MINVU_Mes_Corriente!DW157*MINVU_Mes_Constante!$DP$1</f>
        <v>120537564.37945369</v>
      </c>
      <c r="DX157" s="8">
        <f>+MINVU_Mes_Corriente!DX157*MINVU_Mes_Constante!$DP$1</f>
        <v>120537564.37945369</v>
      </c>
      <c r="DY157" s="8">
        <f>+MINVU_Mes_Corriente!DY157*MINVU_Mes_Constante!$DP$1</f>
        <v>120537564.37945369</v>
      </c>
      <c r="DZ157" s="8">
        <f>+MINVU_Mes_Corriente!DZ157*MINVU_Mes_Constante!$DP$1</f>
        <v>120537564.37945369</v>
      </c>
      <c r="EA157" s="8">
        <f>+MINVU_Mes_Corriente!EA157*MINVU_Mes_Constante!$DP$1</f>
        <v>120537564.37945369</v>
      </c>
      <c r="EB157" s="9">
        <f t="shared" si="123"/>
        <v>120537564.37945369</v>
      </c>
      <c r="EC157" s="8">
        <f>+MINVU_Mes_Corriente!EC157*MINVU_Mes_Constante!$EC$1</f>
        <v>120685191.58170797</v>
      </c>
      <c r="ED157" s="8">
        <f>+MINVU_Mes_Corriente!ED157*MINVU_Mes_Constante!$EC$1</f>
        <v>120685191.58170797</v>
      </c>
      <c r="EE157" s="8">
        <f>+MINVU_Mes_Corriente!EE157*MINVU_Mes_Constante!$EC$1</f>
        <v>120685191.58170797</v>
      </c>
      <c r="EF157" s="8">
        <f>+MINVU_Mes_Corriente!EF157*MINVU_Mes_Constante!$EC$1</f>
        <v>120685191.58170797</v>
      </c>
      <c r="EG157" s="8">
        <f>+MINVU_Mes_Corriente!EG157*MINVU_Mes_Constante!$EC$1</f>
        <v>120685191.58170797</v>
      </c>
      <c r="EH157" s="8">
        <f>+MINVU_Mes_Corriente!EH157*MINVU_Mes_Constante!$EC$1</f>
        <v>120685191.58170797</v>
      </c>
      <c r="EI157" s="8">
        <f>+MINVU_Mes_Corriente!EI157*MINVU_Mes_Constante!$EC$1</f>
        <v>120685191.58170797</v>
      </c>
      <c r="EJ157" s="8">
        <f>+MINVU_Mes_Corriente!EJ157*MINVU_Mes_Constante!$EC$1</f>
        <v>120685191.58170797</v>
      </c>
      <c r="EK157" s="8">
        <f>+MINVU_Mes_Corriente!EK157*MINVU_Mes_Constante!$EC$1</f>
        <v>120685191.58170797</v>
      </c>
      <c r="EL157" s="8">
        <f>+MINVU_Mes_Corriente!EL157*MINVU_Mes_Constante!$EC$1</f>
        <v>120685191.58170797</v>
      </c>
      <c r="EM157" s="8">
        <f>+MINVU_Mes_Corriente!EM157*MINVU_Mes_Constante!$EC$1</f>
        <v>120685191.58170797</v>
      </c>
      <c r="EN157" s="8">
        <f>+MINVU_Mes_Corriente!EN157*MINVU_Mes_Constante!$EC$1</f>
        <v>120685191.58170797</v>
      </c>
      <c r="EO157" s="9">
        <f t="shared" si="124"/>
        <v>120685191.58170797</v>
      </c>
      <c r="EP157" s="8">
        <f>+MINVU_Mes_Corriente!EP157*MINVU_Mes_Constante!$EP$1</f>
        <v>154915622</v>
      </c>
      <c r="EQ157" s="8">
        <f>+MINVU_Mes_Corriente!EQ157*MINVU_Mes_Constante!$EP$1</f>
        <v>154915622</v>
      </c>
      <c r="ER157" s="8">
        <f>+MINVU_Mes_Corriente!ER157*MINVU_Mes_Constante!$EP$1</f>
        <v>154915622</v>
      </c>
      <c r="ES157" s="8">
        <f>+MINVU_Mes_Corriente!ES157*MINVU_Mes_Constante!$EP$1</f>
        <v>154915622</v>
      </c>
      <c r="ET157" s="8">
        <f>+MINVU_Mes_Corriente!ET157*MINVU_Mes_Constante!$EP$1</f>
        <v>154915622</v>
      </c>
      <c r="EU157" s="8">
        <f>+MINVU_Mes_Corriente!EU157*MINVU_Mes_Constante!$EP$1</f>
        <v>154915622</v>
      </c>
      <c r="EV157" s="8">
        <f>+MINVU_Mes_Corriente!EV157*MINVU_Mes_Constante!$EP$1</f>
        <v>154915622</v>
      </c>
      <c r="EW157" s="8">
        <f>+MINVU_Mes_Corriente!EW157*MINVU_Mes_Constante!$EP$1</f>
        <v>154915622</v>
      </c>
      <c r="EX157" s="8">
        <f>+MINVU_Mes_Corriente!EX157*MINVU_Mes_Constante!$EP$1</f>
        <v>154915622</v>
      </c>
      <c r="EY157" s="8">
        <f>+MINVU_Mes_Corriente!EY157*MINVU_Mes_Constante!$EP$1</f>
        <v>154915622</v>
      </c>
      <c r="EZ157" s="8">
        <f>+MINVU_Mes_Corriente!EZ157*MINVU_Mes_Constante!$EP$1</f>
        <v>154915622</v>
      </c>
      <c r="FA157" s="8">
        <f>+MINVU_Mes_Corriente!FA157*MINVU_Mes_Constante!$EP$1</f>
        <v>154915622</v>
      </c>
      <c r="FB157" s="9">
        <f t="shared" si="125"/>
        <v>154915622</v>
      </c>
      <c r="FC157" s="8">
        <f>+MINVU_Mes_Corriente!FC157*MINVU_Mes_Constante!$FC$1</f>
        <v>185909865</v>
      </c>
      <c r="FD157" s="8">
        <f>+MINVU_Mes_Corriente!FD157*MINVU_Mes_Constante!$FC$1</f>
        <v>185909865</v>
      </c>
      <c r="FE157" s="8">
        <f>+MINVU_Mes_Corriente!FE157*MINVU_Mes_Constante!$FC$1</f>
        <v>185909865</v>
      </c>
      <c r="FF157" s="8">
        <f>+MINVU_Mes_Corriente!FF157*MINVU_Mes_Constante!$FC$1</f>
        <v>185909865</v>
      </c>
      <c r="FG157" s="8">
        <f>+MINVU_Mes_Corriente!FG157*MINVU_Mes_Constante!$FC$1</f>
        <v>185909865</v>
      </c>
      <c r="FH157" s="8">
        <f>+MINVU_Mes_Corriente!FH157*MINVU_Mes_Constante!$FC$1</f>
        <v>185909865</v>
      </c>
      <c r="FI157" s="8">
        <f>+MINVU_Mes_Corriente!FI157*MINVU_Mes_Constante!$FC$1</f>
        <v>185909865</v>
      </c>
      <c r="FJ157" s="8"/>
      <c r="FK157" s="8"/>
      <c r="FL157" s="8"/>
      <c r="FM157" s="8"/>
      <c r="FN157" s="8"/>
      <c r="FO157" s="9">
        <f t="shared" si="126"/>
        <v>185909865</v>
      </c>
    </row>
    <row r="158" spans="2:171" ht="14.25" customHeight="1" x14ac:dyDescent="0.3">
      <c r="B158" s="7" t="s">
        <v>55</v>
      </c>
      <c r="C158" s="8">
        <f>+MINVU_Mes_Corriente!C158*MINVU_Mes_Constante!$C$1</f>
        <v>196204606.67596027</v>
      </c>
      <c r="D158" s="8">
        <f>+MINVU_Mes_Corriente!D158*MINVU_Mes_Constante!$C$1</f>
        <v>196204606.67596027</v>
      </c>
      <c r="E158" s="8">
        <f>+MINVU_Mes_Corriente!E158*MINVU_Mes_Constante!$C$1</f>
        <v>196204606.67596027</v>
      </c>
      <c r="F158" s="8">
        <f>+MINVU_Mes_Corriente!F158*MINVU_Mes_Constante!$C$1</f>
        <v>196204606.67596027</v>
      </c>
      <c r="G158" s="8">
        <f>+MINVU_Mes_Corriente!G158*MINVU_Mes_Constante!$C$1</f>
        <v>196204606.67596027</v>
      </c>
      <c r="H158" s="8">
        <f>+MINVU_Mes_Corriente!H158*MINVU_Mes_Constante!$C$1</f>
        <v>196204606.67596027</v>
      </c>
      <c r="I158" s="8">
        <f>+MINVU_Mes_Corriente!I158*MINVU_Mes_Constante!$C$1</f>
        <v>196204606.67596027</v>
      </c>
      <c r="J158" s="8">
        <f>+MINVU_Mes_Corriente!J158*MINVU_Mes_Constante!$C$1</f>
        <v>196204606.67596027</v>
      </c>
      <c r="K158" s="8">
        <f>+MINVU_Mes_Corriente!K158*MINVU_Mes_Constante!$C$1</f>
        <v>196204606.67596027</v>
      </c>
      <c r="L158" s="8">
        <f>+MINVU_Mes_Corriente!L158*MINVU_Mes_Constante!$C$1</f>
        <v>196204606.67596027</v>
      </c>
      <c r="M158" s="8">
        <f>+MINVU_Mes_Corriente!M158*MINVU_Mes_Constante!$C$1</f>
        <v>196204606.67596027</v>
      </c>
      <c r="N158" s="8">
        <f>+MINVU_Mes_Corriente!N158*MINVU_Mes_Constante!$C$1</f>
        <v>196204606.67596027</v>
      </c>
      <c r="O158" s="9">
        <f t="shared" si="114"/>
        <v>196204606.67596027</v>
      </c>
      <c r="P158" s="8">
        <f>+MINVU_Mes_Corriente!P158*MINVU_Mes_Constante!$P$1</f>
        <v>224352517.35104409</v>
      </c>
      <c r="Q158" s="8">
        <f>+MINVU_Mes_Corriente!Q158*MINVU_Mes_Constante!$P$1</f>
        <v>224352517.35104409</v>
      </c>
      <c r="R158" s="8">
        <f>+MINVU_Mes_Corriente!R158*MINVU_Mes_Constante!$P$1</f>
        <v>224352517.35104409</v>
      </c>
      <c r="S158" s="8">
        <f>+MINVU_Mes_Corriente!S158*MINVU_Mes_Constante!$P$1</f>
        <v>224352517.35104409</v>
      </c>
      <c r="T158" s="8">
        <f>+MINVU_Mes_Corriente!T158*MINVU_Mes_Constante!$P$1</f>
        <v>224352517.35104409</v>
      </c>
      <c r="U158" s="8">
        <f>+MINVU_Mes_Corriente!U158*MINVU_Mes_Constante!$P$1</f>
        <v>224352517.35104409</v>
      </c>
      <c r="V158" s="8">
        <f>+MINVU_Mes_Corriente!V158*MINVU_Mes_Constante!$P$1</f>
        <v>224352517.35104409</v>
      </c>
      <c r="W158" s="8">
        <f>+MINVU_Mes_Corriente!W158*MINVU_Mes_Constante!$P$1</f>
        <v>224352517.35104409</v>
      </c>
      <c r="X158" s="8">
        <f>+MINVU_Mes_Corriente!X158*MINVU_Mes_Constante!$P$1</f>
        <v>224352517.35104409</v>
      </c>
      <c r="Y158" s="8">
        <f>+MINVU_Mes_Corriente!Y158*MINVU_Mes_Constante!$P$1</f>
        <v>224352517.35104409</v>
      </c>
      <c r="Z158" s="8">
        <f>+MINVU_Mes_Corriente!Z158*MINVU_Mes_Constante!$P$1</f>
        <v>224352517.35104409</v>
      </c>
      <c r="AA158" s="8">
        <f>+MINVU_Mes_Corriente!AA158*MINVU_Mes_Constante!$P$1</f>
        <v>224352517.35104409</v>
      </c>
      <c r="AB158" s="9">
        <f t="shared" si="115"/>
        <v>224352517.35104409</v>
      </c>
      <c r="AC158" s="8">
        <f>+MINVU_Mes_Corriente!AC158*MINVU_Mes_Constante!$AC$1</f>
        <v>247024390.84797344</v>
      </c>
      <c r="AD158" s="8">
        <f>+MINVU_Mes_Corriente!AD158*MINVU_Mes_Constante!$AC$1</f>
        <v>247024390.84797344</v>
      </c>
      <c r="AE158" s="8">
        <f>+MINVU_Mes_Corriente!AE158*MINVU_Mes_Constante!$AC$1</f>
        <v>247024390.84797344</v>
      </c>
      <c r="AF158" s="8">
        <f>+MINVU_Mes_Corriente!AF158*MINVU_Mes_Constante!$AC$1</f>
        <v>247024390.84797344</v>
      </c>
      <c r="AG158" s="8">
        <f>+MINVU_Mes_Corriente!AG158*MINVU_Mes_Constante!$AC$1</f>
        <v>247024390.84797344</v>
      </c>
      <c r="AH158" s="8">
        <f>+MINVU_Mes_Corriente!AH158*MINVU_Mes_Constante!$AC$1</f>
        <v>247024390.84797344</v>
      </c>
      <c r="AI158" s="8">
        <f>+MINVU_Mes_Corriente!AI158*MINVU_Mes_Constante!$AC$1</f>
        <v>247024390.84797344</v>
      </c>
      <c r="AJ158" s="8">
        <f>+MINVU_Mes_Corriente!AJ158*MINVU_Mes_Constante!$AC$1</f>
        <v>247024390.84797344</v>
      </c>
      <c r="AK158" s="8">
        <f>+MINVU_Mes_Corriente!AK158*MINVU_Mes_Constante!$AC$1</f>
        <v>247024390.84797344</v>
      </c>
      <c r="AL158" s="8">
        <f>+MINVU_Mes_Corriente!AL158*MINVU_Mes_Constante!$AC$1</f>
        <v>247024390.84797344</v>
      </c>
      <c r="AM158" s="8">
        <f>+MINVU_Mes_Corriente!AM158*MINVU_Mes_Constante!$AC$1</f>
        <v>247024390.84797344</v>
      </c>
      <c r="AN158" s="8">
        <f>+MINVU_Mes_Corriente!AN158*MINVU_Mes_Constante!$AC$1</f>
        <v>247024390.84797344</v>
      </c>
      <c r="AO158" s="9">
        <f t="shared" si="116"/>
        <v>247024390.84797344</v>
      </c>
      <c r="AP158" s="8">
        <f>+MINVU_Mes_Corriente!AP158*MINVU_Mes_Constante!$AP$1</f>
        <v>205686159.0150142</v>
      </c>
      <c r="AQ158" s="8">
        <f>+MINVU_Mes_Corriente!AQ158*MINVU_Mes_Constante!$AP$1</f>
        <v>205686159.0150142</v>
      </c>
      <c r="AR158" s="8">
        <f>+MINVU_Mes_Corriente!AR158*MINVU_Mes_Constante!$AP$1</f>
        <v>205686159.0150142</v>
      </c>
      <c r="AS158" s="8">
        <f>+MINVU_Mes_Corriente!AS158*MINVU_Mes_Constante!$AP$1</f>
        <v>205686159.0150142</v>
      </c>
      <c r="AT158" s="8">
        <f>+MINVU_Mes_Corriente!AT158*MINVU_Mes_Constante!$AP$1</f>
        <v>205686159.0150142</v>
      </c>
      <c r="AU158" s="8">
        <f>+MINVU_Mes_Corriente!AU158*MINVU_Mes_Constante!$AP$1</f>
        <v>205686159.0150142</v>
      </c>
      <c r="AV158" s="8">
        <f>+MINVU_Mes_Corriente!AV158*MINVU_Mes_Constante!$AP$1</f>
        <v>205686159.0150142</v>
      </c>
      <c r="AW158" s="8">
        <f>+MINVU_Mes_Corriente!AW158*MINVU_Mes_Constante!$AP$1</f>
        <v>205686159.0150142</v>
      </c>
      <c r="AX158" s="8">
        <f>+MINVU_Mes_Corriente!AX158*MINVU_Mes_Constante!$AP$1</f>
        <v>205686159.0150142</v>
      </c>
      <c r="AY158" s="8">
        <f>+MINVU_Mes_Corriente!AY158*MINVU_Mes_Constante!$AP$1</f>
        <v>205686159.0150142</v>
      </c>
      <c r="AZ158" s="8">
        <f>+MINVU_Mes_Corriente!AZ158*MINVU_Mes_Constante!$AP$1</f>
        <v>205686159.0150142</v>
      </c>
      <c r="BA158" s="8">
        <f>+MINVU_Mes_Corriente!BA158*MINVU_Mes_Constante!$AP$1</f>
        <v>205686159.0150142</v>
      </c>
      <c r="BB158" s="9">
        <f t="shared" si="117"/>
        <v>205686159.0150142</v>
      </c>
      <c r="BC158" s="8">
        <f>+MINVU_Mes_Corriente!BC158*MINVU_Mes_Constante!$BC$1</f>
        <v>247481527.88395101</v>
      </c>
      <c r="BD158" s="8">
        <f>+MINVU_Mes_Corriente!BD158*MINVU_Mes_Constante!$BC$1</f>
        <v>247481527.88395101</v>
      </c>
      <c r="BE158" s="8">
        <f>+MINVU_Mes_Corriente!BE158*MINVU_Mes_Constante!$BC$1</f>
        <v>247481527.88395101</v>
      </c>
      <c r="BF158" s="8">
        <f>+MINVU_Mes_Corriente!BF158*MINVU_Mes_Constante!$BC$1</f>
        <v>247481527.88395101</v>
      </c>
      <c r="BG158" s="8">
        <f>+MINVU_Mes_Corriente!BG158*MINVU_Mes_Constante!$BC$1</f>
        <v>247481527.88395101</v>
      </c>
      <c r="BH158" s="8">
        <f>+MINVU_Mes_Corriente!BH158*MINVU_Mes_Constante!$BC$1</f>
        <v>247481527.88395101</v>
      </c>
      <c r="BI158" s="8">
        <f>+MINVU_Mes_Corriente!BI158*MINVU_Mes_Constante!$BC$1</f>
        <v>247481527.88395101</v>
      </c>
      <c r="BJ158" s="8">
        <f>+MINVU_Mes_Corriente!BJ158*MINVU_Mes_Constante!$BC$1</f>
        <v>247481527.88395101</v>
      </c>
      <c r="BK158" s="8">
        <f>+MINVU_Mes_Corriente!BK158*MINVU_Mes_Constante!$BC$1</f>
        <v>247481527.88395101</v>
      </c>
      <c r="BL158" s="8">
        <f>+MINVU_Mes_Corriente!BL158*MINVU_Mes_Constante!$BC$1</f>
        <v>247481527.88395101</v>
      </c>
      <c r="BM158" s="8">
        <f>+MINVU_Mes_Corriente!BM158*MINVU_Mes_Constante!$BC$1</f>
        <v>247481527.88395101</v>
      </c>
      <c r="BN158" s="8">
        <f>+MINVU_Mes_Corriente!BN158*MINVU_Mes_Constante!$BC$1</f>
        <v>247481527.88395101</v>
      </c>
      <c r="BO158" s="9">
        <f t="shared" si="118"/>
        <v>247481527.88395101</v>
      </c>
      <c r="BP158" s="8">
        <f>+MINVU_Mes_Corriente!BP158*MINVU_Mes_Constante!$BP$1</f>
        <v>328145783.17413574</v>
      </c>
      <c r="BQ158" s="8">
        <f>+MINVU_Mes_Corriente!BQ158*MINVU_Mes_Constante!$BP$1</f>
        <v>328145783.17413574</v>
      </c>
      <c r="BR158" s="8">
        <f>+MINVU_Mes_Corriente!BR158*MINVU_Mes_Constante!$BP$1</f>
        <v>328145783.17413574</v>
      </c>
      <c r="BS158" s="8">
        <f>+MINVU_Mes_Corriente!BS158*MINVU_Mes_Constante!$BP$1</f>
        <v>328145783.17413574</v>
      </c>
      <c r="BT158" s="8">
        <f>+MINVU_Mes_Corriente!BT158*MINVU_Mes_Constante!$BP$1</f>
        <v>328145783.17413574</v>
      </c>
      <c r="BU158" s="8">
        <f>+MINVU_Mes_Corriente!BU158*MINVU_Mes_Constante!$BP$1</f>
        <v>328145783.17413574</v>
      </c>
      <c r="BV158" s="8">
        <f>+MINVU_Mes_Corriente!BV158*MINVU_Mes_Constante!$BP$1</f>
        <v>328145783.17413574</v>
      </c>
      <c r="BW158" s="8">
        <f>+MINVU_Mes_Corriente!BW158*MINVU_Mes_Constante!$BP$1</f>
        <v>328145783.17413574</v>
      </c>
      <c r="BX158" s="8">
        <f>+MINVU_Mes_Corriente!BX158*MINVU_Mes_Constante!$BP$1</f>
        <v>328145783.17413574</v>
      </c>
      <c r="BY158" s="8">
        <f>+MINVU_Mes_Corriente!BY158*MINVU_Mes_Constante!$BP$1</f>
        <v>328145783.17413574</v>
      </c>
      <c r="BZ158" s="8">
        <f>+MINVU_Mes_Corriente!BZ158*MINVU_Mes_Constante!$BP$1</f>
        <v>328145783.17413574</v>
      </c>
      <c r="CA158" s="8">
        <f>+MINVU_Mes_Corriente!CA158*MINVU_Mes_Constante!$BP$1</f>
        <v>328145783.17413574</v>
      </c>
      <c r="CB158" s="9">
        <f t="shared" si="119"/>
        <v>328145783.17413574</v>
      </c>
      <c r="CC158" s="8">
        <f>+MINVU_Mes_Corriente!CC158*MINVU_Mes_Constante!$CC$1</f>
        <v>327090543.99701607</v>
      </c>
      <c r="CD158" s="8">
        <f>+MINVU_Mes_Corriente!CD158*MINVU_Mes_Constante!$CC$1</f>
        <v>327090543.99701607</v>
      </c>
      <c r="CE158" s="8">
        <f>+MINVU_Mes_Corriente!CE158*MINVU_Mes_Constante!$CC$1</f>
        <v>327090543.99701607</v>
      </c>
      <c r="CF158" s="8">
        <f>+MINVU_Mes_Corriente!CF158*MINVU_Mes_Constante!$CC$1</f>
        <v>327090543.99701607</v>
      </c>
      <c r="CG158" s="8">
        <f>+MINVU_Mes_Corriente!CG158*MINVU_Mes_Constante!$CC$1</f>
        <v>327090543.99701607</v>
      </c>
      <c r="CH158" s="8">
        <f>+MINVU_Mes_Corriente!CH158*MINVU_Mes_Constante!$CC$1</f>
        <v>327090543.99701607</v>
      </c>
      <c r="CI158" s="8">
        <f>+MINVU_Mes_Corriente!CI158*MINVU_Mes_Constante!$CC$1</f>
        <v>327090543.99701607</v>
      </c>
      <c r="CJ158" s="8">
        <f>+MINVU_Mes_Corriente!CJ158*MINVU_Mes_Constante!$CC$1</f>
        <v>327090543.99701607</v>
      </c>
      <c r="CK158" s="8">
        <f>+MINVU_Mes_Corriente!CK158*MINVU_Mes_Constante!$CC$1</f>
        <v>327090543.99701607</v>
      </c>
      <c r="CL158" s="8">
        <f>+MINVU_Mes_Corriente!CL158*MINVU_Mes_Constante!$CC$1</f>
        <v>327090543.99701607</v>
      </c>
      <c r="CM158" s="8">
        <f>+MINVU_Mes_Corriente!CM158*MINVU_Mes_Constante!$CC$1</f>
        <v>327090543.99701607</v>
      </c>
      <c r="CN158" s="8">
        <f>+MINVU_Mes_Corriente!CN158*MINVU_Mes_Constante!$CC$1</f>
        <v>327090543.99701607</v>
      </c>
      <c r="CO158" s="9">
        <f t="shared" si="120"/>
        <v>327090543.99701607</v>
      </c>
      <c r="CP158" s="8">
        <f>+MINVU_Mes_Corriente!CP158*MINVU_Mes_Constante!$CP$1</f>
        <v>329010562.93155444</v>
      </c>
      <c r="CQ158" s="8">
        <f>+MINVU_Mes_Corriente!CQ158*MINVU_Mes_Constante!$CP$1</f>
        <v>329010562.93155444</v>
      </c>
      <c r="CR158" s="8">
        <f>+MINVU_Mes_Corriente!CR158*MINVU_Mes_Constante!$CP$1</f>
        <v>329010562.93155444</v>
      </c>
      <c r="CS158" s="8">
        <f>+MINVU_Mes_Corriente!CS158*MINVU_Mes_Constante!$CP$1</f>
        <v>329010562.93155444</v>
      </c>
      <c r="CT158" s="8">
        <f>+MINVU_Mes_Corriente!CT158*MINVU_Mes_Constante!$CP$1</f>
        <v>329010562.93155444</v>
      </c>
      <c r="CU158" s="8">
        <f>+MINVU_Mes_Corriente!CU158*MINVU_Mes_Constante!$CP$1</f>
        <v>329010562.93155444</v>
      </c>
      <c r="CV158" s="8">
        <f>+MINVU_Mes_Corriente!CV158*MINVU_Mes_Constante!$CP$1</f>
        <v>329010562.93155444</v>
      </c>
      <c r="CW158" s="8">
        <f>+MINVU_Mes_Corriente!CW158*MINVU_Mes_Constante!$CP$1</f>
        <v>329010562.93155444</v>
      </c>
      <c r="CX158" s="8">
        <f>+MINVU_Mes_Corriente!CX158*MINVU_Mes_Constante!$CP$1</f>
        <v>329010562.93155444</v>
      </c>
      <c r="CY158" s="8">
        <f>+MINVU_Mes_Corriente!CY158*MINVU_Mes_Constante!$CP$1</f>
        <v>329010562.93155444</v>
      </c>
      <c r="CZ158" s="8">
        <f>+MINVU_Mes_Corriente!CZ158*MINVU_Mes_Constante!$CP$1</f>
        <v>329010562.93155444</v>
      </c>
      <c r="DA158" s="8">
        <f>+MINVU_Mes_Corriente!DA158*MINVU_Mes_Constante!$CP$1</f>
        <v>329010562.93155444</v>
      </c>
      <c r="DB158" s="9">
        <f t="shared" si="121"/>
        <v>329010562.93155444</v>
      </c>
      <c r="DC158" s="8">
        <f>+MINVU_Mes_Corriente!DC158*MINVU_Mes_Constante!$DC$1</f>
        <v>258463708.24462515</v>
      </c>
      <c r="DD158" s="8">
        <f>+MINVU_Mes_Corriente!DD158*MINVU_Mes_Constante!$DC$1</f>
        <v>258463708.24462515</v>
      </c>
      <c r="DE158" s="8">
        <f>+MINVU_Mes_Corriente!DE158*MINVU_Mes_Constante!$DC$1</f>
        <v>258463708.24462515</v>
      </c>
      <c r="DF158" s="8">
        <f>+MINVU_Mes_Corriente!DF158*MINVU_Mes_Constante!$DC$1</f>
        <v>258463708.24462515</v>
      </c>
      <c r="DG158" s="8">
        <f>+MINVU_Mes_Corriente!DG158*MINVU_Mes_Constante!$DC$1</f>
        <v>258463708.24462515</v>
      </c>
      <c r="DH158" s="8">
        <f>+MINVU_Mes_Corriente!DH158*MINVU_Mes_Constante!$DC$1</f>
        <v>258463708.24462515</v>
      </c>
      <c r="DI158" s="8">
        <f>+MINVU_Mes_Corriente!DI158*MINVU_Mes_Constante!$DC$1</f>
        <v>258463708.24462515</v>
      </c>
      <c r="DJ158" s="8">
        <f>+MINVU_Mes_Corriente!DJ158*MINVU_Mes_Constante!$DC$1</f>
        <v>258463708.24462515</v>
      </c>
      <c r="DK158" s="8">
        <f>+MINVU_Mes_Corriente!DK158*MINVU_Mes_Constante!$DC$1</f>
        <v>258463708.24462515</v>
      </c>
      <c r="DL158" s="8">
        <f>+MINVU_Mes_Corriente!DL158*MINVU_Mes_Constante!$DC$1</f>
        <v>258463708.24462515</v>
      </c>
      <c r="DM158" s="8">
        <f>+MINVU_Mes_Corriente!DM158*MINVU_Mes_Constante!$DC$1</f>
        <v>258463708.24462515</v>
      </c>
      <c r="DN158" s="8">
        <f>+MINVU_Mes_Corriente!DN158*MINVU_Mes_Constante!$DC$1</f>
        <v>258463708.24462515</v>
      </c>
      <c r="DO158" s="9">
        <f t="shared" si="122"/>
        <v>258463708.24462515</v>
      </c>
      <c r="DP158" s="8">
        <f>+MINVU_Mes_Corriente!DP158*MINVU_Mes_Constante!$DP$1</f>
        <v>237720200.10926369</v>
      </c>
      <c r="DQ158" s="8">
        <f>+MINVU_Mes_Corriente!DQ158*MINVU_Mes_Constante!$DP$1</f>
        <v>237720200.10926369</v>
      </c>
      <c r="DR158" s="8">
        <f>+MINVU_Mes_Corriente!DR158*MINVU_Mes_Constante!$DP$1</f>
        <v>237720200.10926369</v>
      </c>
      <c r="DS158" s="8">
        <f>+MINVU_Mes_Corriente!DS158*MINVU_Mes_Constante!$DP$1</f>
        <v>237720200.10926369</v>
      </c>
      <c r="DT158" s="8">
        <f>+MINVU_Mes_Corriente!DT158*MINVU_Mes_Constante!$DP$1</f>
        <v>237720200.10926369</v>
      </c>
      <c r="DU158" s="8">
        <f>+MINVU_Mes_Corriente!DU158*MINVU_Mes_Constante!$DP$1</f>
        <v>237720200.10926369</v>
      </c>
      <c r="DV158" s="8">
        <f>+MINVU_Mes_Corriente!DV158*MINVU_Mes_Constante!$DP$1</f>
        <v>237720200.10926369</v>
      </c>
      <c r="DW158" s="8">
        <f>+MINVU_Mes_Corriente!DW158*MINVU_Mes_Constante!$DP$1</f>
        <v>237720200.10926369</v>
      </c>
      <c r="DX158" s="8">
        <f>+MINVU_Mes_Corriente!DX158*MINVU_Mes_Constante!$DP$1</f>
        <v>237720200.10926369</v>
      </c>
      <c r="DY158" s="8">
        <f>+MINVU_Mes_Corriente!DY158*MINVU_Mes_Constante!$DP$1</f>
        <v>237720200.10926369</v>
      </c>
      <c r="DZ158" s="8">
        <f>+MINVU_Mes_Corriente!DZ158*MINVU_Mes_Constante!$DP$1</f>
        <v>237720200.10926369</v>
      </c>
      <c r="EA158" s="8">
        <f>+MINVU_Mes_Corriente!EA158*MINVU_Mes_Constante!$DP$1</f>
        <v>237720200.10926369</v>
      </c>
      <c r="EB158" s="9">
        <f t="shared" si="123"/>
        <v>237720200.10926369</v>
      </c>
      <c r="EC158" s="8">
        <f>+MINVU_Mes_Corriente!EC158*MINVU_Mes_Constante!$EC$1</f>
        <v>303430681.7723915</v>
      </c>
      <c r="ED158" s="8">
        <f>+MINVU_Mes_Corriente!ED158*MINVU_Mes_Constante!$EC$1</f>
        <v>303430681.7723915</v>
      </c>
      <c r="EE158" s="8">
        <f>+MINVU_Mes_Corriente!EE158*MINVU_Mes_Constante!$EC$1</f>
        <v>303430681.7723915</v>
      </c>
      <c r="EF158" s="8">
        <f>+MINVU_Mes_Corriente!EF158*MINVU_Mes_Constante!$EC$1</f>
        <v>303430681.7723915</v>
      </c>
      <c r="EG158" s="8">
        <f>+MINVU_Mes_Corriente!EG158*MINVU_Mes_Constante!$EC$1</f>
        <v>303430681.7723915</v>
      </c>
      <c r="EH158" s="8">
        <f>+MINVU_Mes_Corriente!EH158*MINVU_Mes_Constante!$EC$1</f>
        <v>303430681.7723915</v>
      </c>
      <c r="EI158" s="8">
        <f>+MINVU_Mes_Corriente!EI158*MINVU_Mes_Constante!$EC$1</f>
        <v>303430681.7723915</v>
      </c>
      <c r="EJ158" s="8">
        <f>+MINVU_Mes_Corriente!EJ158*MINVU_Mes_Constante!$EC$1</f>
        <v>303430681.7723915</v>
      </c>
      <c r="EK158" s="8">
        <f>+MINVU_Mes_Corriente!EK158*MINVU_Mes_Constante!$EC$1</f>
        <v>303430681.7723915</v>
      </c>
      <c r="EL158" s="8">
        <f>+MINVU_Mes_Corriente!EL158*MINVU_Mes_Constante!$EC$1</f>
        <v>303430681.7723915</v>
      </c>
      <c r="EM158" s="8">
        <f>+MINVU_Mes_Corriente!EM158*MINVU_Mes_Constante!$EC$1</f>
        <v>303430681.7723915</v>
      </c>
      <c r="EN158" s="8">
        <f>+MINVU_Mes_Corriente!EN158*MINVU_Mes_Constante!$EC$1</f>
        <v>303430681.7723915</v>
      </c>
      <c r="EO158" s="9">
        <f t="shared" si="124"/>
        <v>303430681.7723915</v>
      </c>
      <c r="EP158" s="8">
        <f>+MINVU_Mes_Corriente!EP158*MINVU_Mes_Constante!$EP$1</f>
        <v>339023824</v>
      </c>
      <c r="EQ158" s="8">
        <f>+MINVU_Mes_Corriente!EQ158*MINVU_Mes_Constante!$EP$1</f>
        <v>339023824</v>
      </c>
      <c r="ER158" s="8">
        <f>+MINVU_Mes_Corriente!ER158*MINVU_Mes_Constante!$EP$1</f>
        <v>339023824</v>
      </c>
      <c r="ES158" s="8">
        <f>+MINVU_Mes_Corriente!ES158*MINVU_Mes_Constante!$EP$1</f>
        <v>339023824</v>
      </c>
      <c r="ET158" s="8">
        <f>+MINVU_Mes_Corriente!ET158*MINVU_Mes_Constante!$EP$1</f>
        <v>339023824</v>
      </c>
      <c r="EU158" s="8">
        <f>+MINVU_Mes_Corriente!EU158*MINVU_Mes_Constante!$EP$1</f>
        <v>339023824</v>
      </c>
      <c r="EV158" s="8">
        <f>+MINVU_Mes_Corriente!EV158*MINVU_Mes_Constante!$EP$1</f>
        <v>339023824</v>
      </c>
      <c r="EW158" s="8">
        <f>+MINVU_Mes_Corriente!EW158*MINVU_Mes_Constante!$EP$1</f>
        <v>339023824</v>
      </c>
      <c r="EX158" s="8">
        <f>+MINVU_Mes_Corriente!EX158*MINVU_Mes_Constante!$EP$1</f>
        <v>339023824</v>
      </c>
      <c r="EY158" s="8">
        <f>+MINVU_Mes_Corriente!EY158*MINVU_Mes_Constante!$EP$1</f>
        <v>339023824</v>
      </c>
      <c r="EZ158" s="8">
        <f>+MINVU_Mes_Corriente!EZ158*MINVU_Mes_Constante!$EP$1</f>
        <v>339023824</v>
      </c>
      <c r="FA158" s="8">
        <f>+MINVU_Mes_Corriente!FA158*MINVU_Mes_Constante!$EP$1</f>
        <v>339023824</v>
      </c>
      <c r="FB158" s="9">
        <f t="shared" si="125"/>
        <v>339023824</v>
      </c>
      <c r="FC158" s="8">
        <f>+MINVU_Mes_Corriente!FC158*MINVU_Mes_Constante!$FC$1</f>
        <v>343891426</v>
      </c>
      <c r="FD158" s="8">
        <f>+MINVU_Mes_Corriente!FD158*MINVU_Mes_Constante!$FC$1</f>
        <v>343891426</v>
      </c>
      <c r="FE158" s="8">
        <f>+MINVU_Mes_Corriente!FE158*MINVU_Mes_Constante!$FC$1</f>
        <v>343891426</v>
      </c>
      <c r="FF158" s="8">
        <f>+MINVU_Mes_Corriente!FF158*MINVU_Mes_Constante!$FC$1</f>
        <v>343891426</v>
      </c>
      <c r="FG158" s="8">
        <f>+MINVU_Mes_Corriente!FG158*MINVU_Mes_Constante!$FC$1</f>
        <v>343891426</v>
      </c>
      <c r="FH158" s="8">
        <f>+MINVU_Mes_Corriente!FH158*MINVU_Mes_Constante!$FC$1</f>
        <v>343891426</v>
      </c>
      <c r="FI158" s="8">
        <f>+MINVU_Mes_Corriente!FI158*MINVU_Mes_Constante!$FC$1</f>
        <v>343891426</v>
      </c>
      <c r="FJ158" s="8"/>
      <c r="FK158" s="8"/>
      <c r="FL158" s="8"/>
      <c r="FM158" s="8"/>
      <c r="FN158" s="8"/>
      <c r="FO158" s="9">
        <f t="shared" si="126"/>
        <v>343891426</v>
      </c>
    </row>
    <row r="159" spans="2:171" ht="14.25" customHeight="1" x14ac:dyDescent="0.3">
      <c r="B159" s="7" t="s">
        <v>56</v>
      </c>
      <c r="C159" s="8">
        <f>+MINVU_Mes_Corriente!C159*MINVU_Mes_Constante!$C$1</f>
        <v>99522670.375203937</v>
      </c>
      <c r="D159" s="8">
        <f>+MINVU_Mes_Corriente!D159*MINVU_Mes_Constante!$C$1</f>
        <v>99522670.375203937</v>
      </c>
      <c r="E159" s="8">
        <f>+MINVU_Mes_Corriente!E159*MINVU_Mes_Constante!$C$1</f>
        <v>99522670.375203937</v>
      </c>
      <c r="F159" s="8">
        <f>+MINVU_Mes_Corriente!F159*MINVU_Mes_Constante!$C$1</f>
        <v>99522670.375203937</v>
      </c>
      <c r="G159" s="8">
        <f>+MINVU_Mes_Corriente!G159*MINVU_Mes_Constante!$C$1</f>
        <v>99522670.375203937</v>
      </c>
      <c r="H159" s="8">
        <f>+MINVU_Mes_Corriente!H159*MINVU_Mes_Constante!$C$1</f>
        <v>99522670.375203937</v>
      </c>
      <c r="I159" s="8">
        <f>+MINVU_Mes_Corriente!I159*MINVU_Mes_Constante!$C$1</f>
        <v>99522670.375203937</v>
      </c>
      <c r="J159" s="8">
        <f>+MINVU_Mes_Corriente!J159*MINVU_Mes_Constante!$C$1</f>
        <v>99522670.375203937</v>
      </c>
      <c r="K159" s="8">
        <f>+MINVU_Mes_Corriente!K159*MINVU_Mes_Constante!$C$1</f>
        <v>99522670.375203937</v>
      </c>
      <c r="L159" s="8">
        <f>+MINVU_Mes_Corriente!L159*MINVU_Mes_Constante!$C$1</f>
        <v>99522670.375203937</v>
      </c>
      <c r="M159" s="8">
        <f>+MINVU_Mes_Corriente!M159*MINVU_Mes_Constante!$C$1</f>
        <v>99522670.375203937</v>
      </c>
      <c r="N159" s="8">
        <f>+MINVU_Mes_Corriente!N159*MINVU_Mes_Constante!$C$1</f>
        <v>99522670.375203937</v>
      </c>
      <c r="O159" s="9">
        <f t="shared" si="114"/>
        <v>99522670.375203937</v>
      </c>
      <c r="P159" s="8">
        <f>+MINVU_Mes_Corriente!P159*MINVU_Mes_Constante!$P$1</f>
        <v>128097192.34351465</v>
      </c>
      <c r="Q159" s="8">
        <f>+MINVU_Mes_Corriente!Q159*MINVU_Mes_Constante!$P$1</f>
        <v>128097192.34351465</v>
      </c>
      <c r="R159" s="8">
        <f>+MINVU_Mes_Corriente!R159*MINVU_Mes_Constante!$P$1</f>
        <v>128097192.34351465</v>
      </c>
      <c r="S159" s="8">
        <f>+MINVU_Mes_Corriente!S159*MINVU_Mes_Constante!$P$1</f>
        <v>128097192.34351465</v>
      </c>
      <c r="T159" s="8">
        <f>+MINVU_Mes_Corriente!T159*MINVU_Mes_Constante!$P$1</f>
        <v>128097192.34351465</v>
      </c>
      <c r="U159" s="8">
        <f>+MINVU_Mes_Corriente!U159*MINVU_Mes_Constante!$P$1</f>
        <v>128097192.34351465</v>
      </c>
      <c r="V159" s="8">
        <f>+MINVU_Mes_Corriente!V159*MINVU_Mes_Constante!$P$1</f>
        <v>128097192.34351465</v>
      </c>
      <c r="W159" s="8">
        <f>+MINVU_Mes_Corriente!W159*MINVU_Mes_Constante!$P$1</f>
        <v>128097192.34351465</v>
      </c>
      <c r="X159" s="8">
        <f>+MINVU_Mes_Corriente!X159*MINVU_Mes_Constante!$P$1</f>
        <v>128097192.34351465</v>
      </c>
      <c r="Y159" s="8">
        <f>+MINVU_Mes_Corriente!Y159*MINVU_Mes_Constante!$P$1</f>
        <v>128097192.34351465</v>
      </c>
      <c r="Z159" s="8">
        <f>+MINVU_Mes_Corriente!Z159*MINVU_Mes_Constante!$P$1</f>
        <v>128097192.34351465</v>
      </c>
      <c r="AA159" s="8">
        <f>+MINVU_Mes_Corriente!AA159*MINVU_Mes_Constante!$P$1</f>
        <v>128097192.34351465</v>
      </c>
      <c r="AB159" s="9">
        <f t="shared" si="115"/>
        <v>128097192.34351465</v>
      </c>
      <c r="AC159" s="8">
        <f>+MINVU_Mes_Corriente!AC159*MINVU_Mes_Constante!$AC$1</f>
        <v>135313999.9454973</v>
      </c>
      <c r="AD159" s="8">
        <f>+MINVU_Mes_Corriente!AD159*MINVU_Mes_Constante!$AC$1</f>
        <v>135313999.9454973</v>
      </c>
      <c r="AE159" s="8">
        <f>+MINVU_Mes_Corriente!AE159*MINVU_Mes_Constante!$AC$1</f>
        <v>135313999.9454973</v>
      </c>
      <c r="AF159" s="8">
        <f>+MINVU_Mes_Corriente!AF159*MINVU_Mes_Constante!$AC$1</f>
        <v>135313999.9454973</v>
      </c>
      <c r="AG159" s="8">
        <f>+MINVU_Mes_Corriente!AG159*MINVU_Mes_Constante!$AC$1</f>
        <v>135313999.9454973</v>
      </c>
      <c r="AH159" s="8">
        <f>+MINVU_Mes_Corriente!AH159*MINVU_Mes_Constante!$AC$1</f>
        <v>135313999.9454973</v>
      </c>
      <c r="AI159" s="8">
        <f>+MINVU_Mes_Corriente!AI159*MINVU_Mes_Constante!$AC$1</f>
        <v>135313999.9454973</v>
      </c>
      <c r="AJ159" s="8">
        <f>+MINVU_Mes_Corriente!AJ159*MINVU_Mes_Constante!$AC$1</f>
        <v>135313999.9454973</v>
      </c>
      <c r="AK159" s="8">
        <f>+MINVU_Mes_Corriente!AK159*MINVU_Mes_Constante!$AC$1</f>
        <v>135313999.9454973</v>
      </c>
      <c r="AL159" s="8">
        <f>+MINVU_Mes_Corriente!AL159*MINVU_Mes_Constante!$AC$1</f>
        <v>135313999.9454973</v>
      </c>
      <c r="AM159" s="8">
        <f>+MINVU_Mes_Corriente!AM159*MINVU_Mes_Constante!$AC$1</f>
        <v>135313999.9454973</v>
      </c>
      <c r="AN159" s="8">
        <f>+MINVU_Mes_Corriente!AN159*MINVU_Mes_Constante!$AC$1</f>
        <v>135313999.9454973</v>
      </c>
      <c r="AO159" s="9">
        <f t="shared" si="116"/>
        <v>135313999.9454973</v>
      </c>
      <c r="AP159" s="8">
        <f>+MINVU_Mes_Corriente!AP159*MINVU_Mes_Constante!$AP$1</f>
        <v>218194395.44596237</v>
      </c>
      <c r="AQ159" s="8">
        <f>+MINVU_Mes_Corriente!AQ159*MINVU_Mes_Constante!$AP$1</f>
        <v>218194395.44596237</v>
      </c>
      <c r="AR159" s="8">
        <f>+MINVU_Mes_Corriente!AR159*MINVU_Mes_Constante!$AP$1</f>
        <v>218194395.44596237</v>
      </c>
      <c r="AS159" s="8">
        <f>+MINVU_Mes_Corriente!AS159*MINVU_Mes_Constante!$AP$1</f>
        <v>218194395.44596237</v>
      </c>
      <c r="AT159" s="8">
        <f>+MINVU_Mes_Corriente!AT159*MINVU_Mes_Constante!$AP$1</f>
        <v>218194395.44596237</v>
      </c>
      <c r="AU159" s="8">
        <f>+MINVU_Mes_Corriente!AU159*MINVU_Mes_Constante!$AP$1</f>
        <v>218194395.44596237</v>
      </c>
      <c r="AV159" s="8">
        <f>+MINVU_Mes_Corriente!AV159*MINVU_Mes_Constante!$AP$1</f>
        <v>218194395.44596237</v>
      </c>
      <c r="AW159" s="8">
        <f>+MINVU_Mes_Corriente!AW159*MINVU_Mes_Constante!$AP$1</f>
        <v>218194395.44596237</v>
      </c>
      <c r="AX159" s="8">
        <f>+MINVU_Mes_Corriente!AX159*MINVU_Mes_Constante!$AP$1</f>
        <v>218194395.44596237</v>
      </c>
      <c r="AY159" s="8">
        <f>+MINVU_Mes_Corriente!AY159*MINVU_Mes_Constante!$AP$1</f>
        <v>218194395.44596237</v>
      </c>
      <c r="AZ159" s="8">
        <f>+MINVU_Mes_Corriente!AZ159*MINVU_Mes_Constante!$AP$1</f>
        <v>218194395.44596237</v>
      </c>
      <c r="BA159" s="8">
        <f>+MINVU_Mes_Corriente!BA159*MINVU_Mes_Constante!$AP$1</f>
        <v>218194395.44596237</v>
      </c>
      <c r="BB159" s="9">
        <f t="shared" si="117"/>
        <v>218194395.44596237</v>
      </c>
      <c r="BC159" s="8">
        <f>+MINVU_Mes_Corriente!BC159*MINVU_Mes_Constante!$BC$1</f>
        <v>188643030.94553611</v>
      </c>
      <c r="BD159" s="8">
        <f>+MINVU_Mes_Corriente!BD159*MINVU_Mes_Constante!$BC$1</f>
        <v>188643030.94553611</v>
      </c>
      <c r="BE159" s="8">
        <f>+MINVU_Mes_Corriente!BE159*MINVU_Mes_Constante!$BC$1</f>
        <v>188643030.94553611</v>
      </c>
      <c r="BF159" s="8">
        <f>+MINVU_Mes_Corriente!BF159*MINVU_Mes_Constante!$BC$1</f>
        <v>188643030.94553611</v>
      </c>
      <c r="BG159" s="8">
        <f>+MINVU_Mes_Corriente!BG159*MINVU_Mes_Constante!$BC$1</f>
        <v>188643030.94553611</v>
      </c>
      <c r="BH159" s="8">
        <f>+MINVU_Mes_Corriente!BH159*MINVU_Mes_Constante!$BC$1</f>
        <v>188643030.94553611</v>
      </c>
      <c r="BI159" s="8">
        <f>+MINVU_Mes_Corriente!BI159*MINVU_Mes_Constante!$BC$1</f>
        <v>188643030.94553611</v>
      </c>
      <c r="BJ159" s="8">
        <f>+MINVU_Mes_Corriente!BJ159*MINVU_Mes_Constante!$BC$1</f>
        <v>188643030.94553611</v>
      </c>
      <c r="BK159" s="8">
        <f>+MINVU_Mes_Corriente!BK159*MINVU_Mes_Constante!$BC$1</f>
        <v>188643030.94553611</v>
      </c>
      <c r="BL159" s="8">
        <f>+MINVU_Mes_Corriente!BL159*MINVU_Mes_Constante!$BC$1</f>
        <v>188643030.94553611</v>
      </c>
      <c r="BM159" s="8">
        <f>+MINVU_Mes_Corriente!BM159*MINVU_Mes_Constante!$BC$1</f>
        <v>188643030.94553611</v>
      </c>
      <c r="BN159" s="8">
        <f>+MINVU_Mes_Corriente!BN159*MINVU_Mes_Constante!$BC$1</f>
        <v>188643030.94553611</v>
      </c>
      <c r="BO159" s="9">
        <f t="shared" si="118"/>
        <v>188643030.94553611</v>
      </c>
      <c r="BP159" s="8">
        <f>+MINVU_Mes_Corriente!BP159*MINVU_Mes_Constante!$BP$1</f>
        <v>219406760.31549299</v>
      </c>
      <c r="BQ159" s="8">
        <f>+MINVU_Mes_Corriente!BQ159*MINVU_Mes_Constante!$BP$1</f>
        <v>219406760.31549299</v>
      </c>
      <c r="BR159" s="8">
        <f>+MINVU_Mes_Corriente!BR159*MINVU_Mes_Constante!$BP$1</f>
        <v>219406760.31549299</v>
      </c>
      <c r="BS159" s="8">
        <f>+MINVU_Mes_Corriente!BS159*MINVU_Mes_Constante!$BP$1</f>
        <v>219406760.31549299</v>
      </c>
      <c r="BT159" s="8">
        <f>+MINVU_Mes_Corriente!BT159*MINVU_Mes_Constante!$BP$1</f>
        <v>219406760.31549299</v>
      </c>
      <c r="BU159" s="8">
        <f>+MINVU_Mes_Corriente!BU159*MINVU_Mes_Constante!$BP$1</f>
        <v>219406760.31549299</v>
      </c>
      <c r="BV159" s="8">
        <f>+MINVU_Mes_Corriente!BV159*MINVU_Mes_Constante!$BP$1</f>
        <v>219406760.31549299</v>
      </c>
      <c r="BW159" s="8">
        <f>+MINVU_Mes_Corriente!BW159*MINVU_Mes_Constante!$BP$1</f>
        <v>219406760.31549299</v>
      </c>
      <c r="BX159" s="8">
        <f>+MINVU_Mes_Corriente!BX159*MINVU_Mes_Constante!$BP$1</f>
        <v>219406760.31549299</v>
      </c>
      <c r="BY159" s="8">
        <f>+MINVU_Mes_Corriente!BY159*MINVU_Mes_Constante!$BP$1</f>
        <v>219406760.31549299</v>
      </c>
      <c r="BZ159" s="8">
        <f>+MINVU_Mes_Corriente!BZ159*MINVU_Mes_Constante!$BP$1</f>
        <v>219406760.31549299</v>
      </c>
      <c r="CA159" s="8">
        <f>+MINVU_Mes_Corriente!CA159*MINVU_Mes_Constante!$BP$1</f>
        <v>219406760.31549299</v>
      </c>
      <c r="CB159" s="9">
        <f t="shared" si="119"/>
        <v>219406760.31549299</v>
      </c>
      <c r="CC159" s="8">
        <f>+MINVU_Mes_Corriente!CC159*MINVU_Mes_Constante!$CC$1</f>
        <v>218838624.05818728</v>
      </c>
      <c r="CD159" s="8">
        <f>+MINVU_Mes_Corriente!CD159*MINVU_Mes_Constante!$CC$1</f>
        <v>218838624.05818728</v>
      </c>
      <c r="CE159" s="8">
        <f>+MINVU_Mes_Corriente!CE159*MINVU_Mes_Constante!$CC$1</f>
        <v>218838624.05818728</v>
      </c>
      <c r="CF159" s="8">
        <f>+MINVU_Mes_Corriente!CF159*MINVU_Mes_Constante!$CC$1</f>
        <v>218838624.05818728</v>
      </c>
      <c r="CG159" s="8">
        <f>+MINVU_Mes_Corriente!CG159*MINVU_Mes_Constante!$CC$1</f>
        <v>218838624.05818728</v>
      </c>
      <c r="CH159" s="8">
        <f>+MINVU_Mes_Corriente!CH159*MINVU_Mes_Constante!$CC$1</f>
        <v>218838624.05818728</v>
      </c>
      <c r="CI159" s="8">
        <f>+MINVU_Mes_Corriente!CI159*MINVU_Mes_Constante!$CC$1</f>
        <v>218838624.05818728</v>
      </c>
      <c r="CJ159" s="8">
        <f>+MINVU_Mes_Corriente!CJ159*MINVU_Mes_Constante!$CC$1</f>
        <v>218838624.05818728</v>
      </c>
      <c r="CK159" s="8">
        <f>+MINVU_Mes_Corriente!CK159*MINVU_Mes_Constante!$CC$1</f>
        <v>218838624.05818728</v>
      </c>
      <c r="CL159" s="8">
        <f>+MINVU_Mes_Corriente!CL159*MINVU_Mes_Constante!$CC$1</f>
        <v>218838624.05818728</v>
      </c>
      <c r="CM159" s="8">
        <f>+MINVU_Mes_Corriente!CM159*MINVU_Mes_Constante!$CC$1</f>
        <v>218838624.05818728</v>
      </c>
      <c r="CN159" s="8">
        <f>+MINVU_Mes_Corriente!CN159*MINVU_Mes_Constante!$CC$1</f>
        <v>218838624.05818728</v>
      </c>
      <c r="CO159" s="9">
        <f t="shared" si="120"/>
        <v>218838624.05818728</v>
      </c>
      <c r="CP159" s="8">
        <f>+MINVU_Mes_Corriente!CP159*MINVU_Mes_Constante!$CP$1</f>
        <v>227976526.51600924</v>
      </c>
      <c r="CQ159" s="8">
        <f>+MINVU_Mes_Corriente!CQ159*MINVU_Mes_Constante!$CP$1</f>
        <v>227976526.51600924</v>
      </c>
      <c r="CR159" s="8">
        <f>+MINVU_Mes_Corriente!CR159*MINVU_Mes_Constante!$CP$1</f>
        <v>227976526.51600924</v>
      </c>
      <c r="CS159" s="8">
        <f>+MINVU_Mes_Corriente!CS159*MINVU_Mes_Constante!$CP$1</f>
        <v>227976526.51600924</v>
      </c>
      <c r="CT159" s="8">
        <f>+MINVU_Mes_Corriente!CT159*MINVU_Mes_Constante!$CP$1</f>
        <v>227976526.51600924</v>
      </c>
      <c r="CU159" s="8">
        <f>+MINVU_Mes_Corriente!CU159*MINVU_Mes_Constante!$CP$1</f>
        <v>227976526.51600924</v>
      </c>
      <c r="CV159" s="8">
        <f>+MINVU_Mes_Corriente!CV159*MINVU_Mes_Constante!$CP$1</f>
        <v>227976526.51600924</v>
      </c>
      <c r="CW159" s="8">
        <f>+MINVU_Mes_Corriente!CW159*MINVU_Mes_Constante!$CP$1</f>
        <v>227976526.51600924</v>
      </c>
      <c r="CX159" s="8">
        <f>+MINVU_Mes_Corriente!CX159*MINVU_Mes_Constante!$CP$1</f>
        <v>227976526.51600924</v>
      </c>
      <c r="CY159" s="8">
        <f>+MINVU_Mes_Corriente!CY159*MINVU_Mes_Constante!$CP$1</f>
        <v>227976526.51600924</v>
      </c>
      <c r="CZ159" s="8">
        <f>+MINVU_Mes_Corriente!CZ159*MINVU_Mes_Constante!$CP$1</f>
        <v>227976526.51600924</v>
      </c>
      <c r="DA159" s="8">
        <f>+MINVU_Mes_Corriente!DA159*MINVU_Mes_Constante!$CP$1</f>
        <v>227976526.51600924</v>
      </c>
      <c r="DB159" s="9">
        <f t="shared" si="121"/>
        <v>227976526.51600924</v>
      </c>
      <c r="DC159" s="8">
        <f>+MINVU_Mes_Corriente!DC159*MINVU_Mes_Constante!$DC$1</f>
        <v>178297193.76730797</v>
      </c>
      <c r="DD159" s="8">
        <f>+MINVU_Mes_Corriente!DD159*MINVU_Mes_Constante!$DC$1</f>
        <v>178297193.76730797</v>
      </c>
      <c r="DE159" s="8">
        <f>+MINVU_Mes_Corriente!DE159*MINVU_Mes_Constante!$DC$1</f>
        <v>178297193.76730797</v>
      </c>
      <c r="DF159" s="8">
        <f>+MINVU_Mes_Corriente!DF159*MINVU_Mes_Constante!$DC$1</f>
        <v>178297193.76730797</v>
      </c>
      <c r="DG159" s="8">
        <f>+MINVU_Mes_Corriente!DG159*MINVU_Mes_Constante!$DC$1</f>
        <v>178297193.76730797</v>
      </c>
      <c r="DH159" s="8">
        <f>+MINVU_Mes_Corriente!DH159*MINVU_Mes_Constante!$DC$1</f>
        <v>178297193.76730797</v>
      </c>
      <c r="DI159" s="8">
        <f>+MINVU_Mes_Corriente!DI159*MINVU_Mes_Constante!$DC$1</f>
        <v>178297193.76730797</v>
      </c>
      <c r="DJ159" s="8">
        <f>+MINVU_Mes_Corriente!DJ159*MINVU_Mes_Constante!$DC$1</f>
        <v>178297193.76730797</v>
      </c>
      <c r="DK159" s="8">
        <f>+MINVU_Mes_Corriente!DK159*MINVU_Mes_Constante!$DC$1</f>
        <v>178297193.76730797</v>
      </c>
      <c r="DL159" s="8">
        <f>+MINVU_Mes_Corriente!DL159*MINVU_Mes_Constante!$DC$1</f>
        <v>178297193.76730797</v>
      </c>
      <c r="DM159" s="8">
        <f>+MINVU_Mes_Corriente!DM159*MINVU_Mes_Constante!$DC$1</f>
        <v>178297193.76730797</v>
      </c>
      <c r="DN159" s="8">
        <f>+MINVU_Mes_Corriente!DN159*MINVU_Mes_Constante!$DC$1</f>
        <v>178297193.76730797</v>
      </c>
      <c r="DO159" s="9">
        <f t="shared" si="122"/>
        <v>178297193.76730797</v>
      </c>
      <c r="DP159" s="8">
        <f>+MINVU_Mes_Corriente!DP159*MINVU_Mes_Constante!$DP$1</f>
        <v>210644983.85273162</v>
      </c>
      <c r="DQ159" s="8">
        <f>+MINVU_Mes_Corriente!DQ159*MINVU_Mes_Constante!$DP$1</f>
        <v>210644983.85273162</v>
      </c>
      <c r="DR159" s="8">
        <f>+MINVU_Mes_Corriente!DR159*MINVU_Mes_Constante!$DP$1</f>
        <v>210644983.85273162</v>
      </c>
      <c r="DS159" s="8">
        <f>+MINVU_Mes_Corriente!DS159*MINVU_Mes_Constante!$DP$1</f>
        <v>210644983.85273162</v>
      </c>
      <c r="DT159" s="8">
        <f>+MINVU_Mes_Corriente!DT159*MINVU_Mes_Constante!$DP$1</f>
        <v>210644983.85273162</v>
      </c>
      <c r="DU159" s="8">
        <f>+MINVU_Mes_Corriente!DU159*MINVU_Mes_Constante!$DP$1</f>
        <v>210644983.85273162</v>
      </c>
      <c r="DV159" s="8">
        <f>+MINVU_Mes_Corriente!DV159*MINVU_Mes_Constante!$DP$1</f>
        <v>210644983.85273162</v>
      </c>
      <c r="DW159" s="8">
        <f>+MINVU_Mes_Corriente!DW159*MINVU_Mes_Constante!$DP$1</f>
        <v>210644983.85273162</v>
      </c>
      <c r="DX159" s="8">
        <f>+MINVU_Mes_Corriente!DX159*MINVU_Mes_Constante!$DP$1</f>
        <v>210644983.85273162</v>
      </c>
      <c r="DY159" s="8">
        <f>+MINVU_Mes_Corriente!DY159*MINVU_Mes_Constante!$DP$1</f>
        <v>210644983.85273162</v>
      </c>
      <c r="DZ159" s="8">
        <f>+MINVU_Mes_Corriente!DZ159*MINVU_Mes_Constante!$DP$1</f>
        <v>210644983.85273162</v>
      </c>
      <c r="EA159" s="8">
        <f>+MINVU_Mes_Corriente!EA159*MINVU_Mes_Constante!$DP$1</f>
        <v>210644983.85273162</v>
      </c>
      <c r="EB159" s="9">
        <f t="shared" si="123"/>
        <v>210644983.85273162</v>
      </c>
      <c r="EC159" s="8">
        <f>+MINVU_Mes_Corriente!EC159*MINVU_Mes_Constante!$EC$1</f>
        <v>258364023.78280622</v>
      </c>
      <c r="ED159" s="8">
        <f>+MINVU_Mes_Corriente!ED159*MINVU_Mes_Constante!$EC$1</f>
        <v>258364023.78280622</v>
      </c>
      <c r="EE159" s="8">
        <f>+MINVU_Mes_Corriente!EE159*MINVU_Mes_Constante!$EC$1</f>
        <v>258364023.78280622</v>
      </c>
      <c r="EF159" s="8">
        <f>+MINVU_Mes_Corriente!EF159*MINVU_Mes_Constante!$EC$1</f>
        <v>258364023.78280622</v>
      </c>
      <c r="EG159" s="8">
        <f>+MINVU_Mes_Corriente!EG159*MINVU_Mes_Constante!$EC$1</f>
        <v>258364023.78280622</v>
      </c>
      <c r="EH159" s="8">
        <f>+MINVU_Mes_Corriente!EH159*MINVU_Mes_Constante!$EC$1</f>
        <v>258364023.78280622</v>
      </c>
      <c r="EI159" s="8">
        <f>+MINVU_Mes_Corriente!EI159*MINVU_Mes_Constante!$EC$1</f>
        <v>258364023.78280622</v>
      </c>
      <c r="EJ159" s="8">
        <f>+MINVU_Mes_Corriente!EJ159*MINVU_Mes_Constante!$EC$1</f>
        <v>258364023.78280622</v>
      </c>
      <c r="EK159" s="8">
        <f>+MINVU_Mes_Corriente!EK159*MINVU_Mes_Constante!$EC$1</f>
        <v>258364023.78280622</v>
      </c>
      <c r="EL159" s="8">
        <f>+MINVU_Mes_Corriente!EL159*MINVU_Mes_Constante!$EC$1</f>
        <v>258364023.78280622</v>
      </c>
      <c r="EM159" s="8">
        <f>+MINVU_Mes_Corriente!EM159*MINVU_Mes_Constante!$EC$1</f>
        <v>258364023.78280622</v>
      </c>
      <c r="EN159" s="8">
        <f>+MINVU_Mes_Corriente!EN159*MINVU_Mes_Constante!$EC$1</f>
        <v>258364023.78280622</v>
      </c>
      <c r="EO159" s="9">
        <f t="shared" si="124"/>
        <v>258364023.78280622</v>
      </c>
      <c r="EP159" s="8">
        <f>+MINVU_Mes_Corriente!EP159*MINVU_Mes_Constante!$EP$1</f>
        <v>284310890</v>
      </c>
      <c r="EQ159" s="8">
        <f>+MINVU_Mes_Corriente!EQ159*MINVU_Mes_Constante!$EP$1</f>
        <v>284310890</v>
      </c>
      <c r="ER159" s="8">
        <f>+MINVU_Mes_Corriente!ER159*MINVU_Mes_Constante!$EP$1</f>
        <v>284310890</v>
      </c>
      <c r="ES159" s="8">
        <f>+MINVU_Mes_Corriente!ES159*MINVU_Mes_Constante!$EP$1</f>
        <v>284310890</v>
      </c>
      <c r="ET159" s="8">
        <f>+MINVU_Mes_Corriente!ET159*MINVU_Mes_Constante!$EP$1</f>
        <v>284310890</v>
      </c>
      <c r="EU159" s="8">
        <f>+MINVU_Mes_Corriente!EU159*MINVU_Mes_Constante!$EP$1</f>
        <v>284310890</v>
      </c>
      <c r="EV159" s="8">
        <f>+MINVU_Mes_Corriente!EV159*MINVU_Mes_Constante!$EP$1</f>
        <v>284310890</v>
      </c>
      <c r="EW159" s="8">
        <f>+MINVU_Mes_Corriente!EW159*MINVU_Mes_Constante!$EP$1</f>
        <v>284310890</v>
      </c>
      <c r="EX159" s="8">
        <f>+MINVU_Mes_Corriente!EX159*MINVU_Mes_Constante!$EP$1</f>
        <v>284310890</v>
      </c>
      <c r="EY159" s="8">
        <f>+MINVU_Mes_Corriente!EY159*MINVU_Mes_Constante!$EP$1</f>
        <v>284310890</v>
      </c>
      <c r="EZ159" s="8">
        <f>+MINVU_Mes_Corriente!EZ159*MINVU_Mes_Constante!$EP$1</f>
        <v>284310890</v>
      </c>
      <c r="FA159" s="8">
        <f>+MINVU_Mes_Corriente!FA159*MINVU_Mes_Constante!$EP$1</f>
        <v>284310890</v>
      </c>
      <c r="FB159" s="9">
        <f t="shared" si="125"/>
        <v>284310890</v>
      </c>
      <c r="FC159" s="8">
        <f>+MINVU_Mes_Corriente!FC159*MINVU_Mes_Constante!$FC$1</f>
        <v>280082307</v>
      </c>
      <c r="FD159" s="8">
        <f>+MINVU_Mes_Corriente!FD159*MINVU_Mes_Constante!$FC$1</f>
        <v>280082307</v>
      </c>
      <c r="FE159" s="8">
        <f>+MINVU_Mes_Corriente!FE159*MINVU_Mes_Constante!$FC$1</f>
        <v>280082307</v>
      </c>
      <c r="FF159" s="8">
        <f>+MINVU_Mes_Corriente!FF159*MINVU_Mes_Constante!$FC$1</f>
        <v>280082307</v>
      </c>
      <c r="FG159" s="8">
        <f>+MINVU_Mes_Corriente!FG159*MINVU_Mes_Constante!$FC$1</f>
        <v>280082307</v>
      </c>
      <c r="FH159" s="8">
        <f>+MINVU_Mes_Corriente!FH159*MINVU_Mes_Constante!$FC$1</f>
        <v>280082307</v>
      </c>
      <c r="FI159" s="8">
        <f>+MINVU_Mes_Corriente!FI159*MINVU_Mes_Constante!$FC$1</f>
        <v>280082307</v>
      </c>
      <c r="FJ159" s="8"/>
      <c r="FK159" s="8"/>
      <c r="FL159" s="8"/>
      <c r="FM159" s="8"/>
      <c r="FN159" s="8"/>
      <c r="FO159" s="9">
        <f t="shared" si="126"/>
        <v>280082307</v>
      </c>
    </row>
    <row r="160" spans="2:171" ht="14.25" customHeight="1" x14ac:dyDescent="0.3">
      <c r="B160" s="7" t="s">
        <v>57</v>
      </c>
      <c r="C160" s="8">
        <f>+MINVU_Mes_Corriente!C160*MINVU_Mes_Constante!$C$1</f>
        <v>25676121.064511348</v>
      </c>
      <c r="D160" s="8">
        <f>+MINVU_Mes_Corriente!D160*MINVU_Mes_Constante!$C$1</f>
        <v>25676121.064511348</v>
      </c>
      <c r="E160" s="8">
        <f>+MINVU_Mes_Corriente!E160*MINVU_Mes_Constante!$C$1</f>
        <v>25676121.064511348</v>
      </c>
      <c r="F160" s="8">
        <f>+MINVU_Mes_Corriente!F160*MINVU_Mes_Constante!$C$1</f>
        <v>25676121.064511348</v>
      </c>
      <c r="G160" s="8">
        <f>+MINVU_Mes_Corriente!G160*MINVU_Mes_Constante!$C$1</f>
        <v>25676121.064511348</v>
      </c>
      <c r="H160" s="8">
        <f>+MINVU_Mes_Corriente!H160*MINVU_Mes_Constante!$C$1</f>
        <v>25676121.064511348</v>
      </c>
      <c r="I160" s="8">
        <f>+MINVU_Mes_Corriente!I160*MINVU_Mes_Constante!$C$1</f>
        <v>25676121.064511348</v>
      </c>
      <c r="J160" s="8">
        <f>+MINVU_Mes_Corriente!J160*MINVU_Mes_Constante!$C$1</f>
        <v>25676121.064511348</v>
      </c>
      <c r="K160" s="8">
        <f>+MINVU_Mes_Corriente!K160*MINVU_Mes_Constante!$C$1</f>
        <v>25676121.064511348</v>
      </c>
      <c r="L160" s="8">
        <f>+MINVU_Mes_Corriente!L160*MINVU_Mes_Constante!$C$1</f>
        <v>25676121.064511348</v>
      </c>
      <c r="M160" s="8">
        <f>+MINVU_Mes_Corriente!M160*MINVU_Mes_Constante!$C$1</f>
        <v>25676121.064511348</v>
      </c>
      <c r="N160" s="8">
        <f>+MINVU_Mes_Corriente!N160*MINVU_Mes_Constante!$C$1</f>
        <v>25676121.064511348</v>
      </c>
      <c r="O160" s="9">
        <f t="shared" si="114"/>
        <v>25676121.064511348</v>
      </c>
      <c r="P160" s="8">
        <f>+MINVU_Mes_Corriente!P160*MINVU_Mes_Constante!$P$1</f>
        <v>44922943.613581456</v>
      </c>
      <c r="Q160" s="8">
        <f>+MINVU_Mes_Corriente!Q160*MINVU_Mes_Constante!$P$1</f>
        <v>44922943.613581456</v>
      </c>
      <c r="R160" s="8">
        <f>+MINVU_Mes_Corriente!R160*MINVU_Mes_Constante!$P$1</f>
        <v>44922943.613581456</v>
      </c>
      <c r="S160" s="8">
        <f>+MINVU_Mes_Corriente!S160*MINVU_Mes_Constante!$P$1</f>
        <v>44922943.613581456</v>
      </c>
      <c r="T160" s="8">
        <f>+MINVU_Mes_Corriente!T160*MINVU_Mes_Constante!$P$1</f>
        <v>44922943.613581456</v>
      </c>
      <c r="U160" s="8">
        <f>+MINVU_Mes_Corriente!U160*MINVU_Mes_Constante!$P$1</f>
        <v>44922943.613581456</v>
      </c>
      <c r="V160" s="8">
        <f>+MINVU_Mes_Corriente!V160*MINVU_Mes_Constante!$P$1</f>
        <v>44922943.613581456</v>
      </c>
      <c r="W160" s="8">
        <f>+MINVU_Mes_Corriente!W160*MINVU_Mes_Constante!$P$1</f>
        <v>44922943.613581456</v>
      </c>
      <c r="X160" s="8">
        <f>+MINVU_Mes_Corriente!X160*MINVU_Mes_Constante!$P$1</f>
        <v>44922943.613581456</v>
      </c>
      <c r="Y160" s="8">
        <f>+MINVU_Mes_Corriente!Y160*MINVU_Mes_Constante!$P$1</f>
        <v>44922943.613581456</v>
      </c>
      <c r="Z160" s="8">
        <f>+MINVU_Mes_Corriente!Z160*MINVU_Mes_Constante!$P$1</f>
        <v>44922943.613581456</v>
      </c>
      <c r="AA160" s="8">
        <f>+MINVU_Mes_Corriente!AA160*MINVU_Mes_Constante!$P$1</f>
        <v>44922943.613581456</v>
      </c>
      <c r="AB160" s="9">
        <f t="shared" si="115"/>
        <v>44922943.613581456</v>
      </c>
      <c r="AC160" s="8">
        <f>+MINVU_Mes_Corriente!AC160*MINVU_Mes_Constante!$AC$1</f>
        <v>43557643.89486789</v>
      </c>
      <c r="AD160" s="8">
        <f>+MINVU_Mes_Corriente!AD160*MINVU_Mes_Constante!$AC$1</f>
        <v>43557643.89486789</v>
      </c>
      <c r="AE160" s="8">
        <f>+MINVU_Mes_Corriente!AE160*MINVU_Mes_Constante!$AC$1</f>
        <v>43557643.89486789</v>
      </c>
      <c r="AF160" s="8">
        <f>+MINVU_Mes_Corriente!AF160*MINVU_Mes_Constante!$AC$1</f>
        <v>43557643.89486789</v>
      </c>
      <c r="AG160" s="8">
        <f>+MINVU_Mes_Corriente!AG160*MINVU_Mes_Constante!$AC$1</f>
        <v>43557643.89486789</v>
      </c>
      <c r="AH160" s="8">
        <f>+MINVU_Mes_Corriente!AH160*MINVU_Mes_Constante!$AC$1</f>
        <v>43557643.89486789</v>
      </c>
      <c r="AI160" s="8">
        <f>+MINVU_Mes_Corriente!AI160*MINVU_Mes_Constante!$AC$1</f>
        <v>43557643.89486789</v>
      </c>
      <c r="AJ160" s="8">
        <f>+MINVU_Mes_Corriente!AJ160*MINVU_Mes_Constante!$AC$1</f>
        <v>43557643.89486789</v>
      </c>
      <c r="AK160" s="8">
        <f>+MINVU_Mes_Corriente!AK160*MINVU_Mes_Constante!$AC$1</f>
        <v>43557643.89486789</v>
      </c>
      <c r="AL160" s="8">
        <f>+MINVU_Mes_Corriente!AL160*MINVU_Mes_Constante!$AC$1</f>
        <v>43557643.89486789</v>
      </c>
      <c r="AM160" s="8">
        <f>+MINVU_Mes_Corriente!AM160*MINVU_Mes_Constante!$AC$1</f>
        <v>43557643.89486789</v>
      </c>
      <c r="AN160" s="8">
        <f>+MINVU_Mes_Corriente!AN160*MINVU_Mes_Constante!$AC$1</f>
        <v>43557643.89486789</v>
      </c>
      <c r="AO160" s="9">
        <f t="shared" si="116"/>
        <v>43557643.89486789</v>
      </c>
      <c r="AP160" s="8">
        <f>+MINVU_Mes_Corriente!AP160*MINVU_Mes_Constante!$AP$1</f>
        <v>46230771.61801704</v>
      </c>
      <c r="AQ160" s="8">
        <f>+MINVU_Mes_Corriente!AQ160*MINVU_Mes_Constante!$AP$1</f>
        <v>46230771.61801704</v>
      </c>
      <c r="AR160" s="8">
        <f>+MINVU_Mes_Corriente!AR160*MINVU_Mes_Constante!$AP$1</f>
        <v>46230771.61801704</v>
      </c>
      <c r="AS160" s="8">
        <f>+MINVU_Mes_Corriente!AS160*MINVU_Mes_Constante!$AP$1</f>
        <v>46230771.61801704</v>
      </c>
      <c r="AT160" s="8">
        <f>+MINVU_Mes_Corriente!AT160*MINVU_Mes_Constante!$AP$1</f>
        <v>46230771.61801704</v>
      </c>
      <c r="AU160" s="8">
        <f>+MINVU_Mes_Corriente!AU160*MINVU_Mes_Constante!$AP$1</f>
        <v>46230771.61801704</v>
      </c>
      <c r="AV160" s="8">
        <f>+MINVU_Mes_Corriente!AV160*MINVU_Mes_Constante!$AP$1</f>
        <v>46230771.61801704</v>
      </c>
      <c r="AW160" s="8">
        <f>+MINVU_Mes_Corriente!AW160*MINVU_Mes_Constante!$AP$1</f>
        <v>46230771.61801704</v>
      </c>
      <c r="AX160" s="8">
        <f>+MINVU_Mes_Corriente!AX160*MINVU_Mes_Constante!$AP$1</f>
        <v>46230771.61801704</v>
      </c>
      <c r="AY160" s="8">
        <f>+MINVU_Mes_Corriente!AY160*MINVU_Mes_Constante!$AP$1</f>
        <v>46230771.61801704</v>
      </c>
      <c r="AZ160" s="8">
        <f>+MINVU_Mes_Corriente!AZ160*MINVU_Mes_Constante!$AP$1</f>
        <v>46230771.61801704</v>
      </c>
      <c r="BA160" s="8">
        <f>+MINVU_Mes_Corriente!BA160*MINVU_Mes_Constante!$AP$1</f>
        <v>46230771.61801704</v>
      </c>
      <c r="BB160" s="9">
        <f t="shared" si="117"/>
        <v>46230771.61801704</v>
      </c>
      <c r="BC160" s="8">
        <f>+MINVU_Mes_Corriente!BC160*MINVU_Mes_Constante!$BC$1</f>
        <v>54525604.324937373</v>
      </c>
      <c r="BD160" s="8">
        <f>+MINVU_Mes_Corriente!BD160*MINVU_Mes_Constante!$BC$1</f>
        <v>54525604.324937373</v>
      </c>
      <c r="BE160" s="8">
        <f>+MINVU_Mes_Corriente!BE160*MINVU_Mes_Constante!$BC$1</f>
        <v>54525604.324937373</v>
      </c>
      <c r="BF160" s="8">
        <f>+MINVU_Mes_Corriente!BF160*MINVU_Mes_Constante!$BC$1</f>
        <v>54525604.324937373</v>
      </c>
      <c r="BG160" s="8">
        <f>+MINVU_Mes_Corriente!BG160*MINVU_Mes_Constante!$BC$1</f>
        <v>54525604.324937373</v>
      </c>
      <c r="BH160" s="8">
        <f>+MINVU_Mes_Corriente!BH160*MINVU_Mes_Constante!$BC$1</f>
        <v>54525604.324937373</v>
      </c>
      <c r="BI160" s="8">
        <f>+MINVU_Mes_Corriente!BI160*MINVU_Mes_Constante!$BC$1</f>
        <v>54525604.324937373</v>
      </c>
      <c r="BJ160" s="8">
        <f>+MINVU_Mes_Corriente!BJ160*MINVU_Mes_Constante!$BC$1</f>
        <v>54525604.324937373</v>
      </c>
      <c r="BK160" s="8">
        <f>+MINVU_Mes_Corriente!BK160*MINVU_Mes_Constante!$BC$1</f>
        <v>54525604.324937373</v>
      </c>
      <c r="BL160" s="8">
        <f>+MINVU_Mes_Corriente!BL160*MINVU_Mes_Constante!$BC$1</f>
        <v>54525604.324937373</v>
      </c>
      <c r="BM160" s="8">
        <f>+MINVU_Mes_Corriente!BM160*MINVU_Mes_Constante!$BC$1</f>
        <v>54525604.324937373</v>
      </c>
      <c r="BN160" s="8">
        <f>+MINVU_Mes_Corriente!BN160*MINVU_Mes_Constante!$BC$1</f>
        <v>54525604.324937373</v>
      </c>
      <c r="BO160" s="9">
        <f t="shared" si="118"/>
        <v>54525604.324937373</v>
      </c>
      <c r="BP160" s="8">
        <f>+MINVU_Mes_Corriente!BP160*MINVU_Mes_Constante!$BP$1</f>
        <v>69662951.896286815</v>
      </c>
      <c r="BQ160" s="8">
        <f>+MINVU_Mes_Corriente!BQ160*MINVU_Mes_Constante!$BP$1</f>
        <v>69662951.896286815</v>
      </c>
      <c r="BR160" s="8">
        <f>+MINVU_Mes_Corriente!BR160*MINVU_Mes_Constante!$BP$1</f>
        <v>69662951.896286815</v>
      </c>
      <c r="BS160" s="8">
        <f>+MINVU_Mes_Corriente!BS160*MINVU_Mes_Constante!$BP$1</f>
        <v>69662951.896286815</v>
      </c>
      <c r="BT160" s="8">
        <f>+MINVU_Mes_Corriente!BT160*MINVU_Mes_Constante!$BP$1</f>
        <v>69662951.896286815</v>
      </c>
      <c r="BU160" s="8">
        <f>+MINVU_Mes_Corriente!BU160*MINVU_Mes_Constante!$BP$1</f>
        <v>69662951.896286815</v>
      </c>
      <c r="BV160" s="8">
        <f>+MINVU_Mes_Corriente!BV160*MINVU_Mes_Constante!$BP$1</f>
        <v>69662951.896286815</v>
      </c>
      <c r="BW160" s="8">
        <f>+MINVU_Mes_Corriente!BW160*MINVU_Mes_Constante!$BP$1</f>
        <v>69662951.896286815</v>
      </c>
      <c r="BX160" s="8">
        <f>+MINVU_Mes_Corriente!BX160*MINVU_Mes_Constante!$BP$1</f>
        <v>69662951.896286815</v>
      </c>
      <c r="BY160" s="8">
        <f>+MINVU_Mes_Corriente!BY160*MINVU_Mes_Constante!$BP$1</f>
        <v>69662951.896286815</v>
      </c>
      <c r="BZ160" s="8">
        <f>+MINVU_Mes_Corriente!BZ160*MINVU_Mes_Constante!$BP$1</f>
        <v>69662951.896286815</v>
      </c>
      <c r="CA160" s="8">
        <f>+MINVU_Mes_Corriente!CA160*MINVU_Mes_Constante!$BP$1</f>
        <v>69662951.896286815</v>
      </c>
      <c r="CB160" s="9">
        <f t="shared" si="119"/>
        <v>69662951.896286815</v>
      </c>
      <c r="CC160" s="8">
        <f>+MINVU_Mes_Corriente!CC160*MINVU_Mes_Constante!$CC$1</f>
        <v>69523076.68780306</v>
      </c>
      <c r="CD160" s="8">
        <f>+MINVU_Mes_Corriente!CD160*MINVU_Mes_Constante!$CC$1</f>
        <v>69523076.68780306</v>
      </c>
      <c r="CE160" s="8">
        <f>+MINVU_Mes_Corriente!CE160*MINVU_Mes_Constante!$CC$1</f>
        <v>69523076.68780306</v>
      </c>
      <c r="CF160" s="8">
        <f>+MINVU_Mes_Corriente!CF160*MINVU_Mes_Constante!$CC$1</f>
        <v>69523076.68780306</v>
      </c>
      <c r="CG160" s="8">
        <f>+MINVU_Mes_Corriente!CG160*MINVU_Mes_Constante!$CC$1</f>
        <v>69523076.68780306</v>
      </c>
      <c r="CH160" s="8">
        <f>+MINVU_Mes_Corriente!CH160*MINVU_Mes_Constante!$CC$1</f>
        <v>69523076.68780306</v>
      </c>
      <c r="CI160" s="8">
        <f>+MINVU_Mes_Corriente!CI160*MINVU_Mes_Constante!$CC$1</f>
        <v>69523076.68780306</v>
      </c>
      <c r="CJ160" s="8">
        <f>+MINVU_Mes_Corriente!CJ160*MINVU_Mes_Constante!$CC$1</f>
        <v>69523076.68780306</v>
      </c>
      <c r="CK160" s="8">
        <f>+MINVU_Mes_Corriente!CK160*MINVU_Mes_Constante!$CC$1</f>
        <v>69523076.68780306</v>
      </c>
      <c r="CL160" s="8">
        <f>+MINVU_Mes_Corriente!CL160*MINVU_Mes_Constante!$CC$1</f>
        <v>69523076.68780306</v>
      </c>
      <c r="CM160" s="8">
        <f>+MINVU_Mes_Corriente!CM160*MINVU_Mes_Constante!$CC$1</f>
        <v>69523076.68780306</v>
      </c>
      <c r="CN160" s="8">
        <f>+MINVU_Mes_Corriente!CN160*MINVU_Mes_Constante!$CC$1</f>
        <v>69523076.68780306</v>
      </c>
      <c r="CO160" s="9">
        <f t="shared" si="120"/>
        <v>69523076.68780306</v>
      </c>
      <c r="CP160" s="8">
        <f>+MINVU_Mes_Corriente!CP160*MINVU_Mes_Constante!$CP$1</f>
        <v>69301053.812296972</v>
      </c>
      <c r="CQ160" s="8">
        <f>+MINVU_Mes_Corriente!CQ160*MINVU_Mes_Constante!$CP$1</f>
        <v>69301053.812296972</v>
      </c>
      <c r="CR160" s="8">
        <f>+MINVU_Mes_Corriente!CR160*MINVU_Mes_Constante!$CP$1</f>
        <v>69301053.812296972</v>
      </c>
      <c r="CS160" s="8">
        <f>+MINVU_Mes_Corriente!CS160*MINVU_Mes_Constante!$CP$1</f>
        <v>69301053.812296972</v>
      </c>
      <c r="CT160" s="8">
        <f>+MINVU_Mes_Corriente!CT160*MINVU_Mes_Constante!$CP$1</f>
        <v>69301053.812296972</v>
      </c>
      <c r="CU160" s="8">
        <f>+MINVU_Mes_Corriente!CU160*MINVU_Mes_Constante!$CP$1</f>
        <v>69301053.812296972</v>
      </c>
      <c r="CV160" s="8">
        <f>+MINVU_Mes_Corriente!CV160*MINVU_Mes_Constante!$CP$1</f>
        <v>69301053.812296972</v>
      </c>
      <c r="CW160" s="8">
        <f>+MINVU_Mes_Corriente!CW160*MINVU_Mes_Constante!$CP$1</f>
        <v>69301053.812296972</v>
      </c>
      <c r="CX160" s="8">
        <f>+MINVU_Mes_Corriente!CX160*MINVU_Mes_Constante!$CP$1</f>
        <v>69301053.812296972</v>
      </c>
      <c r="CY160" s="8">
        <f>+MINVU_Mes_Corriente!CY160*MINVU_Mes_Constante!$CP$1</f>
        <v>69301053.812296972</v>
      </c>
      <c r="CZ160" s="8">
        <f>+MINVU_Mes_Corriente!CZ160*MINVU_Mes_Constante!$CP$1</f>
        <v>69301053.812296972</v>
      </c>
      <c r="DA160" s="8">
        <f>+MINVU_Mes_Corriente!DA160*MINVU_Mes_Constante!$CP$1</f>
        <v>69301053.812296972</v>
      </c>
      <c r="DB160" s="9">
        <f t="shared" si="121"/>
        <v>69301053.812296972</v>
      </c>
      <c r="DC160" s="8">
        <f>+MINVU_Mes_Corriente!DC160*MINVU_Mes_Constante!$DC$1</f>
        <v>73195113.919967115</v>
      </c>
      <c r="DD160" s="8">
        <f>+MINVU_Mes_Corriente!DD160*MINVU_Mes_Constante!$DC$1</f>
        <v>73195113.919967115</v>
      </c>
      <c r="DE160" s="8">
        <f>+MINVU_Mes_Corriente!DE160*MINVU_Mes_Constante!$DC$1</f>
        <v>73195113.919967115</v>
      </c>
      <c r="DF160" s="8">
        <f>+MINVU_Mes_Corriente!DF160*MINVU_Mes_Constante!$DC$1</f>
        <v>73195113.919967115</v>
      </c>
      <c r="DG160" s="8">
        <f>+MINVU_Mes_Corriente!DG160*MINVU_Mes_Constante!$DC$1</f>
        <v>73195113.919967115</v>
      </c>
      <c r="DH160" s="8">
        <f>+MINVU_Mes_Corriente!DH160*MINVU_Mes_Constante!$DC$1</f>
        <v>73195113.919967115</v>
      </c>
      <c r="DI160" s="8">
        <f>+MINVU_Mes_Corriente!DI160*MINVU_Mes_Constante!$DC$1</f>
        <v>73195113.919967115</v>
      </c>
      <c r="DJ160" s="8">
        <f>+MINVU_Mes_Corriente!DJ160*MINVU_Mes_Constante!$DC$1</f>
        <v>73195113.919967115</v>
      </c>
      <c r="DK160" s="8">
        <f>+MINVU_Mes_Corriente!DK160*MINVU_Mes_Constante!$DC$1</f>
        <v>73195113.919967115</v>
      </c>
      <c r="DL160" s="8">
        <f>+MINVU_Mes_Corriente!DL160*MINVU_Mes_Constante!$DC$1</f>
        <v>73195113.919967115</v>
      </c>
      <c r="DM160" s="8">
        <f>+MINVU_Mes_Corriente!DM160*MINVU_Mes_Constante!$DC$1</f>
        <v>73195113.919967115</v>
      </c>
      <c r="DN160" s="8">
        <f>+MINVU_Mes_Corriente!DN160*MINVU_Mes_Constante!$DC$1</f>
        <v>73195113.919967115</v>
      </c>
      <c r="DO160" s="9">
        <f t="shared" si="122"/>
        <v>73195113.919967115</v>
      </c>
      <c r="DP160" s="8">
        <f>+MINVU_Mes_Corriente!DP160*MINVU_Mes_Constante!$DP$1</f>
        <v>77535630.167458445</v>
      </c>
      <c r="DQ160" s="8">
        <f>+MINVU_Mes_Corriente!DQ160*MINVU_Mes_Constante!$DP$1</f>
        <v>77535630.167458445</v>
      </c>
      <c r="DR160" s="8">
        <f>+MINVU_Mes_Corriente!DR160*MINVU_Mes_Constante!$DP$1</f>
        <v>77535630.167458445</v>
      </c>
      <c r="DS160" s="8">
        <f>+MINVU_Mes_Corriente!DS160*MINVU_Mes_Constante!$DP$1</f>
        <v>77535630.167458445</v>
      </c>
      <c r="DT160" s="8">
        <f>+MINVU_Mes_Corriente!DT160*MINVU_Mes_Constante!$DP$1</f>
        <v>77535630.167458445</v>
      </c>
      <c r="DU160" s="8">
        <f>+MINVU_Mes_Corriente!DU160*MINVU_Mes_Constante!$DP$1</f>
        <v>77535630.167458445</v>
      </c>
      <c r="DV160" s="8">
        <f>+MINVU_Mes_Corriente!DV160*MINVU_Mes_Constante!$DP$1</f>
        <v>77535630.167458445</v>
      </c>
      <c r="DW160" s="8">
        <f>+MINVU_Mes_Corriente!DW160*MINVU_Mes_Constante!$DP$1</f>
        <v>77535630.167458445</v>
      </c>
      <c r="DX160" s="8">
        <f>+MINVU_Mes_Corriente!DX160*MINVU_Mes_Constante!$DP$1</f>
        <v>77535630.167458445</v>
      </c>
      <c r="DY160" s="8">
        <f>+MINVU_Mes_Corriente!DY160*MINVU_Mes_Constante!$DP$1</f>
        <v>77535630.167458445</v>
      </c>
      <c r="DZ160" s="8">
        <f>+MINVU_Mes_Corriente!DZ160*MINVU_Mes_Constante!$DP$1</f>
        <v>77535630.167458445</v>
      </c>
      <c r="EA160" s="8">
        <f>+MINVU_Mes_Corriente!EA160*MINVU_Mes_Constante!$DP$1</f>
        <v>77535630.167458445</v>
      </c>
      <c r="EB160" s="9">
        <f t="shared" si="123"/>
        <v>77535630.167458445</v>
      </c>
      <c r="EC160" s="8">
        <f>+MINVU_Mes_Corriente!EC160*MINVU_Mes_Constante!$EC$1</f>
        <v>88053640.532664239</v>
      </c>
      <c r="ED160" s="8">
        <f>+MINVU_Mes_Corriente!ED160*MINVU_Mes_Constante!$EC$1</f>
        <v>88053640.532664239</v>
      </c>
      <c r="EE160" s="8">
        <f>+MINVU_Mes_Corriente!EE160*MINVU_Mes_Constante!$EC$1</f>
        <v>88053640.532664239</v>
      </c>
      <c r="EF160" s="8">
        <f>+MINVU_Mes_Corriente!EF160*MINVU_Mes_Constante!$EC$1</f>
        <v>88053640.532664239</v>
      </c>
      <c r="EG160" s="8">
        <f>+MINVU_Mes_Corriente!EG160*MINVU_Mes_Constante!$EC$1</f>
        <v>88053640.532664239</v>
      </c>
      <c r="EH160" s="8">
        <f>+MINVU_Mes_Corriente!EH160*MINVU_Mes_Constante!$EC$1</f>
        <v>88053640.532664239</v>
      </c>
      <c r="EI160" s="8">
        <f>+MINVU_Mes_Corriente!EI160*MINVU_Mes_Constante!$EC$1</f>
        <v>88053640.532664239</v>
      </c>
      <c r="EJ160" s="8">
        <f>+MINVU_Mes_Corriente!EJ160*MINVU_Mes_Constante!$EC$1</f>
        <v>88053640.532664239</v>
      </c>
      <c r="EK160" s="8">
        <f>+MINVU_Mes_Corriente!EK160*MINVU_Mes_Constante!$EC$1</f>
        <v>88053640.532664239</v>
      </c>
      <c r="EL160" s="8">
        <f>+MINVU_Mes_Corriente!EL160*MINVU_Mes_Constante!$EC$1</f>
        <v>88053640.532664239</v>
      </c>
      <c r="EM160" s="8">
        <f>+MINVU_Mes_Corriente!EM160*MINVU_Mes_Constante!$EC$1</f>
        <v>88053640.532664239</v>
      </c>
      <c r="EN160" s="8">
        <f>+MINVU_Mes_Corriente!EN160*MINVU_Mes_Constante!$EC$1</f>
        <v>88053640.532664239</v>
      </c>
      <c r="EO160" s="9">
        <f t="shared" si="124"/>
        <v>88053640.532664239</v>
      </c>
      <c r="EP160" s="8">
        <f>+MINVU_Mes_Corriente!EP160*MINVU_Mes_Constante!$EP$1</f>
        <v>105212754</v>
      </c>
      <c r="EQ160" s="8">
        <f>+MINVU_Mes_Corriente!EQ160*MINVU_Mes_Constante!$EP$1</f>
        <v>105212754</v>
      </c>
      <c r="ER160" s="8">
        <f>+MINVU_Mes_Corriente!ER160*MINVU_Mes_Constante!$EP$1</f>
        <v>105212754</v>
      </c>
      <c r="ES160" s="8">
        <f>+MINVU_Mes_Corriente!ES160*MINVU_Mes_Constante!$EP$1</f>
        <v>105212754</v>
      </c>
      <c r="ET160" s="8">
        <f>+MINVU_Mes_Corriente!ET160*MINVU_Mes_Constante!$EP$1</f>
        <v>105212754</v>
      </c>
      <c r="EU160" s="8">
        <f>+MINVU_Mes_Corriente!EU160*MINVU_Mes_Constante!$EP$1</f>
        <v>105212754</v>
      </c>
      <c r="EV160" s="8">
        <f>+MINVU_Mes_Corriente!EV160*MINVU_Mes_Constante!$EP$1</f>
        <v>105212754</v>
      </c>
      <c r="EW160" s="8">
        <f>+MINVU_Mes_Corriente!EW160*MINVU_Mes_Constante!$EP$1</f>
        <v>105212754</v>
      </c>
      <c r="EX160" s="8">
        <f>+MINVU_Mes_Corriente!EX160*MINVU_Mes_Constante!$EP$1</f>
        <v>105212754</v>
      </c>
      <c r="EY160" s="8">
        <f>+MINVU_Mes_Corriente!EY160*MINVU_Mes_Constante!$EP$1</f>
        <v>105212754</v>
      </c>
      <c r="EZ160" s="8">
        <f>+MINVU_Mes_Corriente!EZ160*MINVU_Mes_Constante!$EP$1</f>
        <v>105212754</v>
      </c>
      <c r="FA160" s="8">
        <f>+MINVU_Mes_Corriente!FA160*MINVU_Mes_Constante!$EP$1</f>
        <v>105212754</v>
      </c>
      <c r="FB160" s="9">
        <f t="shared" si="125"/>
        <v>105212754</v>
      </c>
      <c r="FC160" s="8">
        <f>+MINVU_Mes_Corriente!FC160*MINVU_Mes_Constante!$FC$1</f>
        <v>84118714</v>
      </c>
      <c r="FD160" s="8">
        <f>+MINVU_Mes_Corriente!FD160*MINVU_Mes_Constante!$FC$1</f>
        <v>84118714</v>
      </c>
      <c r="FE160" s="8">
        <f>+MINVU_Mes_Corriente!FE160*MINVU_Mes_Constante!$FC$1</f>
        <v>84118714</v>
      </c>
      <c r="FF160" s="8">
        <f>+MINVU_Mes_Corriente!FF160*MINVU_Mes_Constante!$FC$1</f>
        <v>84118714</v>
      </c>
      <c r="FG160" s="8">
        <f>+MINVU_Mes_Corriente!FG160*MINVU_Mes_Constante!$FC$1</f>
        <v>84118714</v>
      </c>
      <c r="FH160" s="8">
        <f>+MINVU_Mes_Corriente!FH160*MINVU_Mes_Constante!$FC$1</f>
        <v>84118714</v>
      </c>
      <c r="FI160" s="8">
        <f>+MINVU_Mes_Corriente!FI160*MINVU_Mes_Constante!$FC$1</f>
        <v>84118714</v>
      </c>
      <c r="FJ160" s="8"/>
      <c r="FK160" s="8"/>
      <c r="FL160" s="8"/>
      <c r="FM160" s="8"/>
      <c r="FN160" s="8"/>
      <c r="FO160" s="9">
        <f t="shared" si="126"/>
        <v>84118714</v>
      </c>
    </row>
    <row r="161" spans="2:171" ht="14.25" customHeight="1" x14ac:dyDescent="0.3">
      <c r="B161" s="7" t="s">
        <v>58</v>
      </c>
      <c r="C161" s="8">
        <f>+MINVU_Mes_Corriente!C161*MINVU_Mes_Constante!$C$1</f>
        <v>46468333.091798909</v>
      </c>
      <c r="D161" s="8">
        <f>+MINVU_Mes_Corriente!D161*MINVU_Mes_Constante!$C$1</f>
        <v>46468333.091798909</v>
      </c>
      <c r="E161" s="8">
        <f>+MINVU_Mes_Corriente!E161*MINVU_Mes_Constante!$C$1</f>
        <v>46468333.091798909</v>
      </c>
      <c r="F161" s="8">
        <f>+MINVU_Mes_Corriente!F161*MINVU_Mes_Constante!$C$1</f>
        <v>46468333.091798909</v>
      </c>
      <c r="G161" s="8">
        <f>+MINVU_Mes_Corriente!G161*MINVU_Mes_Constante!$C$1</f>
        <v>46468333.091798909</v>
      </c>
      <c r="H161" s="8">
        <f>+MINVU_Mes_Corriente!H161*MINVU_Mes_Constante!$C$1</f>
        <v>46468333.091798909</v>
      </c>
      <c r="I161" s="8">
        <f>+MINVU_Mes_Corriente!I161*MINVU_Mes_Constante!$C$1</f>
        <v>46468333.091798909</v>
      </c>
      <c r="J161" s="8">
        <f>+MINVU_Mes_Corriente!J161*MINVU_Mes_Constante!$C$1</f>
        <v>46468333.091798909</v>
      </c>
      <c r="K161" s="8">
        <f>+MINVU_Mes_Corriente!K161*MINVU_Mes_Constante!$C$1</f>
        <v>46468333.091798909</v>
      </c>
      <c r="L161" s="8">
        <f>+MINVU_Mes_Corriente!L161*MINVU_Mes_Constante!$C$1</f>
        <v>46468333.091798909</v>
      </c>
      <c r="M161" s="8">
        <f>+MINVU_Mes_Corriente!M161*MINVU_Mes_Constante!$C$1</f>
        <v>46468333.091798909</v>
      </c>
      <c r="N161" s="8">
        <f>+MINVU_Mes_Corriente!N161*MINVU_Mes_Constante!$C$1</f>
        <v>46468333.091798909</v>
      </c>
      <c r="O161" s="9">
        <f t="shared" si="114"/>
        <v>46468333.091798909</v>
      </c>
      <c r="P161" s="8">
        <f>+MINVU_Mes_Corriente!P161*MINVU_Mes_Constante!$P$1</f>
        <v>93409304.570819691</v>
      </c>
      <c r="Q161" s="8">
        <f>+MINVU_Mes_Corriente!Q161*MINVU_Mes_Constante!$P$1</f>
        <v>93409304.570819691</v>
      </c>
      <c r="R161" s="8">
        <f>+MINVU_Mes_Corriente!R161*MINVU_Mes_Constante!$P$1</f>
        <v>93409304.570819691</v>
      </c>
      <c r="S161" s="8">
        <f>+MINVU_Mes_Corriente!S161*MINVU_Mes_Constante!$P$1</f>
        <v>93409304.570819691</v>
      </c>
      <c r="T161" s="8">
        <f>+MINVU_Mes_Corriente!T161*MINVU_Mes_Constante!$P$1</f>
        <v>93409304.570819691</v>
      </c>
      <c r="U161" s="8">
        <f>+MINVU_Mes_Corriente!U161*MINVU_Mes_Constante!$P$1</f>
        <v>93409304.570819691</v>
      </c>
      <c r="V161" s="8">
        <f>+MINVU_Mes_Corriente!V161*MINVU_Mes_Constante!$P$1</f>
        <v>93409304.570819691</v>
      </c>
      <c r="W161" s="8">
        <f>+MINVU_Mes_Corriente!W161*MINVU_Mes_Constante!$P$1</f>
        <v>93409304.570819691</v>
      </c>
      <c r="X161" s="8">
        <f>+MINVU_Mes_Corriente!X161*MINVU_Mes_Constante!$P$1</f>
        <v>93409304.570819691</v>
      </c>
      <c r="Y161" s="8">
        <f>+MINVU_Mes_Corriente!Y161*MINVU_Mes_Constante!$P$1</f>
        <v>93409304.570819691</v>
      </c>
      <c r="Z161" s="8">
        <f>+MINVU_Mes_Corriente!Z161*MINVU_Mes_Constante!$P$1</f>
        <v>93409304.570819691</v>
      </c>
      <c r="AA161" s="8">
        <f>+MINVU_Mes_Corriente!AA161*MINVU_Mes_Constante!$P$1</f>
        <v>93409304.570819691</v>
      </c>
      <c r="AB161" s="9">
        <f t="shared" si="115"/>
        <v>93409304.570819691</v>
      </c>
      <c r="AC161" s="8">
        <f>+MINVU_Mes_Corriente!AC161*MINVU_Mes_Constante!$AC$1</f>
        <v>97830235.678240418</v>
      </c>
      <c r="AD161" s="8">
        <f>+MINVU_Mes_Corriente!AD161*MINVU_Mes_Constante!$AC$1</f>
        <v>97830235.678240418</v>
      </c>
      <c r="AE161" s="8">
        <f>+MINVU_Mes_Corriente!AE161*MINVU_Mes_Constante!$AC$1</f>
        <v>97830235.678240418</v>
      </c>
      <c r="AF161" s="8">
        <f>+MINVU_Mes_Corriente!AF161*MINVU_Mes_Constante!$AC$1</f>
        <v>97830235.678240418</v>
      </c>
      <c r="AG161" s="8">
        <f>+MINVU_Mes_Corriente!AG161*MINVU_Mes_Constante!$AC$1</f>
        <v>97830235.678240418</v>
      </c>
      <c r="AH161" s="8">
        <f>+MINVU_Mes_Corriente!AH161*MINVU_Mes_Constante!$AC$1</f>
        <v>97830235.678240418</v>
      </c>
      <c r="AI161" s="8">
        <f>+MINVU_Mes_Corriente!AI161*MINVU_Mes_Constante!$AC$1</f>
        <v>97830235.678240418</v>
      </c>
      <c r="AJ161" s="8">
        <f>+MINVU_Mes_Corriente!AJ161*MINVU_Mes_Constante!$AC$1</f>
        <v>97830235.678240418</v>
      </c>
      <c r="AK161" s="8">
        <f>+MINVU_Mes_Corriente!AK161*MINVU_Mes_Constante!$AC$1</f>
        <v>97830235.678240418</v>
      </c>
      <c r="AL161" s="8">
        <f>+MINVU_Mes_Corriente!AL161*MINVU_Mes_Constante!$AC$1</f>
        <v>97830235.678240418</v>
      </c>
      <c r="AM161" s="8">
        <f>+MINVU_Mes_Corriente!AM161*MINVU_Mes_Constante!$AC$1</f>
        <v>97830235.678240418</v>
      </c>
      <c r="AN161" s="8">
        <f>+MINVU_Mes_Corriente!AN161*MINVU_Mes_Constante!$AC$1</f>
        <v>97830235.678240418</v>
      </c>
      <c r="AO161" s="9">
        <f t="shared" si="116"/>
        <v>97830235.678240418</v>
      </c>
      <c r="AP161" s="8">
        <f>+MINVU_Mes_Corriente!AP161*MINVU_Mes_Constante!$AP$1</f>
        <v>123340395.16759096</v>
      </c>
      <c r="AQ161" s="8">
        <f>+MINVU_Mes_Corriente!AQ161*MINVU_Mes_Constante!$AP$1</f>
        <v>123340395.16759096</v>
      </c>
      <c r="AR161" s="8">
        <f>+MINVU_Mes_Corriente!AR161*MINVU_Mes_Constante!$AP$1</f>
        <v>123340395.16759096</v>
      </c>
      <c r="AS161" s="8">
        <f>+MINVU_Mes_Corriente!AS161*MINVU_Mes_Constante!$AP$1</f>
        <v>123340395.16759096</v>
      </c>
      <c r="AT161" s="8">
        <f>+MINVU_Mes_Corriente!AT161*MINVU_Mes_Constante!$AP$1</f>
        <v>123340395.16759096</v>
      </c>
      <c r="AU161" s="8">
        <f>+MINVU_Mes_Corriente!AU161*MINVU_Mes_Constante!$AP$1</f>
        <v>123340395.16759096</v>
      </c>
      <c r="AV161" s="8">
        <f>+MINVU_Mes_Corriente!AV161*MINVU_Mes_Constante!$AP$1</f>
        <v>123340395.16759096</v>
      </c>
      <c r="AW161" s="8">
        <f>+MINVU_Mes_Corriente!AW161*MINVU_Mes_Constante!$AP$1</f>
        <v>123340395.16759096</v>
      </c>
      <c r="AX161" s="8">
        <f>+MINVU_Mes_Corriente!AX161*MINVU_Mes_Constante!$AP$1</f>
        <v>123340395.16759096</v>
      </c>
      <c r="AY161" s="8">
        <f>+MINVU_Mes_Corriente!AY161*MINVU_Mes_Constante!$AP$1</f>
        <v>123340395.16759096</v>
      </c>
      <c r="AZ161" s="8">
        <f>+MINVU_Mes_Corriente!AZ161*MINVU_Mes_Constante!$AP$1</f>
        <v>123340395.16759096</v>
      </c>
      <c r="BA161" s="8">
        <f>+MINVU_Mes_Corriente!BA161*MINVU_Mes_Constante!$AP$1</f>
        <v>123340395.16759096</v>
      </c>
      <c r="BB161" s="9">
        <f t="shared" si="117"/>
        <v>123340395.16759096</v>
      </c>
      <c r="BC161" s="8">
        <f>+MINVU_Mes_Corriente!BC161*MINVU_Mes_Constante!$BC$1</f>
        <v>91359382.208624572</v>
      </c>
      <c r="BD161" s="8">
        <f>+MINVU_Mes_Corriente!BD161*MINVU_Mes_Constante!$BC$1</f>
        <v>91359382.208624572</v>
      </c>
      <c r="BE161" s="8">
        <f>+MINVU_Mes_Corriente!BE161*MINVU_Mes_Constante!$BC$1</f>
        <v>91359382.208624572</v>
      </c>
      <c r="BF161" s="8">
        <f>+MINVU_Mes_Corriente!BF161*MINVU_Mes_Constante!$BC$1</f>
        <v>91359382.208624572</v>
      </c>
      <c r="BG161" s="8">
        <f>+MINVU_Mes_Corriente!BG161*MINVU_Mes_Constante!$BC$1</f>
        <v>91359382.208624572</v>
      </c>
      <c r="BH161" s="8">
        <f>+MINVU_Mes_Corriente!BH161*MINVU_Mes_Constante!$BC$1</f>
        <v>91359382.208624572</v>
      </c>
      <c r="BI161" s="8">
        <f>+MINVU_Mes_Corriente!BI161*MINVU_Mes_Constante!$BC$1</f>
        <v>91359382.208624572</v>
      </c>
      <c r="BJ161" s="8">
        <f>+MINVU_Mes_Corriente!BJ161*MINVU_Mes_Constante!$BC$1</f>
        <v>91359382.208624572</v>
      </c>
      <c r="BK161" s="8">
        <f>+MINVU_Mes_Corriente!BK161*MINVU_Mes_Constante!$BC$1</f>
        <v>91359382.208624572</v>
      </c>
      <c r="BL161" s="8">
        <f>+MINVU_Mes_Corriente!BL161*MINVU_Mes_Constante!$BC$1</f>
        <v>91359382.208624572</v>
      </c>
      <c r="BM161" s="8">
        <f>+MINVU_Mes_Corriente!BM161*MINVU_Mes_Constante!$BC$1</f>
        <v>91359382.208624572</v>
      </c>
      <c r="BN161" s="8">
        <f>+MINVU_Mes_Corriente!BN161*MINVU_Mes_Constante!$BC$1</f>
        <v>91359382.208624572</v>
      </c>
      <c r="BO161" s="9">
        <f t="shared" si="118"/>
        <v>91359382.208624572</v>
      </c>
      <c r="BP161" s="8">
        <f>+MINVU_Mes_Corriente!BP161*MINVU_Mes_Constante!$BP$1</f>
        <v>141707233.18693984</v>
      </c>
      <c r="BQ161" s="8">
        <f>+MINVU_Mes_Corriente!BQ161*MINVU_Mes_Constante!$BP$1</f>
        <v>141707233.18693984</v>
      </c>
      <c r="BR161" s="8">
        <f>+MINVU_Mes_Corriente!BR161*MINVU_Mes_Constante!$BP$1</f>
        <v>141707233.18693984</v>
      </c>
      <c r="BS161" s="8">
        <f>+MINVU_Mes_Corriente!BS161*MINVU_Mes_Constante!$BP$1</f>
        <v>141707233.18693984</v>
      </c>
      <c r="BT161" s="8">
        <f>+MINVU_Mes_Corriente!BT161*MINVU_Mes_Constante!$BP$1</f>
        <v>141707233.18693984</v>
      </c>
      <c r="BU161" s="8">
        <f>+MINVU_Mes_Corriente!BU161*MINVU_Mes_Constante!$BP$1</f>
        <v>141707233.18693984</v>
      </c>
      <c r="BV161" s="8">
        <f>+MINVU_Mes_Corriente!BV161*MINVU_Mes_Constante!$BP$1</f>
        <v>141707233.18693984</v>
      </c>
      <c r="BW161" s="8">
        <f>+MINVU_Mes_Corriente!BW161*MINVU_Mes_Constante!$BP$1</f>
        <v>141707233.18693984</v>
      </c>
      <c r="BX161" s="8">
        <f>+MINVU_Mes_Corriente!BX161*MINVU_Mes_Constante!$BP$1</f>
        <v>141707233.18693984</v>
      </c>
      <c r="BY161" s="8">
        <f>+MINVU_Mes_Corriente!BY161*MINVU_Mes_Constante!$BP$1</f>
        <v>141707233.18693984</v>
      </c>
      <c r="BZ161" s="8">
        <f>+MINVU_Mes_Corriente!BZ161*MINVU_Mes_Constante!$BP$1</f>
        <v>141707233.18693984</v>
      </c>
      <c r="CA161" s="8">
        <f>+MINVU_Mes_Corriente!CA161*MINVU_Mes_Constante!$BP$1</f>
        <v>141707233.18693984</v>
      </c>
      <c r="CB161" s="9">
        <f t="shared" si="119"/>
        <v>141707233.18693984</v>
      </c>
      <c r="CC161" s="8">
        <f>+MINVU_Mes_Corriente!CC161*MINVU_Mes_Constante!$CC$1</f>
        <v>141305933.54792988</v>
      </c>
      <c r="CD161" s="8">
        <f>+MINVU_Mes_Corriente!CD161*MINVU_Mes_Constante!$CC$1</f>
        <v>141305933.54792988</v>
      </c>
      <c r="CE161" s="8">
        <f>+MINVU_Mes_Corriente!CE161*MINVU_Mes_Constante!$CC$1</f>
        <v>141305933.54792988</v>
      </c>
      <c r="CF161" s="8">
        <f>+MINVU_Mes_Corriente!CF161*MINVU_Mes_Constante!$CC$1</f>
        <v>141305933.54792988</v>
      </c>
      <c r="CG161" s="8">
        <f>+MINVU_Mes_Corriente!CG161*MINVU_Mes_Constante!$CC$1</f>
        <v>141305933.54792988</v>
      </c>
      <c r="CH161" s="8">
        <f>+MINVU_Mes_Corriente!CH161*MINVU_Mes_Constante!$CC$1</f>
        <v>141305933.54792988</v>
      </c>
      <c r="CI161" s="8">
        <f>+MINVU_Mes_Corriente!CI161*MINVU_Mes_Constante!$CC$1</f>
        <v>141305933.54792988</v>
      </c>
      <c r="CJ161" s="8">
        <f>+MINVU_Mes_Corriente!CJ161*MINVU_Mes_Constante!$CC$1</f>
        <v>141305933.54792988</v>
      </c>
      <c r="CK161" s="8">
        <f>+MINVU_Mes_Corriente!CK161*MINVU_Mes_Constante!$CC$1</f>
        <v>141305933.54792988</v>
      </c>
      <c r="CL161" s="8">
        <f>+MINVU_Mes_Corriente!CL161*MINVU_Mes_Constante!$CC$1</f>
        <v>141305933.54792988</v>
      </c>
      <c r="CM161" s="8">
        <f>+MINVU_Mes_Corriente!CM161*MINVU_Mes_Constante!$CC$1</f>
        <v>141305933.54792988</v>
      </c>
      <c r="CN161" s="8">
        <f>+MINVU_Mes_Corriente!CN161*MINVU_Mes_Constante!$CC$1</f>
        <v>141305933.54792988</v>
      </c>
      <c r="CO161" s="9">
        <f t="shared" si="120"/>
        <v>141305933.54792988</v>
      </c>
      <c r="CP161" s="8">
        <f>+MINVU_Mes_Corriente!CP161*MINVU_Mes_Constante!$CP$1</f>
        <v>140382206.5280742</v>
      </c>
      <c r="CQ161" s="8">
        <f>+MINVU_Mes_Corriente!CQ161*MINVU_Mes_Constante!$CP$1</f>
        <v>140382206.5280742</v>
      </c>
      <c r="CR161" s="8">
        <f>+MINVU_Mes_Corriente!CR161*MINVU_Mes_Constante!$CP$1</f>
        <v>140382206.5280742</v>
      </c>
      <c r="CS161" s="8">
        <f>+MINVU_Mes_Corriente!CS161*MINVU_Mes_Constante!$CP$1</f>
        <v>140382206.5280742</v>
      </c>
      <c r="CT161" s="8">
        <f>+MINVU_Mes_Corriente!CT161*MINVU_Mes_Constante!$CP$1</f>
        <v>140382206.5280742</v>
      </c>
      <c r="CU161" s="8">
        <f>+MINVU_Mes_Corriente!CU161*MINVU_Mes_Constante!$CP$1</f>
        <v>140382206.5280742</v>
      </c>
      <c r="CV161" s="8">
        <f>+MINVU_Mes_Corriente!CV161*MINVU_Mes_Constante!$CP$1</f>
        <v>140382206.5280742</v>
      </c>
      <c r="CW161" s="8">
        <f>+MINVU_Mes_Corriente!CW161*MINVU_Mes_Constante!$CP$1</f>
        <v>140382206.5280742</v>
      </c>
      <c r="CX161" s="8">
        <f>+MINVU_Mes_Corriente!CX161*MINVU_Mes_Constante!$CP$1</f>
        <v>140382206.5280742</v>
      </c>
      <c r="CY161" s="8">
        <f>+MINVU_Mes_Corriente!CY161*MINVU_Mes_Constante!$CP$1</f>
        <v>140382206.5280742</v>
      </c>
      <c r="CZ161" s="8">
        <f>+MINVU_Mes_Corriente!CZ161*MINVU_Mes_Constante!$CP$1</f>
        <v>140382206.5280742</v>
      </c>
      <c r="DA161" s="8">
        <f>+MINVU_Mes_Corriente!DA161*MINVU_Mes_Constante!$CP$1</f>
        <v>140382206.5280742</v>
      </c>
      <c r="DB161" s="9">
        <f t="shared" si="121"/>
        <v>140382206.5280742</v>
      </c>
      <c r="DC161" s="8">
        <f>+MINVU_Mes_Corriente!DC161*MINVU_Mes_Constante!$DC$1</f>
        <v>120403884.96348119</v>
      </c>
      <c r="DD161" s="8">
        <f>+MINVU_Mes_Corriente!DD161*MINVU_Mes_Constante!$DC$1</f>
        <v>120403884.96348119</v>
      </c>
      <c r="DE161" s="8">
        <f>+MINVU_Mes_Corriente!DE161*MINVU_Mes_Constante!$DC$1</f>
        <v>120403884.96348119</v>
      </c>
      <c r="DF161" s="8">
        <f>+MINVU_Mes_Corriente!DF161*MINVU_Mes_Constante!$DC$1</f>
        <v>120403884.96348119</v>
      </c>
      <c r="DG161" s="8">
        <f>+MINVU_Mes_Corriente!DG161*MINVU_Mes_Constante!$DC$1</f>
        <v>120403884.96348119</v>
      </c>
      <c r="DH161" s="8">
        <f>+MINVU_Mes_Corriente!DH161*MINVU_Mes_Constante!$DC$1</f>
        <v>120403884.96348119</v>
      </c>
      <c r="DI161" s="8">
        <f>+MINVU_Mes_Corriente!DI161*MINVU_Mes_Constante!$DC$1</f>
        <v>120403884.96348119</v>
      </c>
      <c r="DJ161" s="8">
        <f>+MINVU_Mes_Corriente!DJ161*MINVU_Mes_Constante!$DC$1</f>
        <v>120403884.96348119</v>
      </c>
      <c r="DK161" s="8">
        <f>+MINVU_Mes_Corriente!DK161*MINVU_Mes_Constante!$DC$1</f>
        <v>120403884.96348119</v>
      </c>
      <c r="DL161" s="8">
        <f>+MINVU_Mes_Corriente!DL161*MINVU_Mes_Constante!$DC$1</f>
        <v>120403884.96348119</v>
      </c>
      <c r="DM161" s="8">
        <f>+MINVU_Mes_Corriente!DM161*MINVU_Mes_Constante!$DC$1</f>
        <v>120403884.96348119</v>
      </c>
      <c r="DN161" s="8">
        <f>+MINVU_Mes_Corriente!DN161*MINVU_Mes_Constante!$DC$1</f>
        <v>120403884.96348119</v>
      </c>
      <c r="DO161" s="9">
        <f t="shared" si="122"/>
        <v>120403884.96348119</v>
      </c>
      <c r="DP161" s="8">
        <f>+MINVU_Mes_Corriente!DP161*MINVU_Mes_Constante!$DP$1</f>
        <v>142897301.13598576</v>
      </c>
      <c r="DQ161" s="8">
        <f>+MINVU_Mes_Corriente!DQ161*MINVU_Mes_Constante!$DP$1</f>
        <v>142897301.13598576</v>
      </c>
      <c r="DR161" s="8">
        <f>+MINVU_Mes_Corriente!DR161*MINVU_Mes_Constante!$DP$1</f>
        <v>142897301.13598576</v>
      </c>
      <c r="DS161" s="8">
        <f>+MINVU_Mes_Corriente!DS161*MINVU_Mes_Constante!$DP$1</f>
        <v>142897301.13598576</v>
      </c>
      <c r="DT161" s="8">
        <f>+MINVU_Mes_Corriente!DT161*MINVU_Mes_Constante!$DP$1</f>
        <v>142897301.13598576</v>
      </c>
      <c r="DU161" s="8">
        <f>+MINVU_Mes_Corriente!DU161*MINVU_Mes_Constante!$DP$1</f>
        <v>142897301.13598576</v>
      </c>
      <c r="DV161" s="8">
        <f>+MINVU_Mes_Corriente!DV161*MINVU_Mes_Constante!$DP$1</f>
        <v>142897301.13598576</v>
      </c>
      <c r="DW161" s="8">
        <f>+MINVU_Mes_Corriente!DW161*MINVU_Mes_Constante!$DP$1</f>
        <v>142897301.13598576</v>
      </c>
      <c r="DX161" s="8">
        <f>+MINVU_Mes_Corriente!DX161*MINVU_Mes_Constante!$DP$1</f>
        <v>142897301.13598576</v>
      </c>
      <c r="DY161" s="8">
        <f>+MINVU_Mes_Corriente!DY161*MINVU_Mes_Constante!$DP$1</f>
        <v>142897301.13598576</v>
      </c>
      <c r="DZ161" s="8">
        <f>+MINVU_Mes_Corriente!DZ161*MINVU_Mes_Constante!$DP$1</f>
        <v>142897301.13598576</v>
      </c>
      <c r="EA161" s="8">
        <f>+MINVU_Mes_Corriente!EA161*MINVU_Mes_Constante!$DP$1</f>
        <v>142897301.13598576</v>
      </c>
      <c r="EB161" s="9">
        <f t="shared" si="123"/>
        <v>142897301.13598576</v>
      </c>
      <c r="EC161" s="8">
        <f>+MINVU_Mes_Corriente!EC161*MINVU_Mes_Constante!$EC$1</f>
        <v>159160320.5964779</v>
      </c>
      <c r="ED161" s="8">
        <f>+MINVU_Mes_Corriente!ED161*MINVU_Mes_Constante!$EC$1</f>
        <v>159160320.5964779</v>
      </c>
      <c r="EE161" s="8">
        <f>+MINVU_Mes_Corriente!EE161*MINVU_Mes_Constante!$EC$1</f>
        <v>159160320.5964779</v>
      </c>
      <c r="EF161" s="8">
        <f>+MINVU_Mes_Corriente!EF161*MINVU_Mes_Constante!$EC$1</f>
        <v>159160320.5964779</v>
      </c>
      <c r="EG161" s="8">
        <f>+MINVU_Mes_Corriente!EG161*MINVU_Mes_Constante!$EC$1</f>
        <v>159160320.5964779</v>
      </c>
      <c r="EH161" s="8">
        <f>+MINVU_Mes_Corriente!EH161*MINVU_Mes_Constante!$EC$1</f>
        <v>159160320.5964779</v>
      </c>
      <c r="EI161" s="8">
        <f>+MINVU_Mes_Corriente!EI161*MINVU_Mes_Constante!$EC$1</f>
        <v>159160320.5964779</v>
      </c>
      <c r="EJ161" s="8">
        <f>+MINVU_Mes_Corriente!EJ161*MINVU_Mes_Constante!$EC$1</f>
        <v>159160320.5964779</v>
      </c>
      <c r="EK161" s="8">
        <f>+MINVU_Mes_Corriente!EK161*MINVU_Mes_Constante!$EC$1</f>
        <v>159160320.5964779</v>
      </c>
      <c r="EL161" s="8">
        <f>+MINVU_Mes_Corriente!EL161*MINVU_Mes_Constante!$EC$1</f>
        <v>159160320.5964779</v>
      </c>
      <c r="EM161" s="8">
        <f>+MINVU_Mes_Corriente!EM161*MINVU_Mes_Constante!$EC$1</f>
        <v>159160320.5964779</v>
      </c>
      <c r="EN161" s="8">
        <f>+MINVU_Mes_Corriente!EN161*MINVU_Mes_Constante!$EC$1</f>
        <v>159160320.5964779</v>
      </c>
      <c r="EO161" s="9">
        <f t="shared" si="124"/>
        <v>159160320.5964779</v>
      </c>
      <c r="EP161" s="8">
        <f>+MINVU_Mes_Corriente!EP161*MINVU_Mes_Constante!$EP$1</f>
        <v>204729212</v>
      </c>
      <c r="EQ161" s="8">
        <f>+MINVU_Mes_Corriente!EQ161*MINVU_Mes_Constante!$EP$1</f>
        <v>204729212</v>
      </c>
      <c r="ER161" s="8">
        <f>+MINVU_Mes_Corriente!ER161*MINVU_Mes_Constante!$EP$1</f>
        <v>204729212</v>
      </c>
      <c r="ES161" s="8">
        <f>+MINVU_Mes_Corriente!ES161*MINVU_Mes_Constante!$EP$1</f>
        <v>204729212</v>
      </c>
      <c r="ET161" s="8">
        <f>+MINVU_Mes_Corriente!ET161*MINVU_Mes_Constante!$EP$1</f>
        <v>204729212</v>
      </c>
      <c r="EU161" s="8">
        <f>+MINVU_Mes_Corriente!EU161*MINVU_Mes_Constante!$EP$1</f>
        <v>204729212</v>
      </c>
      <c r="EV161" s="8">
        <f>+MINVU_Mes_Corriente!EV161*MINVU_Mes_Constante!$EP$1</f>
        <v>204729212</v>
      </c>
      <c r="EW161" s="8">
        <f>+MINVU_Mes_Corriente!EW161*MINVU_Mes_Constante!$EP$1</f>
        <v>204729212</v>
      </c>
      <c r="EX161" s="8">
        <f>+MINVU_Mes_Corriente!EX161*MINVU_Mes_Constante!$EP$1</f>
        <v>204729212</v>
      </c>
      <c r="EY161" s="8">
        <f>+MINVU_Mes_Corriente!EY161*MINVU_Mes_Constante!$EP$1</f>
        <v>204729212</v>
      </c>
      <c r="EZ161" s="8">
        <f>+MINVU_Mes_Corriente!EZ161*MINVU_Mes_Constante!$EP$1</f>
        <v>204729212</v>
      </c>
      <c r="FA161" s="8">
        <f>+MINVU_Mes_Corriente!FA161*MINVU_Mes_Constante!$EP$1</f>
        <v>204729212</v>
      </c>
      <c r="FB161" s="9">
        <f t="shared" si="125"/>
        <v>204729212</v>
      </c>
      <c r="FC161" s="8">
        <f>+MINVU_Mes_Corriente!FC161*MINVU_Mes_Constante!$FC$1</f>
        <v>253550567</v>
      </c>
      <c r="FD161" s="8">
        <f>+MINVU_Mes_Corriente!FD161*MINVU_Mes_Constante!$FC$1</f>
        <v>253550567</v>
      </c>
      <c r="FE161" s="8">
        <f>+MINVU_Mes_Corriente!FE161*MINVU_Mes_Constante!$FC$1</f>
        <v>253550567</v>
      </c>
      <c r="FF161" s="8">
        <f>+MINVU_Mes_Corriente!FF161*MINVU_Mes_Constante!$FC$1</f>
        <v>253550567</v>
      </c>
      <c r="FG161" s="8">
        <f>+MINVU_Mes_Corriente!FG161*MINVU_Mes_Constante!$FC$1</f>
        <v>253550567</v>
      </c>
      <c r="FH161" s="8">
        <f>+MINVU_Mes_Corriente!FH161*MINVU_Mes_Constante!$FC$1</f>
        <v>253550567</v>
      </c>
      <c r="FI161" s="8">
        <f>+MINVU_Mes_Corriente!FI161*MINVU_Mes_Constante!$FC$1</f>
        <v>253550567</v>
      </c>
      <c r="FJ161" s="8"/>
      <c r="FK161" s="8"/>
      <c r="FL161" s="8"/>
      <c r="FM161" s="8"/>
      <c r="FN161" s="8"/>
      <c r="FO161" s="9">
        <f t="shared" si="126"/>
        <v>253550567</v>
      </c>
    </row>
    <row r="162" spans="2:171" ht="14.25" customHeight="1" x14ac:dyDescent="0.3">
      <c r="B162" s="7" t="s">
        <v>59</v>
      </c>
      <c r="C162" s="8">
        <f>+MINVU_Mes_Corriente!C162*MINVU_Mes_Constante!$C$1</f>
        <v>19755821.865638442</v>
      </c>
      <c r="D162" s="8">
        <f>+MINVU_Mes_Corriente!D162*MINVU_Mes_Constante!$C$1</f>
        <v>19755821.865638442</v>
      </c>
      <c r="E162" s="8">
        <f>+MINVU_Mes_Corriente!E162*MINVU_Mes_Constante!$C$1</f>
        <v>19755821.865638442</v>
      </c>
      <c r="F162" s="8">
        <f>+MINVU_Mes_Corriente!F162*MINVU_Mes_Constante!$C$1</f>
        <v>19755821.865638442</v>
      </c>
      <c r="G162" s="8">
        <f>+MINVU_Mes_Corriente!G162*MINVU_Mes_Constante!$C$1</f>
        <v>19755821.865638442</v>
      </c>
      <c r="H162" s="8">
        <f>+MINVU_Mes_Corriente!H162*MINVU_Mes_Constante!$C$1</f>
        <v>19755821.865638442</v>
      </c>
      <c r="I162" s="8">
        <f>+MINVU_Mes_Corriente!I162*MINVU_Mes_Constante!$C$1</f>
        <v>19755821.865638442</v>
      </c>
      <c r="J162" s="8">
        <f>+MINVU_Mes_Corriente!J162*MINVU_Mes_Constante!$C$1</f>
        <v>19755821.865638442</v>
      </c>
      <c r="K162" s="8">
        <f>+MINVU_Mes_Corriente!K162*MINVU_Mes_Constante!$C$1</f>
        <v>19755821.865638442</v>
      </c>
      <c r="L162" s="8">
        <f>+MINVU_Mes_Corriente!L162*MINVU_Mes_Constante!$C$1</f>
        <v>19755821.865638442</v>
      </c>
      <c r="M162" s="8">
        <f>+MINVU_Mes_Corriente!M162*MINVU_Mes_Constante!$C$1</f>
        <v>19755821.865638442</v>
      </c>
      <c r="N162" s="8">
        <f>+MINVU_Mes_Corriente!N162*MINVU_Mes_Constante!$C$1</f>
        <v>19755821.865638442</v>
      </c>
      <c r="O162" s="9">
        <f t="shared" si="114"/>
        <v>19755821.865638442</v>
      </c>
      <c r="P162" s="8">
        <f>+MINVU_Mes_Corriente!P162*MINVU_Mes_Constante!$P$1</f>
        <v>24651399.835772116</v>
      </c>
      <c r="Q162" s="8">
        <f>+MINVU_Mes_Corriente!Q162*MINVU_Mes_Constante!$P$1</f>
        <v>24651399.835772116</v>
      </c>
      <c r="R162" s="8">
        <f>+MINVU_Mes_Corriente!R162*MINVU_Mes_Constante!$P$1</f>
        <v>24651399.835772116</v>
      </c>
      <c r="S162" s="8">
        <f>+MINVU_Mes_Corriente!S162*MINVU_Mes_Constante!$P$1</f>
        <v>24651399.835772116</v>
      </c>
      <c r="T162" s="8">
        <f>+MINVU_Mes_Corriente!T162*MINVU_Mes_Constante!$P$1</f>
        <v>24651399.835772116</v>
      </c>
      <c r="U162" s="8">
        <f>+MINVU_Mes_Corriente!U162*MINVU_Mes_Constante!$P$1</f>
        <v>24651399.835772116</v>
      </c>
      <c r="V162" s="8">
        <f>+MINVU_Mes_Corriente!V162*MINVU_Mes_Constante!$P$1</f>
        <v>24651399.835772116</v>
      </c>
      <c r="W162" s="8">
        <f>+MINVU_Mes_Corriente!W162*MINVU_Mes_Constante!$P$1</f>
        <v>24651399.835772116</v>
      </c>
      <c r="X162" s="8">
        <f>+MINVU_Mes_Corriente!X162*MINVU_Mes_Constante!$P$1</f>
        <v>24651399.835772116</v>
      </c>
      <c r="Y162" s="8">
        <f>+MINVU_Mes_Corriente!Y162*MINVU_Mes_Constante!$P$1</f>
        <v>24651399.835772116</v>
      </c>
      <c r="Z162" s="8">
        <f>+MINVU_Mes_Corriente!Z162*MINVU_Mes_Constante!$P$1</f>
        <v>24651399.835772116</v>
      </c>
      <c r="AA162" s="8">
        <f>+MINVU_Mes_Corriente!AA162*MINVU_Mes_Constante!$P$1</f>
        <v>24651399.835772116</v>
      </c>
      <c r="AB162" s="9">
        <f t="shared" si="115"/>
        <v>24651399.835772116</v>
      </c>
      <c r="AC162" s="8">
        <f>+MINVU_Mes_Corriente!AC162*MINVU_Mes_Constante!$AC$1</f>
        <v>20386641.879374739</v>
      </c>
      <c r="AD162" s="8">
        <f>+MINVU_Mes_Corriente!AD162*MINVU_Mes_Constante!$AC$1</f>
        <v>20386641.879374739</v>
      </c>
      <c r="AE162" s="8">
        <f>+MINVU_Mes_Corriente!AE162*MINVU_Mes_Constante!$AC$1</f>
        <v>20386641.879374739</v>
      </c>
      <c r="AF162" s="8">
        <f>+MINVU_Mes_Corriente!AF162*MINVU_Mes_Constante!$AC$1</f>
        <v>20386641.879374739</v>
      </c>
      <c r="AG162" s="8">
        <f>+MINVU_Mes_Corriente!AG162*MINVU_Mes_Constante!$AC$1</f>
        <v>20386641.879374739</v>
      </c>
      <c r="AH162" s="8">
        <f>+MINVU_Mes_Corriente!AH162*MINVU_Mes_Constante!$AC$1</f>
        <v>20386641.879374739</v>
      </c>
      <c r="AI162" s="8">
        <f>+MINVU_Mes_Corriente!AI162*MINVU_Mes_Constante!$AC$1</f>
        <v>20386641.879374739</v>
      </c>
      <c r="AJ162" s="8">
        <f>+MINVU_Mes_Corriente!AJ162*MINVU_Mes_Constante!$AC$1</f>
        <v>20386641.879374739</v>
      </c>
      <c r="AK162" s="8">
        <f>+MINVU_Mes_Corriente!AK162*MINVU_Mes_Constante!$AC$1</f>
        <v>20386641.879374739</v>
      </c>
      <c r="AL162" s="8">
        <f>+MINVU_Mes_Corriente!AL162*MINVU_Mes_Constante!$AC$1</f>
        <v>20386641.879374739</v>
      </c>
      <c r="AM162" s="8">
        <f>+MINVU_Mes_Corriente!AM162*MINVU_Mes_Constante!$AC$1</f>
        <v>20386641.879374739</v>
      </c>
      <c r="AN162" s="8">
        <f>+MINVU_Mes_Corriente!AN162*MINVU_Mes_Constante!$AC$1</f>
        <v>20386641.879374739</v>
      </c>
      <c r="AO162" s="9">
        <f t="shared" si="116"/>
        <v>20386641.879374739</v>
      </c>
      <c r="AP162" s="8">
        <f>+MINVU_Mes_Corriente!AP162*MINVU_Mes_Constante!$AP$1</f>
        <v>30376350.516163938</v>
      </c>
      <c r="AQ162" s="8">
        <f>+MINVU_Mes_Corriente!AQ162*MINVU_Mes_Constante!$AP$1</f>
        <v>30376350.516163938</v>
      </c>
      <c r="AR162" s="8">
        <f>+MINVU_Mes_Corriente!AR162*MINVU_Mes_Constante!$AP$1</f>
        <v>30376350.516163938</v>
      </c>
      <c r="AS162" s="8">
        <f>+MINVU_Mes_Corriente!AS162*MINVU_Mes_Constante!$AP$1</f>
        <v>30376350.516163938</v>
      </c>
      <c r="AT162" s="8">
        <f>+MINVU_Mes_Corriente!AT162*MINVU_Mes_Constante!$AP$1</f>
        <v>30376350.516163938</v>
      </c>
      <c r="AU162" s="8">
        <f>+MINVU_Mes_Corriente!AU162*MINVU_Mes_Constante!$AP$1</f>
        <v>30376350.516163938</v>
      </c>
      <c r="AV162" s="8">
        <f>+MINVU_Mes_Corriente!AV162*MINVU_Mes_Constante!$AP$1</f>
        <v>30376350.516163938</v>
      </c>
      <c r="AW162" s="8">
        <f>+MINVU_Mes_Corriente!AW162*MINVU_Mes_Constante!$AP$1</f>
        <v>30376350.516163938</v>
      </c>
      <c r="AX162" s="8">
        <f>+MINVU_Mes_Corriente!AX162*MINVU_Mes_Constante!$AP$1</f>
        <v>30376350.516163938</v>
      </c>
      <c r="AY162" s="8">
        <f>+MINVU_Mes_Corriente!AY162*MINVU_Mes_Constante!$AP$1</f>
        <v>30376350.516163938</v>
      </c>
      <c r="AZ162" s="8">
        <f>+MINVU_Mes_Corriente!AZ162*MINVU_Mes_Constante!$AP$1</f>
        <v>30376350.516163938</v>
      </c>
      <c r="BA162" s="8">
        <f>+MINVU_Mes_Corriente!BA162*MINVU_Mes_Constante!$AP$1</f>
        <v>30376350.516163938</v>
      </c>
      <c r="BB162" s="9">
        <f t="shared" si="117"/>
        <v>30376350.516163938</v>
      </c>
      <c r="BC162" s="8">
        <f>+MINVU_Mes_Corriente!BC162*MINVU_Mes_Constante!$BC$1</f>
        <v>21609973.898984578</v>
      </c>
      <c r="BD162" s="8">
        <f>+MINVU_Mes_Corriente!BD162*MINVU_Mes_Constante!$BC$1</f>
        <v>21609973.898984578</v>
      </c>
      <c r="BE162" s="8">
        <f>+MINVU_Mes_Corriente!BE162*MINVU_Mes_Constante!$BC$1</f>
        <v>21609973.898984578</v>
      </c>
      <c r="BF162" s="8">
        <f>+MINVU_Mes_Corriente!BF162*MINVU_Mes_Constante!$BC$1</f>
        <v>21609973.898984578</v>
      </c>
      <c r="BG162" s="8">
        <f>+MINVU_Mes_Corriente!BG162*MINVU_Mes_Constante!$BC$1</f>
        <v>21609973.898984578</v>
      </c>
      <c r="BH162" s="8">
        <f>+MINVU_Mes_Corriente!BH162*MINVU_Mes_Constante!$BC$1</f>
        <v>21609973.898984578</v>
      </c>
      <c r="BI162" s="8">
        <f>+MINVU_Mes_Corriente!BI162*MINVU_Mes_Constante!$BC$1</f>
        <v>21609973.898984578</v>
      </c>
      <c r="BJ162" s="8">
        <f>+MINVU_Mes_Corriente!BJ162*MINVU_Mes_Constante!$BC$1</f>
        <v>21609973.898984578</v>
      </c>
      <c r="BK162" s="8">
        <f>+MINVU_Mes_Corriente!BK162*MINVU_Mes_Constante!$BC$1</f>
        <v>21609973.898984578</v>
      </c>
      <c r="BL162" s="8">
        <f>+MINVU_Mes_Corriente!BL162*MINVU_Mes_Constante!$BC$1</f>
        <v>21609973.898984578</v>
      </c>
      <c r="BM162" s="8">
        <f>+MINVU_Mes_Corriente!BM162*MINVU_Mes_Constante!$BC$1</f>
        <v>21609973.898984578</v>
      </c>
      <c r="BN162" s="8">
        <f>+MINVU_Mes_Corriente!BN162*MINVU_Mes_Constante!$BC$1</f>
        <v>21609973.898984578</v>
      </c>
      <c r="BO162" s="9">
        <f t="shared" si="118"/>
        <v>21609973.898984578</v>
      </c>
      <c r="BP162" s="8">
        <f>+MINVU_Mes_Corriente!BP162*MINVU_Mes_Constante!$BP$1</f>
        <v>24555257.479129326</v>
      </c>
      <c r="BQ162" s="8">
        <f>+MINVU_Mes_Corriente!BQ162*MINVU_Mes_Constante!$BP$1</f>
        <v>24555257.479129326</v>
      </c>
      <c r="BR162" s="8">
        <f>+MINVU_Mes_Corriente!BR162*MINVU_Mes_Constante!$BP$1</f>
        <v>24555257.479129326</v>
      </c>
      <c r="BS162" s="8">
        <f>+MINVU_Mes_Corriente!BS162*MINVU_Mes_Constante!$BP$1</f>
        <v>24555257.479129326</v>
      </c>
      <c r="BT162" s="8">
        <f>+MINVU_Mes_Corriente!BT162*MINVU_Mes_Constante!$BP$1</f>
        <v>24555257.479129326</v>
      </c>
      <c r="BU162" s="8">
        <f>+MINVU_Mes_Corriente!BU162*MINVU_Mes_Constante!$BP$1</f>
        <v>24555257.479129326</v>
      </c>
      <c r="BV162" s="8">
        <f>+MINVU_Mes_Corriente!BV162*MINVU_Mes_Constante!$BP$1</f>
        <v>24555257.479129326</v>
      </c>
      <c r="BW162" s="8">
        <f>+MINVU_Mes_Corriente!BW162*MINVU_Mes_Constante!$BP$1</f>
        <v>24555257.479129326</v>
      </c>
      <c r="BX162" s="8">
        <f>+MINVU_Mes_Corriente!BX162*MINVU_Mes_Constante!$BP$1</f>
        <v>24555257.479129326</v>
      </c>
      <c r="BY162" s="8">
        <f>+MINVU_Mes_Corriente!BY162*MINVU_Mes_Constante!$BP$1</f>
        <v>24555257.479129326</v>
      </c>
      <c r="BZ162" s="8">
        <f>+MINVU_Mes_Corriente!BZ162*MINVU_Mes_Constante!$BP$1</f>
        <v>24555257.479129326</v>
      </c>
      <c r="CA162" s="8">
        <f>+MINVU_Mes_Corriente!CA162*MINVU_Mes_Constante!$BP$1</f>
        <v>24555257.479129326</v>
      </c>
      <c r="CB162" s="9">
        <f t="shared" si="119"/>
        <v>24555257.479129326</v>
      </c>
      <c r="CC162" s="8">
        <f>+MINVU_Mes_Corriente!CC162*MINVU_Mes_Constante!$CC$1</f>
        <v>24503798.477433797</v>
      </c>
      <c r="CD162" s="8">
        <f>+MINVU_Mes_Corriente!CD162*MINVU_Mes_Constante!$CC$1</f>
        <v>24503798.477433797</v>
      </c>
      <c r="CE162" s="8">
        <f>+MINVU_Mes_Corriente!CE162*MINVU_Mes_Constante!$CC$1</f>
        <v>24503798.477433797</v>
      </c>
      <c r="CF162" s="8">
        <f>+MINVU_Mes_Corriente!CF162*MINVU_Mes_Constante!$CC$1</f>
        <v>24503798.477433797</v>
      </c>
      <c r="CG162" s="8">
        <f>+MINVU_Mes_Corriente!CG162*MINVU_Mes_Constante!$CC$1</f>
        <v>24503798.477433797</v>
      </c>
      <c r="CH162" s="8">
        <f>+MINVU_Mes_Corriente!CH162*MINVU_Mes_Constante!$CC$1</f>
        <v>24503798.477433797</v>
      </c>
      <c r="CI162" s="8">
        <f>+MINVU_Mes_Corriente!CI162*MINVU_Mes_Constante!$CC$1</f>
        <v>24503798.477433797</v>
      </c>
      <c r="CJ162" s="8">
        <f>+MINVU_Mes_Corriente!CJ162*MINVU_Mes_Constante!$CC$1</f>
        <v>24503798.477433797</v>
      </c>
      <c r="CK162" s="8">
        <f>+MINVU_Mes_Corriente!CK162*MINVU_Mes_Constante!$CC$1</f>
        <v>24503798.477433797</v>
      </c>
      <c r="CL162" s="8">
        <f>+MINVU_Mes_Corriente!CL162*MINVU_Mes_Constante!$CC$1</f>
        <v>24503798.477433797</v>
      </c>
      <c r="CM162" s="8">
        <f>+MINVU_Mes_Corriente!CM162*MINVU_Mes_Constante!$CC$1</f>
        <v>24503798.477433797</v>
      </c>
      <c r="CN162" s="8">
        <f>+MINVU_Mes_Corriente!CN162*MINVU_Mes_Constante!$CC$1</f>
        <v>24503798.477433797</v>
      </c>
      <c r="CO162" s="9">
        <f t="shared" si="120"/>
        <v>24503798.477433797</v>
      </c>
      <c r="CP162" s="8">
        <f>+MINVU_Mes_Corriente!CP162*MINVU_Mes_Constante!$CP$1</f>
        <v>26302337.252436191</v>
      </c>
      <c r="CQ162" s="8">
        <f>+MINVU_Mes_Corriente!CQ162*MINVU_Mes_Constante!$CP$1</f>
        <v>26302337.252436191</v>
      </c>
      <c r="CR162" s="8">
        <f>+MINVU_Mes_Corriente!CR162*MINVU_Mes_Constante!$CP$1</f>
        <v>26302337.252436191</v>
      </c>
      <c r="CS162" s="8">
        <f>+MINVU_Mes_Corriente!CS162*MINVU_Mes_Constante!$CP$1</f>
        <v>26302337.252436191</v>
      </c>
      <c r="CT162" s="8">
        <f>+MINVU_Mes_Corriente!CT162*MINVU_Mes_Constante!$CP$1</f>
        <v>26302337.252436191</v>
      </c>
      <c r="CU162" s="8">
        <f>+MINVU_Mes_Corriente!CU162*MINVU_Mes_Constante!$CP$1</f>
        <v>26302337.252436191</v>
      </c>
      <c r="CV162" s="8">
        <f>+MINVU_Mes_Corriente!CV162*MINVU_Mes_Constante!$CP$1</f>
        <v>26302337.252436191</v>
      </c>
      <c r="CW162" s="8">
        <f>+MINVU_Mes_Corriente!CW162*MINVU_Mes_Constante!$CP$1</f>
        <v>26302337.252436191</v>
      </c>
      <c r="CX162" s="8">
        <f>+MINVU_Mes_Corriente!CX162*MINVU_Mes_Constante!$CP$1</f>
        <v>26302337.252436191</v>
      </c>
      <c r="CY162" s="8">
        <f>+MINVU_Mes_Corriente!CY162*MINVU_Mes_Constante!$CP$1</f>
        <v>26302337.252436191</v>
      </c>
      <c r="CZ162" s="8">
        <f>+MINVU_Mes_Corriente!CZ162*MINVU_Mes_Constante!$CP$1</f>
        <v>26302337.252436191</v>
      </c>
      <c r="DA162" s="8">
        <f>+MINVU_Mes_Corriente!DA162*MINVU_Mes_Constante!$CP$1</f>
        <v>26302337.252436191</v>
      </c>
      <c r="DB162" s="9">
        <f t="shared" si="121"/>
        <v>26302337.252436191</v>
      </c>
      <c r="DC162" s="8">
        <f>+MINVU_Mes_Corriente!DC162*MINVU_Mes_Constante!$DC$1</f>
        <v>31658047.347392257</v>
      </c>
      <c r="DD162" s="8">
        <f>+MINVU_Mes_Corriente!DD162*MINVU_Mes_Constante!$DC$1</f>
        <v>31658047.347392257</v>
      </c>
      <c r="DE162" s="8">
        <f>+MINVU_Mes_Corriente!DE162*MINVU_Mes_Constante!$DC$1</f>
        <v>31658047.347392257</v>
      </c>
      <c r="DF162" s="8">
        <f>+MINVU_Mes_Corriente!DF162*MINVU_Mes_Constante!$DC$1</f>
        <v>31658047.347392257</v>
      </c>
      <c r="DG162" s="8">
        <f>+MINVU_Mes_Corriente!DG162*MINVU_Mes_Constante!$DC$1</f>
        <v>31658047.347392257</v>
      </c>
      <c r="DH162" s="8">
        <f>+MINVU_Mes_Corriente!DH162*MINVU_Mes_Constante!$DC$1</f>
        <v>31658047.347392257</v>
      </c>
      <c r="DI162" s="8">
        <f>+MINVU_Mes_Corriente!DI162*MINVU_Mes_Constante!$DC$1</f>
        <v>31658047.347392257</v>
      </c>
      <c r="DJ162" s="8">
        <f>+MINVU_Mes_Corriente!DJ162*MINVU_Mes_Constante!$DC$1</f>
        <v>31658047.347392257</v>
      </c>
      <c r="DK162" s="8">
        <f>+MINVU_Mes_Corriente!DK162*MINVU_Mes_Constante!$DC$1</f>
        <v>31658047.347392257</v>
      </c>
      <c r="DL162" s="8">
        <f>+MINVU_Mes_Corriente!DL162*MINVU_Mes_Constante!$DC$1</f>
        <v>31658047.347392257</v>
      </c>
      <c r="DM162" s="8">
        <f>+MINVU_Mes_Corriente!DM162*MINVU_Mes_Constante!$DC$1</f>
        <v>31658047.347392257</v>
      </c>
      <c r="DN162" s="8">
        <f>+MINVU_Mes_Corriente!DN162*MINVU_Mes_Constante!$DC$1</f>
        <v>31658047.347392257</v>
      </c>
      <c r="DO162" s="9">
        <f t="shared" si="122"/>
        <v>31658047.347392257</v>
      </c>
      <c r="DP162" s="8">
        <f>+MINVU_Mes_Corriente!DP162*MINVU_Mes_Constante!$DP$1</f>
        <v>56592534.089073643</v>
      </c>
      <c r="DQ162" s="8">
        <f>+MINVU_Mes_Corriente!DQ162*MINVU_Mes_Constante!$DP$1</f>
        <v>56592534.089073643</v>
      </c>
      <c r="DR162" s="8">
        <f>+MINVU_Mes_Corriente!DR162*MINVU_Mes_Constante!$DP$1</f>
        <v>56592534.089073643</v>
      </c>
      <c r="DS162" s="8">
        <f>+MINVU_Mes_Corriente!DS162*MINVU_Mes_Constante!$DP$1</f>
        <v>56592534.089073643</v>
      </c>
      <c r="DT162" s="8">
        <f>+MINVU_Mes_Corriente!DT162*MINVU_Mes_Constante!$DP$1</f>
        <v>56592534.089073643</v>
      </c>
      <c r="DU162" s="8">
        <f>+MINVU_Mes_Corriente!DU162*MINVU_Mes_Constante!$DP$1</f>
        <v>56592534.089073643</v>
      </c>
      <c r="DV162" s="8">
        <f>+MINVU_Mes_Corriente!DV162*MINVU_Mes_Constante!$DP$1</f>
        <v>56592534.089073643</v>
      </c>
      <c r="DW162" s="8">
        <f>+MINVU_Mes_Corriente!DW162*MINVU_Mes_Constante!$DP$1</f>
        <v>56592534.089073643</v>
      </c>
      <c r="DX162" s="8">
        <f>+MINVU_Mes_Corriente!DX162*MINVU_Mes_Constante!$DP$1</f>
        <v>56592534.089073643</v>
      </c>
      <c r="DY162" s="8">
        <f>+MINVU_Mes_Corriente!DY162*MINVU_Mes_Constante!$DP$1</f>
        <v>56592534.089073643</v>
      </c>
      <c r="DZ162" s="8">
        <f>+MINVU_Mes_Corriente!DZ162*MINVU_Mes_Constante!$DP$1</f>
        <v>56592534.089073643</v>
      </c>
      <c r="EA162" s="8">
        <f>+MINVU_Mes_Corriente!EA162*MINVU_Mes_Constante!$DP$1</f>
        <v>56592534.089073643</v>
      </c>
      <c r="EB162" s="9">
        <f t="shared" si="123"/>
        <v>56592534.089073643</v>
      </c>
      <c r="EC162" s="8">
        <f>+MINVU_Mes_Corriente!EC162*MINVU_Mes_Constante!$EC$1</f>
        <v>34641103.34065517</v>
      </c>
      <c r="ED162" s="8">
        <f>+MINVU_Mes_Corriente!ED162*MINVU_Mes_Constante!$EC$1</f>
        <v>34641103.34065517</v>
      </c>
      <c r="EE162" s="8">
        <f>+MINVU_Mes_Corriente!EE162*MINVU_Mes_Constante!$EC$1</f>
        <v>34641103.34065517</v>
      </c>
      <c r="EF162" s="8">
        <f>+MINVU_Mes_Corriente!EF162*MINVU_Mes_Constante!$EC$1</f>
        <v>34641103.34065517</v>
      </c>
      <c r="EG162" s="8">
        <f>+MINVU_Mes_Corriente!EG162*MINVU_Mes_Constante!$EC$1</f>
        <v>34641103.34065517</v>
      </c>
      <c r="EH162" s="8">
        <f>+MINVU_Mes_Corriente!EH162*MINVU_Mes_Constante!$EC$1</f>
        <v>34641103.34065517</v>
      </c>
      <c r="EI162" s="8">
        <f>+MINVU_Mes_Corriente!EI162*MINVU_Mes_Constante!$EC$1</f>
        <v>34641103.34065517</v>
      </c>
      <c r="EJ162" s="8">
        <f>+MINVU_Mes_Corriente!EJ162*MINVU_Mes_Constante!$EC$1</f>
        <v>34641103.34065517</v>
      </c>
      <c r="EK162" s="8">
        <f>+MINVU_Mes_Corriente!EK162*MINVU_Mes_Constante!$EC$1</f>
        <v>34641103.34065517</v>
      </c>
      <c r="EL162" s="8">
        <f>+MINVU_Mes_Corriente!EL162*MINVU_Mes_Constante!$EC$1</f>
        <v>34641103.34065517</v>
      </c>
      <c r="EM162" s="8">
        <f>+MINVU_Mes_Corriente!EM162*MINVU_Mes_Constante!$EC$1</f>
        <v>34641103.34065517</v>
      </c>
      <c r="EN162" s="8">
        <f>+MINVU_Mes_Corriente!EN162*MINVU_Mes_Constante!$EC$1</f>
        <v>34641103.34065517</v>
      </c>
      <c r="EO162" s="9">
        <f t="shared" si="124"/>
        <v>34641103.34065517</v>
      </c>
      <c r="EP162" s="8">
        <f>+MINVU_Mes_Corriente!EP162*MINVU_Mes_Constante!$EP$1</f>
        <v>62332384</v>
      </c>
      <c r="EQ162" s="8">
        <f>+MINVU_Mes_Corriente!EQ162*MINVU_Mes_Constante!$EP$1</f>
        <v>62332384</v>
      </c>
      <c r="ER162" s="8">
        <f>+MINVU_Mes_Corriente!ER162*MINVU_Mes_Constante!$EP$1</f>
        <v>62332384</v>
      </c>
      <c r="ES162" s="8">
        <f>+MINVU_Mes_Corriente!ES162*MINVU_Mes_Constante!$EP$1</f>
        <v>62332384</v>
      </c>
      <c r="ET162" s="8">
        <f>+MINVU_Mes_Corriente!ET162*MINVU_Mes_Constante!$EP$1</f>
        <v>62332384</v>
      </c>
      <c r="EU162" s="8">
        <f>+MINVU_Mes_Corriente!EU162*MINVU_Mes_Constante!$EP$1</f>
        <v>62332384</v>
      </c>
      <c r="EV162" s="8">
        <f>+MINVU_Mes_Corriente!EV162*MINVU_Mes_Constante!$EP$1</f>
        <v>62332384</v>
      </c>
      <c r="EW162" s="8">
        <f>+MINVU_Mes_Corriente!EW162*MINVU_Mes_Constante!$EP$1</f>
        <v>62332384</v>
      </c>
      <c r="EX162" s="8">
        <f>+MINVU_Mes_Corriente!EX162*MINVU_Mes_Constante!$EP$1</f>
        <v>62332384</v>
      </c>
      <c r="EY162" s="8">
        <f>+MINVU_Mes_Corriente!EY162*MINVU_Mes_Constante!$EP$1</f>
        <v>62332384</v>
      </c>
      <c r="EZ162" s="8">
        <f>+MINVU_Mes_Corriente!EZ162*MINVU_Mes_Constante!$EP$1</f>
        <v>62332384</v>
      </c>
      <c r="FA162" s="8">
        <f>+MINVU_Mes_Corriente!FA162*MINVU_Mes_Constante!$EP$1</f>
        <v>62332384</v>
      </c>
      <c r="FB162" s="9">
        <f t="shared" si="125"/>
        <v>62332384</v>
      </c>
      <c r="FC162" s="8">
        <f>+MINVU_Mes_Corriente!FC162*MINVU_Mes_Constante!$FC$1</f>
        <v>52358707</v>
      </c>
      <c r="FD162" s="8">
        <f>+MINVU_Mes_Corriente!FD162*MINVU_Mes_Constante!$FC$1</f>
        <v>52358707</v>
      </c>
      <c r="FE162" s="8">
        <f>+MINVU_Mes_Corriente!FE162*MINVU_Mes_Constante!$FC$1</f>
        <v>52358707</v>
      </c>
      <c r="FF162" s="8">
        <f>+MINVU_Mes_Corriente!FF162*MINVU_Mes_Constante!$FC$1</f>
        <v>52358707</v>
      </c>
      <c r="FG162" s="8">
        <f>+MINVU_Mes_Corriente!FG162*MINVU_Mes_Constante!$FC$1</f>
        <v>52358707</v>
      </c>
      <c r="FH162" s="8">
        <f>+MINVU_Mes_Corriente!FH162*MINVU_Mes_Constante!$FC$1</f>
        <v>52358707</v>
      </c>
      <c r="FI162" s="8">
        <f>+MINVU_Mes_Corriente!FI162*MINVU_Mes_Constante!$FC$1</f>
        <v>52358707</v>
      </c>
      <c r="FJ162" s="8"/>
      <c r="FK162" s="8"/>
      <c r="FL162" s="8"/>
      <c r="FM162" s="8"/>
      <c r="FN162" s="8"/>
      <c r="FO162" s="9">
        <f t="shared" si="126"/>
        <v>52358707</v>
      </c>
    </row>
    <row r="163" spans="2:171" ht="14.25" customHeight="1" x14ac:dyDescent="0.3">
      <c r="B163" s="7" t="s">
        <v>60</v>
      </c>
      <c r="C163" s="8">
        <f>+MINVU_Mes_Corriente!C163*MINVU_Mes_Constante!$C$1</f>
        <v>27110471.69657423</v>
      </c>
      <c r="D163" s="8">
        <f>+MINVU_Mes_Corriente!D163*MINVU_Mes_Constante!$C$1</f>
        <v>27110471.69657423</v>
      </c>
      <c r="E163" s="8">
        <f>+MINVU_Mes_Corriente!E163*MINVU_Mes_Constante!$C$1</f>
        <v>27110471.69657423</v>
      </c>
      <c r="F163" s="8">
        <f>+MINVU_Mes_Corriente!F163*MINVU_Mes_Constante!$C$1</f>
        <v>27110471.69657423</v>
      </c>
      <c r="G163" s="8">
        <f>+MINVU_Mes_Corriente!G163*MINVU_Mes_Constante!$C$1</f>
        <v>27110471.69657423</v>
      </c>
      <c r="H163" s="8">
        <f>+MINVU_Mes_Corriente!H163*MINVU_Mes_Constante!$C$1</f>
        <v>27110471.69657423</v>
      </c>
      <c r="I163" s="8">
        <f>+MINVU_Mes_Corriente!I163*MINVU_Mes_Constante!$C$1</f>
        <v>27110471.69657423</v>
      </c>
      <c r="J163" s="8">
        <f>+MINVU_Mes_Corriente!J163*MINVU_Mes_Constante!$C$1</f>
        <v>27110471.69657423</v>
      </c>
      <c r="K163" s="8">
        <f>+MINVU_Mes_Corriente!K163*MINVU_Mes_Constante!$C$1</f>
        <v>27110471.69657423</v>
      </c>
      <c r="L163" s="8">
        <f>+MINVU_Mes_Corriente!L163*MINVU_Mes_Constante!$C$1</f>
        <v>27110471.69657423</v>
      </c>
      <c r="M163" s="8">
        <f>+MINVU_Mes_Corriente!M163*MINVU_Mes_Constante!$C$1</f>
        <v>27110471.69657423</v>
      </c>
      <c r="N163" s="8">
        <f>+MINVU_Mes_Corriente!N163*MINVU_Mes_Constante!$C$1</f>
        <v>27110471.69657423</v>
      </c>
      <c r="O163" s="9">
        <f t="shared" si="114"/>
        <v>27110471.69657423</v>
      </c>
      <c r="P163" s="8">
        <f>+MINVU_Mes_Corriente!P163*MINVU_Mes_Constante!$P$1</f>
        <v>28547044.258559443</v>
      </c>
      <c r="Q163" s="8">
        <f>+MINVU_Mes_Corriente!Q163*MINVU_Mes_Constante!$P$1</f>
        <v>28547044.258559443</v>
      </c>
      <c r="R163" s="8">
        <f>+MINVU_Mes_Corriente!R163*MINVU_Mes_Constante!$P$1</f>
        <v>28547044.258559443</v>
      </c>
      <c r="S163" s="8">
        <f>+MINVU_Mes_Corriente!S163*MINVU_Mes_Constante!$P$1</f>
        <v>28547044.258559443</v>
      </c>
      <c r="T163" s="8">
        <f>+MINVU_Mes_Corriente!T163*MINVU_Mes_Constante!$P$1</f>
        <v>28547044.258559443</v>
      </c>
      <c r="U163" s="8">
        <f>+MINVU_Mes_Corriente!U163*MINVU_Mes_Constante!$P$1</f>
        <v>28547044.258559443</v>
      </c>
      <c r="V163" s="8">
        <f>+MINVU_Mes_Corriente!V163*MINVU_Mes_Constante!$P$1</f>
        <v>28547044.258559443</v>
      </c>
      <c r="W163" s="8">
        <f>+MINVU_Mes_Corriente!W163*MINVU_Mes_Constante!$P$1</f>
        <v>28547044.258559443</v>
      </c>
      <c r="X163" s="8">
        <f>+MINVU_Mes_Corriente!X163*MINVU_Mes_Constante!$P$1</f>
        <v>28547044.258559443</v>
      </c>
      <c r="Y163" s="8">
        <f>+MINVU_Mes_Corriente!Y163*MINVU_Mes_Constante!$P$1</f>
        <v>28547044.258559443</v>
      </c>
      <c r="Z163" s="8">
        <f>+MINVU_Mes_Corriente!Z163*MINVU_Mes_Constante!$P$1</f>
        <v>28547044.258559443</v>
      </c>
      <c r="AA163" s="8">
        <f>+MINVU_Mes_Corriente!AA163*MINVU_Mes_Constante!$P$1</f>
        <v>28547044.258559443</v>
      </c>
      <c r="AB163" s="9">
        <f t="shared" si="115"/>
        <v>28547044.258559443</v>
      </c>
      <c r="AC163" s="8">
        <f>+MINVU_Mes_Corriente!AC163*MINVU_Mes_Constante!$AC$1</f>
        <v>31133864.467561211</v>
      </c>
      <c r="AD163" s="8">
        <f>+MINVU_Mes_Corriente!AD163*MINVU_Mes_Constante!$AC$1</f>
        <v>31133864.467561211</v>
      </c>
      <c r="AE163" s="8">
        <f>+MINVU_Mes_Corriente!AE163*MINVU_Mes_Constante!$AC$1</f>
        <v>31133864.467561211</v>
      </c>
      <c r="AF163" s="8">
        <f>+MINVU_Mes_Corriente!AF163*MINVU_Mes_Constante!$AC$1</f>
        <v>31133864.467561211</v>
      </c>
      <c r="AG163" s="8">
        <f>+MINVU_Mes_Corriente!AG163*MINVU_Mes_Constante!$AC$1</f>
        <v>31133864.467561211</v>
      </c>
      <c r="AH163" s="8">
        <f>+MINVU_Mes_Corriente!AH163*MINVU_Mes_Constante!$AC$1</f>
        <v>31133864.467561211</v>
      </c>
      <c r="AI163" s="8">
        <f>+MINVU_Mes_Corriente!AI163*MINVU_Mes_Constante!$AC$1</f>
        <v>31133864.467561211</v>
      </c>
      <c r="AJ163" s="8">
        <f>+MINVU_Mes_Corriente!AJ163*MINVU_Mes_Constante!$AC$1</f>
        <v>31133864.467561211</v>
      </c>
      <c r="AK163" s="8">
        <f>+MINVU_Mes_Corriente!AK163*MINVU_Mes_Constante!$AC$1</f>
        <v>31133864.467561211</v>
      </c>
      <c r="AL163" s="8">
        <f>+MINVU_Mes_Corriente!AL163*MINVU_Mes_Constante!$AC$1</f>
        <v>31133864.467561211</v>
      </c>
      <c r="AM163" s="8">
        <f>+MINVU_Mes_Corriente!AM163*MINVU_Mes_Constante!$AC$1</f>
        <v>31133864.467561211</v>
      </c>
      <c r="AN163" s="8">
        <f>+MINVU_Mes_Corriente!AN163*MINVU_Mes_Constante!$AC$1</f>
        <v>31133864.467561211</v>
      </c>
      <c r="AO163" s="9">
        <f t="shared" si="116"/>
        <v>31133864.467561211</v>
      </c>
      <c r="AP163" s="8">
        <f>+MINVU_Mes_Corriente!AP163*MINVU_Mes_Constante!$AP$1</f>
        <v>24658765.701068576</v>
      </c>
      <c r="AQ163" s="8">
        <f>+MINVU_Mes_Corriente!AQ163*MINVU_Mes_Constante!$AP$1</f>
        <v>24658765.701068576</v>
      </c>
      <c r="AR163" s="8">
        <f>+MINVU_Mes_Corriente!AR163*MINVU_Mes_Constante!$AP$1</f>
        <v>24658765.701068576</v>
      </c>
      <c r="AS163" s="8">
        <f>+MINVU_Mes_Corriente!AS163*MINVU_Mes_Constante!$AP$1</f>
        <v>24658765.701068576</v>
      </c>
      <c r="AT163" s="8">
        <f>+MINVU_Mes_Corriente!AT163*MINVU_Mes_Constante!$AP$1</f>
        <v>24658765.701068576</v>
      </c>
      <c r="AU163" s="8">
        <f>+MINVU_Mes_Corriente!AU163*MINVU_Mes_Constante!$AP$1</f>
        <v>24658765.701068576</v>
      </c>
      <c r="AV163" s="8">
        <f>+MINVU_Mes_Corriente!AV163*MINVU_Mes_Constante!$AP$1</f>
        <v>24658765.701068576</v>
      </c>
      <c r="AW163" s="8">
        <f>+MINVU_Mes_Corriente!AW163*MINVU_Mes_Constante!$AP$1</f>
        <v>24658765.701068576</v>
      </c>
      <c r="AX163" s="8">
        <f>+MINVU_Mes_Corriente!AX163*MINVU_Mes_Constante!$AP$1</f>
        <v>24658765.701068576</v>
      </c>
      <c r="AY163" s="8">
        <f>+MINVU_Mes_Corriente!AY163*MINVU_Mes_Constante!$AP$1</f>
        <v>24658765.701068576</v>
      </c>
      <c r="AZ163" s="8">
        <f>+MINVU_Mes_Corriente!AZ163*MINVU_Mes_Constante!$AP$1</f>
        <v>24658765.701068576</v>
      </c>
      <c r="BA163" s="8">
        <f>+MINVU_Mes_Corriente!BA163*MINVU_Mes_Constante!$AP$1</f>
        <v>24658765.701068576</v>
      </c>
      <c r="BB163" s="9">
        <f t="shared" si="117"/>
        <v>24658765.701068576</v>
      </c>
      <c r="BC163" s="8">
        <f>+MINVU_Mes_Corriente!BC163*MINVU_Mes_Constante!$BC$1</f>
        <v>30457320.769880001</v>
      </c>
      <c r="BD163" s="8">
        <f>+MINVU_Mes_Corriente!BD163*MINVU_Mes_Constante!$BC$1</f>
        <v>30457320.769880001</v>
      </c>
      <c r="BE163" s="8">
        <f>+MINVU_Mes_Corriente!BE163*MINVU_Mes_Constante!$BC$1</f>
        <v>30457320.769880001</v>
      </c>
      <c r="BF163" s="8">
        <f>+MINVU_Mes_Corriente!BF163*MINVU_Mes_Constante!$BC$1</f>
        <v>30457320.769880001</v>
      </c>
      <c r="BG163" s="8">
        <f>+MINVU_Mes_Corriente!BG163*MINVU_Mes_Constante!$BC$1</f>
        <v>30457320.769880001</v>
      </c>
      <c r="BH163" s="8">
        <f>+MINVU_Mes_Corriente!BH163*MINVU_Mes_Constante!$BC$1</f>
        <v>30457320.769880001</v>
      </c>
      <c r="BI163" s="8">
        <f>+MINVU_Mes_Corriente!BI163*MINVU_Mes_Constante!$BC$1</f>
        <v>30457320.769880001</v>
      </c>
      <c r="BJ163" s="8">
        <f>+MINVU_Mes_Corriente!BJ163*MINVU_Mes_Constante!$BC$1</f>
        <v>30457320.769880001</v>
      </c>
      <c r="BK163" s="8">
        <f>+MINVU_Mes_Corriente!BK163*MINVU_Mes_Constante!$BC$1</f>
        <v>30457320.769880001</v>
      </c>
      <c r="BL163" s="8">
        <f>+MINVU_Mes_Corriente!BL163*MINVU_Mes_Constante!$BC$1</f>
        <v>30457320.769880001</v>
      </c>
      <c r="BM163" s="8">
        <f>+MINVU_Mes_Corriente!BM163*MINVU_Mes_Constante!$BC$1</f>
        <v>30457320.769880001</v>
      </c>
      <c r="BN163" s="8">
        <f>+MINVU_Mes_Corriente!BN163*MINVU_Mes_Constante!$BC$1</f>
        <v>30457320.769880001</v>
      </c>
      <c r="BO163" s="9">
        <f t="shared" si="118"/>
        <v>30457320.769880001</v>
      </c>
      <c r="BP163" s="8">
        <f>+MINVU_Mes_Corriente!BP163*MINVU_Mes_Constante!$BP$1</f>
        <v>24614588.037387967</v>
      </c>
      <c r="BQ163" s="8">
        <f>+MINVU_Mes_Corriente!BQ163*MINVU_Mes_Constante!$BP$1</f>
        <v>24614588.037387967</v>
      </c>
      <c r="BR163" s="8">
        <f>+MINVU_Mes_Corriente!BR163*MINVU_Mes_Constante!$BP$1</f>
        <v>24614588.037387967</v>
      </c>
      <c r="BS163" s="8">
        <f>+MINVU_Mes_Corriente!BS163*MINVU_Mes_Constante!$BP$1</f>
        <v>24614588.037387967</v>
      </c>
      <c r="BT163" s="8">
        <f>+MINVU_Mes_Corriente!BT163*MINVU_Mes_Constante!$BP$1</f>
        <v>24614588.037387967</v>
      </c>
      <c r="BU163" s="8">
        <f>+MINVU_Mes_Corriente!BU163*MINVU_Mes_Constante!$BP$1</f>
        <v>24614588.037387967</v>
      </c>
      <c r="BV163" s="8">
        <f>+MINVU_Mes_Corriente!BV163*MINVU_Mes_Constante!$BP$1</f>
        <v>24614588.037387967</v>
      </c>
      <c r="BW163" s="8">
        <f>+MINVU_Mes_Corriente!BW163*MINVU_Mes_Constante!$BP$1</f>
        <v>24614588.037387967</v>
      </c>
      <c r="BX163" s="8">
        <f>+MINVU_Mes_Corriente!BX163*MINVU_Mes_Constante!$BP$1</f>
        <v>24614588.037387967</v>
      </c>
      <c r="BY163" s="8">
        <f>+MINVU_Mes_Corriente!BY163*MINVU_Mes_Constante!$BP$1</f>
        <v>24614588.037387967</v>
      </c>
      <c r="BZ163" s="8">
        <f>+MINVU_Mes_Corriente!BZ163*MINVU_Mes_Constante!$BP$1</f>
        <v>24614588.037387967</v>
      </c>
      <c r="CA163" s="8">
        <f>+MINVU_Mes_Corriente!CA163*MINVU_Mes_Constante!$BP$1</f>
        <v>24614588.037387967</v>
      </c>
      <c r="CB163" s="9">
        <f t="shared" si="119"/>
        <v>24614588.037387967</v>
      </c>
      <c r="CC163" s="8">
        <f>+MINVU_Mes_Corriente!CC163*MINVU_Mes_Constante!$CC$1</f>
        <v>24567049.190600526</v>
      </c>
      <c r="CD163" s="8">
        <f>+MINVU_Mes_Corriente!CD163*MINVU_Mes_Constante!$CC$1</f>
        <v>24567049.190600526</v>
      </c>
      <c r="CE163" s="8">
        <f>+MINVU_Mes_Corriente!CE163*MINVU_Mes_Constante!$CC$1</f>
        <v>24567049.190600526</v>
      </c>
      <c r="CF163" s="8">
        <f>+MINVU_Mes_Corriente!CF163*MINVU_Mes_Constante!$CC$1</f>
        <v>24567049.190600526</v>
      </c>
      <c r="CG163" s="8">
        <f>+MINVU_Mes_Corriente!CG163*MINVU_Mes_Constante!$CC$1</f>
        <v>24567049.190600526</v>
      </c>
      <c r="CH163" s="8">
        <f>+MINVU_Mes_Corriente!CH163*MINVU_Mes_Constante!$CC$1</f>
        <v>24567049.190600526</v>
      </c>
      <c r="CI163" s="8">
        <f>+MINVU_Mes_Corriente!CI163*MINVU_Mes_Constante!$CC$1</f>
        <v>24567049.190600526</v>
      </c>
      <c r="CJ163" s="8">
        <f>+MINVU_Mes_Corriente!CJ163*MINVU_Mes_Constante!$CC$1</f>
        <v>24567049.190600526</v>
      </c>
      <c r="CK163" s="8">
        <f>+MINVU_Mes_Corriente!CK163*MINVU_Mes_Constante!$CC$1</f>
        <v>24567049.190600526</v>
      </c>
      <c r="CL163" s="8">
        <f>+MINVU_Mes_Corriente!CL163*MINVU_Mes_Constante!$CC$1</f>
        <v>24567049.190600526</v>
      </c>
      <c r="CM163" s="8">
        <f>+MINVU_Mes_Corriente!CM163*MINVU_Mes_Constante!$CC$1</f>
        <v>24567049.190600526</v>
      </c>
      <c r="CN163" s="8">
        <f>+MINVU_Mes_Corriente!CN163*MINVU_Mes_Constante!$CC$1</f>
        <v>24567049.190600526</v>
      </c>
      <c r="CO163" s="9">
        <f t="shared" si="120"/>
        <v>24567049.190600526</v>
      </c>
      <c r="CP163" s="8">
        <f>+MINVU_Mes_Corriente!CP163*MINVU_Mes_Constante!$CP$1</f>
        <v>26293960.22993039</v>
      </c>
      <c r="CQ163" s="8">
        <f>+MINVU_Mes_Corriente!CQ163*MINVU_Mes_Constante!$CP$1</f>
        <v>26293960.22993039</v>
      </c>
      <c r="CR163" s="8">
        <f>+MINVU_Mes_Corriente!CR163*MINVU_Mes_Constante!$CP$1</f>
        <v>26293960.22993039</v>
      </c>
      <c r="CS163" s="8">
        <f>+MINVU_Mes_Corriente!CS163*MINVU_Mes_Constante!$CP$1</f>
        <v>26293960.22993039</v>
      </c>
      <c r="CT163" s="8">
        <f>+MINVU_Mes_Corriente!CT163*MINVU_Mes_Constante!$CP$1</f>
        <v>26293960.22993039</v>
      </c>
      <c r="CU163" s="8">
        <f>+MINVU_Mes_Corriente!CU163*MINVU_Mes_Constante!$CP$1</f>
        <v>26293960.22993039</v>
      </c>
      <c r="CV163" s="8">
        <f>+MINVU_Mes_Corriente!CV163*MINVU_Mes_Constante!$CP$1</f>
        <v>26293960.22993039</v>
      </c>
      <c r="CW163" s="8">
        <f>+MINVU_Mes_Corriente!CW163*MINVU_Mes_Constante!$CP$1</f>
        <v>26293960.22993039</v>
      </c>
      <c r="CX163" s="8">
        <f>+MINVU_Mes_Corriente!CX163*MINVU_Mes_Constante!$CP$1</f>
        <v>26293960.22993039</v>
      </c>
      <c r="CY163" s="8">
        <f>+MINVU_Mes_Corriente!CY163*MINVU_Mes_Constante!$CP$1</f>
        <v>26293960.22993039</v>
      </c>
      <c r="CZ163" s="8">
        <f>+MINVU_Mes_Corriente!CZ163*MINVU_Mes_Constante!$CP$1</f>
        <v>26293960.22993039</v>
      </c>
      <c r="DA163" s="8">
        <f>+MINVU_Mes_Corriente!DA163*MINVU_Mes_Constante!$CP$1</f>
        <v>26293960.22993039</v>
      </c>
      <c r="DB163" s="9">
        <f t="shared" si="121"/>
        <v>26293960.22993039</v>
      </c>
      <c r="DC163" s="8">
        <f>+MINVU_Mes_Corriente!DC163*MINVU_Mes_Constante!$DC$1</f>
        <v>58713081.379899219</v>
      </c>
      <c r="DD163" s="8">
        <f>+MINVU_Mes_Corriente!DD163*MINVU_Mes_Constante!$DC$1</f>
        <v>58713081.379899219</v>
      </c>
      <c r="DE163" s="8">
        <f>+MINVU_Mes_Corriente!DE163*MINVU_Mes_Constante!$DC$1</f>
        <v>58713081.379899219</v>
      </c>
      <c r="DF163" s="8">
        <f>+MINVU_Mes_Corriente!DF163*MINVU_Mes_Constante!$DC$1</f>
        <v>58713081.379899219</v>
      </c>
      <c r="DG163" s="8">
        <f>+MINVU_Mes_Corriente!DG163*MINVU_Mes_Constante!$DC$1</f>
        <v>58713081.379899219</v>
      </c>
      <c r="DH163" s="8">
        <f>+MINVU_Mes_Corriente!DH163*MINVU_Mes_Constante!$DC$1</f>
        <v>58713081.379899219</v>
      </c>
      <c r="DI163" s="8">
        <f>+MINVU_Mes_Corriente!DI163*MINVU_Mes_Constante!$DC$1</f>
        <v>58713081.379899219</v>
      </c>
      <c r="DJ163" s="8">
        <f>+MINVU_Mes_Corriente!DJ163*MINVU_Mes_Constante!$DC$1</f>
        <v>58713081.379899219</v>
      </c>
      <c r="DK163" s="8">
        <f>+MINVU_Mes_Corriente!DK163*MINVU_Mes_Constante!$DC$1</f>
        <v>58713081.379899219</v>
      </c>
      <c r="DL163" s="8">
        <f>+MINVU_Mes_Corriente!DL163*MINVU_Mes_Constante!$DC$1</f>
        <v>58713081.379899219</v>
      </c>
      <c r="DM163" s="8">
        <f>+MINVU_Mes_Corriente!DM163*MINVU_Mes_Constante!$DC$1</f>
        <v>58713081.379899219</v>
      </c>
      <c r="DN163" s="8">
        <f>+MINVU_Mes_Corriente!DN163*MINVU_Mes_Constante!$DC$1</f>
        <v>58713081.379899219</v>
      </c>
      <c r="DO163" s="9">
        <f t="shared" si="122"/>
        <v>58713081.379899219</v>
      </c>
      <c r="DP163" s="8">
        <f>+MINVU_Mes_Corriente!DP163*MINVU_Mes_Constante!$DP$1</f>
        <v>44873034.420427561</v>
      </c>
      <c r="DQ163" s="8">
        <f>+MINVU_Mes_Corriente!DQ163*MINVU_Mes_Constante!$DP$1</f>
        <v>44873034.420427561</v>
      </c>
      <c r="DR163" s="8">
        <f>+MINVU_Mes_Corriente!DR163*MINVU_Mes_Constante!$DP$1</f>
        <v>44873034.420427561</v>
      </c>
      <c r="DS163" s="8">
        <f>+MINVU_Mes_Corriente!DS163*MINVU_Mes_Constante!$DP$1</f>
        <v>44873034.420427561</v>
      </c>
      <c r="DT163" s="8">
        <f>+MINVU_Mes_Corriente!DT163*MINVU_Mes_Constante!$DP$1</f>
        <v>44873034.420427561</v>
      </c>
      <c r="DU163" s="8">
        <f>+MINVU_Mes_Corriente!DU163*MINVU_Mes_Constante!$DP$1</f>
        <v>44873034.420427561</v>
      </c>
      <c r="DV163" s="8">
        <f>+MINVU_Mes_Corriente!DV163*MINVU_Mes_Constante!$DP$1</f>
        <v>44873034.420427561</v>
      </c>
      <c r="DW163" s="8">
        <f>+MINVU_Mes_Corriente!DW163*MINVU_Mes_Constante!$DP$1</f>
        <v>44873034.420427561</v>
      </c>
      <c r="DX163" s="8">
        <f>+MINVU_Mes_Corriente!DX163*MINVU_Mes_Constante!$DP$1</f>
        <v>44873034.420427561</v>
      </c>
      <c r="DY163" s="8">
        <f>+MINVU_Mes_Corriente!DY163*MINVU_Mes_Constante!$DP$1</f>
        <v>44873034.420427561</v>
      </c>
      <c r="DZ163" s="8">
        <f>+MINVU_Mes_Corriente!DZ163*MINVU_Mes_Constante!$DP$1</f>
        <v>44873034.420427561</v>
      </c>
      <c r="EA163" s="8">
        <f>+MINVU_Mes_Corriente!EA163*MINVU_Mes_Constante!$DP$1</f>
        <v>44873034.420427561</v>
      </c>
      <c r="EB163" s="9">
        <f t="shared" si="123"/>
        <v>44873034.420427561</v>
      </c>
      <c r="EC163" s="8">
        <f>+MINVU_Mes_Corriente!EC163*MINVU_Mes_Constante!$EC$1</f>
        <v>88985676.331755325</v>
      </c>
      <c r="ED163" s="8">
        <f>+MINVU_Mes_Corriente!ED163*MINVU_Mes_Constante!$EC$1</f>
        <v>88985676.331755325</v>
      </c>
      <c r="EE163" s="8">
        <f>+MINVU_Mes_Corriente!EE163*MINVU_Mes_Constante!$EC$1</f>
        <v>88985676.331755325</v>
      </c>
      <c r="EF163" s="8">
        <f>+MINVU_Mes_Corriente!EF163*MINVU_Mes_Constante!$EC$1</f>
        <v>88985676.331755325</v>
      </c>
      <c r="EG163" s="8">
        <f>+MINVU_Mes_Corriente!EG163*MINVU_Mes_Constante!$EC$1</f>
        <v>88985676.331755325</v>
      </c>
      <c r="EH163" s="8">
        <f>+MINVU_Mes_Corriente!EH163*MINVU_Mes_Constante!$EC$1</f>
        <v>88985676.331755325</v>
      </c>
      <c r="EI163" s="8">
        <f>+MINVU_Mes_Corriente!EI163*MINVU_Mes_Constante!$EC$1</f>
        <v>88985676.331755325</v>
      </c>
      <c r="EJ163" s="8">
        <f>+MINVU_Mes_Corriente!EJ163*MINVU_Mes_Constante!$EC$1</f>
        <v>88985676.331755325</v>
      </c>
      <c r="EK163" s="8">
        <f>+MINVU_Mes_Corriente!EK163*MINVU_Mes_Constante!$EC$1</f>
        <v>88985676.331755325</v>
      </c>
      <c r="EL163" s="8">
        <f>+MINVU_Mes_Corriente!EL163*MINVU_Mes_Constante!$EC$1</f>
        <v>88985676.331755325</v>
      </c>
      <c r="EM163" s="8">
        <f>+MINVU_Mes_Corriente!EM163*MINVU_Mes_Constante!$EC$1</f>
        <v>88985676.331755325</v>
      </c>
      <c r="EN163" s="8">
        <f>+MINVU_Mes_Corriente!EN163*MINVU_Mes_Constante!$EC$1</f>
        <v>88985676.331755325</v>
      </c>
      <c r="EO163" s="9">
        <f t="shared" si="124"/>
        <v>88985676.331755325</v>
      </c>
      <c r="EP163" s="8">
        <f>+MINVU_Mes_Corriente!EP163*MINVU_Mes_Constante!$EP$1</f>
        <v>122155247</v>
      </c>
      <c r="EQ163" s="8">
        <f>+MINVU_Mes_Corriente!EQ163*MINVU_Mes_Constante!$EP$1</f>
        <v>122155247</v>
      </c>
      <c r="ER163" s="8">
        <f>+MINVU_Mes_Corriente!ER163*MINVU_Mes_Constante!$EP$1</f>
        <v>122155247</v>
      </c>
      <c r="ES163" s="8">
        <f>+MINVU_Mes_Corriente!ES163*MINVU_Mes_Constante!$EP$1</f>
        <v>122155247</v>
      </c>
      <c r="ET163" s="8">
        <f>+MINVU_Mes_Corriente!ET163*MINVU_Mes_Constante!$EP$1</f>
        <v>122155247</v>
      </c>
      <c r="EU163" s="8">
        <f>+MINVU_Mes_Corriente!EU163*MINVU_Mes_Constante!$EP$1</f>
        <v>122155247</v>
      </c>
      <c r="EV163" s="8">
        <f>+MINVU_Mes_Corriente!EV163*MINVU_Mes_Constante!$EP$1</f>
        <v>122155247</v>
      </c>
      <c r="EW163" s="8">
        <f>+MINVU_Mes_Corriente!EW163*MINVU_Mes_Constante!$EP$1</f>
        <v>122155247</v>
      </c>
      <c r="EX163" s="8">
        <f>+MINVU_Mes_Corriente!EX163*MINVU_Mes_Constante!$EP$1</f>
        <v>122155247</v>
      </c>
      <c r="EY163" s="8">
        <f>+MINVU_Mes_Corriente!EY163*MINVU_Mes_Constante!$EP$1</f>
        <v>122155247</v>
      </c>
      <c r="EZ163" s="8">
        <f>+MINVU_Mes_Corriente!EZ163*MINVU_Mes_Constante!$EP$1</f>
        <v>122155247</v>
      </c>
      <c r="FA163" s="8">
        <f>+MINVU_Mes_Corriente!FA163*MINVU_Mes_Constante!$EP$1</f>
        <v>122155247</v>
      </c>
      <c r="FB163" s="9">
        <f t="shared" si="125"/>
        <v>122155247</v>
      </c>
      <c r="FC163" s="8">
        <f>+MINVU_Mes_Corriente!FC163*MINVU_Mes_Constante!$FC$1</f>
        <v>77301509</v>
      </c>
      <c r="FD163" s="8">
        <f>+MINVU_Mes_Corriente!FD163*MINVU_Mes_Constante!$FC$1</f>
        <v>77301509</v>
      </c>
      <c r="FE163" s="8">
        <f>+MINVU_Mes_Corriente!FE163*MINVU_Mes_Constante!$FC$1</f>
        <v>77301509</v>
      </c>
      <c r="FF163" s="8">
        <f>+MINVU_Mes_Corriente!FF163*MINVU_Mes_Constante!$FC$1</f>
        <v>77301509</v>
      </c>
      <c r="FG163" s="8">
        <f>+MINVU_Mes_Corriente!FG163*MINVU_Mes_Constante!$FC$1</f>
        <v>77301509</v>
      </c>
      <c r="FH163" s="8">
        <f>+MINVU_Mes_Corriente!FH163*MINVU_Mes_Constante!$FC$1</f>
        <v>77301509</v>
      </c>
      <c r="FI163" s="8">
        <f>+MINVU_Mes_Corriente!FI163*MINVU_Mes_Constante!$FC$1</f>
        <v>77301509</v>
      </c>
      <c r="FJ163" s="8"/>
      <c r="FK163" s="8"/>
      <c r="FL163" s="8"/>
      <c r="FM163" s="8"/>
      <c r="FN163" s="8"/>
      <c r="FO163" s="9">
        <f t="shared" si="126"/>
        <v>77301509</v>
      </c>
    </row>
    <row r="164" spans="2:171" ht="14.25" customHeight="1" thickBot="1" x14ac:dyDescent="0.35">
      <c r="B164" s="14" t="s">
        <v>75</v>
      </c>
      <c r="C164" s="16">
        <f t="shared" ref="C164:AH164" si="127">SUM(C146:C163)</f>
        <v>1426809608.2966042</v>
      </c>
      <c r="D164" s="16">
        <f t="shared" si="127"/>
        <v>1426809608.2966042</v>
      </c>
      <c r="E164" s="16">
        <f t="shared" si="127"/>
        <v>1477912825.772505</v>
      </c>
      <c r="F164" s="16">
        <f t="shared" si="127"/>
        <v>1477912825.772505</v>
      </c>
      <c r="G164" s="16">
        <f t="shared" si="127"/>
        <v>1477912825.772505</v>
      </c>
      <c r="H164" s="16">
        <f t="shared" si="127"/>
        <v>1477912825.772505</v>
      </c>
      <c r="I164" s="16">
        <f t="shared" si="127"/>
        <v>1477912825.772505</v>
      </c>
      <c r="J164" s="16">
        <f t="shared" si="127"/>
        <v>1477912825.772505</v>
      </c>
      <c r="K164" s="16">
        <f t="shared" si="127"/>
        <v>1477912825.772505</v>
      </c>
      <c r="L164" s="16">
        <f t="shared" si="127"/>
        <v>1477912825.772505</v>
      </c>
      <c r="M164" s="16">
        <f t="shared" si="127"/>
        <v>1477912825.772505</v>
      </c>
      <c r="N164" s="16">
        <f t="shared" si="127"/>
        <v>1477912825.772505</v>
      </c>
      <c r="O164" s="16">
        <f t="shared" si="127"/>
        <v>1477912825.772505</v>
      </c>
      <c r="P164" s="16">
        <f t="shared" si="127"/>
        <v>1734394914.8336406</v>
      </c>
      <c r="Q164" s="16">
        <f t="shared" si="127"/>
        <v>1734394914.8336406</v>
      </c>
      <c r="R164" s="16">
        <f t="shared" si="127"/>
        <v>1734394914.8336406</v>
      </c>
      <c r="S164" s="16">
        <f t="shared" si="127"/>
        <v>1734394914.8336406</v>
      </c>
      <c r="T164" s="16">
        <f t="shared" si="127"/>
        <v>1734394914.8336406</v>
      </c>
      <c r="U164" s="16">
        <f t="shared" si="127"/>
        <v>1734394914.8336406</v>
      </c>
      <c r="V164" s="16">
        <f t="shared" si="127"/>
        <v>1734394914.8336406</v>
      </c>
      <c r="W164" s="16">
        <f t="shared" si="127"/>
        <v>1734394914.8336406</v>
      </c>
      <c r="X164" s="16">
        <f t="shared" si="127"/>
        <v>1734394914.8336406</v>
      </c>
      <c r="Y164" s="16">
        <f t="shared" si="127"/>
        <v>1734394914.8336406</v>
      </c>
      <c r="Z164" s="16">
        <f t="shared" si="127"/>
        <v>1734394914.8336406</v>
      </c>
      <c r="AA164" s="16">
        <f t="shared" si="127"/>
        <v>1734394914.8336406</v>
      </c>
      <c r="AB164" s="16">
        <f t="shared" si="127"/>
        <v>1734394914.8336406</v>
      </c>
      <c r="AC164" s="16">
        <f t="shared" si="127"/>
        <v>1977133147.083967</v>
      </c>
      <c r="AD164" s="16">
        <f t="shared" si="127"/>
        <v>1977133147.083967</v>
      </c>
      <c r="AE164" s="16">
        <f t="shared" si="127"/>
        <v>1977133147.083967</v>
      </c>
      <c r="AF164" s="16">
        <f t="shared" si="127"/>
        <v>1977133147.083967</v>
      </c>
      <c r="AG164" s="16">
        <f t="shared" si="127"/>
        <v>1977133147.083967</v>
      </c>
      <c r="AH164" s="16">
        <f t="shared" si="127"/>
        <v>1977133147.083967</v>
      </c>
      <c r="AI164" s="16">
        <f t="shared" ref="AI164:BN164" si="128">SUM(AI146:AI163)</f>
        <v>1977133147.083967</v>
      </c>
      <c r="AJ164" s="16">
        <f t="shared" si="128"/>
        <v>1977133147.083967</v>
      </c>
      <c r="AK164" s="16">
        <f t="shared" si="128"/>
        <v>1977133147.083967</v>
      </c>
      <c r="AL164" s="16">
        <f t="shared" si="128"/>
        <v>1977133147.083967</v>
      </c>
      <c r="AM164" s="16">
        <f t="shared" si="128"/>
        <v>1977133147.083967</v>
      </c>
      <c r="AN164" s="16">
        <f t="shared" si="128"/>
        <v>1977133147.083967</v>
      </c>
      <c r="AO164" s="16">
        <f t="shared" si="128"/>
        <v>1977133147.083967</v>
      </c>
      <c r="AP164" s="16">
        <f t="shared" si="128"/>
        <v>1892593560.5997562</v>
      </c>
      <c r="AQ164" s="16">
        <f t="shared" si="128"/>
        <v>1892593560.5997562</v>
      </c>
      <c r="AR164" s="16">
        <f t="shared" si="128"/>
        <v>1892593560.5997562</v>
      </c>
      <c r="AS164" s="16">
        <f t="shared" si="128"/>
        <v>1892593560.5997562</v>
      </c>
      <c r="AT164" s="16">
        <f t="shared" si="128"/>
        <v>1892593560.5997562</v>
      </c>
      <c r="AU164" s="16">
        <f t="shared" si="128"/>
        <v>1892593560.5997562</v>
      </c>
      <c r="AV164" s="16">
        <f t="shared" si="128"/>
        <v>1892593560.5997562</v>
      </c>
      <c r="AW164" s="16">
        <f t="shared" si="128"/>
        <v>1892593560.5997562</v>
      </c>
      <c r="AX164" s="16">
        <f t="shared" si="128"/>
        <v>1892593560.5997562</v>
      </c>
      <c r="AY164" s="16">
        <f t="shared" si="128"/>
        <v>1892593560.5997562</v>
      </c>
      <c r="AZ164" s="16">
        <f t="shared" si="128"/>
        <v>1892593560.5997562</v>
      </c>
      <c r="BA164" s="16">
        <f t="shared" si="128"/>
        <v>1892593560.5997562</v>
      </c>
      <c r="BB164" s="16">
        <f t="shared" si="128"/>
        <v>1892593560.5997562</v>
      </c>
      <c r="BC164" s="16">
        <f t="shared" si="128"/>
        <v>1868331280.2299886</v>
      </c>
      <c r="BD164" s="16">
        <f t="shared" si="128"/>
        <v>1868331280.2299886</v>
      </c>
      <c r="BE164" s="16">
        <f t="shared" si="128"/>
        <v>1868331280.2299886</v>
      </c>
      <c r="BF164" s="16">
        <f t="shared" si="128"/>
        <v>1868331280.2299886</v>
      </c>
      <c r="BG164" s="16">
        <f t="shared" si="128"/>
        <v>1868331280.2299886</v>
      </c>
      <c r="BH164" s="16">
        <f t="shared" si="128"/>
        <v>1868331280.2299886</v>
      </c>
      <c r="BI164" s="16">
        <f t="shared" si="128"/>
        <v>1868331280.2299886</v>
      </c>
      <c r="BJ164" s="16">
        <f t="shared" si="128"/>
        <v>1868331280.2299886</v>
      </c>
      <c r="BK164" s="16">
        <f t="shared" si="128"/>
        <v>1868331280.2299886</v>
      </c>
      <c r="BL164" s="16">
        <f t="shared" si="128"/>
        <v>1868331280.2299886</v>
      </c>
      <c r="BM164" s="16">
        <f t="shared" si="128"/>
        <v>1868331280.2299886</v>
      </c>
      <c r="BN164" s="16">
        <f t="shared" si="128"/>
        <v>1868331280.2299886</v>
      </c>
      <c r="BO164" s="16">
        <f t="shared" ref="BO164:CT164" si="129">SUM(BO146:BO163)</f>
        <v>1868331280.2299886</v>
      </c>
      <c r="BP164" s="16">
        <f t="shared" si="129"/>
        <v>2081138045.1994882</v>
      </c>
      <c r="BQ164" s="16">
        <f t="shared" si="129"/>
        <v>2081138045.1994882</v>
      </c>
      <c r="BR164" s="16">
        <f t="shared" si="129"/>
        <v>2081138045.1994882</v>
      </c>
      <c r="BS164" s="16">
        <f t="shared" si="129"/>
        <v>2081138045.1994882</v>
      </c>
      <c r="BT164" s="16">
        <f t="shared" si="129"/>
        <v>2081138045.1994882</v>
      </c>
      <c r="BU164" s="16">
        <f t="shared" si="129"/>
        <v>2081138045.1994882</v>
      </c>
      <c r="BV164" s="16">
        <f t="shared" si="129"/>
        <v>2081138045.1994882</v>
      </c>
      <c r="BW164" s="16">
        <f t="shared" si="129"/>
        <v>2081138045.1994882</v>
      </c>
      <c r="BX164" s="16">
        <f t="shared" si="129"/>
        <v>2081138045.1994882</v>
      </c>
      <c r="BY164" s="16">
        <f t="shared" si="129"/>
        <v>2081138045.1994882</v>
      </c>
      <c r="BZ164" s="16">
        <f t="shared" si="129"/>
        <v>2081138045.1994882</v>
      </c>
      <c r="CA164" s="16">
        <f t="shared" si="129"/>
        <v>2081138045.1994882</v>
      </c>
      <c r="CB164" s="16">
        <f t="shared" si="129"/>
        <v>2081138045.1994882</v>
      </c>
      <c r="CC164" s="16">
        <f t="shared" si="129"/>
        <v>2116024023.1644909</v>
      </c>
      <c r="CD164" s="16">
        <f t="shared" si="129"/>
        <v>2116024023.1644909</v>
      </c>
      <c r="CE164" s="16">
        <f t="shared" si="129"/>
        <v>2116024023.1644909</v>
      </c>
      <c r="CF164" s="16">
        <f t="shared" si="129"/>
        <v>2116024023.1644909</v>
      </c>
      <c r="CG164" s="16">
        <f t="shared" si="129"/>
        <v>2116024023.1644909</v>
      </c>
      <c r="CH164" s="16">
        <f t="shared" si="129"/>
        <v>2116024023.1644909</v>
      </c>
      <c r="CI164" s="16">
        <f t="shared" si="129"/>
        <v>2116024023.1644909</v>
      </c>
      <c r="CJ164" s="16">
        <f t="shared" si="129"/>
        <v>2116024023.1644909</v>
      </c>
      <c r="CK164" s="16">
        <f t="shared" si="129"/>
        <v>2116024023.1644909</v>
      </c>
      <c r="CL164" s="16">
        <f t="shared" si="129"/>
        <v>2116024023.1644909</v>
      </c>
      <c r="CM164" s="16">
        <f t="shared" si="129"/>
        <v>2116024023.1644909</v>
      </c>
      <c r="CN164" s="16">
        <f t="shared" si="129"/>
        <v>2116024023.1644909</v>
      </c>
      <c r="CO164" s="16">
        <f t="shared" si="129"/>
        <v>2116024023.1644909</v>
      </c>
      <c r="CP164" s="16">
        <f t="shared" si="129"/>
        <v>2143935532.4366589</v>
      </c>
      <c r="CQ164" s="16">
        <f t="shared" si="129"/>
        <v>2143935532.4366589</v>
      </c>
      <c r="CR164" s="16">
        <f t="shared" si="129"/>
        <v>2143935532.4366589</v>
      </c>
      <c r="CS164" s="16">
        <f t="shared" si="129"/>
        <v>2143935532.4366589</v>
      </c>
      <c r="CT164" s="16">
        <f t="shared" si="129"/>
        <v>2143935532.4366589</v>
      </c>
      <c r="CU164" s="16">
        <f t="shared" ref="CU164:DZ164" si="130">SUM(CU146:CU163)</f>
        <v>2143935532.4366589</v>
      </c>
      <c r="CV164" s="16">
        <f t="shared" si="130"/>
        <v>2143935532.4366589</v>
      </c>
      <c r="CW164" s="16">
        <f t="shared" si="130"/>
        <v>2143935532.4366589</v>
      </c>
      <c r="CX164" s="16">
        <f t="shared" si="130"/>
        <v>2143935532.4366589</v>
      </c>
      <c r="CY164" s="16">
        <f t="shared" si="130"/>
        <v>2143935532.4366589</v>
      </c>
      <c r="CZ164" s="16">
        <f t="shared" si="130"/>
        <v>2143935532.4366589</v>
      </c>
      <c r="DA164" s="16">
        <f t="shared" si="130"/>
        <v>2143935532.4366589</v>
      </c>
      <c r="DB164" s="16">
        <f t="shared" si="130"/>
        <v>2143935532.4366589</v>
      </c>
      <c r="DC164" s="16">
        <f t="shared" si="130"/>
        <v>2226797783.9314895</v>
      </c>
      <c r="DD164" s="16">
        <f t="shared" si="130"/>
        <v>2226797783.9314895</v>
      </c>
      <c r="DE164" s="16">
        <f t="shared" si="130"/>
        <v>2226797783.9314895</v>
      </c>
      <c r="DF164" s="16">
        <f t="shared" si="130"/>
        <v>2226797783.9314895</v>
      </c>
      <c r="DG164" s="16">
        <f t="shared" si="130"/>
        <v>2226797783.9314895</v>
      </c>
      <c r="DH164" s="16">
        <f t="shared" si="130"/>
        <v>2226797783.9314895</v>
      </c>
      <c r="DI164" s="16">
        <f t="shared" si="130"/>
        <v>2226797783.9314895</v>
      </c>
      <c r="DJ164" s="16">
        <f t="shared" si="130"/>
        <v>2226797783.9314895</v>
      </c>
      <c r="DK164" s="16">
        <f t="shared" si="130"/>
        <v>2226797783.9314895</v>
      </c>
      <c r="DL164" s="16">
        <f t="shared" si="130"/>
        <v>2226797783.9314895</v>
      </c>
      <c r="DM164" s="16">
        <f t="shared" si="130"/>
        <v>2226797783.9314895</v>
      </c>
      <c r="DN164" s="16">
        <f t="shared" si="130"/>
        <v>2226797783.9314895</v>
      </c>
      <c r="DO164" s="16">
        <f t="shared" si="130"/>
        <v>2226797783.9314895</v>
      </c>
      <c r="DP164" s="16">
        <f t="shared" si="130"/>
        <v>2560210929.8853922</v>
      </c>
      <c r="DQ164" s="16">
        <f t="shared" si="130"/>
        <v>2560210929.8853922</v>
      </c>
      <c r="DR164" s="16">
        <f t="shared" si="130"/>
        <v>2560210929.8853922</v>
      </c>
      <c r="DS164" s="16">
        <f t="shared" si="130"/>
        <v>2560210929.8853922</v>
      </c>
      <c r="DT164" s="16">
        <f t="shared" si="130"/>
        <v>2560210929.8853922</v>
      </c>
      <c r="DU164" s="16">
        <f t="shared" si="130"/>
        <v>2560210929.8853922</v>
      </c>
      <c r="DV164" s="16">
        <f t="shared" si="130"/>
        <v>2560210929.8853922</v>
      </c>
      <c r="DW164" s="16">
        <f t="shared" si="130"/>
        <v>2560210929.8853922</v>
      </c>
      <c r="DX164" s="16">
        <f t="shared" si="130"/>
        <v>2560210929.8853922</v>
      </c>
      <c r="DY164" s="16">
        <f t="shared" si="130"/>
        <v>2560210929.8853922</v>
      </c>
      <c r="DZ164" s="16">
        <f t="shared" si="130"/>
        <v>2560210929.8853922</v>
      </c>
      <c r="EA164" s="16">
        <f t="shared" ref="EA164:FF164" si="131">SUM(EA146:EA163)</f>
        <v>2560210929.8853922</v>
      </c>
      <c r="EB164" s="16">
        <f t="shared" si="131"/>
        <v>2560210929.8853922</v>
      </c>
      <c r="EC164" s="16">
        <f t="shared" si="131"/>
        <v>2823218570.7881079</v>
      </c>
      <c r="ED164" s="16">
        <f t="shared" si="131"/>
        <v>2823218570.7881079</v>
      </c>
      <c r="EE164" s="16">
        <f t="shared" si="131"/>
        <v>2823218570.7881079</v>
      </c>
      <c r="EF164" s="16">
        <f t="shared" si="131"/>
        <v>2823218570.7881079</v>
      </c>
      <c r="EG164" s="16">
        <f t="shared" si="131"/>
        <v>2823218570.7881079</v>
      </c>
      <c r="EH164" s="16">
        <f t="shared" si="131"/>
        <v>2823218570.7881079</v>
      </c>
      <c r="EI164" s="16">
        <f t="shared" si="131"/>
        <v>2823218570.7881079</v>
      </c>
      <c r="EJ164" s="16">
        <f t="shared" si="131"/>
        <v>2823218570.7881079</v>
      </c>
      <c r="EK164" s="16">
        <f t="shared" si="131"/>
        <v>2823218570.7881079</v>
      </c>
      <c r="EL164" s="16">
        <f t="shared" si="131"/>
        <v>2823218570.7881079</v>
      </c>
      <c r="EM164" s="16">
        <f t="shared" si="131"/>
        <v>2823218570.7881079</v>
      </c>
      <c r="EN164" s="16">
        <f t="shared" si="131"/>
        <v>2823218570.7881079</v>
      </c>
      <c r="EO164" s="16">
        <f t="shared" si="131"/>
        <v>2823218570.7881079</v>
      </c>
      <c r="EP164" s="16">
        <f t="shared" si="131"/>
        <v>3213324447</v>
      </c>
      <c r="EQ164" s="16">
        <f t="shared" si="131"/>
        <v>3213324447</v>
      </c>
      <c r="ER164" s="16">
        <f t="shared" si="131"/>
        <v>3213324447</v>
      </c>
      <c r="ES164" s="16">
        <f t="shared" si="131"/>
        <v>3213324447</v>
      </c>
      <c r="ET164" s="16">
        <f t="shared" si="131"/>
        <v>3213324447</v>
      </c>
      <c r="EU164" s="16">
        <f t="shared" si="131"/>
        <v>3213324447</v>
      </c>
      <c r="EV164" s="16">
        <f t="shared" si="131"/>
        <v>3213324447</v>
      </c>
      <c r="EW164" s="16">
        <f t="shared" si="131"/>
        <v>3213324447</v>
      </c>
      <c r="EX164" s="16">
        <f t="shared" si="131"/>
        <v>3213324447</v>
      </c>
      <c r="EY164" s="16">
        <f t="shared" si="131"/>
        <v>3213324447</v>
      </c>
      <c r="EZ164" s="16">
        <f t="shared" si="131"/>
        <v>3213324447</v>
      </c>
      <c r="FA164" s="16">
        <f t="shared" si="131"/>
        <v>3213324447</v>
      </c>
      <c r="FB164" s="16">
        <f t="shared" si="131"/>
        <v>3213324447</v>
      </c>
      <c r="FC164" s="16">
        <f t="shared" si="131"/>
        <v>3680035337</v>
      </c>
      <c r="FD164" s="16">
        <f t="shared" si="131"/>
        <v>3680035337</v>
      </c>
      <c r="FE164" s="16">
        <f t="shared" si="131"/>
        <v>3680035337</v>
      </c>
      <c r="FF164" s="16">
        <f t="shared" si="131"/>
        <v>3680035337</v>
      </c>
      <c r="FG164" s="16">
        <f t="shared" ref="FG164:GL164" si="132">SUM(FG146:FG163)</f>
        <v>3680035337</v>
      </c>
      <c r="FH164" s="16">
        <f t="shared" si="132"/>
        <v>3680035337</v>
      </c>
      <c r="FI164" s="16">
        <f t="shared" si="132"/>
        <v>3680035337</v>
      </c>
      <c r="FJ164" s="16">
        <f t="shared" si="132"/>
        <v>0</v>
      </c>
      <c r="FK164" s="16">
        <f t="shared" si="132"/>
        <v>0</v>
      </c>
      <c r="FL164" s="16">
        <f t="shared" si="132"/>
        <v>0</v>
      </c>
      <c r="FM164" s="16">
        <f t="shared" si="132"/>
        <v>0</v>
      </c>
      <c r="FN164" s="16">
        <f t="shared" si="132"/>
        <v>0</v>
      </c>
      <c r="FO164" s="16">
        <f t="shared" si="132"/>
        <v>3680035337</v>
      </c>
    </row>
    <row r="165" spans="2:171" ht="14.25" customHeight="1" thickTop="1" x14ac:dyDescent="0.3">
      <c r="B165" s="4" t="s">
        <v>76</v>
      </c>
    </row>
    <row r="166" spans="2:171" ht="14.25" customHeight="1" x14ac:dyDescent="0.3">
      <c r="C166" s="33" t="s">
        <v>4</v>
      </c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3" t="s">
        <v>5</v>
      </c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3" t="s">
        <v>6</v>
      </c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3" t="s">
        <v>7</v>
      </c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3" t="s">
        <v>8</v>
      </c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3" t="s">
        <v>9</v>
      </c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3" t="s">
        <v>10</v>
      </c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3" t="s">
        <v>11</v>
      </c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3" t="s">
        <v>12</v>
      </c>
      <c r="DD166" s="34"/>
      <c r="DE166" s="34"/>
      <c r="DF166" s="34"/>
      <c r="DG166" s="34"/>
      <c r="DH166" s="34"/>
      <c r="DI166" s="34"/>
      <c r="DJ166" s="34"/>
      <c r="DK166" s="34"/>
      <c r="DL166" s="34"/>
      <c r="DM166" s="34"/>
      <c r="DN166" s="34"/>
      <c r="DO166" s="34"/>
      <c r="DP166" s="33" t="s">
        <v>13</v>
      </c>
      <c r="DQ166" s="34"/>
      <c r="DR166" s="34"/>
      <c r="DS166" s="34"/>
      <c r="DT166" s="34"/>
      <c r="DU166" s="34"/>
      <c r="DV166" s="34"/>
      <c r="DW166" s="34"/>
      <c r="DX166" s="34"/>
      <c r="DY166" s="34"/>
      <c r="DZ166" s="34"/>
      <c r="EA166" s="34"/>
      <c r="EB166" s="34"/>
      <c r="EC166" s="33" t="s">
        <v>14</v>
      </c>
      <c r="ED166" s="34"/>
      <c r="EE166" s="34"/>
      <c r="EF166" s="34"/>
      <c r="EG166" s="34"/>
      <c r="EH166" s="34"/>
      <c r="EI166" s="34"/>
      <c r="EJ166" s="34"/>
      <c r="EK166" s="34"/>
      <c r="EL166" s="34"/>
      <c r="EM166" s="34"/>
      <c r="EN166" s="34"/>
      <c r="EO166" s="34"/>
      <c r="EP166" s="33" t="s">
        <v>15</v>
      </c>
      <c r="EQ166" s="34"/>
      <c r="ER166" s="34"/>
      <c r="ES166" s="34"/>
      <c r="ET166" s="34"/>
      <c r="EU166" s="34"/>
      <c r="EV166" s="34"/>
      <c r="EW166" s="34"/>
      <c r="EX166" s="34"/>
      <c r="EY166" s="34"/>
      <c r="EZ166" s="34"/>
      <c r="FA166" s="34"/>
      <c r="FB166" s="34"/>
      <c r="FC166" s="33" t="s">
        <v>16</v>
      </c>
      <c r="FD166" s="34"/>
      <c r="FE166" s="34"/>
      <c r="FF166" s="34"/>
      <c r="FG166" s="34"/>
      <c r="FH166" s="34"/>
      <c r="FI166" s="34"/>
      <c r="FJ166" s="34"/>
      <c r="FK166" s="34"/>
      <c r="FL166" s="34"/>
      <c r="FM166" s="34"/>
      <c r="FN166" s="34"/>
      <c r="FO166" s="34"/>
    </row>
    <row r="167" spans="2:171" ht="14.25" customHeight="1" x14ac:dyDescent="0.3">
      <c r="B167" s="5" t="s">
        <v>17</v>
      </c>
      <c r="C167" s="6" t="s">
        <v>18</v>
      </c>
      <c r="D167" s="6" t="s">
        <v>19</v>
      </c>
      <c r="E167" s="6" t="s">
        <v>20</v>
      </c>
      <c r="F167" s="6" t="s">
        <v>21</v>
      </c>
      <c r="G167" s="6" t="s">
        <v>22</v>
      </c>
      <c r="H167" s="6" t="s">
        <v>23</v>
      </c>
      <c r="I167" s="6" t="s">
        <v>24</v>
      </c>
      <c r="J167" s="6" t="s">
        <v>25</v>
      </c>
      <c r="K167" s="6" t="s">
        <v>26</v>
      </c>
      <c r="L167" s="6" t="s">
        <v>27</v>
      </c>
      <c r="M167" s="6" t="s">
        <v>28</v>
      </c>
      <c r="N167" s="6" t="s">
        <v>29</v>
      </c>
      <c r="O167" s="6" t="s">
        <v>30</v>
      </c>
      <c r="P167" s="6" t="s">
        <v>18</v>
      </c>
      <c r="Q167" s="6" t="s">
        <v>19</v>
      </c>
      <c r="R167" s="6" t="s">
        <v>20</v>
      </c>
      <c r="S167" s="6" t="s">
        <v>21</v>
      </c>
      <c r="T167" s="6" t="s">
        <v>22</v>
      </c>
      <c r="U167" s="6" t="s">
        <v>23</v>
      </c>
      <c r="V167" s="6" t="s">
        <v>24</v>
      </c>
      <c r="W167" s="6" t="s">
        <v>25</v>
      </c>
      <c r="X167" s="6" t="s">
        <v>26</v>
      </c>
      <c r="Y167" s="6" t="s">
        <v>27</v>
      </c>
      <c r="Z167" s="6" t="s">
        <v>28</v>
      </c>
      <c r="AA167" s="6" t="s">
        <v>29</v>
      </c>
      <c r="AB167" s="6" t="s">
        <v>31</v>
      </c>
      <c r="AC167" s="6" t="s">
        <v>18</v>
      </c>
      <c r="AD167" s="6" t="s">
        <v>19</v>
      </c>
      <c r="AE167" s="6" t="s">
        <v>20</v>
      </c>
      <c r="AF167" s="6" t="s">
        <v>21</v>
      </c>
      <c r="AG167" s="6" t="s">
        <v>22</v>
      </c>
      <c r="AH167" s="6" t="s">
        <v>23</v>
      </c>
      <c r="AI167" s="6" t="s">
        <v>24</v>
      </c>
      <c r="AJ167" s="6" t="s">
        <v>25</v>
      </c>
      <c r="AK167" s="6" t="s">
        <v>26</v>
      </c>
      <c r="AL167" s="6" t="s">
        <v>27</v>
      </c>
      <c r="AM167" s="6" t="s">
        <v>28</v>
      </c>
      <c r="AN167" s="6" t="s">
        <v>29</v>
      </c>
      <c r="AO167" s="6" t="s">
        <v>32</v>
      </c>
      <c r="AP167" s="6" t="s">
        <v>18</v>
      </c>
      <c r="AQ167" s="6" t="s">
        <v>19</v>
      </c>
      <c r="AR167" s="6" t="s">
        <v>20</v>
      </c>
      <c r="AS167" s="6" t="s">
        <v>21</v>
      </c>
      <c r="AT167" s="6" t="s">
        <v>22</v>
      </c>
      <c r="AU167" s="6" t="s">
        <v>23</v>
      </c>
      <c r="AV167" s="6" t="s">
        <v>24</v>
      </c>
      <c r="AW167" s="6" t="s">
        <v>25</v>
      </c>
      <c r="AX167" s="6" t="s">
        <v>26</v>
      </c>
      <c r="AY167" s="6" t="s">
        <v>27</v>
      </c>
      <c r="AZ167" s="6" t="s">
        <v>28</v>
      </c>
      <c r="BA167" s="6" t="s">
        <v>29</v>
      </c>
      <c r="BB167" s="6" t="s">
        <v>33</v>
      </c>
      <c r="BC167" s="6" t="s">
        <v>18</v>
      </c>
      <c r="BD167" s="6" t="s">
        <v>19</v>
      </c>
      <c r="BE167" s="6" t="s">
        <v>20</v>
      </c>
      <c r="BF167" s="6" t="s">
        <v>21</v>
      </c>
      <c r="BG167" s="6" t="s">
        <v>22</v>
      </c>
      <c r="BH167" s="6" t="s">
        <v>23</v>
      </c>
      <c r="BI167" s="6" t="s">
        <v>24</v>
      </c>
      <c r="BJ167" s="6" t="s">
        <v>25</v>
      </c>
      <c r="BK167" s="6" t="s">
        <v>26</v>
      </c>
      <c r="BL167" s="6" t="s">
        <v>27</v>
      </c>
      <c r="BM167" s="6" t="s">
        <v>28</v>
      </c>
      <c r="BN167" s="6" t="s">
        <v>29</v>
      </c>
      <c r="BO167" s="6" t="s">
        <v>34</v>
      </c>
      <c r="BP167" s="6" t="s">
        <v>18</v>
      </c>
      <c r="BQ167" s="6" t="s">
        <v>19</v>
      </c>
      <c r="BR167" s="6" t="s">
        <v>20</v>
      </c>
      <c r="BS167" s="6" t="s">
        <v>21</v>
      </c>
      <c r="BT167" s="6" t="s">
        <v>22</v>
      </c>
      <c r="BU167" s="6" t="s">
        <v>23</v>
      </c>
      <c r="BV167" s="6" t="s">
        <v>24</v>
      </c>
      <c r="BW167" s="6" t="s">
        <v>25</v>
      </c>
      <c r="BX167" s="6" t="s">
        <v>26</v>
      </c>
      <c r="BY167" s="6" t="s">
        <v>27</v>
      </c>
      <c r="BZ167" s="6" t="s">
        <v>28</v>
      </c>
      <c r="CA167" s="6" t="s">
        <v>29</v>
      </c>
      <c r="CB167" s="6" t="s">
        <v>35</v>
      </c>
      <c r="CC167" s="6" t="s">
        <v>18</v>
      </c>
      <c r="CD167" s="6" t="s">
        <v>19</v>
      </c>
      <c r="CE167" s="6" t="s">
        <v>20</v>
      </c>
      <c r="CF167" s="6" t="s">
        <v>21</v>
      </c>
      <c r="CG167" s="6" t="s">
        <v>22</v>
      </c>
      <c r="CH167" s="6" t="s">
        <v>23</v>
      </c>
      <c r="CI167" s="6" t="s">
        <v>24</v>
      </c>
      <c r="CJ167" s="6" t="s">
        <v>25</v>
      </c>
      <c r="CK167" s="6" t="s">
        <v>26</v>
      </c>
      <c r="CL167" s="6" t="s">
        <v>27</v>
      </c>
      <c r="CM167" s="6" t="s">
        <v>28</v>
      </c>
      <c r="CN167" s="6" t="s">
        <v>29</v>
      </c>
      <c r="CO167" s="6" t="s">
        <v>36</v>
      </c>
      <c r="CP167" s="6" t="s">
        <v>18</v>
      </c>
      <c r="CQ167" s="6" t="s">
        <v>19</v>
      </c>
      <c r="CR167" s="6" t="s">
        <v>20</v>
      </c>
      <c r="CS167" s="6" t="s">
        <v>21</v>
      </c>
      <c r="CT167" s="6" t="s">
        <v>22</v>
      </c>
      <c r="CU167" s="6" t="s">
        <v>23</v>
      </c>
      <c r="CV167" s="6" t="s">
        <v>24</v>
      </c>
      <c r="CW167" s="6" t="s">
        <v>25</v>
      </c>
      <c r="CX167" s="6" t="s">
        <v>26</v>
      </c>
      <c r="CY167" s="6" t="s">
        <v>27</v>
      </c>
      <c r="CZ167" s="6" t="s">
        <v>28</v>
      </c>
      <c r="DA167" s="6" t="s">
        <v>29</v>
      </c>
      <c r="DB167" s="6" t="s">
        <v>37</v>
      </c>
      <c r="DC167" s="6" t="s">
        <v>18</v>
      </c>
      <c r="DD167" s="6" t="s">
        <v>19</v>
      </c>
      <c r="DE167" s="6" t="s">
        <v>20</v>
      </c>
      <c r="DF167" s="6" t="s">
        <v>21</v>
      </c>
      <c r="DG167" s="6" t="s">
        <v>22</v>
      </c>
      <c r="DH167" s="6" t="s">
        <v>23</v>
      </c>
      <c r="DI167" s="6" t="s">
        <v>24</v>
      </c>
      <c r="DJ167" s="6" t="s">
        <v>25</v>
      </c>
      <c r="DK167" s="6" t="s">
        <v>26</v>
      </c>
      <c r="DL167" s="6" t="s">
        <v>27</v>
      </c>
      <c r="DM167" s="6" t="s">
        <v>28</v>
      </c>
      <c r="DN167" s="6" t="s">
        <v>29</v>
      </c>
      <c r="DO167" s="6" t="s">
        <v>38</v>
      </c>
      <c r="DP167" s="6" t="s">
        <v>18</v>
      </c>
      <c r="DQ167" s="6" t="s">
        <v>19</v>
      </c>
      <c r="DR167" s="6" t="s">
        <v>20</v>
      </c>
      <c r="DS167" s="6" t="s">
        <v>21</v>
      </c>
      <c r="DT167" s="6" t="s">
        <v>22</v>
      </c>
      <c r="DU167" s="6" t="s">
        <v>23</v>
      </c>
      <c r="DV167" s="6" t="s">
        <v>24</v>
      </c>
      <c r="DW167" s="6" t="s">
        <v>25</v>
      </c>
      <c r="DX167" s="6" t="s">
        <v>26</v>
      </c>
      <c r="DY167" s="6" t="s">
        <v>27</v>
      </c>
      <c r="DZ167" s="6" t="s">
        <v>28</v>
      </c>
      <c r="EA167" s="6" t="s">
        <v>29</v>
      </c>
      <c r="EB167" s="6" t="s">
        <v>39</v>
      </c>
      <c r="EC167" s="6" t="s">
        <v>18</v>
      </c>
      <c r="ED167" s="6" t="s">
        <v>19</v>
      </c>
      <c r="EE167" s="6" t="s">
        <v>20</v>
      </c>
      <c r="EF167" s="6" t="s">
        <v>21</v>
      </c>
      <c r="EG167" s="6" t="s">
        <v>22</v>
      </c>
      <c r="EH167" s="6" t="s">
        <v>23</v>
      </c>
      <c r="EI167" s="6" t="s">
        <v>24</v>
      </c>
      <c r="EJ167" s="6" t="s">
        <v>25</v>
      </c>
      <c r="EK167" s="6" t="s">
        <v>26</v>
      </c>
      <c r="EL167" s="6" t="s">
        <v>27</v>
      </c>
      <c r="EM167" s="6" t="s">
        <v>28</v>
      </c>
      <c r="EN167" s="6" t="s">
        <v>29</v>
      </c>
      <c r="EO167" s="6" t="s">
        <v>40</v>
      </c>
      <c r="EP167" s="6" t="s">
        <v>18</v>
      </c>
      <c r="EQ167" s="6" t="s">
        <v>19</v>
      </c>
      <c r="ER167" s="6" t="s">
        <v>20</v>
      </c>
      <c r="ES167" s="6" t="s">
        <v>21</v>
      </c>
      <c r="ET167" s="6" t="s">
        <v>22</v>
      </c>
      <c r="EU167" s="6" t="s">
        <v>23</v>
      </c>
      <c r="EV167" s="6" t="s">
        <v>24</v>
      </c>
      <c r="EW167" s="6" t="s">
        <v>25</v>
      </c>
      <c r="EX167" s="6" t="s">
        <v>26</v>
      </c>
      <c r="EY167" s="6" t="s">
        <v>27</v>
      </c>
      <c r="EZ167" s="6" t="s">
        <v>28</v>
      </c>
      <c r="FA167" s="6" t="s">
        <v>29</v>
      </c>
      <c r="FB167" s="6" t="s">
        <v>41</v>
      </c>
      <c r="FC167" s="6" t="s">
        <v>18</v>
      </c>
      <c r="FD167" s="6" t="s">
        <v>19</v>
      </c>
      <c r="FE167" s="6" t="s">
        <v>20</v>
      </c>
      <c r="FF167" s="6" t="s">
        <v>21</v>
      </c>
      <c r="FG167" s="6" t="s">
        <v>22</v>
      </c>
      <c r="FH167" s="6" t="s">
        <v>23</v>
      </c>
      <c r="FI167" s="6" t="s">
        <v>24</v>
      </c>
      <c r="FJ167" s="6" t="s">
        <v>25</v>
      </c>
      <c r="FK167" s="6" t="s">
        <v>26</v>
      </c>
      <c r="FL167" s="6" t="s">
        <v>27</v>
      </c>
      <c r="FM167" s="6" t="s">
        <v>28</v>
      </c>
      <c r="FN167" s="6" t="s">
        <v>29</v>
      </c>
      <c r="FO167" s="6" t="s">
        <v>42</v>
      </c>
    </row>
    <row r="168" spans="2:171" ht="14.25" customHeight="1" x14ac:dyDescent="0.3">
      <c r="B168" s="7" t="s">
        <v>43</v>
      </c>
      <c r="C168" s="8">
        <f>+MINVU_Mes_Corriente!C168*MINVU_Mes_Constante!$C$1</f>
        <v>116592781.62746553</v>
      </c>
      <c r="D168" s="8">
        <f>+MINVU_Mes_Corriente!D168*MINVU_Mes_Constante!$C$1</f>
        <v>116592781.62746553</v>
      </c>
      <c r="E168" s="8">
        <f>+MINVU_Mes_Corriente!E168*MINVU_Mes_Constante!$C$1</f>
        <v>164488330.96336946</v>
      </c>
      <c r="F168" s="8">
        <f>+MINVU_Mes_Corriente!F168*MINVU_Mes_Constante!$C$1</f>
        <v>162063183.49429041</v>
      </c>
      <c r="G168" s="8">
        <f>+MINVU_Mes_Corriente!G168*MINVU_Mes_Constante!$C$1</f>
        <v>162045800.41138962</v>
      </c>
      <c r="H168" s="8">
        <f>+MINVU_Mes_Corriente!H168*MINVU_Mes_Constante!$C$1</f>
        <v>111829416.68693462</v>
      </c>
      <c r="I168" s="8">
        <f>+MINVU_Mes_Corriente!I168*MINVU_Mes_Constante!$C$1</f>
        <v>111829416.68693462</v>
      </c>
      <c r="J168" s="8">
        <f>+MINVU_Mes_Corriente!J168*MINVU_Mes_Constante!$C$1</f>
        <v>112526136.74210294</v>
      </c>
      <c r="K168" s="8">
        <f>+MINVU_Mes_Corriente!K168*MINVU_Mes_Constante!$C$1</f>
        <v>113190542.21652086</v>
      </c>
      <c r="L168" s="8">
        <f>+MINVU_Mes_Corriente!L168*MINVU_Mes_Constante!$C$1</f>
        <v>110468038.38321224</v>
      </c>
      <c r="M168" s="8">
        <f>+MINVU_Mes_Corriente!M168*MINVU_Mes_Constante!$C$1</f>
        <v>112163206.55405608</v>
      </c>
      <c r="N168" s="8">
        <f>+MINVU_Mes_Corriente!N168*MINVU_Mes_Constante!$C$1</f>
        <v>111256671.00311436</v>
      </c>
      <c r="O168" s="9">
        <f t="shared" ref="O168:O185" si="133">N168</f>
        <v>111256671.00311436</v>
      </c>
      <c r="P168" s="8">
        <f>+MINVU_Mes_Corriente!P168*MINVU_Mes_Constante!$P$1</f>
        <v>162350373.0865179</v>
      </c>
      <c r="Q168" s="8">
        <f>+MINVU_Mes_Corriente!Q168*MINVU_Mes_Constante!$P$1</f>
        <v>134007566.9518397</v>
      </c>
      <c r="R168" s="8">
        <f>+MINVU_Mes_Corriente!R168*MINVU_Mes_Constante!$P$1</f>
        <v>150694448.29975843</v>
      </c>
      <c r="S168" s="8">
        <f>+MINVU_Mes_Corriente!S168*MINVU_Mes_Constante!$P$1</f>
        <v>150694448.29975843</v>
      </c>
      <c r="T168" s="8">
        <f>+MINVU_Mes_Corriente!T168*MINVU_Mes_Constante!$P$1</f>
        <v>150694448.29975843</v>
      </c>
      <c r="U168" s="8">
        <f>+MINVU_Mes_Corriente!U168*MINVU_Mes_Constante!$P$1</f>
        <v>129082775.28569394</v>
      </c>
      <c r="V168" s="8">
        <f>+MINVU_Mes_Corriente!V168*MINVU_Mes_Constante!$P$1</f>
        <v>130065261.57067761</v>
      </c>
      <c r="W168" s="8">
        <f>+MINVU_Mes_Corriente!W168*MINVU_Mes_Constante!$P$1</f>
        <v>130065261.57067761</v>
      </c>
      <c r="X168" s="8">
        <f>+MINVU_Mes_Corriente!X168*MINVU_Mes_Constante!$P$1</f>
        <v>130324669.86333281</v>
      </c>
      <c r="Y168" s="8">
        <f>+MINVU_Mes_Corriente!Y168*MINVU_Mes_Constante!$P$1</f>
        <v>130348390.72311403</v>
      </c>
      <c r="Z168" s="8">
        <f>+MINVU_Mes_Corriente!Z168*MINVU_Mes_Constante!$P$1</f>
        <v>128227751.75706771</v>
      </c>
      <c r="AA168" s="8">
        <f>+MINVU_Mes_Corriente!AA168*MINVU_Mes_Constante!$P$1</f>
        <v>137846535.56300604</v>
      </c>
      <c r="AB168" s="9">
        <f t="shared" ref="AB168:AB185" si="134">AA168</f>
        <v>137846535.56300604</v>
      </c>
      <c r="AC168" s="8">
        <f>+MINVU_Mes_Corriente!AC168*MINVU_Mes_Constante!$AC$1</f>
        <v>175720979.314428</v>
      </c>
      <c r="AD168" s="8">
        <f>+MINVU_Mes_Corriente!AD168*MINVU_Mes_Constante!$AC$1</f>
        <v>167970641.08950061</v>
      </c>
      <c r="AE168" s="8">
        <f>+MINVU_Mes_Corriente!AE168*MINVU_Mes_Constante!$AC$1</f>
        <v>167970641.08950061</v>
      </c>
      <c r="AF168" s="8">
        <f>+MINVU_Mes_Corriente!AF168*MINVU_Mes_Constante!$AC$1</f>
        <v>167970641.08950061</v>
      </c>
      <c r="AG168" s="8">
        <f>+MINVU_Mes_Corriente!AG168*MINVU_Mes_Constante!$AC$1</f>
        <v>165334071.38885045</v>
      </c>
      <c r="AH168" s="8">
        <f>+MINVU_Mes_Corriente!AH168*MINVU_Mes_Constante!$AC$1</f>
        <v>160788547.06072763</v>
      </c>
      <c r="AI168" s="8">
        <f>+MINVU_Mes_Corriente!AI168*MINVU_Mes_Constante!$AC$1</f>
        <v>162647148.9851985</v>
      </c>
      <c r="AJ168" s="8">
        <f>+MINVU_Mes_Corriente!AJ168*MINVU_Mes_Constante!$AC$1</f>
        <v>162457406.27666342</v>
      </c>
      <c r="AK168" s="8">
        <f>+MINVU_Mes_Corriente!AK168*MINVU_Mes_Constante!$AC$1</f>
        <v>162363831.71420667</v>
      </c>
      <c r="AL168" s="8">
        <f>+MINVU_Mes_Corriente!AL168*MINVU_Mes_Constante!$AC$1</f>
        <v>159636129.89348456</v>
      </c>
      <c r="AM168" s="8">
        <f>+MINVU_Mes_Corriente!AM168*MINVU_Mes_Constante!$AC$1</f>
        <v>158575059.46686956</v>
      </c>
      <c r="AN168" s="8">
        <f>+MINVU_Mes_Corriente!AN168*MINVU_Mes_Constante!$AC$1</f>
        <v>168694961.28371835</v>
      </c>
      <c r="AO168" s="9">
        <f t="shared" ref="AO168:AO185" si="135">AN168</f>
        <v>168694961.28371835</v>
      </c>
      <c r="AP168" s="8">
        <f>+MINVU_Mes_Corriente!AP168*MINVU_Mes_Constante!$AP$1</f>
        <v>180236439.88259163</v>
      </c>
      <c r="AQ168" s="8">
        <f>+MINVU_Mes_Corriente!AQ168*MINVU_Mes_Constante!$AP$1</f>
        <v>149431949.1867983</v>
      </c>
      <c r="AR168" s="8">
        <f>+MINVU_Mes_Corriente!AR168*MINVU_Mes_Constante!$AP$1</f>
        <v>151838941.22304881</v>
      </c>
      <c r="AS168" s="8">
        <f>+MINVU_Mes_Corriente!AS168*MINVU_Mes_Constante!$AP$1</f>
        <v>151902874.50588393</v>
      </c>
      <c r="AT168" s="8">
        <f>+MINVU_Mes_Corriente!AT168*MINVU_Mes_Constante!$AP$1</f>
        <v>151902874.50588393</v>
      </c>
      <c r="AU168" s="8">
        <f>+MINVU_Mes_Corriente!AU168*MINVU_Mes_Constante!$AP$1</f>
        <v>146170478.33247665</v>
      </c>
      <c r="AV168" s="8">
        <f>+MINVU_Mes_Corriente!AV168*MINVU_Mes_Constante!$AP$1</f>
        <v>146170478.33247665</v>
      </c>
      <c r="AW168" s="8">
        <f>+MINVU_Mes_Corriente!AW168*MINVU_Mes_Constante!$AP$1</f>
        <v>146000094.50804815</v>
      </c>
      <c r="AX168" s="8">
        <f>+MINVU_Mes_Corriente!AX168*MINVU_Mes_Constante!$AP$1</f>
        <v>146000094.50804815</v>
      </c>
      <c r="AY168" s="8">
        <f>+MINVU_Mes_Corriente!AY168*MINVU_Mes_Constante!$AP$1</f>
        <v>143981424.00973892</v>
      </c>
      <c r="AZ168" s="8">
        <f>+MINVU_Mes_Corriente!AZ168*MINVU_Mes_Constante!$AP$1</f>
        <v>144930837.69349384</v>
      </c>
      <c r="BA168" s="8">
        <f>+MINVU_Mes_Corriente!BA168*MINVU_Mes_Constante!$AP$1</f>
        <v>149602220.69200593</v>
      </c>
      <c r="BB168" s="9">
        <f t="shared" ref="BB168:BB185" si="136">BA168</f>
        <v>149602220.69200593</v>
      </c>
      <c r="BC168" s="8">
        <f>+MINVU_Mes_Corriente!BC168*MINVU_Mes_Constante!$BC$1</f>
        <v>170112026.3238824</v>
      </c>
      <c r="BD168" s="8">
        <f>+MINVU_Mes_Corriente!BD168*MINVU_Mes_Constante!$BC$1</f>
        <v>157620135.86443365</v>
      </c>
      <c r="BE168" s="8">
        <f>+MINVU_Mes_Corriente!BE168*MINVU_Mes_Constante!$BC$1</f>
        <v>157620135.86443365</v>
      </c>
      <c r="BF168" s="8">
        <f>+MINVU_Mes_Corriente!BF168*MINVU_Mes_Constante!$BC$1</f>
        <v>157620135.86443365</v>
      </c>
      <c r="BG168" s="8">
        <f>+MINVU_Mes_Corriente!BG168*MINVU_Mes_Constante!$BC$1</f>
        <v>157620135.86443365</v>
      </c>
      <c r="BH168" s="8">
        <f>+MINVU_Mes_Corriente!BH168*MINVU_Mes_Constante!$BC$1</f>
        <v>157620135.86443365</v>
      </c>
      <c r="BI168" s="8">
        <f>+MINVU_Mes_Corriente!BI168*MINVU_Mes_Constante!$BC$1</f>
        <v>157752328.50534093</v>
      </c>
      <c r="BJ168" s="8">
        <f>+MINVU_Mes_Corriente!BJ168*MINVU_Mes_Constante!$BC$1</f>
        <v>160634037.5914546</v>
      </c>
      <c r="BK168" s="8">
        <f>+MINVU_Mes_Corriente!BK168*MINVU_Mes_Constante!$BC$1</f>
        <v>160634037.5914546</v>
      </c>
      <c r="BL168" s="8">
        <f>+MINVU_Mes_Corriente!BL168*MINVU_Mes_Constante!$BC$1</f>
        <v>160719733.85625747</v>
      </c>
      <c r="BM168" s="8">
        <f>+MINVU_Mes_Corriente!BM168*MINVU_Mes_Constante!$BC$1</f>
        <v>164916701.07661879</v>
      </c>
      <c r="BN168" s="8">
        <f>+MINVU_Mes_Corriente!BN168*MINVU_Mes_Constante!$BC$1</f>
        <v>164317380.51114339</v>
      </c>
      <c r="BO168" s="9">
        <f t="shared" ref="BO168:BO185" si="137">BN168</f>
        <v>164317380.51114339</v>
      </c>
      <c r="BP168" s="8">
        <f>+MINVU_Mes_Corriente!BP168*MINVU_Mes_Constante!$BP$1</f>
        <v>167022600.3149808</v>
      </c>
      <c r="BQ168" s="8">
        <f>+MINVU_Mes_Corriente!BQ168*MINVU_Mes_Constante!$BP$1</f>
        <v>167022600.3149808</v>
      </c>
      <c r="BR168" s="8">
        <f>+MINVU_Mes_Corriente!BR168*MINVU_Mes_Constante!$BP$1</f>
        <v>167700454.39129323</v>
      </c>
      <c r="BS168" s="8">
        <f>+MINVU_Mes_Corriente!BS168*MINVU_Mes_Constante!$BP$1</f>
        <v>167700454.39129323</v>
      </c>
      <c r="BT168" s="8">
        <f>+MINVU_Mes_Corriente!BT168*MINVU_Mes_Constante!$BP$1</f>
        <v>167700454.39129323</v>
      </c>
      <c r="BU168" s="8">
        <f>+MINVU_Mes_Corriente!BU168*MINVU_Mes_Constante!$BP$1</f>
        <v>167700454.39129323</v>
      </c>
      <c r="BV168" s="8">
        <f>+MINVU_Mes_Corriente!BV168*MINVU_Mes_Constante!$BP$1</f>
        <v>168984879.13751602</v>
      </c>
      <c r="BW168" s="8">
        <f>+MINVU_Mes_Corriente!BW168*MINVU_Mes_Constante!$BP$1</f>
        <v>172346922.65454549</v>
      </c>
      <c r="BX168" s="8">
        <f>+MINVU_Mes_Corriente!BX168*MINVU_Mes_Constante!$BP$1</f>
        <v>167700454.39129323</v>
      </c>
      <c r="BY168" s="8">
        <f>+MINVU_Mes_Corriente!BY168*MINVU_Mes_Constante!$BP$1</f>
        <v>167022600.3149808</v>
      </c>
      <c r="BZ168" s="8">
        <f>+MINVU_Mes_Corriente!BZ168*MINVU_Mes_Constante!$BP$1</f>
        <v>167022600.3149808</v>
      </c>
      <c r="CA168" s="8">
        <f>+MINVU_Mes_Corriente!CA168*MINVU_Mes_Constante!$BP$1</f>
        <v>188573584.11856598</v>
      </c>
      <c r="CB168" s="9">
        <f t="shared" ref="CB168:CB185" si="138">CA168</f>
        <v>188573584.11856598</v>
      </c>
      <c r="CC168" s="8">
        <f>+MINVU_Mes_Corriente!CC168*MINVU_Mes_Constante!$CC$1</f>
        <v>191357565.97463635</v>
      </c>
      <c r="CD168" s="8">
        <f>+MINVU_Mes_Corriente!CD168*MINVU_Mes_Constante!$CC$1</f>
        <v>191357565.97463635</v>
      </c>
      <c r="CE168" s="8">
        <f>+MINVU_Mes_Corriente!CE168*MINVU_Mes_Constante!$CC$1</f>
        <v>191357565.97463635</v>
      </c>
      <c r="CF168" s="8">
        <f>+MINVU_Mes_Corriente!CF168*MINVU_Mes_Constante!$CC$1</f>
        <v>191357565.97463635</v>
      </c>
      <c r="CG168" s="8">
        <f>+MINVU_Mes_Corriente!CG168*MINVU_Mes_Constante!$CC$1</f>
        <v>189480275.95076466</v>
      </c>
      <c r="CH168" s="8">
        <f>+MINVU_Mes_Corriente!CH168*MINVU_Mes_Constante!$CC$1</f>
        <v>189287539.30026111</v>
      </c>
      <c r="CI168" s="8">
        <f>+MINVU_Mes_Corriente!CI168*MINVU_Mes_Constante!$CC$1</f>
        <v>187967847.49123463</v>
      </c>
      <c r="CJ168" s="8">
        <f>+MINVU_Mes_Corriente!CJ168*MINVU_Mes_Constante!$CC$1</f>
        <v>187967847.49123463</v>
      </c>
      <c r="CK168" s="8">
        <f>+MINVU_Mes_Corriente!CK168*MINVU_Mes_Constante!$CC$1</f>
        <v>200510538.21932116</v>
      </c>
      <c r="CL168" s="8">
        <f>+MINVU_Mes_Corriente!CL168*MINVU_Mes_Constante!$CC$1</f>
        <v>304689878.93845582</v>
      </c>
      <c r="CM168" s="8">
        <f>+MINVU_Mes_Corriente!CM168*MINVU_Mes_Constante!$CC$1</f>
        <v>304755354.79000378</v>
      </c>
      <c r="CN168" s="8">
        <f>+MINVU_Mes_Corriente!CN168*MINVU_Mes_Constante!$CC$1</f>
        <v>245041947.36814624</v>
      </c>
      <c r="CO168" s="9">
        <f t="shared" ref="CO168:CO185" si="139">CN168</f>
        <v>245041947.36814624</v>
      </c>
      <c r="CP168" s="8">
        <f>+MINVU_Mes_Corriente!CP168*MINVU_Mes_Constante!$CP$1</f>
        <v>224818584.22900227</v>
      </c>
      <c r="CQ168" s="8">
        <f>+MINVU_Mes_Corriente!CQ168*MINVU_Mes_Constante!$CP$1</f>
        <v>224818584.22900227</v>
      </c>
      <c r="CR168" s="8">
        <f>+MINVU_Mes_Corriente!CR168*MINVU_Mes_Constante!$CP$1</f>
        <v>224818584.22900227</v>
      </c>
      <c r="CS168" s="8">
        <f>+MINVU_Mes_Corriente!CS168*MINVU_Mes_Constante!$CP$1</f>
        <v>222537490.19999996</v>
      </c>
      <c r="CT168" s="8">
        <f>+MINVU_Mes_Corriente!CT168*MINVU_Mes_Constante!$CP$1</f>
        <v>259580560.77146167</v>
      </c>
      <c r="CU168" s="8">
        <f>+MINVU_Mes_Corriente!CU168*MINVU_Mes_Constante!$CP$1</f>
        <v>259580560.77146167</v>
      </c>
      <c r="CV168" s="8">
        <f>+MINVU_Mes_Corriente!CV168*MINVU_Mes_Constante!$CP$1</f>
        <v>259580560.77146167</v>
      </c>
      <c r="CW168" s="8">
        <f>+MINVU_Mes_Corriente!CW168*MINVU_Mes_Constante!$CP$1</f>
        <v>269739288.12528998</v>
      </c>
      <c r="CX168" s="8">
        <f>+MINVU_Mes_Corriente!CX168*MINVU_Mes_Constante!$CP$1</f>
        <v>269739288.12528998</v>
      </c>
      <c r="CY168" s="8">
        <f>+MINVU_Mes_Corriente!CY168*MINVU_Mes_Constante!$CP$1</f>
        <v>265958437.08654287</v>
      </c>
      <c r="CZ168" s="8">
        <f>+MINVU_Mes_Corriente!CZ168*MINVU_Mes_Constante!$CP$1</f>
        <v>270939027.56867743</v>
      </c>
      <c r="DA168" s="8">
        <f>+MINVU_Mes_Corriente!DA168*MINVU_Mes_Constante!$CP$1</f>
        <v>284437564.40881664</v>
      </c>
      <c r="DB168" s="9">
        <f t="shared" ref="DB168:DB185" si="140">DA168</f>
        <v>284437564.40881664</v>
      </c>
      <c r="DC168" s="8">
        <f>+MINVU_Mes_Corriente!DC168*MINVU_Mes_Constante!$DC$1</f>
        <v>253520120.91081175</v>
      </c>
      <c r="DD168" s="8">
        <f>+MINVU_Mes_Corriente!DD168*MINVU_Mes_Constante!$DC$1</f>
        <v>249731621.17045584</v>
      </c>
      <c r="DE168" s="8">
        <f>+MINVU_Mes_Corriente!DE168*MINVU_Mes_Constante!$DC$1</f>
        <v>249731621.17045584</v>
      </c>
      <c r="DF168" s="8">
        <f>+MINVU_Mes_Corriente!DF168*MINVU_Mes_Constante!$DC$1</f>
        <v>249731621.17045584</v>
      </c>
      <c r="DG168" s="8">
        <f>+MINVU_Mes_Corriente!DG168*MINVU_Mes_Constante!$DC$1</f>
        <v>236525414.08743969</v>
      </c>
      <c r="DH168" s="8">
        <f>+MINVU_Mes_Corriente!DH168*MINVU_Mes_Constante!$DC$1</f>
        <v>236009068.70383716</v>
      </c>
      <c r="DI168" s="8">
        <f>+MINVU_Mes_Corriente!DI168*MINVU_Mes_Constante!$DC$1</f>
        <v>235819351.26283315</v>
      </c>
      <c r="DJ168" s="8">
        <f>+MINVU_Mes_Corriente!DJ168*MINVU_Mes_Constante!$DC$1</f>
        <v>233622939.77738926</v>
      </c>
      <c r="DK168" s="8">
        <f>+MINVU_Mes_Corriente!DK168*MINVU_Mes_Constante!$DC$1</f>
        <v>230010537.34965551</v>
      </c>
      <c r="DL168" s="8">
        <f>+MINVU_Mes_Corriente!DL168*MINVU_Mes_Constante!$DC$1</f>
        <v>230010537.34965551</v>
      </c>
      <c r="DM168" s="8">
        <f>+MINVU_Mes_Corriente!DM168*MINVU_Mes_Constante!$DC$1</f>
        <v>227950763.24390507</v>
      </c>
      <c r="DN168" s="8">
        <f>+MINVU_Mes_Corriente!DN168*MINVU_Mes_Constante!$DC$1</f>
        <v>223684959.94033545</v>
      </c>
      <c r="DO168" s="9">
        <f t="shared" ref="DO168:DO185" si="141">DN168</f>
        <v>223684959.94033545</v>
      </c>
      <c r="DP168" s="8">
        <f>+MINVU_Mes_Corriente!DP168*MINVU_Mes_Constante!$DP$1</f>
        <v>282999501.3598575</v>
      </c>
      <c r="DQ168" s="8">
        <f>+MINVU_Mes_Corriente!DQ168*MINVU_Mes_Constante!$DP$1</f>
        <v>277058496.42933494</v>
      </c>
      <c r="DR168" s="8">
        <f>+MINVU_Mes_Corriente!DR168*MINVU_Mes_Constante!$DP$1</f>
        <v>277058496.42933494</v>
      </c>
      <c r="DS168" s="8">
        <f>+MINVU_Mes_Corriente!DS168*MINVU_Mes_Constante!$DP$1</f>
        <v>276498208.03503567</v>
      </c>
      <c r="DT168" s="8">
        <f>+MINVU_Mes_Corriente!DT168*MINVU_Mes_Constante!$DP$1</f>
        <v>276431121.91923994</v>
      </c>
      <c r="DU168" s="8">
        <f>+MINVU_Mes_Corriente!DU168*MINVU_Mes_Constante!$DP$1</f>
        <v>275149379.0611639</v>
      </c>
      <c r="DV168" s="8">
        <f>+MINVU_Mes_Corriente!DV168*MINVU_Mes_Constante!$DP$1</f>
        <v>274110044.39251786</v>
      </c>
      <c r="DW168" s="8">
        <f>+MINVU_Mes_Corriente!DW168*MINVU_Mes_Constante!$DP$1</f>
        <v>274110044.39251786</v>
      </c>
      <c r="DX168" s="8">
        <f>+MINVU_Mes_Corriente!DX168*MINVU_Mes_Constante!$DP$1</f>
        <v>274110044.39251786</v>
      </c>
      <c r="DY168" s="8">
        <f>+MINVU_Mes_Corriente!DY168*MINVU_Mes_Constante!$DP$1</f>
        <v>273603955.61935872</v>
      </c>
      <c r="DZ168" s="8">
        <f>+MINVU_Mes_Corriente!DZ168*MINVU_Mes_Constante!$DP$1</f>
        <v>264478586.15558198</v>
      </c>
      <c r="EA168" s="8">
        <f>+MINVU_Mes_Corriente!EA168*MINVU_Mes_Constante!$DP$1</f>
        <v>237368246.44239908</v>
      </c>
      <c r="EB168" s="9">
        <f t="shared" ref="EB168:EB185" si="142">EA168</f>
        <v>237368246.44239908</v>
      </c>
      <c r="EC168" s="8">
        <f>+MINVU_Mes_Corriente!EC168*MINVU_Mes_Constante!$EC$1</f>
        <v>268752373.9638325</v>
      </c>
      <c r="ED168" s="8">
        <f>+MINVU_Mes_Corriente!ED168*MINVU_Mes_Constante!$EC$1</f>
        <v>268752373.9638325</v>
      </c>
      <c r="EE168" s="8">
        <f>+MINVU_Mes_Corriente!EE168*MINVU_Mes_Constante!$EC$1</f>
        <v>262540398.83620518</v>
      </c>
      <c r="EF168" s="8">
        <f>+MINVU_Mes_Corriente!EF168*MINVU_Mes_Constante!$EC$1</f>
        <v>262540398.83620518</v>
      </c>
      <c r="EG168" s="8">
        <f>+MINVU_Mes_Corriente!EG168*MINVU_Mes_Constante!$EC$1</f>
        <v>260663645.75402379</v>
      </c>
      <c r="EH168" s="8">
        <f>+MINVU_Mes_Corriente!EH168*MINVU_Mes_Constante!$EC$1</f>
        <v>260663645.75402379</v>
      </c>
      <c r="EI168" s="8">
        <f>+MINVU_Mes_Corriente!EI168*MINVU_Mes_Constante!$EC$1</f>
        <v>259621265.8375307</v>
      </c>
      <c r="EJ168" s="8">
        <f>+MINVU_Mes_Corriente!EJ168*MINVU_Mes_Constante!$EC$1</f>
        <v>259621265.8375307</v>
      </c>
      <c r="EK168" s="8">
        <f>+MINVU_Mes_Corriente!EK168*MINVU_Mes_Constante!$EC$1</f>
        <v>259621265.8375307</v>
      </c>
      <c r="EL168" s="8">
        <f>+MINVU_Mes_Corriente!EL168*MINVU_Mes_Constante!$EC$1</f>
        <v>256872303.06476039</v>
      </c>
      <c r="EM168" s="8">
        <f>+MINVU_Mes_Corriente!EM168*MINVU_Mes_Constante!$EC$1</f>
        <v>268354844.25014192</v>
      </c>
      <c r="EN168" s="8">
        <f>+MINVU_Mes_Corriente!EN168*MINVU_Mes_Constante!$EC$1</f>
        <v>261989127.20621085</v>
      </c>
      <c r="EO168" s="9">
        <f t="shared" ref="EO168:EO185" si="143">EN168</f>
        <v>261989127.20621085</v>
      </c>
      <c r="EP168" s="8">
        <f>+MINVU_Mes_Corriente!EP168*MINVU_Mes_Constante!$EP$1</f>
        <v>288622626</v>
      </c>
      <c r="EQ168" s="8">
        <f>+MINVU_Mes_Corriente!EQ168*MINVU_Mes_Constante!$EP$1</f>
        <v>281866986</v>
      </c>
      <c r="ER168" s="8">
        <f>+MINVU_Mes_Corriente!ER168*MINVU_Mes_Constante!$EP$1</f>
        <v>279676204</v>
      </c>
      <c r="ES168" s="8">
        <f>+MINVU_Mes_Corriente!ES168*MINVU_Mes_Constante!$EP$1</f>
        <v>278838975</v>
      </c>
      <c r="ET168" s="8">
        <f>+MINVU_Mes_Corriente!ET168*MINVU_Mes_Constante!$EP$1</f>
        <v>278838975</v>
      </c>
      <c r="EU168" s="8">
        <f>+MINVU_Mes_Corriente!EU168*MINVU_Mes_Constante!$EP$1</f>
        <v>276199607</v>
      </c>
      <c r="EV168" s="8">
        <f>+MINVU_Mes_Corriente!EV168*MINVU_Mes_Constante!$EP$1</f>
        <v>290559537</v>
      </c>
      <c r="EW168" s="8">
        <f>+MINVU_Mes_Corriente!EW168*MINVU_Mes_Constante!$EP$1</f>
        <v>290559537</v>
      </c>
      <c r="EX168" s="8">
        <f>+MINVU_Mes_Corriente!EX168*MINVU_Mes_Constante!$EP$1</f>
        <v>290559537</v>
      </c>
      <c r="EY168" s="8">
        <f>+MINVU_Mes_Corriente!EY168*MINVU_Mes_Constante!$EP$1</f>
        <v>311767170</v>
      </c>
      <c r="EZ168" s="8">
        <f>+MINVU_Mes_Corriente!EZ168*MINVU_Mes_Constante!$EP$1</f>
        <v>311767170</v>
      </c>
      <c r="FA168" s="8">
        <f>+MINVU_Mes_Corriente!FA168*MINVU_Mes_Constante!$EP$1</f>
        <v>276265997</v>
      </c>
      <c r="FB168" s="9">
        <f t="shared" ref="FB168:FB185" si="144">FA168</f>
        <v>276265997</v>
      </c>
      <c r="FC168" s="8">
        <f>+MINVU_Mes_Corriente!FC168*MINVU_Mes_Constante!$FC$1</f>
        <v>359934455</v>
      </c>
      <c r="FD168" s="8">
        <f>+MINVU_Mes_Corriente!FD168*MINVU_Mes_Constante!$FC$1</f>
        <v>360334455</v>
      </c>
      <c r="FE168" s="8">
        <f>+MINVU_Mes_Corriente!FE168*MINVU_Mes_Constante!$FC$1</f>
        <v>360334455</v>
      </c>
      <c r="FF168" s="8">
        <f>+MINVU_Mes_Corriente!FF168*MINVU_Mes_Constante!$FC$1</f>
        <v>360334455</v>
      </c>
      <c r="FG168" s="8">
        <f>+MINVU_Mes_Corriente!FG168*MINVU_Mes_Constante!$FC$1</f>
        <v>360334455</v>
      </c>
      <c r="FH168" s="8">
        <f>+MINVU_Mes_Corriente!FH168*MINVU_Mes_Constante!$FC$1</f>
        <v>343615247</v>
      </c>
      <c r="FI168" s="8">
        <f>+MINVU_Mes_Corriente!FI168*MINVU_Mes_Constante!$FC$1</f>
        <v>339013387</v>
      </c>
      <c r="FJ168" s="8"/>
      <c r="FK168" s="8"/>
      <c r="FL168" s="8"/>
      <c r="FM168" s="8"/>
      <c r="FN168" s="8"/>
      <c r="FO168" s="9">
        <f t="shared" ref="FO168:FO185" si="145">FI168</f>
        <v>339013387</v>
      </c>
    </row>
    <row r="169" spans="2:171" ht="14.25" customHeight="1" x14ac:dyDescent="0.3">
      <c r="B169" s="7" t="s">
        <v>44</v>
      </c>
      <c r="C169" s="8">
        <f>+MINVU_Mes_Corriente!C169*MINVU_Mes_Constante!$C$1</f>
        <v>0</v>
      </c>
      <c r="D169" s="8">
        <f>+MINVU_Mes_Corriente!D169*MINVU_Mes_Constante!$C$1</f>
        <v>0</v>
      </c>
      <c r="E169" s="8">
        <f>+MINVU_Mes_Corriente!E169*MINVU_Mes_Constante!$C$1</f>
        <v>0</v>
      </c>
      <c r="F169" s="8">
        <f>+MINVU_Mes_Corriente!F169*MINVU_Mes_Constante!$C$1</f>
        <v>0</v>
      </c>
      <c r="G169" s="8">
        <f>+MINVU_Mes_Corriente!G169*MINVU_Mes_Constante!$C$1</f>
        <v>0</v>
      </c>
      <c r="H169" s="8">
        <f>+MINVU_Mes_Corriente!H169*MINVU_Mes_Constante!$C$1</f>
        <v>0</v>
      </c>
      <c r="I169" s="8">
        <f>+MINVU_Mes_Corriente!I169*MINVU_Mes_Constante!$C$1</f>
        <v>0</v>
      </c>
      <c r="J169" s="8">
        <f>+MINVU_Mes_Corriente!J169*MINVU_Mes_Constante!$C$1</f>
        <v>0</v>
      </c>
      <c r="K169" s="8">
        <f>+MINVU_Mes_Corriente!K169*MINVU_Mes_Constante!$C$1</f>
        <v>0</v>
      </c>
      <c r="L169" s="8">
        <f>+MINVU_Mes_Corriente!L169*MINVU_Mes_Constante!$C$1</f>
        <v>0</v>
      </c>
      <c r="M169" s="8">
        <f>+MINVU_Mes_Corriente!M169*MINVU_Mes_Constante!$C$1</f>
        <v>0</v>
      </c>
      <c r="N169" s="8">
        <f>+MINVU_Mes_Corriente!N169*MINVU_Mes_Constante!$C$1</f>
        <v>0</v>
      </c>
      <c r="O169" s="9">
        <f t="shared" si="133"/>
        <v>0</v>
      </c>
      <c r="P169" s="8">
        <f>+MINVU_Mes_Corriente!P169*MINVU_Mes_Constante!$P$1</f>
        <v>0</v>
      </c>
      <c r="Q169" s="8">
        <f>+MINVU_Mes_Corriente!Q169*MINVU_Mes_Constante!$P$1</f>
        <v>0</v>
      </c>
      <c r="R169" s="8">
        <f>+MINVU_Mes_Corriente!R169*MINVU_Mes_Constante!$P$1</f>
        <v>0</v>
      </c>
      <c r="S169" s="8">
        <f>+MINVU_Mes_Corriente!S169*MINVU_Mes_Constante!$P$1</f>
        <v>0</v>
      </c>
      <c r="T169" s="8">
        <f>+MINVU_Mes_Corriente!T169*MINVU_Mes_Constante!$P$1</f>
        <v>0</v>
      </c>
      <c r="U169" s="8">
        <f>+MINVU_Mes_Corriente!U169*MINVU_Mes_Constante!$P$1</f>
        <v>0</v>
      </c>
      <c r="V169" s="8">
        <f>+MINVU_Mes_Corriente!V169*MINVU_Mes_Constante!$P$1</f>
        <v>0</v>
      </c>
      <c r="W169" s="8">
        <f>+MINVU_Mes_Corriente!W169*MINVU_Mes_Constante!$P$1</f>
        <v>0</v>
      </c>
      <c r="X169" s="8">
        <f>+MINVU_Mes_Corriente!X169*MINVU_Mes_Constante!$P$1</f>
        <v>0</v>
      </c>
      <c r="Y169" s="8">
        <f>+MINVU_Mes_Corriente!Y169*MINVU_Mes_Constante!$P$1</f>
        <v>0</v>
      </c>
      <c r="Z169" s="8">
        <f>+MINVU_Mes_Corriente!Z169*MINVU_Mes_Constante!$P$1</f>
        <v>0</v>
      </c>
      <c r="AA169" s="8">
        <f>+MINVU_Mes_Corriente!AA169*MINVU_Mes_Constante!$P$1</f>
        <v>0</v>
      </c>
      <c r="AB169" s="9">
        <f t="shared" si="134"/>
        <v>0</v>
      </c>
      <c r="AC169" s="8">
        <f>+MINVU_Mes_Corriente!AC169*MINVU_Mes_Constante!$AC$1</f>
        <v>0</v>
      </c>
      <c r="AD169" s="8">
        <f>+MINVU_Mes_Corriente!AD169*MINVU_Mes_Constante!$AC$1</f>
        <v>0</v>
      </c>
      <c r="AE169" s="8">
        <f>+MINVU_Mes_Corriente!AE169*MINVU_Mes_Constante!$AC$1</f>
        <v>0</v>
      </c>
      <c r="AF169" s="8">
        <f>+MINVU_Mes_Corriente!AF169*MINVU_Mes_Constante!$AC$1</f>
        <v>0</v>
      </c>
      <c r="AG169" s="8">
        <f>+MINVU_Mes_Corriente!AG169*MINVU_Mes_Constante!$AC$1</f>
        <v>0</v>
      </c>
      <c r="AH169" s="8">
        <f>+MINVU_Mes_Corriente!AH169*MINVU_Mes_Constante!$AC$1</f>
        <v>0</v>
      </c>
      <c r="AI169" s="8">
        <f>+MINVU_Mes_Corriente!AI169*MINVU_Mes_Constante!$AC$1</f>
        <v>0</v>
      </c>
      <c r="AJ169" s="8">
        <f>+MINVU_Mes_Corriente!AJ169*MINVU_Mes_Constante!$AC$1</f>
        <v>0</v>
      </c>
      <c r="AK169" s="8">
        <f>+MINVU_Mes_Corriente!AK169*MINVU_Mes_Constante!$AC$1</f>
        <v>0</v>
      </c>
      <c r="AL169" s="8">
        <f>+MINVU_Mes_Corriente!AL169*MINVU_Mes_Constante!$AC$1</f>
        <v>0</v>
      </c>
      <c r="AM169" s="8">
        <f>+MINVU_Mes_Corriente!AM169*MINVU_Mes_Constante!$AC$1</f>
        <v>0</v>
      </c>
      <c r="AN169" s="8">
        <f>+MINVU_Mes_Corriente!AN169*MINVU_Mes_Constante!$AC$1</f>
        <v>0</v>
      </c>
      <c r="AO169" s="9">
        <f t="shared" si="135"/>
        <v>0</v>
      </c>
      <c r="AP169" s="8">
        <f>+MINVU_Mes_Corriente!AP169*MINVU_Mes_Constante!$AP$1</f>
        <v>0</v>
      </c>
      <c r="AQ169" s="8">
        <f>+MINVU_Mes_Corriente!AQ169*MINVU_Mes_Constante!$AP$1</f>
        <v>0</v>
      </c>
      <c r="AR169" s="8">
        <f>+MINVU_Mes_Corriente!AR169*MINVU_Mes_Constante!$AP$1</f>
        <v>0</v>
      </c>
      <c r="AS169" s="8">
        <f>+MINVU_Mes_Corriente!AS169*MINVU_Mes_Constante!$AP$1</f>
        <v>0</v>
      </c>
      <c r="AT169" s="8">
        <f>+MINVU_Mes_Corriente!AT169*MINVU_Mes_Constante!$AP$1</f>
        <v>0</v>
      </c>
      <c r="AU169" s="8">
        <f>+MINVU_Mes_Corriente!AU169*MINVU_Mes_Constante!$AP$1</f>
        <v>0</v>
      </c>
      <c r="AV169" s="8">
        <f>+MINVU_Mes_Corriente!AV169*MINVU_Mes_Constante!$AP$1</f>
        <v>0</v>
      </c>
      <c r="AW169" s="8">
        <f>+MINVU_Mes_Corriente!AW169*MINVU_Mes_Constante!$AP$1</f>
        <v>0</v>
      </c>
      <c r="AX169" s="8">
        <f>+MINVU_Mes_Corriente!AX169*MINVU_Mes_Constante!$AP$1</f>
        <v>0</v>
      </c>
      <c r="AY169" s="8">
        <f>+MINVU_Mes_Corriente!AY169*MINVU_Mes_Constante!$AP$1</f>
        <v>0</v>
      </c>
      <c r="AZ169" s="8">
        <f>+MINVU_Mes_Corriente!AZ169*MINVU_Mes_Constante!$AP$1</f>
        <v>0</v>
      </c>
      <c r="BA169" s="8">
        <f>+MINVU_Mes_Corriente!BA169*MINVU_Mes_Constante!$AP$1</f>
        <v>0</v>
      </c>
      <c r="BB169" s="9">
        <f t="shared" si="136"/>
        <v>0</v>
      </c>
      <c r="BC169" s="8">
        <f>+MINVU_Mes_Corriente!BC169*MINVU_Mes_Constante!$BC$1</f>
        <v>0</v>
      </c>
      <c r="BD169" s="8">
        <f>+MINVU_Mes_Corriente!BD169*MINVU_Mes_Constante!$BC$1</f>
        <v>0</v>
      </c>
      <c r="BE169" s="8">
        <f>+MINVU_Mes_Corriente!BE169*MINVU_Mes_Constante!$BC$1</f>
        <v>0</v>
      </c>
      <c r="BF169" s="8">
        <f>+MINVU_Mes_Corriente!BF169*MINVU_Mes_Constante!$BC$1</f>
        <v>0</v>
      </c>
      <c r="BG169" s="8">
        <f>+MINVU_Mes_Corriente!BG169*MINVU_Mes_Constante!$BC$1</f>
        <v>0</v>
      </c>
      <c r="BH169" s="8">
        <f>+MINVU_Mes_Corriente!BH169*MINVU_Mes_Constante!$BC$1</f>
        <v>0</v>
      </c>
      <c r="BI169" s="8">
        <f>+MINVU_Mes_Corriente!BI169*MINVU_Mes_Constante!$BC$1</f>
        <v>0</v>
      </c>
      <c r="BJ169" s="8">
        <f>+MINVU_Mes_Corriente!BJ169*MINVU_Mes_Constante!$BC$1</f>
        <v>0</v>
      </c>
      <c r="BK169" s="8">
        <f>+MINVU_Mes_Corriente!BK169*MINVU_Mes_Constante!$BC$1</f>
        <v>0</v>
      </c>
      <c r="BL169" s="8">
        <f>+MINVU_Mes_Corriente!BL169*MINVU_Mes_Constante!$BC$1</f>
        <v>0</v>
      </c>
      <c r="BM169" s="8">
        <f>+MINVU_Mes_Corriente!BM169*MINVU_Mes_Constante!$BC$1</f>
        <v>0</v>
      </c>
      <c r="BN169" s="8">
        <f>+MINVU_Mes_Corriente!BN169*MINVU_Mes_Constante!$BC$1</f>
        <v>0</v>
      </c>
      <c r="BO169" s="9">
        <f t="shared" si="137"/>
        <v>0</v>
      </c>
      <c r="BP169" s="8">
        <f>+MINVU_Mes_Corriente!BP169*MINVU_Mes_Constante!$BP$1</f>
        <v>0</v>
      </c>
      <c r="BQ169" s="8">
        <f>+MINVU_Mes_Corriente!BQ169*MINVU_Mes_Constante!$BP$1</f>
        <v>0</v>
      </c>
      <c r="BR169" s="8">
        <f>+MINVU_Mes_Corriente!BR169*MINVU_Mes_Constante!$BP$1</f>
        <v>0</v>
      </c>
      <c r="BS169" s="8">
        <f>+MINVU_Mes_Corriente!BS169*MINVU_Mes_Constante!$BP$1</f>
        <v>0</v>
      </c>
      <c r="BT169" s="8">
        <f>+MINVU_Mes_Corriente!BT169*MINVU_Mes_Constante!$BP$1</f>
        <v>0</v>
      </c>
      <c r="BU169" s="8">
        <f>+MINVU_Mes_Corriente!BU169*MINVU_Mes_Constante!$BP$1</f>
        <v>0</v>
      </c>
      <c r="BV169" s="8">
        <f>+MINVU_Mes_Corriente!BV169*MINVU_Mes_Constante!$BP$1</f>
        <v>0</v>
      </c>
      <c r="BW169" s="8">
        <f>+MINVU_Mes_Corriente!BW169*MINVU_Mes_Constante!$BP$1</f>
        <v>0</v>
      </c>
      <c r="BX169" s="8">
        <f>+MINVU_Mes_Corriente!BX169*MINVU_Mes_Constante!$BP$1</f>
        <v>0</v>
      </c>
      <c r="BY169" s="8">
        <f>+MINVU_Mes_Corriente!BY169*MINVU_Mes_Constante!$BP$1</f>
        <v>0</v>
      </c>
      <c r="BZ169" s="8">
        <f>+MINVU_Mes_Corriente!BZ169*MINVU_Mes_Constante!$BP$1</f>
        <v>0</v>
      </c>
      <c r="CA169" s="8">
        <f>+MINVU_Mes_Corriente!CA169*MINVU_Mes_Constante!$BP$1</f>
        <v>0</v>
      </c>
      <c r="CB169" s="9">
        <f t="shared" si="138"/>
        <v>0</v>
      </c>
      <c r="CC169" s="8">
        <f>+MINVU_Mes_Corriente!CC169*MINVU_Mes_Constante!$CC$1</f>
        <v>0</v>
      </c>
      <c r="CD169" s="8">
        <f>+MINVU_Mes_Corriente!CD169*MINVU_Mes_Constante!$CC$1</f>
        <v>0</v>
      </c>
      <c r="CE169" s="8">
        <f>+MINVU_Mes_Corriente!CE169*MINVU_Mes_Constante!$CC$1</f>
        <v>0</v>
      </c>
      <c r="CF169" s="8">
        <f>+MINVU_Mes_Corriente!CF169*MINVU_Mes_Constante!$CC$1</f>
        <v>0</v>
      </c>
      <c r="CG169" s="8">
        <f>+MINVU_Mes_Corriente!CG169*MINVU_Mes_Constante!$CC$1</f>
        <v>0</v>
      </c>
      <c r="CH169" s="8">
        <f>+MINVU_Mes_Corriente!CH169*MINVU_Mes_Constante!$CC$1</f>
        <v>0</v>
      </c>
      <c r="CI169" s="8">
        <f>+MINVU_Mes_Corriente!CI169*MINVU_Mes_Constante!$CC$1</f>
        <v>0</v>
      </c>
      <c r="CJ169" s="8">
        <f>+MINVU_Mes_Corriente!CJ169*MINVU_Mes_Constante!$CC$1</f>
        <v>0</v>
      </c>
      <c r="CK169" s="8">
        <f>+MINVU_Mes_Corriente!CK169*MINVU_Mes_Constante!$CC$1</f>
        <v>0</v>
      </c>
      <c r="CL169" s="8">
        <f>+MINVU_Mes_Corriente!CL169*MINVU_Mes_Constante!$CC$1</f>
        <v>0</v>
      </c>
      <c r="CM169" s="8">
        <f>+MINVU_Mes_Corriente!CM169*MINVU_Mes_Constante!$CC$1</f>
        <v>0</v>
      </c>
      <c r="CN169" s="8">
        <f>+MINVU_Mes_Corriente!CN169*MINVU_Mes_Constante!$CC$1</f>
        <v>0</v>
      </c>
      <c r="CO169" s="9">
        <f t="shared" si="139"/>
        <v>0</v>
      </c>
      <c r="CP169" s="8">
        <f>+MINVU_Mes_Corriente!CP169*MINVU_Mes_Constante!$CP$1</f>
        <v>0</v>
      </c>
      <c r="CQ169" s="8">
        <f>+MINVU_Mes_Corriente!CQ169*MINVU_Mes_Constante!$CP$1</f>
        <v>0</v>
      </c>
      <c r="CR169" s="8">
        <f>+MINVU_Mes_Corriente!CR169*MINVU_Mes_Constante!$CP$1</f>
        <v>0</v>
      </c>
      <c r="CS169" s="8">
        <f>+MINVU_Mes_Corriente!CS169*MINVU_Mes_Constante!$CP$1</f>
        <v>0</v>
      </c>
      <c r="CT169" s="8">
        <f>+MINVU_Mes_Corriente!CT169*MINVU_Mes_Constante!$CP$1</f>
        <v>0</v>
      </c>
      <c r="CU169" s="8">
        <f>+MINVU_Mes_Corriente!CU169*MINVU_Mes_Constante!$CP$1</f>
        <v>0</v>
      </c>
      <c r="CV169" s="8">
        <f>+MINVU_Mes_Corriente!CV169*MINVU_Mes_Constante!$CP$1</f>
        <v>0</v>
      </c>
      <c r="CW169" s="8">
        <f>+MINVU_Mes_Corriente!CW169*MINVU_Mes_Constante!$CP$1</f>
        <v>0</v>
      </c>
      <c r="CX169" s="8">
        <f>+MINVU_Mes_Corriente!CX169*MINVU_Mes_Constante!$CP$1</f>
        <v>0</v>
      </c>
      <c r="CY169" s="8">
        <f>+MINVU_Mes_Corriente!CY169*MINVU_Mes_Constante!$CP$1</f>
        <v>0</v>
      </c>
      <c r="CZ169" s="8">
        <f>+MINVU_Mes_Corriente!CZ169*MINVU_Mes_Constante!$CP$1</f>
        <v>0</v>
      </c>
      <c r="DA169" s="8">
        <f>+MINVU_Mes_Corriente!DA169*MINVU_Mes_Constante!$CP$1</f>
        <v>0</v>
      </c>
      <c r="DB169" s="9">
        <f t="shared" si="140"/>
        <v>0</v>
      </c>
      <c r="DC169" s="8">
        <f>+MINVU_Mes_Corriente!DC169*MINVU_Mes_Constante!$DC$1</f>
        <v>0</v>
      </c>
      <c r="DD169" s="8">
        <f>+MINVU_Mes_Corriente!DD169*MINVU_Mes_Constante!$DC$1</f>
        <v>0</v>
      </c>
      <c r="DE169" s="8">
        <f>+MINVU_Mes_Corriente!DE169*MINVU_Mes_Constante!$DC$1</f>
        <v>0</v>
      </c>
      <c r="DF169" s="8">
        <f>+MINVU_Mes_Corriente!DF169*MINVU_Mes_Constante!$DC$1</f>
        <v>0</v>
      </c>
      <c r="DG169" s="8">
        <f>+MINVU_Mes_Corriente!DG169*MINVU_Mes_Constante!$DC$1</f>
        <v>0</v>
      </c>
      <c r="DH169" s="8">
        <f>+MINVU_Mes_Corriente!DH169*MINVU_Mes_Constante!$DC$1</f>
        <v>0</v>
      </c>
      <c r="DI169" s="8">
        <f>+MINVU_Mes_Corriente!DI169*MINVU_Mes_Constante!$DC$1</f>
        <v>0</v>
      </c>
      <c r="DJ169" s="8">
        <f>+MINVU_Mes_Corriente!DJ169*MINVU_Mes_Constante!$DC$1</f>
        <v>0</v>
      </c>
      <c r="DK169" s="8">
        <f>+MINVU_Mes_Corriente!DK169*MINVU_Mes_Constante!$DC$1</f>
        <v>0</v>
      </c>
      <c r="DL169" s="8">
        <f>+MINVU_Mes_Corriente!DL169*MINVU_Mes_Constante!$DC$1</f>
        <v>0</v>
      </c>
      <c r="DM169" s="8">
        <f>+MINVU_Mes_Corriente!DM169*MINVU_Mes_Constante!$DC$1</f>
        <v>0</v>
      </c>
      <c r="DN169" s="8">
        <f>+MINVU_Mes_Corriente!DN169*MINVU_Mes_Constante!$DC$1</f>
        <v>0</v>
      </c>
      <c r="DO169" s="9">
        <f t="shared" si="141"/>
        <v>0</v>
      </c>
      <c r="DP169" s="8">
        <f>+MINVU_Mes_Corriente!DP169*MINVU_Mes_Constante!$DP$1</f>
        <v>0</v>
      </c>
      <c r="DQ169" s="8">
        <f>+MINVU_Mes_Corriente!DQ169*MINVU_Mes_Constante!$DP$1</f>
        <v>0</v>
      </c>
      <c r="DR169" s="8">
        <f>+MINVU_Mes_Corriente!DR169*MINVU_Mes_Constante!$DP$1</f>
        <v>0</v>
      </c>
      <c r="DS169" s="8">
        <f>+MINVU_Mes_Corriente!DS169*MINVU_Mes_Constante!$DP$1</f>
        <v>0</v>
      </c>
      <c r="DT169" s="8">
        <f>+MINVU_Mes_Corriente!DT169*MINVU_Mes_Constante!$DP$1</f>
        <v>0</v>
      </c>
      <c r="DU169" s="8">
        <f>+MINVU_Mes_Corriente!DU169*MINVU_Mes_Constante!$DP$1</f>
        <v>0</v>
      </c>
      <c r="DV169" s="8">
        <f>+MINVU_Mes_Corriente!DV169*MINVU_Mes_Constante!$DP$1</f>
        <v>0</v>
      </c>
      <c r="DW169" s="8">
        <f>+MINVU_Mes_Corriente!DW169*MINVU_Mes_Constante!$DP$1</f>
        <v>0</v>
      </c>
      <c r="DX169" s="8">
        <f>+MINVU_Mes_Corriente!DX169*MINVU_Mes_Constante!$DP$1</f>
        <v>0</v>
      </c>
      <c r="DY169" s="8">
        <f>+MINVU_Mes_Corriente!DY169*MINVU_Mes_Constante!$DP$1</f>
        <v>0</v>
      </c>
      <c r="DZ169" s="8">
        <f>+MINVU_Mes_Corriente!DZ169*MINVU_Mes_Constante!$DP$1</f>
        <v>0</v>
      </c>
      <c r="EA169" s="8">
        <f>+MINVU_Mes_Corriente!EA169*MINVU_Mes_Constante!$DP$1</f>
        <v>0</v>
      </c>
      <c r="EB169" s="9">
        <f t="shared" si="142"/>
        <v>0</v>
      </c>
      <c r="EC169" s="8">
        <f>+MINVU_Mes_Corriente!EC169*MINVU_Mes_Constante!$EC$1</f>
        <v>0</v>
      </c>
      <c r="ED169" s="8">
        <f>+MINVU_Mes_Corriente!ED169*MINVU_Mes_Constante!$EC$1</f>
        <v>0</v>
      </c>
      <c r="EE169" s="8">
        <f>+MINVU_Mes_Corriente!EE169*MINVU_Mes_Constante!$EC$1</f>
        <v>0</v>
      </c>
      <c r="EF169" s="8">
        <f>+MINVU_Mes_Corriente!EF169*MINVU_Mes_Constante!$EC$1</f>
        <v>0</v>
      </c>
      <c r="EG169" s="8">
        <f>+MINVU_Mes_Corriente!EG169*MINVU_Mes_Constante!$EC$1</f>
        <v>0</v>
      </c>
      <c r="EH169" s="8">
        <f>+MINVU_Mes_Corriente!EH169*MINVU_Mes_Constante!$EC$1</f>
        <v>0</v>
      </c>
      <c r="EI169" s="8">
        <f>+MINVU_Mes_Corriente!EI169*MINVU_Mes_Constante!$EC$1</f>
        <v>0</v>
      </c>
      <c r="EJ169" s="8">
        <f>+MINVU_Mes_Corriente!EJ169*MINVU_Mes_Constante!$EC$1</f>
        <v>0</v>
      </c>
      <c r="EK169" s="8">
        <f>+MINVU_Mes_Corriente!EK169*MINVU_Mes_Constante!$EC$1</f>
        <v>0</v>
      </c>
      <c r="EL169" s="8">
        <f>+MINVU_Mes_Corriente!EL169*MINVU_Mes_Constante!$EC$1</f>
        <v>0</v>
      </c>
      <c r="EM169" s="8">
        <f>+MINVU_Mes_Corriente!EM169*MINVU_Mes_Constante!$EC$1</f>
        <v>0</v>
      </c>
      <c r="EN169" s="8">
        <f>+MINVU_Mes_Corriente!EN169*MINVU_Mes_Constante!$EC$1</f>
        <v>0</v>
      </c>
      <c r="EO169" s="9">
        <f t="shared" si="143"/>
        <v>0</v>
      </c>
      <c r="EP169" s="8">
        <f>+MINVU_Mes_Corriente!EP169*MINVU_Mes_Constante!$EP$1</f>
        <v>0</v>
      </c>
      <c r="EQ169" s="8">
        <f>+MINVU_Mes_Corriente!EQ169*MINVU_Mes_Constante!$EP$1</f>
        <v>0</v>
      </c>
      <c r="ER169" s="8">
        <f>+MINVU_Mes_Corriente!ER169*MINVU_Mes_Constante!$EP$1</f>
        <v>0</v>
      </c>
      <c r="ES169" s="8">
        <f>+MINVU_Mes_Corriente!ES169*MINVU_Mes_Constante!$EP$1</f>
        <v>0</v>
      </c>
      <c r="ET169" s="8">
        <f>+MINVU_Mes_Corriente!ET169*MINVU_Mes_Constante!$EP$1</f>
        <v>0</v>
      </c>
      <c r="EU169" s="8">
        <f>+MINVU_Mes_Corriente!EU169*MINVU_Mes_Constante!$EP$1</f>
        <v>0</v>
      </c>
      <c r="EV169" s="8">
        <f>+MINVU_Mes_Corriente!EV169*MINVU_Mes_Constante!$EP$1</f>
        <v>0</v>
      </c>
      <c r="EW169" s="8">
        <f>+MINVU_Mes_Corriente!EW169*MINVU_Mes_Constante!$EP$1</f>
        <v>0</v>
      </c>
      <c r="EX169" s="8">
        <f>+MINVU_Mes_Corriente!EX169*MINVU_Mes_Constante!$EP$1</f>
        <v>0</v>
      </c>
      <c r="EY169" s="8">
        <f>+MINVU_Mes_Corriente!EY169*MINVU_Mes_Constante!$EP$1</f>
        <v>0</v>
      </c>
      <c r="EZ169" s="8">
        <f>+MINVU_Mes_Corriente!EZ169*MINVU_Mes_Constante!$EP$1</f>
        <v>0</v>
      </c>
      <c r="FA169" s="8">
        <f>+MINVU_Mes_Corriente!FA169*MINVU_Mes_Constante!$EP$1</f>
        <v>0</v>
      </c>
      <c r="FB169" s="9">
        <f t="shared" si="144"/>
        <v>0</v>
      </c>
      <c r="FC169" s="8">
        <f>+MINVU_Mes_Corriente!FC169*MINVU_Mes_Constante!$FC$1</f>
        <v>0</v>
      </c>
      <c r="FD169" s="8">
        <f>+MINVU_Mes_Corriente!FD169*MINVU_Mes_Constante!$FC$1</f>
        <v>0</v>
      </c>
      <c r="FE169" s="8">
        <f>+MINVU_Mes_Corriente!FE169*MINVU_Mes_Constante!$FC$1</f>
        <v>0</v>
      </c>
      <c r="FF169" s="8">
        <f>+MINVU_Mes_Corriente!FF169*MINVU_Mes_Constante!$FC$1</f>
        <v>0</v>
      </c>
      <c r="FG169" s="8">
        <f>+MINVU_Mes_Corriente!FG169*MINVU_Mes_Constante!$FC$1</f>
        <v>0</v>
      </c>
      <c r="FH169" s="8">
        <f>+MINVU_Mes_Corriente!FH169*MINVU_Mes_Constante!$FC$1</f>
        <v>0</v>
      </c>
      <c r="FI169" s="8">
        <f>+MINVU_Mes_Corriente!FI169*MINVU_Mes_Constante!$FC$1</f>
        <v>0</v>
      </c>
      <c r="FJ169" s="8"/>
      <c r="FK169" s="8"/>
      <c r="FL169" s="8"/>
      <c r="FM169" s="8"/>
      <c r="FN169" s="8"/>
      <c r="FO169" s="9">
        <f t="shared" si="145"/>
        <v>0</v>
      </c>
    </row>
    <row r="170" spans="2:171" ht="14.25" customHeight="1" x14ac:dyDescent="0.3">
      <c r="B170" s="7" t="s">
        <v>45</v>
      </c>
      <c r="C170" s="8">
        <f>+MINVU_Mes_Corriente!C170*MINVU_Mes_Constante!$C$1</f>
        <v>13445453.286371054</v>
      </c>
      <c r="D170" s="8">
        <f>+MINVU_Mes_Corriente!D170*MINVU_Mes_Constante!$C$1</f>
        <v>13445453.286371054</v>
      </c>
      <c r="E170" s="8">
        <f>+MINVU_Mes_Corriente!E170*MINVU_Mes_Constante!$C$1</f>
        <v>13445453.286371054</v>
      </c>
      <c r="F170" s="8">
        <f>+MINVU_Mes_Corriente!F170*MINVU_Mes_Constante!$C$1</f>
        <v>13445453.286371054</v>
      </c>
      <c r="G170" s="8">
        <f>+MINVU_Mes_Corriente!G170*MINVU_Mes_Constante!$C$1</f>
        <v>13445453.286371054</v>
      </c>
      <c r="H170" s="8">
        <f>+MINVU_Mes_Corriente!H170*MINVU_Mes_Constante!$C$1</f>
        <v>13445453.286371054</v>
      </c>
      <c r="I170" s="8">
        <f>+MINVU_Mes_Corriente!I170*MINVU_Mes_Constante!$C$1</f>
        <v>13445453.286371054</v>
      </c>
      <c r="J170" s="8">
        <f>+MINVU_Mes_Corriente!J170*MINVU_Mes_Constante!$C$1</f>
        <v>13802926.145632509</v>
      </c>
      <c r="K170" s="8">
        <f>+MINVU_Mes_Corriente!K170*MINVU_Mes_Constante!$C$1</f>
        <v>12939289.2822186</v>
      </c>
      <c r="L170" s="8">
        <f>+MINVU_Mes_Corriente!L170*MINVU_Mes_Constante!$C$1</f>
        <v>12939289.2822186</v>
      </c>
      <c r="M170" s="8">
        <f>+MINVU_Mes_Corriente!M170*MINVU_Mes_Constante!$C$1</f>
        <v>14474098.189233281</v>
      </c>
      <c r="N170" s="8">
        <f>+MINVU_Mes_Corriente!N170*MINVU_Mes_Constante!$C$1</f>
        <v>15030945.028029069</v>
      </c>
      <c r="O170" s="9">
        <f t="shared" si="133"/>
        <v>15030945.028029069</v>
      </c>
      <c r="P170" s="8">
        <f>+MINVU_Mes_Corriente!P170*MINVU_Mes_Constante!$P$1</f>
        <v>44015453.864469372</v>
      </c>
      <c r="Q170" s="8">
        <f>+MINVU_Mes_Corriente!Q170*MINVU_Mes_Constante!$P$1</f>
        <v>44125063.111521505</v>
      </c>
      <c r="R170" s="8">
        <f>+MINVU_Mes_Corriente!R170*MINVU_Mes_Constante!$P$1</f>
        <v>44125063.111521505</v>
      </c>
      <c r="S170" s="8">
        <f>+MINVU_Mes_Corriente!S170*MINVU_Mes_Constante!$P$1</f>
        <v>44125063.111521505</v>
      </c>
      <c r="T170" s="8">
        <f>+MINVU_Mes_Corriente!T170*MINVU_Mes_Constante!$P$1</f>
        <v>44125063.111521505</v>
      </c>
      <c r="U170" s="8">
        <f>+MINVU_Mes_Corriente!U170*MINVU_Mes_Constante!$P$1</f>
        <v>31958882.172751799</v>
      </c>
      <c r="V170" s="8">
        <f>+MINVU_Mes_Corriente!V170*MINVU_Mes_Constante!$P$1</f>
        <v>31958882.172751799</v>
      </c>
      <c r="W170" s="8">
        <f>+MINVU_Mes_Corriente!W170*MINVU_Mes_Constante!$P$1</f>
        <v>31958882.172751799</v>
      </c>
      <c r="X170" s="8">
        <f>+MINVU_Mes_Corriente!X170*MINVU_Mes_Constante!$P$1</f>
        <v>31958882.172751799</v>
      </c>
      <c r="Y170" s="8">
        <f>+MINVU_Mes_Corriente!Y170*MINVU_Mes_Constante!$P$1</f>
        <v>31958882.172751799</v>
      </c>
      <c r="Z170" s="8">
        <f>+MINVU_Mes_Corriente!Z170*MINVU_Mes_Constante!$P$1</f>
        <v>31963383.579201579</v>
      </c>
      <c r="AA170" s="8">
        <f>+MINVU_Mes_Corriente!AA170*MINVU_Mes_Constante!$P$1</f>
        <v>34291697.260122165</v>
      </c>
      <c r="AB170" s="9">
        <f t="shared" si="134"/>
        <v>34291697.260122165</v>
      </c>
      <c r="AC170" s="8">
        <f>+MINVU_Mes_Corriente!AC170*MINVU_Mes_Constante!$AC$1</f>
        <v>54007363.095587216</v>
      </c>
      <c r="AD170" s="8">
        <f>+MINVU_Mes_Corriente!AD170*MINVU_Mes_Constante!$AC$1</f>
        <v>54167454.916309312</v>
      </c>
      <c r="AE170" s="8">
        <f>+MINVU_Mes_Corriente!AE170*MINVU_Mes_Constante!$AC$1</f>
        <v>54167454.916309312</v>
      </c>
      <c r="AF170" s="8">
        <f>+MINVU_Mes_Corriente!AF170*MINVU_Mes_Constante!$AC$1</f>
        <v>72593427.682667032</v>
      </c>
      <c r="AG170" s="8">
        <f>+MINVU_Mes_Corriente!AG170*MINVU_Mes_Constante!$AC$1</f>
        <v>72593427.682667032</v>
      </c>
      <c r="AH170" s="8">
        <f>+MINVU_Mes_Corriente!AH170*MINVU_Mes_Constante!$AC$1</f>
        <v>51538998.477244429</v>
      </c>
      <c r="AI170" s="8">
        <f>+MINVU_Mes_Corriente!AI170*MINVU_Mes_Constante!$AC$1</f>
        <v>51446802.322866231</v>
      </c>
      <c r="AJ170" s="8">
        <f>+MINVU_Mes_Corriente!AJ170*MINVU_Mes_Constante!$AC$1</f>
        <v>51514815.879374743</v>
      </c>
      <c r="AK170" s="8">
        <f>+MINVU_Mes_Corriente!AK170*MINVU_Mes_Constante!$AC$1</f>
        <v>51514815.879374743</v>
      </c>
      <c r="AL170" s="8">
        <f>+MINVU_Mes_Corriente!AL170*MINVU_Mes_Constante!$AC$1</f>
        <v>51514815.879374743</v>
      </c>
      <c r="AM170" s="8">
        <f>+MINVU_Mes_Corriente!AM170*MINVU_Mes_Constante!$AC$1</f>
        <v>51519350.116475306</v>
      </c>
      <c r="AN170" s="8">
        <f>+MINVU_Mes_Corriente!AN170*MINVU_Mes_Constante!$AC$1</f>
        <v>54679769.29782819</v>
      </c>
      <c r="AO170" s="9">
        <f t="shared" si="135"/>
        <v>54679769.29782819</v>
      </c>
      <c r="AP170" s="8">
        <f>+MINVU_Mes_Corriente!AP170*MINVU_Mes_Constante!$AP$1</f>
        <v>19130660.455836602</v>
      </c>
      <c r="AQ170" s="8">
        <f>+MINVU_Mes_Corriente!AQ170*MINVU_Mes_Constante!$AP$1</f>
        <v>19130660.455836602</v>
      </c>
      <c r="AR170" s="8">
        <f>+MINVU_Mes_Corriente!AR170*MINVU_Mes_Constante!$AP$1</f>
        <v>19130660.455836602</v>
      </c>
      <c r="AS170" s="8">
        <f>+MINVU_Mes_Corriente!AS170*MINVU_Mes_Constante!$AP$1</f>
        <v>19130660.455836602</v>
      </c>
      <c r="AT170" s="8">
        <f>+MINVU_Mes_Corriente!AT170*MINVU_Mes_Constante!$AP$1</f>
        <v>19130660.455836602</v>
      </c>
      <c r="AU170" s="8">
        <f>+MINVU_Mes_Corriente!AU170*MINVU_Mes_Constante!$AP$1</f>
        <v>24893198.083322059</v>
      </c>
      <c r="AV170" s="8">
        <f>+MINVU_Mes_Corriente!AV170*MINVU_Mes_Constante!$AP$1</f>
        <v>24893198.083322059</v>
      </c>
      <c r="AW170" s="8">
        <f>+MINVU_Mes_Corriente!AW170*MINVU_Mes_Constante!$AP$1</f>
        <v>30501794.829162721</v>
      </c>
      <c r="AX170" s="8">
        <f>+MINVU_Mes_Corriente!AX170*MINVU_Mes_Constante!$AP$1</f>
        <v>30501794.829162721</v>
      </c>
      <c r="AY170" s="8">
        <f>+MINVU_Mes_Corriente!AY170*MINVU_Mes_Constante!$AP$1</f>
        <v>30427900.604896523</v>
      </c>
      <c r="AZ170" s="8">
        <f>+MINVU_Mes_Corriente!AZ170*MINVU_Mes_Constante!$AP$1</f>
        <v>30398712.386311375</v>
      </c>
      <c r="BA170" s="8">
        <f>+MINVU_Mes_Corriente!BA170*MINVU_Mes_Constante!$AP$1</f>
        <v>29940497.257405654</v>
      </c>
      <c r="BB170" s="9">
        <f t="shared" si="136"/>
        <v>29940497.257405654</v>
      </c>
      <c r="BC170" s="8">
        <f>+MINVU_Mes_Corriente!BC170*MINVU_Mes_Constante!$BC$1</f>
        <v>18102565.08242121</v>
      </c>
      <c r="BD170" s="8">
        <f>+MINVU_Mes_Corriente!BD170*MINVU_Mes_Constante!$BC$1</f>
        <v>18204309.585124627</v>
      </c>
      <c r="BE170" s="8">
        <f>+MINVU_Mes_Corriente!BE170*MINVU_Mes_Constante!$BC$1</f>
        <v>18204309.585124627</v>
      </c>
      <c r="BF170" s="8">
        <f>+MINVU_Mes_Corriente!BF170*MINVU_Mes_Constante!$BC$1</f>
        <v>18204309.585124627</v>
      </c>
      <c r="BG170" s="8">
        <f>+MINVU_Mes_Corriente!BG170*MINVU_Mes_Constante!$BC$1</f>
        <v>18204309.585124627</v>
      </c>
      <c r="BH170" s="8">
        <f>+MINVU_Mes_Corriente!BH170*MINVU_Mes_Constante!$BC$1</f>
        <v>18204309.585124627</v>
      </c>
      <c r="BI170" s="8">
        <f>+MINVU_Mes_Corriente!BI170*MINVU_Mes_Constante!$BC$1</f>
        <v>18204309.585124627</v>
      </c>
      <c r="BJ170" s="8">
        <f>+MINVU_Mes_Corriente!BJ170*MINVU_Mes_Constante!$BC$1</f>
        <v>16953023.951734148</v>
      </c>
      <c r="BK170" s="8">
        <f>+MINVU_Mes_Corriente!BK170*MINVU_Mes_Constante!$BC$1</f>
        <v>21383939.842542533</v>
      </c>
      <c r="BL170" s="8">
        <f>+MINVU_Mes_Corriente!BL170*MINVU_Mes_Constante!$BC$1</f>
        <v>22188991.383093767</v>
      </c>
      <c r="BM170" s="8">
        <f>+MINVU_Mes_Corriente!BM170*MINVU_Mes_Constante!$BC$1</f>
        <v>22188991.383093767</v>
      </c>
      <c r="BN170" s="8">
        <f>+MINVU_Mes_Corriente!BN170*MINVU_Mes_Constante!$BC$1</f>
        <v>16383857.590135835</v>
      </c>
      <c r="BO170" s="9">
        <f t="shared" si="137"/>
        <v>16383857.590135835</v>
      </c>
      <c r="BP170" s="8">
        <f>+MINVU_Mes_Corriente!BP170*MINVU_Mes_Constante!$BP$1</f>
        <v>29010971.212548018</v>
      </c>
      <c r="BQ170" s="8">
        <f>+MINVU_Mes_Corriente!BQ170*MINVU_Mes_Constante!$BP$1</f>
        <v>29010971.212548018</v>
      </c>
      <c r="BR170" s="8">
        <f>+MINVU_Mes_Corriente!BR170*MINVU_Mes_Constante!$BP$1</f>
        <v>29118040.416645329</v>
      </c>
      <c r="BS170" s="8">
        <f>+MINVU_Mes_Corriente!BS170*MINVU_Mes_Constante!$BP$1</f>
        <v>29118040.416645329</v>
      </c>
      <c r="BT170" s="8">
        <f>+MINVU_Mes_Corriente!BT170*MINVU_Mes_Constante!$BP$1</f>
        <v>29118040.416645329</v>
      </c>
      <c r="BU170" s="8">
        <f>+MINVU_Mes_Corriente!BU170*MINVU_Mes_Constante!$BP$1</f>
        <v>29118040.416645329</v>
      </c>
      <c r="BV170" s="8">
        <f>+MINVU_Mes_Corriente!BV170*MINVU_Mes_Constante!$BP$1</f>
        <v>25953902.99308579</v>
      </c>
      <c r="BW170" s="8">
        <f>+MINVU_Mes_Corriente!BW170*MINVU_Mes_Constante!$BP$1</f>
        <v>41298520.088604361</v>
      </c>
      <c r="BX170" s="8">
        <f>+MINVU_Mes_Corriente!BX170*MINVU_Mes_Constante!$BP$1</f>
        <v>31309191.659154933</v>
      </c>
      <c r="BY170" s="8">
        <f>+MINVU_Mes_Corriente!BY170*MINVU_Mes_Constante!$BP$1</f>
        <v>31309191.659154933</v>
      </c>
      <c r="BZ170" s="8">
        <f>+MINVU_Mes_Corriente!BZ170*MINVU_Mes_Constante!$BP$1</f>
        <v>31309191.659154933</v>
      </c>
      <c r="CA170" s="8">
        <f>+MINVU_Mes_Corriente!CA170*MINVU_Mes_Constante!$BP$1</f>
        <v>37741492.938284256</v>
      </c>
      <c r="CB170" s="9">
        <f t="shared" si="138"/>
        <v>37741492.938284256</v>
      </c>
      <c r="CC170" s="8">
        <f>+MINVU_Mes_Corriente!CC170*MINVU_Mes_Constante!$CC$1</f>
        <v>28974909.762029096</v>
      </c>
      <c r="CD170" s="8">
        <f>+MINVU_Mes_Corriente!CD170*MINVU_Mes_Constante!$CC$1</f>
        <v>28974909.762029096</v>
      </c>
      <c r="CE170" s="8">
        <f>+MINVU_Mes_Corriente!CE170*MINVU_Mes_Constante!$CC$1</f>
        <v>28974909.762029096</v>
      </c>
      <c r="CF170" s="8">
        <f>+MINVU_Mes_Corriente!CF170*MINVU_Mes_Constante!$CC$1</f>
        <v>69728359.967176437</v>
      </c>
      <c r="CG170" s="8">
        <f>+MINVU_Mes_Corriente!CG170*MINVU_Mes_Constante!$CC$1</f>
        <v>52835758.715404704</v>
      </c>
      <c r="CH170" s="8">
        <f>+MINVU_Mes_Corriente!CH170*MINVU_Mes_Constante!$CC$1</f>
        <v>52835758.715404704</v>
      </c>
      <c r="CI170" s="8">
        <f>+MINVU_Mes_Corriente!CI170*MINVU_Mes_Constante!$CC$1</f>
        <v>52835758.715404704</v>
      </c>
      <c r="CJ170" s="8">
        <f>+MINVU_Mes_Corriente!CJ170*MINVU_Mes_Constante!$CC$1</f>
        <v>52835758.715404704</v>
      </c>
      <c r="CK170" s="8">
        <f>+MINVU_Mes_Corriente!CK170*MINVU_Mes_Constante!$CC$1</f>
        <v>52903681.132413283</v>
      </c>
      <c r="CL170" s="8">
        <f>+MINVU_Mes_Corriente!CL170*MINVU_Mes_Constante!$CC$1</f>
        <v>73425546.930995896</v>
      </c>
      <c r="CM170" s="8">
        <f>+MINVU_Mes_Corriente!CM170*MINVU_Mes_Constante!$CC$1</f>
        <v>73433697.621036932</v>
      </c>
      <c r="CN170" s="8">
        <f>+MINVU_Mes_Corriente!CN170*MINVU_Mes_Constante!$CC$1</f>
        <v>76325176.648265585</v>
      </c>
      <c r="CO170" s="9">
        <f t="shared" si="139"/>
        <v>76325176.648265585</v>
      </c>
      <c r="CP170" s="8">
        <f>+MINVU_Mes_Corriente!CP170*MINVU_Mes_Constante!$CP$1</f>
        <v>36296297.484222732</v>
      </c>
      <c r="CQ170" s="8">
        <f>+MINVU_Mes_Corriente!CQ170*MINVU_Mes_Constante!$CP$1</f>
        <v>36296297.484222732</v>
      </c>
      <c r="CR170" s="8">
        <f>+MINVU_Mes_Corriente!CR170*MINVU_Mes_Constante!$CP$1</f>
        <v>36346998.180278413</v>
      </c>
      <c r="CS170" s="8">
        <f>+MINVU_Mes_Corriente!CS170*MINVU_Mes_Constante!$CP$1</f>
        <v>42943502.234338738</v>
      </c>
      <c r="CT170" s="8">
        <f>+MINVU_Mes_Corriente!CT170*MINVU_Mes_Constante!$CP$1</f>
        <v>38696235.212296978</v>
      </c>
      <c r="CU170" s="8">
        <f>+MINVU_Mes_Corriente!CU170*MINVU_Mes_Constante!$CP$1</f>
        <v>38696235.212296978</v>
      </c>
      <c r="CV170" s="8">
        <f>+MINVU_Mes_Corriente!CV170*MINVU_Mes_Constante!$CP$1</f>
        <v>38696235.212296978</v>
      </c>
      <c r="CW170" s="8">
        <f>+MINVU_Mes_Corriente!CW170*MINVU_Mes_Constante!$CP$1</f>
        <v>37177275.313921109</v>
      </c>
      <c r="CX170" s="8">
        <f>+MINVU_Mes_Corriente!CX170*MINVU_Mes_Constante!$CP$1</f>
        <v>37177275.313921109</v>
      </c>
      <c r="CY170" s="8">
        <f>+MINVU_Mes_Corriente!CY170*MINVU_Mes_Constante!$CP$1</f>
        <v>37177275.313921109</v>
      </c>
      <c r="CZ170" s="8">
        <f>+MINVU_Mes_Corriente!CZ170*MINVU_Mes_Constante!$CP$1</f>
        <v>37177275.313921109</v>
      </c>
      <c r="DA170" s="8">
        <f>+MINVU_Mes_Corriente!DA170*MINVU_Mes_Constante!$CP$1</f>
        <v>39926684.067285374</v>
      </c>
      <c r="DB170" s="9">
        <f t="shared" si="140"/>
        <v>39926684.067285374</v>
      </c>
      <c r="DC170" s="8">
        <f>+MINVU_Mes_Corriente!DC170*MINVU_Mes_Constante!$DC$1</f>
        <v>44234723.059973277</v>
      </c>
      <c r="DD170" s="8">
        <f>+MINVU_Mes_Corriente!DD170*MINVU_Mes_Constante!$DC$1</f>
        <v>45585329.96790456</v>
      </c>
      <c r="DE170" s="8">
        <f>+MINVU_Mes_Corriente!DE170*MINVU_Mes_Constante!$DC$1</f>
        <v>45585329.96790456</v>
      </c>
      <c r="DF170" s="8">
        <f>+MINVU_Mes_Corriente!DF170*MINVU_Mes_Constante!$DC$1</f>
        <v>45585329.96790456</v>
      </c>
      <c r="DG170" s="8">
        <f>+MINVU_Mes_Corriente!DG170*MINVU_Mes_Constante!$DC$1</f>
        <v>45585329.96790456</v>
      </c>
      <c r="DH170" s="8">
        <f>+MINVU_Mes_Corriente!DH170*MINVU_Mes_Constante!$DC$1</f>
        <v>45585329.96790456</v>
      </c>
      <c r="DI170" s="8">
        <f>+MINVU_Mes_Corriente!DI170*MINVU_Mes_Constante!$DC$1</f>
        <v>45585329.96790456</v>
      </c>
      <c r="DJ170" s="8">
        <f>+MINVU_Mes_Corriente!DJ170*MINVU_Mes_Constante!$DC$1</f>
        <v>45585329.96790456</v>
      </c>
      <c r="DK170" s="8">
        <f>+MINVU_Mes_Corriente!DK170*MINVU_Mes_Constante!$DC$1</f>
        <v>45574090.38349966</v>
      </c>
      <c r="DL170" s="8">
        <f>+MINVU_Mes_Corriente!DL170*MINVU_Mes_Constante!$DC$1</f>
        <v>45574090.38349966</v>
      </c>
      <c r="DM170" s="8">
        <f>+MINVU_Mes_Corriente!DM170*MINVU_Mes_Constante!$DC$1</f>
        <v>45574090.38349966</v>
      </c>
      <c r="DN170" s="8">
        <f>+MINVU_Mes_Corriente!DN170*MINVU_Mes_Constante!$DC$1</f>
        <v>43998246.699928015</v>
      </c>
      <c r="DO170" s="9">
        <f t="shared" si="141"/>
        <v>43998246.699928015</v>
      </c>
      <c r="DP170" s="8">
        <f>+MINVU_Mes_Corriente!DP170*MINVU_Mes_Constante!$DP$1</f>
        <v>84605799.999406189</v>
      </c>
      <c r="DQ170" s="8">
        <f>+MINVU_Mes_Corriente!DQ170*MINVU_Mes_Constante!$DP$1</f>
        <v>84649054.156175777</v>
      </c>
      <c r="DR170" s="8">
        <f>+MINVU_Mes_Corriente!DR170*MINVU_Mes_Constante!$DP$1</f>
        <v>84649054.156175777</v>
      </c>
      <c r="DS170" s="8">
        <f>+MINVU_Mes_Corriente!DS170*MINVU_Mes_Constante!$DP$1</f>
        <v>84649054.156175777</v>
      </c>
      <c r="DT170" s="8">
        <f>+MINVU_Mes_Corriente!DT170*MINVU_Mes_Constante!$DP$1</f>
        <v>84649054.156175777</v>
      </c>
      <c r="DU170" s="8">
        <f>+MINVU_Mes_Corriente!DU170*MINVU_Mes_Constante!$DP$1</f>
        <v>84649054.156175777</v>
      </c>
      <c r="DV170" s="8">
        <f>+MINVU_Mes_Corriente!DV170*MINVU_Mes_Constante!$DP$1</f>
        <v>84649054.156175777</v>
      </c>
      <c r="DW170" s="8">
        <f>+MINVU_Mes_Corriente!DW170*MINVU_Mes_Constante!$DP$1</f>
        <v>84649054.156175777</v>
      </c>
      <c r="DX170" s="8">
        <f>+MINVU_Mes_Corriente!DX170*MINVU_Mes_Constante!$DP$1</f>
        <v>84649054.156175777</v>
      </c>
      <c r="DY170" s="8">
        <f>+MINVU_Mes_Corriente!DY170*MINVU_Mes_Constante!$DP$1</f>
        <v>84649054.156175777</v>
      </c>
      <c r="DZ170" s="8">
        <f>+MINVU_Mes_Corriente!DZ170*MINVU_Mes_Constante!$DP$1</f>
        <v>84649054.156175777</v>
      </c>
      <c r="EA170" s="8">
        <f>+MINVU_Mes_Corriente!EA170*MINVU_Mes_Constante!$DP$1</f>
        <v>84686922.089073643</v>
      </c>
      <c r="EB170" s="9">
        <f t="shared" si="142"/>
        <v>84686922.089073643</v>
      </c>
      <c r="EC170" s="8">
        <f>+MINVU_Mes_Corriente!EC170*MINVU_Mes_Constante!$EC$1</f>
        <v>72648634.313387588</v>
      </c>
      <c r="ED170" s="8">
        <f>+MINVU_Mes_Corriente!ED170*MINVU_Mes_Constante!$EC$1</f>
        <v>72648634.313387588</v>
      </c>
      <c r="EE170" s="8">
        <f>+MINVU_Mes_Corriente!EE170*MINVU_Mes_Constante!$EC$1</f>
        <v>72896905.474152595</v>
      </c>
      <c r="EF170" s="8">
        <f>+MINVU_Mes_Corriente!EF170*MINVU_Mes_Constante!$EC$1</f>
        <v>72896905.474152595</v>
      </c>
      <c r="EG170" s="8">
        <f>+MINVU_Mes_Corriente!EG170*MINVU_Mes_Constante!$EC$1</f>
        <v>72896905.474152595</v>
      </c>
      <c r="EH170" s="8">
        <f>+MINVU_Mes_Corriente!EH170*MINVU_Mes_Constante!$EC$1</f>
        <v>72896905.474152595</v>
      </c>
      <c r="EI170" s="8">
        <f>+MINVU_Mes_Corriente!EI170*MINVU_Mes_Constante!$EC$1</f>
        <v>76785750.455027431</v>
      </c>
      <c r="EJ170" s="8">
        <f>+MINVU_Mes_Corriente!EJ170*MINVU_Mes_Constante!$EC$1</f>
        <v>76785750.455027431</v>
      </c>
      <c r="EK170" s="8">
        <f>+MINVU_Mes_Corriente!EK170*MINVU_Mes_Constante!$EC$1</f>
        <v>77820213.624881625</v>
      </c>
      <c r="EL170" s="8">
        <f>+MINVU_Mes_Corriente!EL170*MINVU_Mes_Constante!$EC$1</f>
        <v>83561562.836773306</v>
      </c>
      <c r="EM170" s="8">
        <f>+MINVU_Mes_Corriente!EM170*MINVU_Mes_Constante!$EC$1</f>
        <v>85630489.176481694</v>
      </c>
      <c r="EN170" s="8">
        <f>+MINVU_Mes_Corriente!EN170*MINVU_Mes_Constante!$EC$1</f>
        <v>86078374.488354445</v>
      </c>
      <c r="EO170" s="9">
        <f t="shared" si="143"/>
        <v>86078374.488354445</v>
      </c>
      <c r="EP170" s="8">
        <f>+MINVU_Mes_Corriente!EP170*MINVU_Mes_Constante!$EP$1</f>
        <v>102230033</v>
      </c>
      <c r="EQ170" s="8">
        <f>+MINVU_Mes_Corriente!EQ170*MINVU_Mes_Constante!$EP$1</f>
        <v>102307191</v>
      </c>
      <c r="ER170" s="8">
        <f>+MINVU_Mes_Corriente!ER170*MINVU_Mes_Constante!$EP$1</f>
        <v>102307191</v>
      </c>
      <c r="ES170" s="8">
        <f>+MINVU_Mes_Corriente!ES170*MINVU_Mes_Constante!$EP$1</f>
        <v>102307191</v>
      </c>
      <c r="ET170" s="8">
        <f>+MINVU_Mes_Corriente!ET170*MINVU_Mes_Constante!$EP$1</f>
        <v>102307191</v>
      </c>
      <c r="EU170" s="8">
        <f>+MINVU_Mes_Corriente!EU170*MINVU_Mes_Constante!$EP$1</f>
        <v>102307191</v>
      </c>
      <c r="EV170" s="8">
        <f>+MINVU_Mes_Corriente!EV170*MINVU_Mes_Constante!$EP$1</f>
        <v>102157891</v>
      </c>
      <c r="EW170" s="8">
        <f>+MINVU_Mes_Corriente!EW170*MINVU_Mes_Constante!$EP$1</f>
        <v>102157891</v>
      </c>
      <c r="EX170" s="8">
        <f>+MINVU_Mes_Corriente!EX170*MINVU_Mes_Constante!$EP$1</f>
        <v>102157891</v>
      </c>
      <c r="EY170" s="8">
        <f>+MINVU_Mes_Corriente!EY170*MINVU_Mes_Constante!$EP$1</f>
        <v>101822139</v>
      </c>
      <c r="EZ170" s="8">
        <f>+MINVU_Mes_Corriente!EZ170*MINVU_Mes_Constante!$EP$1</f>
        <v>100752314</v>
      </c>
      <c r="FA170" s="8">
        <f>+MINVU_Mes_Corriente!FA170*MINVU_Mes_Constante!$EP$1</f>
        <v>98783726</v>
      </c>
      <c r="FB170" s="9">
        <f t="shared" si="144"/>
        <v>98783726</v>
      </c>
      <c r="FC170" s="8">
        <f>+MINVU_Mes_Corriente!FC170*MINVU_Mes_Constante!$FC$1</f>
        <v>109150858</v>
      </c>
      <c r="FD170" s="8">
        <f>+MINVU_Mes_Corriente!FD170*MINVU_Mes_Constante!$FC$1</f>
        <v>106800858</v>
      </c>
      <c r="FE170" s="8">
        <f>+MINVU_Mes_Corriente!FE170*MINVU_Mes_Constante!$FC$1</f>
        <v>106800858</v>
      </c>
      <c r="FF170" s="8">
        <f>+MINVU_Mes_Corriente!FF170*MINVU_Mes_Constante!$FC$1</f>
        <v>106800858</v>
      </c>
      <c r="FG170" s="8">
        <f>+MINVU_Mes_Corriente!FG170*MINVU_Mes_Constante!$FC$1</f>
        <v>106800858</v>
      </c>
      <c r="FH170" s="8">
        <f>+MINVU_Mes_Corriente!FH170*MINVU_Mes_Constante!$FC$1</f>
        <v>107371045</v>
      </c>
      <c r="FI170" s="8">
        <f>+MINVU_Mes_Corriente!FI170*MINVU_Mes_Constante!$FC$1</f>
        <v>107371045</v>
      </c>
      <c r="FJ170" s="8"/>
      <c r="FK170" s="8"/>
      <c r="FL170" s="8"/>
      <c r="FM170" s="8"/>
      <c r="FN170" s="8"/>
      <c r="FO170" s="9">
        <f t="shared" si="145"/>
        <v>107371045</v>
      </c>
    </row>
    <row r="171" spans="2:171" ht="14.25" customHeight="1" x14ac:dyDescent="0.3">
      <c r="B171" s="7" t="s">
        <v>46</v>
      </c>
      <c r="C171" s="8">
        <f>+MINVU_Mes_Corriente!C171*MINVU_Mes_Constante!$C$1</f>
        <v>28116859.512679819</v>
      </c>
      <c r="D171" s="8">
        <f>+MINVU_Mes_Corriente!D171*MINVU_Mes_Constante!$C$1</f>
        <v>28116859.512679819</v>
      </c>
      <c r="E171" s="8">
        <f>+MINVU_Mes_Corriente!E171*MINVU_Mes_Constante!$C$1</f>
        <v>28373853.032478131</v>
      </c>
      <c r="F171" s="8">
        <f>+MINVU_Mes_Corriente!F171*MINVU_Mes_Constante!$C$1</f>
        <v>28373853.032478131</v>
      </c>
      <c r="G171" s="8">
        <f>+MINVU_Mes_Corriente!G171*MINVU_Mes_Constante!$C$1</f>
        <v>28373853.032478131</v>
      </c>
      <c r="H171" s="8">
        <f>+MINVU_Mes_Corriente!H171*MINVU_Mes_Constante!$C$1</f>
        <v>28764554.348212965</v>
      </c>
      <c r="I171" s="8">
        <f>+MINVU_Mes_Corriente!I171*MINVU_Mes_Constante!$C$1</f>
        <v>28764554.348212965</v>
      </c>
      <c r="J171" s="8">
        <f>+MINVU_Mes_Corriente!J171*MINVU_Mes_Constante!$C$1</f>
        <v>29099327.76597954</v>
      </c>
      <c r="K171" s="8">
        <f>+MINVU_Mes_Corriente!K171*MINVU_Mes_Constante!$C$1</f>
        <v>29908998.971674334</v>
      </c>
      <c r="L171" s="8">
        <f>+MINVU_Mes_Corriente!L171*MINVU_Mes_Constante!$C$1</f>
        <v>29908998.971674334</v>
      </c>
      <c r="M171" s="8">
        <f>+MINVU_Mes_Corriente!M171*MINVU_Mes_Constante!$C$1</f>
        <v>30662607.790597662</v>
      </c>
      <c r="N171" s="8">
        <f>+MINVU_Mes_Corriente!N171*MINVU_Mes_Constante!$C$1</f>
        <v>29909209.616787784</v>
      </c>
      <c r="O171" s="9">
        <f t="shared" si="133"/>
        <v>29909209.616787784</v>
      </c>
      <c r="P171" s="8">
        <f>+MINVU_Mes_Corriente!P171*MINVU_Mes_Constante!$P$1</f>
        <v>42135515.966756627</v>
      </c>
      <c r="Q171" s="8">
        <f>+MINVU_Mes_Corriente!Q171*MINVU_Mes_Constante!$P$1</f>
        <v>36973042.27901689</v>
      </c>
      <c r="R171" s="8">
        <f>+MINVU_Mes_Corriente!R171*MINVU_Mes_Constante!$P$1</f>
        <v>36973042.27901689</v>
      </c>
      <c r="S171" s="8">
        <f>+MINVU_Mes_Corriente!S171*MINVU_Mes_Constante!$P$1</f>
        <v>33165554.021025702</v>
      </c>
      <c r="T171" s="8">
        <f>+MINVU_Mes_Corriente!T171*MINVU_Mes_Constante!$P$1</f>
        <v>33165554.021025702</v>
      </c>
      <c r="U171" s="8">
        <f>+MINVU_Mes_Corriente!U171*MINVU_Mes_Constante!$P$1</f>
        <v>50623964.016763724</v>
      </c>
      <c r="V171" s="8">
        <f>+MINVU_Mes_Corriente!V171*MINVU_Mes_Constante!$P$1</f>
        <v>50623964.016763724</v>
      </c>
      <c r="W171" s="8">
        <f>+MINVU_Mes_Corriente!W171*MINVU_Mes_Constante!$P$1</f>
        <v>50623964.016763724</v>
      </c>
      <c r="X171" s="8">
        <f>+MINVU_Mes_Corriente!X171*MINVU_Mes_Constante!$P$1</f>
        <v>52185694.388123296</v>
      </c>
      <c r="Y171" s="8">
        <f>+MINVU_Mes_Corriente!Y171*MINVU_Mes_Constante!$P$1</f>
        <v>47698276.44693847</v>
      </c>
      <c r="Z171" s="8">
        <f>+MINVU_Mes_Corriente!Z171*MINVU_Mes_Constante!$P$1</f>
        <v>48648399.171757333</v>
      </c>
      <c r="AA171" s="8">
        <f>+MINVU_Mes_Corriente!AA171*MINVU_Mes_Constante!$P$1</f>
        <v>59647157.422076978</v>
      </c>
      <c r="AB171" s="9">
        <f t="shared" si="134"/>
        <v>59647157.422076978</v>
      </c>
      <c r="AC171" s="8">
        <f>+MINVU_Mes_Corriente!AC171*MINVU_Mes_Constante!$AC$1</f>
        <v>110189291.89376123</v>
      </c>
      <c r="AD171" s="8">
        <f>+MINVU_Mes_Corriente!AD171*MINVU_Mes_Constante!$AC$1</f>
        <v>110948483.39410707</v>
      </c>
      <c r="AE171" s="8">
        <f>+MINVU_Mes_Corriente!AE171*MINVU_Mes_Constante!$AC$1</f>
        <v>110948483.39410707</v>
      </c>
      <c r="AF171" s="8">
        <f>+MINVU_Mes_Corriente!AF171*MINVU_Mes_Constante!$AC$1</f>
        <v>110919480.90219948</v>
      </c>
      <c r="AG171" s="8">
        <f>+MINVU_Mes_Corriente!AG171*MINVU_Mes_Constante!$AC$1</f>
        <v>97893999.143173322</v>
      </c>
      <c r="AH171" s="8">
        <f>+MINVU_Mes_Corriente!AH171*MINVU_Mes_Constante!$AC$1</f>
        <v>96315619.117166966</v>
      </c>
      <c r="AI171" s="8">
        <f>+MINVU_Mes_Corriente!AI171*MINVU_Mes_Constante!$AC$1</f>
        <v>92315364.005809933</v>
      </c>
      <c r="AJ171" s="8">
        <f>+MINVU_Mes_Corriente!AJ171*MINVU_Mes_Constante!$AC$1</f>
        <v>92106796.656245679</v>
      </c>
      <c r="AK171" s="8">
        <f>+MINVU_Mes_Corriente!AK171*MINVU_Mes_Constante!$AC$1</f>
        <v>92106796.656245679</v>
      </c>
      <c r="AL171" s="8">
        <f>+MINVU_Mes_Corriente!AL171*MINVU_Mes_Constante!$AC$1</f>
        <v>92108178.087148979</v>
      </c>
      <c r="AM171" s="8">
        <f>+MINVU_Mes_Corriente!AM171*MINVU_Mes_Constante!$AC$1</f>
        <v>91700096.748097941</v>
      </c>
      <c r="AN171" s="8">
        <f>+MINVU_Mes_Corriente!AN171*MINVU_Mes_Constante!$AC$1</f>
        <v>83420696.181214556</v>
      </c>
      <c r="AO171" s="9">
        <f t="shared" si="135"/>
        <v>83420696.181214556</v>
      </c>
      <c r="AP171" s="8">
        <f>+MINVU_Mes_Corriente!AP171*MINVU_Mes_Constante!$AP$1</f>
        <v>75314422.486406058</v>
      </c>
      <c r="AQ171" s="8">
        <f>+MINVU_Mes_Corriente!AQ171*MINVU_Mes_Constante!$AP$1</f>
        <v>75930845.14946571</v>
      </c>
      <c r="AR171" s="8">
        <f>+MINVU_Mes_Corriente!AR171*MINVU_Mes_Constante!$AP$1</f>
        <v>75930845.14946571</v>
      </c>
      <c r="AS171" s="8">
        <f>+MINVU_Mes_Corriente!AS171*MINVU_Mes_Constante!$AP$1</f>
        <v>75930845.14946571</v>
      </c>
      <c r="AT171" s="8">
        <f>+MINVU_Mes_Corriente!AT171*MINVU_Mes_Constante!$AP$1</f>
        <v>75930845.14946571</v>
      </c>
      <c r="AU171" s="8">
        <f>+MINVU_Mes_Corriente!AU171*MINVU_Mes_Constante!$AP$1</f>
        <v>68409082.600838631</v>
      </c>
      <c r="AV171" s="8">
        <f>+MINVU_Mes_Corriente!AV171*MINVU_Mes_Constante!$AP$1</f>
        <v>68409082.600838631</v>
      </c>
      <c r="AW171" s="8">
        <f>+MINVU_Mes_Corriente!AW171*MINVU_Mes_Constante!$AP$1</f>
        <v>68409082.600838631</v>
      </c>
      <c r="AX171" s="8">
        <f>+MINVU_Mes_Corriente!AX171*MINVU_Mes_Constante!$AP$1</f>
        <v>68409082.600838631</v>
      </c>
      <c r="AY171" s="8">
        <f>+MINVU_Mes_Corriente!AY171*MINVU_Mes_Constante!$AP$1</f>
        <v>68261294.152306229</v>
      </c>
      <c r="AZ171" s="8">
        <f>+MINVU_Mes_Corriente!AZ171*MINVU_Mes_Constante!$AP$1</f>
        <v>64044557.191667788</v>
      </c>
      <c r="BA171" s="8">
        <f>+MINVU_Mes_Corriente!BA171*MINVU_Mes_Constante!$AP$1</f>
        <v>65029613.015555248</v>
      </c>
      <c r="BB171" s="9">
        <f t="shared" si="136"/>
        <v>65029613.015555248</v>
      </c>
      <c r="BC171" s="8">
        <f>+MINVU_Mes_Corriente!BC171*MINVU_Mes_Constante!$BC$1</f>
        <v>73939966.608993813</v>
      </c>
      <c r="BD171" s="8">
        <f>+MINVU_Mes_Corriente!BD171*MINVU_Mes_Constante!$BC$1</f>
        <v>74684744.322299898</v>
      </c>
      <c r="BE171" s="8">
        <f>+MINVU_Mes_Corriente!BE171*MINVU_Mes_Constante!$BC$1</f>
        <v>74684744.322299898</v>
      </c>
      <c r="BF171" s="8">
        <f>+MINVU_Mes_Corriente!BF171*MINVU_Mes_Constante!$BC$1</f>
        <v>74684744.322299898</v>
      </c>
      <c r="BG171" s="8">
        <f>+MINVU_Mes_Corriente!BG171*MINVU_Mes_Constante!$BC$1</f>
        <v>74684744.322299898</v>
      </c>
      <c r="BH171" s="8">
        <f>+MINVU_Mes_Corriente!BH171*MINVU_Mes_Constante!$BC$1</f>
        <v>74684744.322299898</v>
      </c>
      <c r="BI171" s="8">
        <f>+MINVU_Mes_Corriente!BI171*MINVU_Mes_Constante!$BC$1</f>
        <v>74684744.322299898</v>
      </c>
      <c r="BJ171" s="8">
        <f>+MINVU_Mes_Corriente!BJ171*MINVU_Mes_Constante!$BC$1</f>
        <v>71551646.462350011</v>
      </c>
      <c r="BK171" s="8">
        <f>+MINVU_Mes_Corriente!BK171*MINVU_Mes_Constante!$BC$1</f>
        <v>71551646.462350011</v>
      </c>
      <c r="BL171" s="8">
        <f>+MINVU_Mes_Corriente!BL171*MINVU_Mes_Constante!$BC$1</f>
        <v>63432471.456151932</v>
      </c>
      <c r="BM171" s="8">
        <f>+MINVU_Mes_Corriente!BM171*MINVU_Mes_Constante!$BC$1</f>
        <v>63432471.456151932</v>
      </c>
      <c r="BN171" s="8">
        <f>+MINVU_Mes_Corriente!BN171*MINVU_Mes_Constante!$BC$1</f>
        <v>57370721.469075575</v>
      </c>
      <c r="BO171" s="9">
        <f t="shared" si="137"/>
        <v>57370721.469075575</v>
      </c>
      <c r="BP171" s="8">
        <f>+MINVU_Mes_Corriente!BP171*MINVU_Mes_Constante!$BP$1</f>
        <v>55479502.795390531</v>
      </c>
      <c r="BQ171" s="8">
        <f>+MINVU_Mes_Corriente!BQ171*MINVU_Mes_Constante!$BP$1</f>
        <v>55479502.795390531</v>
      </c>
      <c r="BR171" s="8">
        <f>+MINVU_Mes_Corriente!BR171*MINVU_Mes_Constante!$BP$1</f>
        <v>55479502.795390531</v>
      </c>
      <c r="BS171" s="8">
        <f>+MINVU_Mes_Corriente!BS171*MINVU_Mes_Constante!$BP$1</f>
        <v>55479502.795390531</v>
      </c>
      <c r="BT171" s="8">
        <f>+MINVU_Mes_Corriente!BT171*MINVU_Mes_Constante!$BP$1</f>
        <v>55479502.795390531</v>
      </c>
      <c r="BU171" s="8">
        <f>+MINVU_Mes_Corriente!BU171*MINVU_Mes_Constante!$BP$1</f>
        <v>55479502.795390531</v>
      </c>
      <c r="BV171" s="8">
        <f>+MINVU_Mes_Corriente!BV171*MINVU_Mes_Constante!$BP$1</f>
        <v>48265407.744430222</v>
      </c>
      <c r="BW171" s="8">
        <f>+MINVU_Mes_Corriente!BW171*MINVU_Mes_Constante!$BP$1</f>
        <v>48321366.771318831</v>
      </c>
      <c r="BX171" s="8">
        <f>+MINVU_Mes_Corriente!BX171*MINVU_Mes_Constante!$BP$1</f>
        <v>47979262.659411013</v>
      </c>
      <c r="BY171" s="8">
        <f>+MINVU_Mes_Corriente!BY171*MINVU_Mes_Constante!$BP$1</f>
        <v>47979262.659411013</v>
      </c>
      <c r="BZ171" s="8">
        <f>+MINVU_Mes_Corriente!BZ171*MINVU_Mes_Constante!$BP$1</f>
        <v>47979262.659411013</v>
      </c>
      <c r="CA171" s="8">
        <f>+MINVU_Mes_Corriente!CA171*MINVU_Mes_Constante!$BP$1</f>
        <v>48076519.448143408</v>
      </c>
      <c r="CB171" s="9">
        <f t="shared" si="138"/>
        <v>48076519.448143408</v>
      </c>
      <c r="CC171" s="8">
        <f>+MINVU_Mes_Corriente!CC171*MINVU_Mes_Constante!$CC$1</f>
        <v>55324619.465124957</v>
      </c>
      <c r="CD171" s="8">
        <f>+MINVU_Mes_Corriente!CD171*MINVU_Mes_Constante!$CC$1</f>
        <v>55324619.465124957</v>
      </c>
      <c r="CE171" s="8">
        <f>+MINVU_Mes_Corriente!CE171*MINVU_Mes_Constante!$CC$1</f>
        <v>55324619.465124957</v>
      </c>
      <c r="CF171" s="8">
        <f>+MINVU_Mes_Corriente!CF171*MINVU_Mes_Constante!$CC$1</f>
        <v>93415510.923536003</v>
      </c>
      <c r="CG171" s="8">
        <f>+MINVU_Mes_Corriente!CG171*MINVU_Mes_Constante!$CC$1</f>
        <v>70784390.537859008</v>
      </c>
      <c r="CH171" s="8">
        <f>+MINVU_Mes_Corriente!CH171*MINVU_Mes_Constante!$CC$1</f>
        <v>67746245.277135402</v>
      </c>
      <c r="CI171" s="8">
        <f>+MINVU_Mes_Corriente!CI171*MINVU_Mes_Constante!$CC$1</f>
        <v>62607235.206266321</v>
      </c>
      <c r="CJ171" s="8">
        <f>+MINVU_Mes_Corriente!CJ171*MINVU_Mes_Constante!$CC$1</f>
        <v>62607235.206266321</v>
      </c>
      <c r="CK171" s="8">
        <f>+MINVU_Mes_Corriente!CK171*MINVU_Mes_Constante!$CC$1</f>
        <v>62607235.206266321</v>
      </c>
      <c r="CL171" s="8">
        <f>+MINVU_Mes_Corriente!CL171*MINVU_Mes_Constante!$CC$1</f>
        <v>55971458.226781055</v>
      </c>
      <c r="CM171" s="8">
        <f>+MINVU_Mes_Corriente!CM171*MINVU_Mes_Constante!$CC$1</f>
        <v>55959232.19171951</v>
      </c>
      <c r="CN171" s="8">
        <f>+MINVU_Mes_Corriente!CN171*MINVU_Mes_Constante!$CC$1</f>
        <v>52587936.984707206</v>
      </c>
      <c r="CO171" s="9">
        <f t="shared" si="139"/>
        <v>52587936.984707206</v>
      </c>
      <c r="CP171" s="8">
        <f>+MINVU_Mes_Corriente!CP171*MINVU_Mes_Constante!$CP$1</f>
        <v>62465272.893271446</v>
      </c>
      <c r="CQ171" s="8">
        <f>+MINVU_Mes_Corriente!CQ171*MINVU_Mes_Constante!$CP$1</f>
        <v>62465272.893271446</v>
      </c>
      <c r="CR171" s="8">
        <f>+MINVU_Mes_Corriente!CR171*MINVU_Mes_Constante!$CP$1</f>
        <v>62515973.589327134</v>
      </c>
      <c r="CS171" s="8">
        <f>+MINVU_Mes_Corriente!CS171*MINVU_Mes_Constante!$CP$1</f>
        <v>63208996.333642676</v>
      </c>
      <c r="CT171" s="8">
        <f>+MINVU_Mes_Corriente!CT171*MINVU_Mes_Constante!$CP$1</f>
        <v>58667330.649883978</v>
      </c>
      <c r="CU171" s="8">
        <f>+MINVU_Mes_Corriente!CU171*MINVU_Mes_Constante!$CP$1</f>
        <v>58667330.649883978</v>
      </c>
      <c r="CV171" s="8">
        <f>+MINVU_Mes_Corriente!CV171*MINVU_Mes_Constante!$CP$1</f>
        <v>58667330.649883978</v>
      </c>
      <c r="CW171" s="8">
        <f>+MINVU_Mes_Corriente!CW171*MINVU_Mes_Constante!$CP$1</f>
        <v>58413827.169605553</v>
      </c>
      <c r="CX171" s="8">
        <f>+MINVU_Mes_Corriente!CX171*MINVU_Mes_Constante!$CP$1</f>
        <v>58331741.475174002</v>
      </c>
      <c r="CY171" s="8">
        <f>+MINVU_Mes_Corriente!CY171*MINVU_Mes_Constante!$CP$1</f>
        <v>58442307.018097438</v>
      </c>
      <c r="CZ171" s="8">
        <f>+MINVU_Mes_Corriente!CZ171*MINVU_Mes_Constante!$CP$1</f>
        <v>62225846.461252891</v>
      </c>
      <c r="DA171" s="8">
        <f>+MINVU_Mes_Corriente!DA171*MINVU_Mes_Constante!$CP$1</f>
        <v>49918123.206960544</v>
      </c>
      <c r="DB171" s="9">
        <f t="shared" si="140"/>
        <v>49918123.206960544</v>
      </c>
      <c r="DC171" s="8">
        <f>+MINVU_Mes_Corriente!DC171*MINVU_Mes_Constante!$DC$1</f>
        <v>73616148.751774549</v>
      </c>
      <c r="DD171" s="8">
        <f>+MINVU_Mes_Corriente!DD171*MINVU_Mes_Constante!$DC$1</f>
        <v>75978786.946816206</v>
      </c>
      <c r="DE171" s="8">
        <f>+MINVU_Mes_Corriente!DE171*MINVU_Mes_Constante!$DC$1</f>
        <v>75978786.946816206</v>
      </c>
      <c r="DF171" s="8">
        <f>+MINVU_Mes_Corriente!DF171*MINVU_Mes_Constante!$DC$1</f>
        <v>75978786.946816206</v>
      </c>
      <c r="DG171" s="8">
        <f>+MINVU_Mes_Corriente!DG171*MINVU_Mes_Constante!$DC$1</f>
        <v>75978786.946816206</v>
      </c>
      <c r="DH171" s="8">
        <f>+MINVU_Mes_Corriente!DH171*MINVU_Mes_Constante!$DC$1</f>
        <v>75978786.946816206</v>
      </c>
      <c r="DI171" s="8">
        <f>+MINVU_Mes_Corriente!DI171*MINVU_Mes_Constante!$DC$1</f>
        <v>75978786.946816206</v>
      </c>
      <c r="DJ171" s="8">
        <f>+MINVU_Mes_Corriente!DJ171*MINVU_Mes_Constante!$DC$1</f>
        <v>76507047.413846344</v>
      </c>
      <c r="DK171" s="8">
        <f>+MINVU_Mes_Corriente!DK171*MINVU_Mes_Constante!$DC$1</f>
        <v>97031287.209134907</v>
      </c>
      <c r="DL171" s="8">
        <f>+MINVU_Mes_Corriente!DL171*MINVU_Mes_Constante!$DC$1</f>
        <v>97031287.209134907</v>
      </c>
      <c r="DM171" s="8">
        <f>+MINVU_Mes_Corriente!DM171*MINVU_Mes_Constante!$DC$1</f>
        <v>97031287.209134907</v>
      </c>
      <c r="DN171" s="8">
        <f>+MINVU_Mes_Corriente!DN171*MINVU_Mes_Constante!$DC$1</f>
        <v>96586906.636560068</v>
      </c>
      <c r="DO171" s="9">
        <f t="shared" si="141"/>
        <v>96586906.636560068</v>
      </c>
      <c r="DP171" s="8">
        <f>+MINVU_Mes_Corriente!DP171*MINVU_Mes_Constante!$DP$1</f>
        <v>95491695.826603338</v>
      </c>
      <c r="DQ171" s="8">
        <f>+MINVU_Mes_Corriente!DQ171*MINVU_Mes_Constante!$DP$1</f>
        <v>91276312.236342058</v>
      </c>
      <c r="DR171" s="8">
        <f>+MINVU_Mes_Corriente!DR171*MINVU_Mes_Constante!$DP$1</f>
        <v>91276312.236342058</v>
      </c>
      <c r="DS171" s="8">
        <f>+MINVU_Mes_Corriente!DS171*MINVU_Mes_Constante!$DP$1</f>
        <v>91276312.236342058</v>
      </c>
      <c r="DT171" s="8">
        <f>+MINVU_Mes_Corriente!DT171*MINVU_Mes_Constante!$DP$1</f>
        <v>91341776.321258917</v>
      </c>
      <c r="DU171" s="8">
        <f>+MINVU_Mes_Corriente!DU171*MINVU_Mes_Constante!$DP$1</f>
        <v>101073961.59441806</v>
      </c>
      <c r="DV171" s="8">
        <f>+MINVU_Mes_Corriente!DV171*MINVU_Mes_Constante!$DP$1</f>
        <v>101073961.59441806</v>
      </c>
      <c r="DW171" s="8">
        <f>+MINVU_Mes_Corriente!DW171*MINVU_Mes_Constante!$DP$1</f>
        <v>101073961.59441806</v>
      </c>
      <c r="DX171" s="8">
        <f>+MINVU_Mes_Corriente!DX171*MINVU_Mes_Constante!$DP$1</f>
        <v>101073961.59441806</v>
      </c>
      <c r="DY171" s="8">
        <f>+MINVU_Mes_Corriente!DY171*MINVU_Mes_Constante!$DP$1</f>
        <v>101073961.59441806</v>
      </c>
      <c r="DZ171" s="8">
        <f>+MINVU_Mes_Corriente!DZ171*MINVU_Mes_Constante!$DP$1</f>
        <v>101643274.96852733</v>
      </c>
      <c r="EA171" s="8">
        <f>+MINVU_Mes_Corriente!EA171*MINVU_Mes_Constante!$DP$1</f>
        <v>99296800.763657972</v>
      </c>
      <c r="EB171" s="9">
        <f t="shared" si="142"/>
        <v>99296800.763657972</v>
      </c>
      <c r="EC171" s="8">
        <f>+MINVU_Mes_Corriente!EC171*MINVU_Mes_Constante!$EC$1</f>
        <v>100818183.64874074</v>
      </c>
      <c r="ED171" s="8">
        <f>+MINVU_Mes_Corriente!ED171*MINVU_Mes_Constante!$EC$1</f>
        <v>100818183.64874074</v>
      </c>
      <c r="EE171" s="8">
        <f>+MINVU_Mes_Corriente!EE171*MINVU_Mes_Constante!$EC$1</f>
        <v>101552529.39822</v>
      </c>
      <c r="EF171" s="8">
        <f>+MINVU_Mes_Corriente!EF171*MINVU_Mes_Constante!$EC$1</f>
        <v>101552529.39822</v>
      </c>
      <c r="EG171" s="8">
        <f>+MINVU_Mes_Corriente!EG171*MINVU_Mes_Constante!$EC$1</f>
        <v>101709032.29672407</v>
      </c>
      <c r="EH171" s="8">
        <f>+MINVU_Mes_Corriente!EH171*MINVU_Mes_Constante!$EC$1</f>
        <v>101709032.29672407</v>
      </c>
      <c r="EI171" s="8">
        <f>+MINVU_Mes_Corriente!EI171*MINVU_Mes_Constante!$EC$1</f>
        <v>101709032.29672407</v>
      </c>
      <c r="EJ171" s="8">
        <f>+MINVU_Mes_Corriente!EJ171*MINVU_Mes_Constante!$EC$1</f>
        <v>101709032.29672407</v>
      </c>
      <c r="EK171" s="8">
        <f>+MINVU_Mes_Corriente!EK171*MINVU_Mes_Constante!$EC$1</f>
        <v>101709032.29672407</v>
      </c>
      <c r="EL171" s="8">
        <f>+MINVU_Mes_Corriente!EL171*MINVU_Mes_Constante!$EC$1</f>
        <v>91311760.905320928</v>
      </c>
      <c r="EM171" s="8">
        <f>+MINVU_Mes_Corriente!EM171*MINVU_Mes_Constante!$EC$1</f>
        <v>91311760.905320928</v>
      </c>
      <c r="EN171" s="8">
        <f>+MINVU_Mes_Corriente!EN171*MINVU_Mes_Constante!$EC$1</f>
        <v>84563023.528119653</v>
      </c>
      <c r="EO171" s="9">
        <f t="shared" si="143"/>
        <v>84563023.528119653</v>
      </c>
      <c r="EP171" s="8">
        <f>+MINVU_Mes_Corriente!EP171*MINVU_Mes_Constante!$EP$1</f>
        <v>125360133</v>
      </c>
      <c r="EQ171" s="8">
        <f>+MINVU_Mes_Corriente!EQ171*MINVU_Mes_Constante!$EP$1</f>
        <v>125442633</v>
      </c>
      <c r="ER171" s="8">
        <f>+MINVU_Mes_Corriente!ER171*MINVU_Mes_Constante!$EP$1</f>
        <v>125482633</v>
      </c>
      <c r="ES171" s="8">
        <f>+MINVU_Mes_Corriente!ES171*MINVU_Mes_Constante!$EP$1</f>
        <v>125482633</v>
      </c>
      <c r="ET171" s="8">
        <f>+MINVU_Mes_Corriente!ET171*MINVU_Mes_Constante!$EP$1</f>
        <v>125482633</v>
      </c>
      <c r="EU171" s="8">
        <f>+MINVU_Mes_Corriente!EU171*MINVU_Mes_Constante!$EP$1</f>
        <v>136297860</v>
      </c>
      <c r="EV171" s="8">
        <f>+MINVU_Mes_Corriente!EV171*MINVU_Mes_Constante!$EP$1</f>
        <v>135281204</v>
      </c>
      <c r="EW171" s="8">
        <f>+MINVU_Mes_Corriente!EW171*MINVU_Mes_Constante!$EP$1</f>
        <v>135281204</v>
      </c>
      <c r="EX171" s="8">
        <f>+MINVU_Mes_Corriente!EX171*MINVU_Mes_Constante!$EP$1</f>
        <v>135281204</v>
      </c>
      <c r="EY171" s="8">
        <f>+MINVU_Mes_Corriente!EY171*MINVU_Mes_Constante!$EP$1</f>
        <v>130217135</v>
      </c>
      <c r="EZ171" s="8">
        <f>+MINVU_Mes_Corriente!EZ171*MINVU_Mes_Constante!$EP$1</f>
        <v>129351635</v>
      </c>
      <c r="FA171" s="8">
        <f>+MINVU_Mes_Corriente!FA171*MINVU_Mes_Constante!$EP$1</f>
        <v>119605336</v>
      </c>
      <c r="FB171" s="9">
        <f t="shared" si="144"/>
        <v>119605336</v>
      </c>
      <c r="FC171" s="8">
        <f>+MINVU_Mes_Corriente!FC171*MINVU_Mes_Constante!$FC$1</f>
        <v>124147527</v>
      </c>
      <c r="FD171" s="8">
        <f>+MINVU_Mes_Corriente!FD171*MINVU_Mes_Constante!$FC$1</f>
        <v>122147527</v>
      </c>
      <c r="FE171" s="8">
        <f>+MINVU_Mes_Corriente!FE171*MINVU_Mes_Constante!$FC$1</f>
        <v>122147527</v>
      </c>
      <c r="FF171" s="8">
        <f>+MINVU_Mes_Corriente!FF171*MINVU_Mes_Constante!$FC$1</f>
        <v>122147527</v>
      </c>
      <c r="FG171" s="8">
        <f>+MINVU_Mes_Corriente!FG171*MINVU_Mes_Constante!$FC$1</f>
        <v>122147527</v>
      </c>
      <c r="FH171" s="8">
        <f>+MINVU_Mes_Corriente!FH171*MINVU_Mes_Constante!$FC$1</f>
        <v>122698381</v>
      </c>
      <c r="FI171" s="8">
        <f>+MINVU_Mes_Corriente!FI171*MINVU_Mes_Constante!$FC$1</f>
        <v>122698381</v>
      </c>
      <c r="FJ171" s="8"/>
      <c r="FK171" s="8"/>
      <c r="FL171" s="8"/>
      <c r="FM171" s="8"/>
      <c r="FN171" s="8"/>
      <c r="FO171" s="9">
        <f t="shared" si="145"/>
        <v>122698381</v>
      </c>
    </row>
    <row r="172" spans="2:171" ht="14.25" customHeight="1" x14ac:dyDescent="0.3">
      <c r="B172" s="7" t="s">
        <v>47</v>
      </c>
      <c r="C172" s="8">
        <f>+MINVU_Mes_Corriente!C172*MINVU_Mes_Constante!$C$1</f>
        <v>27185858.341984283</v>
      </c>
      <c r="D172" s="8">
        <f>+MINVU_Mes_Corriente!D172*MINVU_Mes_Constante!$C$1</f>
        <v>27185858.341984283</v>
      </c>
      <c r="E172" s="8">
        <f>+MINVU_Mes_Corriente!E172*MINVU_Mes_Constante!$C$1</f>
        <v>27919460.736170847</v>
      </c>
      <c r="F172" s="8">
        <f>+MINVU_Mes_Corriente!F172*MINVU_Mes_Constante!$C$1</f>
        <v>27919460.736170847</v>
      </c>
      <c r="G172" s="8">
        <f>+MINVU_Mes_Corriente!G172*MINVU_Mes_Constante!$C$1</f>
        <v>27919460.736170847</v>
      </c>
      <c r="H172" s="8">
        <f>+MINVU_Mes_Corriente!H172*MINVU_Mes_Constante!$C$1</f>
        <v>29424725.855850518</v>
      </c>
      <c r="I172" s="8">
        <f>+MINVU_Mes_Corriente!I172*MINVU_Mes_Constante!$C$1</f>
        <v>29424725.855850518</v>
      </c>
      <c r="J172" s="8">
        <f>+MINVU_Mes_Corriente!J172*MINVU_Mes_Constante!$C$1</f>
        <v>29661170.134658169</v>
      </c>
      <c r="K172" s="8">
        <f>+MINVU_Mes_Corriente!K172*MINVU_Mes_Constante!$C$1</f>
        <v>28379474.016313218</v>
      </c>
      <c r="L172" s="8">
        <f>+MINVU_Mes_Corriente!L172*MINVU_Mes_Constante!$C$1</f>
        <v>28379474.016313218</v>
      </c>
      <c r="M172" s="8">
        <f>+MINVU_Mes_Corriente!M172*MINVU_Mes_Constante!$C$1</f>
        <v>28379474.016313218</v>
      </c>
      <c r="N172" s="8">
        <f>+MINVU_Mes_Corriente!N172*MINVU_Mes_Constante!$C$1</f>
        <v>27904222.99273321</v>
      </c>
      <c r="O172" s="9">
        <f t="shared" si="133"/>
        <v>27904222.99273321</v>
      </c>
      <c r="P172" s="8">
        <f>+MINVU_Mes_Corriente!P172*MINVU_Mes_Constante!$P$1</f>
        <v>32261061.587725516</v>
      </c>
      <c r="Q172" s="8">
        <f>+MINVU_Mes_Corriente!Q172*MINVU_Mes_Constante!$P$1</f>
        <v>33664163.948003963</v>
      </c>
      <c r="R172" s="8">
        <f>+MINVU_Mes_Corriente!R172*MINVU_Mes_Constante!$P$1</f>
        <v>33664163.948003963</v>
      </c>
      <c r="S172" s="8">
        <f>+MINVU_Mes_Corriente!S172*MINVU_Mes_Constante!$P$1</f>
        <v>33664163.948003963</v>
      </c>
      <c r="T172" s="8">
        <f>+MINVU_Mes_Corriente!T172*MINVU_Mes_Constante!$P$1</f>
        <v>33664163.948003963</v>
      </c>
      <c r="U172" s="8">
        <f>+MINVU_Mes_Corriente!U172*MINVU_Mes_Constante!$P$1</f>
        <v>34053201.880948983</v>
      </c>
      <c r="V172" s="8">
        <f>+MINVU_Mes_Corriente!V172*MINVU_Mes_Constante!$P$1</f>
        <v>34234003.199318074</v>
      </c>
      <c r="W172" s="8">
        <f>+MINVU_Mes_Corriente!W172*MINVU_Mes_Constante!$P$1</f>
        <v>34234003.199318074</v>
      </c>
      <c r="X172" s="8">
        <f>+MINVU_Mes_Corriente!X172*MINVU_Mes_Constante!$P$1</f>
        <v>34628930.2136667</v>
      </c>
      <c r="Y172" s="8">
        <f>+MINVU_Mes_Corriente!Y172*MINVU_Mes_Constante!$P$1</f>
        <v>34628930.2136667</v>
      </c>
      <c r="Z172" s="8">
        <f>+MINVU_Mes_Corriente!Z172*MINVU_Mes_Constante!$P$1</f>
        <v>34628930.2136667</v>
      </c>
      <c r="AA172" s="8">
        <f>+MINVU_Mes_Corriente!AA172*MINVU_Mes_Constante!$P$1</f>
        <v>35623899.364398338</v>
      </c>
      <c r="AB172" s="9">
        <f t="shared" si="134"/>
        <v>35623899.364398338</v>
      </c>
      <c r="AC172" s="8">
        <f>+MINVU_Mes_Corriente!AC172*MINVU_Mes_Constante!$AC$1</f>
        <v>36368926.857103333</v>
      </c>
      <c r="AD172" s="8">
        <f>+MINVU_Mes_Corriente!AD172*MINVU_Mes_Constante!$AC$1</f>
        <v>37063337.711993359</v>
      </c>
      <c r="AE172" s="8">
        <f>+MINVU_Mes_Corriente!AE172*MINVU_Mes_Constante!$AC$1</f>
        <v>37063337.711993359</v>
      </c>
      <c r="AF172" s="8">
        <f>+MINVU_Mes_Corriente!AF172*MINVU_Mes_Constante!$AC$1</f>
        <v>37063337.711993359</v>
      </c>
      <c r="AG172" s="8">
        <f>+MINVU_Mes_Corriente!AG172*MINVU_Mes_Constante!$AC$1</f>
        <v>37063337.711993359</v>
      </c>
      <c r="AH172" s="8">
        <f>+MINVU_Mes_Corriente!AH172*MINVU_Mes_Constante!$AC$1</f>
        <v>31639635.944943976</v>
      </c>
      <c r="AI172" s="8">
        <f>+MINVU_Mes_Corriente!AI172*MINVU_Mes_Constante!$AC$1</f>
        <v>31639635.944943976</v>
      </c>
      <c r="AJ172" s="8">
        <f>+MINVU_Mes_Corriente!AJ172*MINVU_Mes_Constante!$AC$1</f>
        <v>31639635.944943976</v>
      </c>
      <c r="AK172" s="8">
        <f>+MINVU_Mes_Corriente!AK172*MINVU_Mes_Constante!$AC$1</f>
        <v>31639635.944943976</v>
      </c>
      <c r="AL172" s="8">
        <f>+MINVU_Mes_Corriente!AL172*MINVU_Mes_Constante!$AC$1</f>
        <v>34368750.93622908</v>
      </c>
      <c r="AM172" s="8">
        <f>+MINVU_Mes_Corriente!AM172*MINVU_Mes_Constante!$AC$1</f>
        <v>39529141.997786693</v>
      </c>
      <c r="AN172" s="8">
        <f>+MINVU_Mes_Corriente!AN172*MINVU_Mes_Constante!$AC$1</f>
        <v>40198084.04288283</v>
      </c>
      <c r="AO172" s="9">
        <f t="shared" si="135"/>
        <v>40198084.04288283</v>
      </c>
      <c r="AP172" s="8">
        <f>+MINVU_Mes_Corriente!AP172*MINVU_Mes_Constante!$AP$1</f>
        <v>29369568.312457729</v>
      </c>
      <c r="AQ172" s="8">
        <f>+MINVU_Mes_Corriente!AQ172*MINVU_Mes_Constante!$AP$1</f>
        <v>29958870.317327201</v>
      </c>
      <c r="AR172" s="8">
        <f>+MINVU_Mes_Corriente!AR172*MINVU_Mes_Constante!$AP$1</f>
        <v>29958870.317327201</v>
      </c>
      <c r="AS172" s="8">
        <f>+MINVU_Mes_Corriente!AS172*MINVU_Mes_Constante!$AP$1</f>
        <v>29958870.317327201</v>
      </c>
      <c r="AT172" s="8">
        <f>+MINVU_Mes_Corriente!AT172*MINVU_Mes_Constante!$AP$1</f>
        <v>29958870.317327201</v>
      </c>
      <c r="AU172" s="8">
        <f>+MINVU_Mes_Corriente!AU172*MINVU_Mes_Constante!$AP$1</f>
        <v>34120860.525091298</v>
      </c>
      <c r="AV172" s="8">
        <f>+MINVU_Mes_Corriente!AV172*MINVU_Mes_Constante!$AP$1</f>
        <v>39166109.873393752</v>
      </c>
      <c r="AW172" s="8">
        <f>+MINVU_Mes_Corriente!AW172*MINVU_Mes_Constante!$AP$1</f>
        <v>39166109.873393752</v>
      </c>
      <c r="AX172" s="8">
        <f>+MINVU_Mes_Corriente!AX172*MINVU_Mes_Constante!$AP$1</f>
        <v>39166109.873393752</v>
      </c>
      <c r="AY172" s="8">
        <f>+MINVU_Mes_Corriente!AY172*MINVU_Mes_Constante!$AP$1</f>
        <v>41974090.395509265</v>
      </c>
      <c r="AZ172" s="8">
        <f>+MINVU_Mes_Corriente!AZ172*MINVU_Mes_Constante!$AP$1</f>
        <v>41974090.395509265</v>
      </c>
      <c r="BA172" s="8">
        <f>+MINVU_Mes_Corriente!BA172*MINVU_Mes_Constante!$AP$1</f>
        <v>44291145.771405384</v>
      </c>
      <c r="BB172" s="9">
        <f t="shared" si="136"/>
        <v>44291145.771405384</v>
      </c>
      <c r="BC172" s="8">
        <f>+MINVU_Mes_Corriente!BC172*MINVU_Mes_Constante!$BC$1</f>
        <v>24279728.95925096</v>
      </c>
      <c r="BD172" s="8">
        <f>+MINVU_Mes_Corriente!BD172*MINVU_Mes_Constante!$BC$1</f>
        <v>25005690.553079262</v>
      </c>
      <c r="BE172" s="8">
        <f>+MINVU_Mes_Corriente!BE172*MINVU_Mes_Constante!$BC$1</f>
        <v>25005690.553079262</v>
      </c>
      <c r="BF172" s="8">
        <f>+MINVU_Mes_Corriente!BF172*MINVU_Mes_Constante!$BC$1</f>
        <v>25005690.553079262</v>
      </c>
      <c r="BG172" s="8">
        <f>+MINVU_Mes_Corriente!BG172*MINVU_Mes_Constante!$BC$1</f>
        <v>25005690.553079262</v>
      </c>
      <c r="BH172" s="8">
        <f>+MINVU_Mes_Corriente!BH172*MINVU_Mes_Constante!$BC$1</f>
        <v>26734716.004747469</v>
      </c>
      <c r="BI172" s="8">
        <f>+MINVU_Mes_Corriente!BI172*MINVU_Mes_Constante!$BC$1</f>
        <v>32498134.176974822</v>
      </c>
      <c r="BJ172" s="8">
        <f>+MINVU_Mes_Corriente!BJ172*MINVU_Mes_Constante!$BC$1</f>
        <v>34731458.718712918</v>
      </c>
      <c r="BK172" s="8">
        <f>+MINVU_Mes_Corriente!BK172*MINVU_Mes_Constante!$BC$1</f>
        <v>34731458.718712918</v>
      </c>
      <c r="BL172" s="8">
        <f>+MINVU_Mes_Corriente!BL172*MINVU_Mes_Constante!$BC$1</f>
        <v>32552723.833047614</v>
      </c>
      <c r="BM172" s="8">
        <f>+MINVU_Mes_Corriente!BM172*MINVU_Mes_Constante!$BC$1</f>
        <v>32552723.833047614</v>
      </c>
      <c r="BN172" s="8">
        <f>+MINVU_Mes_Corriente!BN172*MINVU_Mes_Constante!$BC$1</f>
        <v>31690455.958591595</v>
      </c>
      <c r="BO172" s="9">
        <f t="shared" si="137"/>
        <v>31690455.958591595</v>
      </c>
      <c r="BP172" s="8">
        <f>+MINVU_Mes_Corriente!BP172*MINVU_Mes_Constante!$BP$1</f>
        <v>40992523.538796417</v>
      </c>
      <c r="BQ172" s="8">
        <f>+MINVU_Mes_Corriente!BQ172*MINVU_Mes_Constante!$BP$1</f>
        <v>40992523.538796417</v>
      </c>
      <c r="BR172" s="8">
        <f>+MINVU_Mes_Corriente!BR172*MINVU_Mes_Constante!$BP$1</f>
        <v>41163355.256081954</v>
      </c>
      <c r="BS172" s="8">
        <f>+MINVU_Mes_Corriente!BS172*MINVU_Mes_Constante!$BP$1</f>
        <v>41163355.256081954</v>
      </c>
      <c r="BT172" s="8">
        <f>+MINVU_Mes_Corriente!BT172*MINVU_Mes_Constante!$BP$1</f>
        <v>41163355.256081954</v>
      </c>
      <c r="BU172" s="8">
        <f>+MINVU_Mes_Corriente!BU172*MINVU_Mes_Constante!$BP$1</f>
        <v>41163355.256081954</v>
      </c>
      <c r="BV172" s="8">
        <f>+MINVU_Mes_Corriente!BV172*MINVU_Mes_Constante!$BP$1</f>
        <v>47775929.939308584</v>
      </c>
      <c r="BW172" s="8">
        <f>+MINVU_Mes_Corriente!BW172*MINVU_Mes_Constante!$BP$1</f>
        <v>46886573.124967992</v>
      </c>
      <c r="BX172" s="8">
        <f>+MINVU_Mes_Corriente!BX172*MINVU_Mes_Constante!$BP$1</f>
        <v>50577675.305761851</v>
      </c>
      <c r="BY172" s="8">
        <f>+MINVU_Mes_Corriente!BY172*MINVU_Mes_Constante!$BP$1</f>
        <v>50577675.305761851</v>
      </c>
      <c r="BZ172" s="8">
        <f>+MINVU_Mes_Corriente!BZ172*MINVU_Mes_Constante!$BP$1</f>
        <v>50577675.305761851</v>
      </c>
      <c r="CA172" s="8">
        <f>+MINVU_Mes_Corriente!CA172*MINVU_Mes_Constante!$BP$1</f>
        <v>50580537.609987199</v>
      </c>
      <c r="CB172" s="9">
        <f t="shared" si="138"/>
        <v>50580537.609987199</v>
      </c>
      <c r="CC172" s="8">
        <f>+MINVU_Mes_Corriente!CC172*MINVU_Mes_Constante!$CC$1</f>
        <v>40911189.15106304</v>
      </c>
      <c r="CD172" s="8">
        <f>+MINVU_Mes_Corriente!CD172*MINVU_Mes_Constante!$CC$1</f>
        <v>40911189.15106304</v>
      </c>
      <c r="CE172" s="8">
        <f>+MINVU_Mes_Corriente!CE172*MINVU_Mes_Constante!$CC$1</f>
        <v>48095447.798582621</v>
      </c>
      <c r="CF172" s="8">
        <f>+MINVU_Mes_Corriente!CF172*MINVU_Mes_Constante!$CC$1</f>
        <v>54887689.499440514</v>
      </c>
      <c r="CG172" s="8">
        <f>+MINVU_Mes_Corriente!CG172*MINVU_Mes_Constante!$CC$1</f>
        <v>41590433.697873935</v>
      </c>
      <c r="CH172" s="8">
        <f>+MINVU_Mes_Corriente!CH172*MINVU_Mes_Constante!$CC$1</f>
        <v>41590433.697873935</v>
      </c>
      <c r="CI172" s="8">
        <f>+MINVU_Mes_Corriente!CI172*MINVU_Mes_Constante!$CC$1</f>
        <v>41644771.631480798</v>
      </c>
      <c r="CJ172" s="8">
        <f>+MINVU_Mes_Corriente!CJ172*MINVU_Mes_Constante!$CC$1</f>
        <v>41644771.631480798</v>
      </c>
      <c r="CK172" s="8">
        <f>+MINVU_Mes_Corriente!CK172*MINVU_Mes_Constante!$CC$1</f>
        <v>41753447.498694524</v>
      </c>
      <c r="CL172" s="8">
        <f>+MINVU_Mes_Corriente!CL172*MINVU_Mes_Constante!$CC$1</f>
        <v>59924818.661693402</v>
      </c>
      <c r="CM172" s="8">
        <f>+MINVU_Mes_Corriente!CM172*MINVU_Mes_Constante!$CC$1</f>
        <v>59903220.691533014</v>
      </c>
      <c r="CN172" s="8">
        <f>+MINVU_Mes_Corriente!CN172*MINVU_Mes_Constante!$CC$1</f>
        <v>64714282.314807914</v>
      </c>
      <c r="CO172" s="9">
        <f t="shared" si="139"/>
        <v>64714282.314807914</v>
      </c>
      <c r="CP172" s="8">
        <f>+MINVU_Mes_Corriente!CP172*MINVU_Mes_Constante!$CP$1</f>
        <v>42683867.772389784</v>
      </c>
      <c r="CQ172" s="8">
        <f>+MINVU_Mes_Corriente!CQ172*MINVU_Mes_Constante!$CP$1</f>
        <v>53457765.684222728</v>
      </c>
      <c r="CR172" s="8">
        <f>+MINVU_Mes_Corriente!CR172*MINVU_Mes_Constante!$CP$1</f>
        <v>53457765.684222728</v>
      </c>
      <c r="CS172" s="8">
        <f>+MINVU_Mes_Corriente!CS172*MINVU_Mes_Constante!$CP$1</f>
        <v>53457765.684222728</v>
      </c>
      <c r="CT172" s="8">
        <f>+MINVU_Mes_Corriente!CT172*MINVU_Mes_Constante!$CP$1</f>
        <v>53347523.358236648</v>
      </c>
      <c r="CU172" s="8">
        <f>+MINVU_Mes_Corriente!CU172*MINVU_Mes_Constante!$CP$1</f>
        <v>53347523.358236648</v>
      </c>
      <c r="CV172" s="8">
        <f>+MINVU_Mes_Corriente!CV172*MINVU_Mes_Constante!$CP$1</f>
        <v>53347523.358236648</v>
      </c>
      <c r="CW172" s="8">
        <f>+MINVU_Mes_Corriente!CW172*MINVU_Mes_Constante!$CP$1</f>
        <v>52587012.917401381</v>
      </c>
      <c r="CX172" s="8">
        <f>+MINVU_Mes_Corriente!CX172*MINVU_Mes_Constante!$CP$1</f>
        <v>52587012.917401381</v>
      </c>
      <c r="CY172" s="8">
        <f>+MINVU_Mes_Corriente!CY172*MINVU_Mes_Constante!$CP$1</f>
        <v>52717407.502552196</v>
      </c>
      <c r="CZ172" s="8">
        <f>+MINVU_Mes_Corriente!CZ172*MINVU_Mes_Constante!$CP$1</f>
        <v>59631714.927146159</v>
      </c>
      <c r="DA172" s="8">
        <f>+MINVU_Mes_Corriente!DA172*MINVU_Mes_Constante!$CP$1</f>
        <v>60486697.242459387</v>
      </c>
      <c r="DB172" s="9">
        <f t="shared" si="140"/>
        <v>60486697.242459387</v>
      </c>
      <c r="DC172" s="8">
        <f>+MINVU_Mes_Corriente!DC172*MINVU_Mes_Constante!$DC$1</f>
        <v>49618397.445118837</v>
      </c>
      <c r="DD172" s="8">
        <f>+MINVU_Mes_Corriente!DD172*MINVU_Mes_Constante!$DC$1</f>
        <v>51841896.328978524</v>
      </c>
      <c r="DE172" s="8">
        <f>+MINVU_Mes_Corriente!DE172*MINVU_Mes_Constante!$DC$1</f>
        <v>51841896.328978524</v>
      </c>
      <c r="DF172" s="8">
        <f>+MINVU_Mes_Corriente!DF172*MINVU_Mes_Constante!$DC$1</f>
        <v>51841896.328978524</v>
      </c>
      <c r="DG172" s="8">
        <f>+MINVU_Mes_Corriente!DG172*MINVU_Mes_Constante!$DC$1</f>
        <v>51841896.328978524</v>
      </c>
      <c r="DH172" s="8">
        <f>+MINVU_Mes_Corriente!DH172*MINVU_Mes_Constante!$DC$1</f>
        <v>51841896.328978524</v>
      </c>
      <c r="DI172" s="8">
        <f>+MINVU_Mes_Corriente!DI172*MINVU_Mes_Constante!$DC$1</f>
        <v>51841896.328978524</v>
      </c>
      <c r="DJ172" s="8">
        <f>+MINVU_Mes_Corriente!DJ172*MINVU_Mes_Constante!$DC$1</f>
        <v>57815735.440181077</v>
      </c>
      <c r="DK172" s="8">
        <f>+MINVU_Mes_Corriente!DK172*MINVU_Mes_Constante!$DC$1</f>
        <v>58990272.010492779</v>
      </c>
      <c r="DL172" s="8">
        <f>+MINVU_Mes_Corriente!DL172*MINVU_Mes_Constante!$DC$1</f>
        <v>58990272.010492779</v>
      </c>
      <c r="DM172" s="8">
        <f>+MINVU_Mes_Corriente!DM172*MINVU_Mes_Constante!$DC$1</f>
        <v>58990272.010492779</v>
      </c>
      <c r="DN172" s="8">
        <f>+MINVU_Mes_Corriente!DN172*MINVU_Mes_Constante!$DC$1</f>
        <v>65797425.149058767</v>
      </c>
      <c r="DO172" s="9">
        <f t="shared" si="141"/>
        <v>65797425.149058767</v>
      </c>
      <c r="DP172" s="8">
        <f>+MINVU_Mes_Corriente!DP172*MINVU_Mes_Constante!$DP$1</f>
        <v>72166076.447743475</v>
      </c>
      <c r="DQ172" s="8">
        <f>+MINVU_Mes_Corriente!DQ172*MINVU_Mes_Constante!$DP$1</f>
        <v>72166076.447743475</v>
      </c>
      <c r="DR172" s="8">
        <f>+MINVU_Mes_Corriente!DR172*MINVU_Mes_Constante!$DP$1</f>
        <v>72166076.447743475</v>
      </c>
      <c r="DS172" s="8">
        <f>+MINVU_Mes_Corriente!DS172*MINVU_Mes_Constante!$DP$1</f>
        <v>72166076.447743475</v>
      </c>
      <c r="DT172" s="8">
        <f>+MINVU_Mes_Corriente!DT172*MINVU_Mes_Constante!$DP$1</f>
        <v>72166076.447743475</v>
      </c>
      <c r="DU172" s="8">
        <f>+MINVU_Mes_Corriente!DU172*MINVU_Mes_Constante!$DP$1</f>
        <v>74328784.286223292</v>
      </c>
      <c r="DV172" s="8">
        <f>+MINVU_Mes_Corriente!DV172*MINVU_Mes_Constante!$DP$1</f>
        <v>74328784.286223292</v>
      </c>
      <c r="DW172" s="8">
        <f>+MINVU_Mes_Corriente!DW172*MINVU_Mes_Constante!$DP$1</f>
        <v>74328784.286223292</v>
      </c>
      <c r="DX172" s="8">
        <f>+MINVU_Mes_Corriente!DX172*MINVU_Mes_Constante!$DP$1</f>
        <v>74328784.286223292</v>
      </c>
      <c r="DY172" s="8">
        <f>+MINVU_Mes_Corriente!DY172*MINVU_Mes_Constante!$DP$1</f>
        <v>74328784.286223292</v>
      </c>
      <c r="DZ172" s="8">
        <f>+MINVU_Mes_Corriente!DZ172*MINVU_Mes_Constante!$DP$1</f>
        <v>95198914.92755346</v>
      </c>
      <c r="EA172" s="8">
        <f>+MINVU_Mes_Corriente!EA172*MINVU_Mes_Constante!$DP$1</f>
        <v>95089730.622327805</v>
      </c>
      <c r="EB172" s="9">
        <f t="shared" si="142"/>
        <v>95089730.622327805</v>
      </c>
      <c r="EC172" s="8">
        <f>+MINVU_Mes_Corriente!EC172*MINVU_Mes_Constante!$EC$1</f>
        <v>59736502.267941661</v>
      </c>
      <c r="ED172" s="8">
        <f>+MINVU_Mes_Corriente!ED172*MINVU_Mes_Constante!$EC$1</f>
        <v>59736502.267941661</v>
      </c>
      <c r="EE172" s="8">
        <f>+MINVU_Mes_Corriente!EE172*MINVU_Mes_Constante!$EC$1</f>
        <v>62105007.072713479</v>
      </c>
      <c r="EF172" s="8">
        <f>+MINVU_Mes_Corriente!EF172*MINVU_Mes_Constante!$EC$1</f>
        <v>62105007.072713479</v>
      </c>
      <c r="EG172" s="8">
        <f>+MINVU_Mes_Corriente!EG172*MINVU_Mes_Constante!$EC$1</f>
        <v>62105007.072713479</v>
      </c>
      <c r="EH172" s="8">
        <f>+MINVU_Mes_Corriente!EH172*MINVU_Mes_Constante!$EC$1</f>
        <v>62105007.072713479</v>
      </c>
      <c r="EI172" s="8">
        <f>+MINVU_Mes_Corriente!EI172*MINVU_Mes_Constante!$EC$1</f>
        <v>67380168.21586819</v>
      </c>
      <c r="EJ172" s="8">
        <f>+MINVU_Mes_Corriente!EJ172*MINVU_Mes_Constante!$EC$1</f>
        <v>67380168.21586819</v>
      </c>
      <c r="EK172" s="8">
        <f>+MINVU_Mes_Corriente!EK172*MINVU_Mes_Constante!$EC$1</f>
        <v>67380168.21586819</v>
      </c>
      <c r="EL172" s="8">
        <f>+MINVU_Mes_Corriente!EL172*MINVU_Mes_Constante!$EC$1</f>
        <v>67884342.806665376</v>
      </c>
      <c r="EM172" s="8">
        <f>+MINVU_Mes_Corriente!EM172*MINVU_Mes_Constante!$EC$1</f>
        <v>67884342.806665376</v>
      </c>
      <c r="EN172" s="8">
        <f>+MINVU_Mes_Corriente!EN172*MINVU_Mes_Constante!$EC$1</f>
        <v>75639426.64476423</v>
      </c>
      <c r="EO172" s="9">
        <f t="shared" si="143"/>
        <v>75639426.64476423</v>
      </c>
      <c r="EP172" s="8">
        <f>+MINVU_Mes_Corriente!EP172*MINVU_Mes_Constante!$EP$1</f>
        <v>72789613</v>
      </c>
      <c r="EQ172" s="8">
        <f>+MINVU_Mes_Corriente!EQ172*MINVU_Mes_Constante!$EP$1</f>
        <v>75348740</v>
      </c>
      <c r="ER172" s="8">
        <f>+MINVU_Mes_Corriente!ER172*MINVU_Mes_Constante!$EP$1</f>
        <v>75348740</v>
      </c>
      <c r="ES172" s="8">
        <f>+MINVU_Mes_Corriente!ES172*MINVU_Mes_Constante!$EP$1</f>
        <v>75348740</v>
      </c>
      <c r="ET172" s="8">
        <f>+MINVU_Mes_Corriente!ET172*MINVU_Mes_Constante!$EP$1</f>
        <v>75348740</v>
      </c>
      <c r="EU172" s="8">
        <f>+MINVU_Mes_Corriente!EU172*MINVU_Mes_Constante!$EP$1</f>
        <v>75348740</v>
      </c>
      <c r="EV172" s="8">
        <f>+MINVU_Mes_Corriente!EV172*MINVU_Mes_Constante!$EP$1</f>
        <v>74364706</v>
      </c>
      <c r="EW172" s="8">
        <f>+MINVU_Mes_Corriente!EW172*MINVU_Mes_Constante!$EP$1</f>
        <v>74364706</v>
      </c>
      <c r="EX172" s="8">
        <f>+MINVU_Mes_Corriente!EX172*MINVU_Mes_Constante!$EP$1</f>
        <v>74364706</v>
      </c>
      <c r="EY172" s="8">
        <f>+MINVU_Mes_Corriente!EY172*MINVU_Mes_Constante!$EP$1</f>
        <v>75891821</v>
      </c>
      <c r="EZ172" s="8">
        <f>+MINVU_Mes_Corriente!EZ172*MINVU_Mes_Constante!$EP$1</f>
        <v>75944276</v>
      </c>
      <c r="FA172" s="8">
        <f>+MINVU_Mes_Corriente!FA172*MINVU_Mes_Constante!$EP$1</f>
        <v>79415239</v>
      </c>
      <c r="FB172" s="9">
        <f t="shared" si="144"/>
        <v>79415239</v>
      </c>
      <c r="FC172" s="8">
        <f>+MINVU_Mes_Corriente!FC172*MINVU_Mes_Constante!$FC$1</f>
        <v>132477179</v>
      </c>
      <c r="FD172" s="8">
        <f>+MINVU_Mes_Corriente!FD172*MINVU_Mes_Constante!$FC$1</f>
        <v>129977179</v>
      </c>
      <c r="FE172" s="8">
        <f>+MINVU_Mes_Corriente!FE172*MINVU_Mes_Constante!$FC$1</f>
        <v>129977179</v>
      </c>
      <c r="FF172" s="8">
        <f>+MINVU_Mes_Corriente!FF172*MINVU_Mes_Constante!$FC$1</f>
        <v>129977179</v>
      </c>
      <c r="FG172" s="8">
        <f>+MINVU_Mes_Corriente!FG172*MINVU_Mes_Constante!$FC$1</f>
        <v>129977179</v>
      </c>
      <c r="FH172" s="8">
        <f>+MINVU_Mes_Corriente!FH172*MINVU_Mes_Constante!$FC$1</f>
        <v>130121882</v>
      </c>
      <c r="FI172" s="8">
        <f>+MINVU_Mes_Corriente!FI172*MINVU_Mes_Constante!$FC$1</f>
        <v>130121882</v>
      </c>
      <c r="FJ172" s="8"/>
      <c r="FK172" s="8"/>
      <c r="FL172" s="8"/>
      <c r="FM172" s="8"/>
      <c r="FN172" s="8"/>
      <c r="FO172" s="9">
        <f t="shared" si="145"/>
        <v>130121882</v>
      </c>
    </row>
    <row r="173" spans="2:171" ht="14.25" customHeight="1" x14ac:dyDescent="0.3">
      <c r="B173" s="7" t="s">
        <v>48</v>
      </c>
      <c r="C173" s="8">
        <f>+MINVU_Mes_Corriente!C173*MINVU_Mes_Constante!$C$1</f>
        <v>14644566.798161058</v>
      </c>
      <c r="D173" s="8">
        <f>+MINVU_Mes_Corriente!D173*MINVU_Mes_Constante!$C$1</f>
        <v>14644566.798161058</v>
      </c>
      <c r="E173" s="8">
        <f>+MINVU_Mes_Corriente!E173*MINVU_Mes_Constante!$C$1</f>
        <v>14644566.798161058</v>
      </c>
      <c r="F173" s="8">
        <f>+MINVU_Mes_Corriente!F173*MINVU_Mes_Constante!$C$1</f>
        <v>14644566.798161058</v>
      </c>
      <c r="G173" s="8">
        <f>+MINVU_Mes_Corriente!G173*MINVU_Mes_Constante!$C$1</f>
        <v>14644566.798161058</v>
      </c>
      <c r="H173" s="8">
        <f>+MINVU_Mes_Corriente!H173*MINVU_Mes_Constante!$C$1</f>
        <v>14736779.127094768</v>
      </c>
      <c r="I173" s="8">
        <f>+MINVU_Mes_Corriente!I173*MINVU_Mes_Constante!$C$1</f>
        <v>14736779.127094768</v>
      </c>
      <c r="J173" s="8">
        <f>+MINVU_Mes_Corriente!J173*MINVU_Mes_Constante!$C$1</f>
        <v>14948420.753967078</v>
      </c>
      <c r="K173" s="8">
        <f>+MINVU_Mes_Corriente!K173*MINVU_Mes_Constante!$C$1</f>
        <v>14480270.091057396</v>
      </c>
      <c r="L173" s="8">
        <f>+MINVU_Mes_Corriente!L173*MINVU_Mes_Constante!$C$1</f>
        <v>14480270.091057396</v>
      </c>
      <c r="M173" s="8">
        <f>+MINVU_Mes_Corriente!M173*MINVU_Mes_Constante!$C$1</f>
        <v>19749765.008453213</v>
      </c>
      <c r="N173" s="8">
        <f>+MINVU_Mes_Corriente!N173*MINVU_Mes_Constante!$C$1</f>
        <v>19660073.939492811</v>
      </c>
      <c r="O173" s="9">
        <f t="shared" si="133"/>
        <v>19660073.939492811</v>
      </c>
      <c r="P173" s="8">
        <f>+MINVU_Mes_Corriente!P173*MINVU_Mes_Constante!$P$1</f>
        <v>16629733.664725097</v>
      </c>
      <c r="Q173" s="8">
        <f>+MINVU_Mes_Corriente!Q173*MINVU_Mes_Constante!$P$1</f>
        <v>16684537.512146605</v>
      </c>
      <c r="R173" s="8">
        <f>+MINVU_Mes_Corriente!R173*MINVU_Mes_Constante!$P$1</f>
        <v>16684537.512146605</v>
      </c>
      <c r="S173" s="8">
        <f>+MINVU_Mes_Corriente!S173*MINVU_Mes_Constante!$P$1</f>
        <v>16684537.512146605</v>
      </c>
      <c r="T173" s="8">
        <f>+MINVU_Mes_Corriente!T173*MINVU_Mes_Constante!$P$1</f>
        <v>16684537.512146605</v>
      </c>
      <c r="U173" s="8">
        <f>+MINVU_Mes_Corriente!U173*MINVU_Mes_Constante!$P$1</f>
        <v>16338474.040914897</v>
      </c>
      <c r="V173" s="8">
        <f>+MINVU_Mes_Corriente!V173*MINVU_Mes_Constante!$P$1</f>
        <v>16984193.035090204</v>
      </c>
      <c r="W173" s="8">
        <f>+MINVU_Mes_Corriente!W173*MINVU_Mes_Constante!$P$1</f>
        <v>16984193.035090204</v>
      </c>
      <c r="X173" s="8">
        <f>+MINVU_Mes_Corriente!X173*MINVU_Mes_Constante!$P$1</f>
        <v>17372245.315243635</v>
      </c>
      <c r="Y173" s="8">
        <f>+MINVU_Mes_Corriente!Y173*MINVU_Mes_Constante!$P$1</f>
        <v>17372245.315243635</v>
      </c>
      <c r="Z173" s="8">
        <f>+MINVU_Mes_Corriente!Z173*MINVU_Mes_Constante!$P$1</f>
        <v>17426572.634465117</v>
      </c>
      <c r="AA173" s="8">
        <f>+MINVU_Mes_Corriente!AA173*MINVU_Mes_Constante!$P$1</f>
        <v>24295214.408864886</v>
      </c>
      <c r="AB173" s="9">
        <f t="shared" si="134"/>
        <v>24295214.408864886</v>
      </c>
      <c r="AC173" s="8">
        <f>+MINVU_Mes_Corriente!AC173*MINVU_Mes_Constante!$AC$1</f>
        <v>57359891.857241668</v>
      </c>
      <c r="AD173" s="8">
        <f>+MINVU_Mes_Corriente!AD173*MINVU_Mes_Constante!$AC$1</f>
        <v>57519983.677963756</v>
      </c>
      <c r="AE173" s="8">
        <f>+MINVU_Mes_Corriente!AE173*MINVU_Mes_Constante!$AC$1</f>
        <v>57519983.677963756</v>
      </c>
      <c r="AF173" s="8">
        <f>+MINVU_Mes_Corriente!AF173*MINVU_Mes_Constante!$AC$1</f>
        <v>57009210.937059067</v>
      </c>
      <c r="AG173" s="8">
        <f>+MINVU_Mes_Corriente!AG173*MINVU_Mes_Constante!$AC$1</f>
        <v>57009210.937059067</v>
      </c>
      <c r="AH173" s="8">
        <f>+MINVU_Mes_Corriente!AH173*MINVU_Mes_Constante!$AC$1</f>
        <v>53354865.217042468</v>
      </c>
      <c r="AI173" s="8">
        <f>+MINVU_Mes_Corriente!AI173*MINVU_Mes_Constante!$AC$1</f>
        <v>53354865.217042468</v>
      </c>
      <c r="AJ173" s="8">
        <f>+MINVU_Mes_Corriente!AJ173*MINVU_Mes_Constante!$AC$1</f>
        <v>46780221.421220087</v>
      </c>
      <c r="AK173" s="8">
        <f>+MINVU_Mes_Corriente!AK173*MINVU_Mes_Constante!$AC$1</f>
        <v>46780221.421220087</v>
      </c>
      <c r="AL173" s="8">
        <f>+MINVU_Mes_Corriente!AL173*MINVU_Mes_Constante!$AC$1</f>
        <v>46780221.421220087</v>
      </c>
      <c r="AM173" s="8">
        <f>+MINVU_Mes_Corriente!AM173*MINVU_Mes_Constante!$AC$1</f>
        <v>49607254.774104305</v>
      </c>
      <c r="AN173" s="8">
        <f>+MINVU_Mes_Corriente!AN173*MINVU_Mes_Constante!$AC$1</f>
        <v>55911580.956702173</v>
      </c>
      <c r="AO173" s="9">
        <f t="shared" si="135"/>
        <v>55911580.956702173</v>
      </c>
      <c r="AP173" s="8">
        <f>+MINVU_Mes_Corriente!AP173*MINVU_Mes_Constante!$AP$1</f>
        <v>42833576.286216691</v>
      </c>
      <c r="AQ173" s="8">
        <f>+MINVU_Mes_Corriente!AQ173*MINVU_Mes_Constante!$AP$1</f>
        <v>42833576.286216691</v>
      </c>
      <c r="AR173" s="8">
        <f>+MINVU_Mes_Corriente!AR173*MINVU_Mes_Constante!$AP$1</f>
        <v>42833576.286216691</v>
      </c>
      <c r="AS173" s="8">
        <f>+MINVU_Mes_Corriente!AS173*MINVU_Mes_Constante!$AP$1</f>
        <v>42833576.286216691</v>
      </c>
      <c r="AT173" s="8">
        <f>+MINVU_Mes_Corriente!AT173*MINVU_Mes_Constante!$AP$1</f>
        <v>42833576.286216691</v>
      </c>
      <c r="AU173" s="8">
        <f>+MINVU_Mes_Corriente!AU173*MINVU_Mes_Constante!$AP$1</f>
        <v>55745343.164344646</v>
      </c>
      <c r="AV173" s="8">
        <f>+MINVU_Mes_Corriente!AV173*MINVU_Mes_Constante!$AP$1</f>
        <v>55745343.164344646</v>
      </c>
      <c r="AW173" s="8">
        <f>+MINVU_Mes_Corriente!AW173*MINVU_Mes_Constante!$AP$1</f>
        <v>55745343.164344646</v>
      </c>
      <c r="AX173" s="8">
        <f>+MINVU_Mes_Corriente!AX173*MINVU_Mes_Constante!$AP$1</f>
        <v>55745343.164344646</v>
      </c>
      <c r="AY173" s="8">
        <f>+MINVU_Mes_Corriente!AY173*MINVU_Mes_Constante!$AP$1</f>
        <v>55745343.164344646</v>
      </c>
      <c r="AZ173" s="8">
        <f>+MINVU_Mes_Corriente!AZ173*MINVU_Mes_Constante!$AP$1</f>
        <v>55745343.164344646</v>
      </c>
      <c r="BA173" s="8">
        <f>+MINVU_Mes_Corriente!BA173*MINVU_Mes_Constante!$AP$1</f>
        <v>55460928.72879751</v>
      </c>
      <c r="BB173" s="9">
        <f t="shared" si="136"/>
        <v>55460928.72879751</v>
      </c>
      <c r="BC173" s="8">
        <f>+MINVU_Mes_Corriente!BC173*MINVU_Mes_Constante!$BC$1</f>
        <v>28026394.554398004</v>
      </c>
      <c r="BD173" s="8">
        <f>+MINVU_Mes_Corriente!BD173*MINVU_Mes_Constante!$BC$1</f>
        <v>28026394.554398004</v>
      </c>
      <c r="BE173" s="8">
        <f>+MINVU_Mes_Corriente!BE173*MINVU_Mes_Constante!$BC$1</f>
        <v>28026394.554398004</v>
      </c>
      <c r="BF173" s="8">
        <f>+MINVU_Mes_Corriente!BF173*MINVU_Mes_Constante!$BC$1</f>
        <v>28026394.554398004</v>
      </c>
      <c r="BG173" s="8">
        <f>+MINVU_Mes_Corriente!BG173*MINVU_Mes_Constante!$BC$1</f>
        <v>28026394.554398004</v>
      </c>
      <c r="BH173" s="8">
        <f>+MINVU_Mes_Corriente!BH173*MINVU_Mes_Constante!$BC$1</f>
        <v>29624299.360938951</v>
      </c>
      <c r="BI173" s="8">
        <f>+MINVU_Mes_Corriente!BI173*MINVU_Mes_Constante!$BC$1</f>
        <v>29805751.93696427</v>
      </c>
      <c r="BJ173" s="8">
        <f>+MINVU_Mes_Corriente!BJ173*MINVU_Mes_Constante!$BC$1</f>
        <v>31378737.16418305</v>
      </c>
      <c r="BK173" s="8">
        <f>+MINVU_Mes_Corriente!BK173*MINVU_Mes_Constante!$BC$1</f>
        <v>31378737.16418305</v>
      </c>
      <c r="BL173" s="8">
        <f>+MINVU_Mes_Corriente!BL173*MINVU_Mes_Constante!$BC$1</f>
        <v>30715944.074376903</v>
      </c>
      <c r="BM173" s="8">
        <f>+MINVU_Mes_Corriente!BM173*MINVU_Mes_Constante!$BC$1</f>
        <v>30715944.074376903</v>
      </c>
      <c r="BN173" s="8">
        <f>+MINVU_Mes_Corriente!BN173*MINVU_Mes_Constante!$BC$1</f>
        <v>31491730.418304108</v>
      </c>
      <c r="BO173" s="9">
        <f t="shared" si="137"/>
        <v>31491730.418304108</v>
      </c>
      <c r="BP173" s="8">
        <f>+MINVU_Mes_Corriente!BP173*MINVU_Mes_Constante!$BP$1</f>
        <v>25139105.986171577</v>
      </c>
      <c r="BQ173" s="8">
        <f>+MINVU_Mes_Corriente!BQ173*MINVU_Mes_Constante!$BP$1</f>
        <v>25139105.986171577</v>
      </c>
      <c r="BR173" s="8">
        <f>+MINVU_Mes_Corriente!BR173*MINVU_Mes_Constante!$BP$1</f>
        <v>25246175.190268889</v>
      </c>
      <c r="BS173" s="8">
        <f>+MINVU_Mes_Corriente!BS173*MINVU_Mes_Constante!$BP$1</f>
        <v>25246175.190268889</v>
      </c>
      <c r="BT173" s="8">
        <f>+MINVU_Mes_Corriente!BT173*MINVU_Mes_Constante!$BP$1</f>
        <v>25246175.190268889</v>
      </c>
      <c r="BU173" s="8">
        <f>+MINVU_Mes_Corriente!BU173*MINVU_Mes_Constante!$BP$1</f>
        <v>25246175.190268889</v>
      </c>
      <c r="BV173" s="8">
        <f>+MINVU_Mes_Corriente!BV173*MINVU_Mes_Constante!$BP$1</f>
        <v>29332234.783866841</v>
      </c>
      <c r="BW173" s="8">
        <f>+MINVU_Mes_Corriente!BW173*MINVU_Mes_Constante!$BP$1</f>
        <v>31384252.299871963</v>
      </c>
      <c r="BX173" s="8">
        <f>+MINVU_Mes_Corriente!BX173*MINVU_Mes_Constante!$BP$1</f>
        <v>31423073.874775931</v>
      </c>
      <c r="BY173" s="8">
        <f>+MINVU_Mes_Corriente!BY173*MINVU_Mes_Constante!$BP$1</f>
        <v>31423073.874775931</v>
      </c>
      <c r="BZ173" s="8">
        <f>+MINVU_Mes_Corriente!BZ173*MINVU_Mes_Constante!$BP$1</f>
        <v>31423073.874775931</v>
      </c>
      <c r="CA173" s="8">
        <f>+MINVU_Mes_Corriente!CA173*MINVU_Mes_Constante!$BP$1</f>
        <v>44489155.510371327</v>
      </c>
      <c r="CB173" s="9">
        <f t="shared" si="138"/>
        <v>44489155.510371327</v>
      </c>
      <c r="CC173" s="8">
        <f>+MINVU_Mes_Corriente!CC173*MINVU_Mes_Constante!$CC$1</f>
        <v>25126191.961208507</v>
      </c>
      <c r="CD173" s="8">
        <f>+MINVU_Mes_Corriente!CD173*MINVU_Mes_Constante!$CC$1</f>
        <v>25126191.961208507</v>
      </c>
      <c r="CE173" s="8">
        <f>+MINVU_Mes_Corriente!CE173*MINVU_Mes_Constante!$CC$1</f>
        <v>25126191.961208507</v>
      </c>
      <c r="CF173" s="8">
        <f>+MINVU_Mes_Corriente!CF173*MINVU_Mes_Constante!$CC$1</f>
        <v>25180529.89481537</v>
      </c>
      <c r="CG173" s="8">
        <f>+MINVU_Mes_Corriente!CG173*MINVU_Mes_Constante!$CC$1</f>
        <v>19080219.289817233</v>
      </c>
      <c r="CH173" s="8">
        <f>+MINVU_Mes_Corriente!CH173*MINVU_Mes_Constante!$CC$1</f>
        <v>19080219.289817233</v>
      </c>
      <c r="CI173" s="8">
        <f>+MINVU_Mes_Corriente!CI173*MINVU_Mes_Constante!$CC$1</f>
        <v>26936126.041029468</v>
      </c>
      <c r="CJ173" s="8">
        <f>+MINVU_Mes_Corriente!CJ173*MINVU_Mes_Constante!$CC$1</f>
        <v>26936126.041029468</v>
      </c>
      <c r="CK173" s="8">
        <f>+MINVU_Mes_Corriente!CK173*MINVU_Mes_Constante!$CC$1</f>
        <v>27099139.841850057</v>
      </c>
      <c r="CL173" s="8">
        <f>+MINVU_Mes_Corriente!CL173*MINVU_Mes_Constante!$CC$1</f>
        <v>34248855.864975758</v>
      </c>
      <c r="CM173" s="8">
        <f>+MINVU_Mes_Corriente!CM173*MINVU_Mes_Constante!$CC$1</f>
        <v>34257006.555016786</v>
      </c>
      <c r="CN173" s="8">
        <f>+MINVU_Mes_Corriente!CN173*MINVU_Mes_Constante!$CC$1</f>
        <v>45351130.838493101</v>
      </c>
      <c r="CO173" s="9">
        <f t="shared" si="139"/>
        <v>45351130.838493101</v>
      </c>
      <c r="CP173" s="8">
        <f>+MINVU_Mes_Corriente!CP173*MINVU_Mes_Constante!$CP$1</f>
        <v>26327017.083758697</v>
      </c>
      <c r="CQ173" s="8">
        <f>+MINVU_Mes_Corriente!CQ173*MINVU_Mes_Constante!$CP$1</f>
        <v>26327017.083758697</v>
      </c>
      <c r="CR173" s="8">
        <f>+MINVU_Mes_Corriente!CR173*MINVU_Mes_Constante!$CP$1</f>
        <v>26327017.083758697</v>
      </c>
      <c r="CS173" s="8">
        <f>+MINVU_Mes_Corriente!CS173*MINVU_Mes_Constante!$CP$1</f>
        <v>26327017.083758697</v>
      </c>
      <c r="CT173" s="8">
        <f>+MINVU_Mes_Corriente!CT173*MINVU_Mes_Constante!$CP$1</f>
        <v>29141876.633178648</v>
      </c>
      <c r="CU173" s="8">
        <f>+MINVU_Mes_Corriente!CU173*MINVU_Mes_Constante!$CP$1</f>
        <v>29141876.633178648</v>
      </c>
      <c r="CV173" s="8">
        <f>+MINVU_Mes_Corriente!CV173*MINVU_Mes_Constante!$CP$1</f>
        <v>29141876.633178648</v>
      </c>
      <c r="CW173" s="8">
        <f>+MINVU_Mes_Corriente!CW173*MINVU_Mes_Constante!$CP$1</f>
        <v>29782813.284918789</v>
      </c>
      <c r="CX173" s="8">
        <f>+MINVU_Mes_Corriente!CX173*MINVU_Mes_Constante!$CP$1</f>
        <v>29782813.284918789</v>
      </c>
      <c r="CY173" s="8">
        <f>+MINVU_Mes_Corriente!CY173*MINVU_Mes_Constante!$CP$1</f>
        <v>29782813.284918789</v>
      </c>
      <c r="CZ173" s="8">
        <f>+MINVU_Mes_Corriente!CZ173*MINVU_Mes_Constante!$CP$1</f>
        <v>34849714.096983753</v>
      </c>
      <c r="DA173" s="8">
        <f>+MINVU_Mes_Corriente!DA173*MINVU_Mes_Constante!$CP$1</f>
        <v>42837835.646171682</v>
      </c>
      <c r="DB173" s="9">
        <f t="shared" si="140"/>
        <v>42837835.646171682</v>
      </c>
      <c r="DC173" s="8">
        <f>+MINVU_Mes_Corriente!DC173*MINVU_Mes_Constante!$DC$1</f>
        <v>37345398.443781525</v>
      </c>
      <c r="DD173" s="8">
        <f>+MINVU_Mes_Corriente!DD173*MINVU_Mes_Constante!$DC$1</f>
        <v>38756519.27414877</v>
      </c>
      <c r="DE173" s="8">
        <f>+MINVU_Mes_Corriente!DE173*MINVU_Mes_Constante!$DC$1</f>
        <v>38756519.27414877</v>
      </c>
      <c r="DF173" s="8">
        <f>+MINVU_Mes_Corriente!DF173*MINVU_Mes_Constante!$DC$1</f>
        <v>38756519.27414877</v>
      </c>
      <c r="DG173" s="8">
        <f>+MINVU_Mes_Corriente!DG173*MINVU_Mes_Constante!$DC$1</f>
        <v>38756519.27414877</v>
      </c>
      <c r="DH173" s="8">
        <f>+MINVU_Mes_Corriente!DH173*MINVU_Mes_Constante!$DC$1</f>
        <v>38756519.27414877</v>
      </c>
      <c r="DI173" s="8">
        <f>+MINVU_Mes_Corriente!DI173*MINVU_Mes_Constante!$DC$1</f>
        <v>38756519.27414877</v>
      </c>
      <c r="DJ173" s="8">
        <f>+MINVU_Mes_Corriente!DJ173*MINVU_Mes_Constante!$DC$1</f>
        <v>38756519.27414877</v>
      </c>
      <c r="DK173" s="8">
        <f>+MINVU_Mes_Corriente!DK173*MINVU_Mes_Constante!$DC$1</f>
        <v>41982313.717107311</v>
      </c>
      <c r="DL173" s="8">
        <f>+MINVU_Mes_Corriente!DL173*MINVU_Mes_Constante!$DC$1</f>
        <v>41982313.717107311</v>
      </c>
      <c r="DM173" s="8">
        <f>+MINVU_Mes_Corriente!DM173*MINVU_Mes_Constante!$DC$1</f>
        <v>41982313.717107311</v>
      </c>
      <c r="DN173" s="8">
        <f>+MINVU_Mes_Corriente!DN173*MINVU_Mes_Constante!$DC$1</f>
        <v>43605378.266639255</v>
      </c>
      <c r="DO173" s="9">
        <f t="shared" si="141"/>
        <v>43605378.266639255</v>
      </c>
      <c r="DP173" s="8">
        <f>+MINVU_Mes_Corriente!DP173*MINVU_Mes_Constante!$DP$1</f>
        <v>51500866.699524947</v>
      </c>
      <c r="DQ173" s="8">
        <f>+MINVU_Mes_Corriente!DQ173*MINVU_Mes_Constante!$DP$1</f>
        <v>51544120.856294543</v>
      </c>
      <c r="DR173" s="8">
        <f>+MINVU_Mes_Corriente!DR173*MINVU_Mes_Constante!$DP$1</f>
        <v>51544120.856294543</v>
      </c>
      <c r="DS173" s="8">
        <f>+MINVU_Mes_Corriente!DS173*MINVU_Mes_Constante!$DP$1</f>
        <v>51544120.856294543</v>
      </c>
      <c r="DT173" s="8">
        <f>+MINVU_Mes_Corriente!DT173*MINVU_Mes_Constante!$DP$1</f>
        <v>51544120.856294543</v>
      </c>
      <c r="DU173" s="8">
        <f>+MINVU_Mes_Corriente!DU173*MINVU_Mes_Constante!$DP$1</f>
        <v>51600428.036223285</v>
      </c>
      <c r="DV173" s="8">
        <f>+MINVU_Mes_Corriente!DV173*MINVU_Mes_Constante!$DP$1</f>
        <v>51730302.967339672</v>
      </c>
      <c r="DW173" s="8">
        <f>+MINVU_Mes_Corriente!DW173*MINVU_Mes_Constante!$DP$1</f>
        <v>51730302.967339672</v>
      </c>
      <c r="DX173" s="8">
        <f>+MINVU_Mes_Corriente!DX173*MINVU_Mes_Constante!$DP$1</f>
        <v>51730302.967339672</v>
      </c>
      <c r="DY173" s="8">
        <f>+MINVU_Mes_Corriente!DY173*MINVU_Mes_Constante!$DP$1</f>
        <v>51730302.967339672</v>
      </c>
      <c r="DZ173" s="8">
        <f>+MINVU_Mes_Corriente!DZ173*MINVU_Mes_Constante!$DP$1</f>
        <v>46977017.171615206</v>
      </c>
      <c r="EA173" s="8">
        <f>+MINVU_Mes_Corriente!EA173*MINVU_Mes_Constante!$DP$1</f>
        <v>47522020.628266037</v>
      </c>
      <c r="EB173" s="9">
        <f t="shared" si="142"/>
        <v>47522020.628266037</v>
      </c>
      <c r="EC173" s="8">
        <f>+MINVU_Mes_Corriente!EC173*MINVU_Mes_Constante!$EC$1</f>
        <v>55075636.388941474</v>
      </c>
      <c r="ED173" s="8">
        <f>+MINVU_Mes_Corriente!ED173*MINVU_Mes_Constante!$EC$1</f>
        <v>55075636.388941474</v>
      </c>
      <c r="EE173" s="8">
        <f>+MINVU_Mes_Corriente!EE173*MINVU_Mes_Constante!$EC$1</f>
        <v>55075636.388941474</v>
      </c>
      <c r="EF173" s="8">
        <f>+MINVU_Mes_Corriente!EF173*MINVU_Mes_Constante!$EC$1</f>
        <v>55075636.388941474</v>
      </c>
      <c r="EG173" s="8">
        <f>+MINVU_Mes_Corriente!EG173*MINVU_Mes_Constante!$EC$1</f>
        <v>55075636.388941474</v>
      </c>
      <c r="EH173" s="8">
        <f>+MINVU_Mes_Corriente!EH173*MINVU_Mes_Constante!$EC$1</f>
        <v>55075636.388941474</v>
      </c>
      <c r="EI173" s="8">
        <f>+MINVU_Mes_Corriente!EI173*MINVU_Mes_Constante!$EC$1</f>
        <v>55075636.388941474</v>
      </c>
      <c r="EJ173" s="8">
        <f>+MINVU_Mes_Corriente!EJ173*MINVU_Mes_Constante!$EC$1</f>
        <v>55075636.388941474</v>
      </c>
      <c r="EK173" s="8">
        <f>+MINVU_Mes_Corriente!EK173*MINVU_Mes_Constante!$EC$1</f>
        <v>55075636.388941474</v>
      </c>
      <c r="EL173" s="8">
        <f>+MINVU_Mes_Corriente!EL173*MINVU_Mes_Constante!$EC$1</f>
        <v>54201580.181594379</v>
      </c>
      <c r="EM173" s="8">
        <f>+MINVU_Mes_Corriente!EM173*MINVU_Mes_Constante!$EC$1</f>
        <v>54201580.181594379</v>
      </c>
      <c r="EN173" s="8">
        <f>+MINVU_Mes_Corriente!EN173*MINVU_Mes_Constante!$EC$1</f>
        <v>52074431.151297085</v>
      </c>
      <c r="EO173" s="9">
        <f t="shared" si="143"/>
        <v>52074431.151297085</v>
      </c>
      <c r="EP173" s="8">
        <f>+MINVU_Mes_Corriente!EP173*MINVU_Mes_Constante!$EP$1</f>
        <v>92931481</v>
      </c>
      <c r="EQ173" s="8">
        <f>+MINVU_Mes_Corriente!EQ173*MINVU_Mes_Constante!$EP$1</f>
        <v>93131497</v>
      </c>
      <c r="ER173" s="8">
        <f>+MINVU_Mes_Corriente!ER173*MINVU_Mes_Constante!$EP$1</f>
        <v>93131497</v>
      </c>
      <c r="ES173" s="8">
        <f>+MINVU_Mes_Corriente!ES173*MINVU_Mes_Constante!$EP$1</f>
        <v>93319045</v>
      </c>
      <c r="ET173" s="8">
        <f>+MINVU_Mes_Corriente!ET173*MINVU_Mes_Constante!$EP$1</f>
        <v>93319045</v>
      </c>
      <c r="EU173" s="8">
        <f>+MINVU_Mes_Corriente!EU173*MINVU_Mes_Constante!$EP$1</f>
        <v>93319045</v>
      </c>
      <c r="EV173" s="8">
        <f>+MINVU_Mes_Corriente!EV173*MINVU_Mes_Constante!$EP$1</f>
        <v>92558948</v>
      </c>
      <c r="EW173" s="8">
        <f>+MINVU_Mes_Corriente!EW173*MINVU_Mes_Constante!$EP$1</f>
        <v>92558948</v>
      </c>
      <c r="EX173" s="8">
        <f>+MINVU_Mes_Corriente!EX173*MINVU_Mes_Constante!$EP$1</f>
        <v>92558948</v>
      </c>
      <c r="EY173" s="8">
        <f>+MINVU_Mes_Corriente!EY173*MINVU_Mes_Constante!$EP$1</f>
        <v>93089284</v>
      </c>
      <c r="EZ173" s="8">
        <f>+MINVU_Mes_Corriente!EZ173*MINVU_Mes_Constante!$EP$1</f>
        <v>93118579</v>
      </c>
      <c r="FA173" s="8">
        <f>+MINVU_Mes_Corriente!FA173*MINVU_Mes_Constante!$EP$1</f>
        <v>92604764</v>
      </c>
      <c r="FB173" s="9">
        <f t="shared" si="144"/>
        <v>92604764</v>
      </c>
      <c r="FC173" s="8">
        <f>+MINVU_Mes_Corriente!FC173*MINVU_Mes_Constante!$FC$1</f>
        <v>89750044</v>
      </c>
      <c r="FD173" s="8">
        <f>+MINVU_Mes_Corriente!FD173*MINVU_Mes_Constante!$FC$1</f>
        <v>88000044</v>
      </c>
      <c r="FE173" s="8">
        <f>+MINVU_Mes_Corriente!FE173*MINVU_Mes_Constante!$FC$1</f>
        <v>88000044</v>
      </c>
      <c r="FF173" s="8">
        <f>+MINVU_Mes_Corriente!FF173*MINVU_Mes_Constante!$FC$1</f>
        <v>88000044</v>
      </c>
      <c r="FG173" s="8">
        <f>+MINVU_Mes_Corriente!FG173*MINVU_Mes_Constante!$FC$1</f>
        <v>88000044</v>
      </c>
      <c r="FH173" s="8">
        <f>+MINVU_Mes_Corriente!FH173*MINVU_Mes_Constante!$FC$1</f>
        <v>88764542</v>
      </c>
      <c r="FI173" s="8">
        <f>+MINVU_Mes_Corriente!FI173*MINVU_Mes_Constante!$FC$1</f>
        <v>88764542</v>
      </c>
      <c r="FJ173" s="8"/>
      <c r="FK173" s="8"/>
      <c r="FL173" s="8"/>
      <c r="FM173" s="8"/>
      <c r="FN173" s="8"/>
      <c r="FO173" s="9">
        <f t="shared" si="145"/>
        <v>88764542</v>
      </c>
    </row>
    <row r="174" spans="2:171" ht="14.25" customHeight="1" x14ac:dyDescent="0.3">
      <c r="B174" s="7" t="s">
        <v>49</v>
      </c>
      <c r="C174" s="8">
        <f>+MINVU_Mes_Corriente!C174*MINVU_Mes_Constante!$C$1</f>
        <v>40306561.677294977</v>
      </c>
      <c r="D174" s="8">
        <f>+MINVU_Mes_Corriente!D174*MINVU_Mes_Constante!$C$1</f>
        <v>40306561.677294977</v>
      </c>
      <c r="E174" s="8">
        <f>+MINVU_Mes_Corriente!E174*MINVU_Mes_Constante!$C$1</f>
        <v>42122184.825745225</v>
      </c>
      <c r="F174" s="8">
        <f>+MINVU_Mes_Corriente!F174*MINVU_Mes_Constante!$C$1</f>
        <v>42660765.492510758</v>
      </c>
      <c r="G174" s="8">
        <f>+MINVU_Mes_Corriente!G174*MINVU_Mes_Constante!$C$1</f>
        <v>42660765.492510758</v>
      </c>
      <c r="H174" s="8">
        <f>+MINVU_Mes_Corriente!H174*MINVU_Mes_Constante!$C$1</f>
        <v>38887082.590241738</v>
      </c>
      <c r="I174" s="8">
        <f>+MINVU_Mes_Corriente!I174*MINVU_Mes_Constante!$C$1</f>
        <v>38887082.590241738</v>
      </c>
      <c r="J174" s="8">
        <f>+MINVU_Mes_Corriente!J174*MINVU_Mes_Constante!$C$1</f>
        <v>38968099.941569038</v>
      </c>
      <c r="K174" s="8">
        <f>+MINVU_Mes_Corriente!K174*MINVU_Mes_Constante!$C$1</f>
        <v>43136254.70710367</v>
      </c>
      <c r="L174" s="8">
        <f>+MINVU_Mes_Corriente!L174*MINVU_Mes_Constante!$C$1</f>
        <v>43136254.70710367</v>
      </c>
      <c r="M174" s="8">
        <f>+MINVU_Mes_Corriente!M174*MINVU_Mes_Constante!$C$1</f>
        <v>47291443.455731876</v>
      </c>
      <c r="N174" s="8">
        <f>+MINVU_Mes_Corriente!N174*MINVU_Mes_Constante!$C$1</f>
        <v>48297657.894705631</v>
      </c>
      <c r="O174" s="9">
        <f t="shared" si="133"/>
        <v>48297657.894705631</v>
      </c>
      <c r="P174" s="8">
        <f>+MINVU_Mes_Corriente!P174*MINVU_Mes_Constante!$P$1</f>
        <v>58775483.346213929</v>
      </c>
      <c r="Q174" s="8">
        <f>+MINVU_Mes_Corriente!Q174*MINVU_Mes_Constante!$P$1</f>
        <v>60746674.065918431</v>
      </c>
      <c r="R174" s="8">
        <f>+MINVU_Mes_Corriente!R174*MINVU_Mes_Constante!$P$1</f>
        <v>58702504.68219915</v>
      </c>
      <c r="S174" s="8">
        <f>+MINVU_Mes_Corriente!S174*MINVU_Mes_Constante!$P$1</f>
        <v>58702504.68219915</v>
      </c>
      <c r="T174" s="8">
        <f>+MINVU_Mes_Corriente!T174*MINVU_Mes_Constante!$P$1</f>
        <v>58702504.68219915</v>
      </c>
      <c r="U174" s="8">
        <f>+MINVU_Mes_Corriente!U174*MINVU_Mes_Constante!$P$1</f>
        <v>48829898.984230697</v>
      </c>
      <c r="V174" s="8">
        <f>+MINVU_Mes_Corriente!V174*MINVU_Mes_Constante!$P$1</f>
        <v>48829898.984230697</v>
      </c>
      <c r="W174" s="8">
        <f>+MINVU_Mes_Corriente!W174*MINVU_Mes_Constante!$P$1</f>
        <v>48753902.825685449</v>
      </c>
      <c r="X174" s="8">
        <f>+MINVU_Mes_Corriente!X174*MINVU_Mes_Constante!$P$1</f>
        <v>51082216.506606035</v>
      </c>
      <c r="Y174" s="8">
        <f>+MINVU_Mes_Corriente!Y174*MINVU_Mes_Constante!$P$1</f>
        <v>51701423.76900126</v>
      </c>
      <c r="Z174" s="8">
        <f>+MINVU_Mes_Corriente!Z174*MINVU_Mes_Constante!$P$1</f>
        <v>51716945.860207394</v>
      </c>
      <c r="AA174" s="8">
        <f>+MINVU_Mes_Corriente!AA174*MINVU_Mes_Constante!$P$1</f>
        <v>59033409.27915895</v>
      </c>
      <c r="AB174" s="9">
        <f t="shared" si="134"/>
        <v>59033409.27915895</v>
      </c>
      <c r="AC174" s="8">
        <f>+MINVU_Mes_Corriente!AC174*MINVU_Mes_Constante!$AC$1</f>
        <v>90176590.059482634</v>
      </c>
      <c r="AD174" s="8">
        <f>+MINVU_Mes_Corriente!AD174*MINVU_Mes_Constante!$AC$1</f>
        <v>91837070.005256608</v>
      </c>
      <c r="AE174" s="8">
        <f>+MINVU_Mes_Corriente!AE174*MINVU_Mes_Constante!$AC$1</f>
        <v>91730012.133075118</v>
      </c>
      <c r="AF174" s="8">
        <f>+MINVU_Mes_Corriente!AF174*MINVU_Mes_Constante!$AC$1</f>
        <v>91730012.133075118</v>
      </c>
      <c r="AG174" s="8">
        <f>+MINVU_Mes_Corriente!AG174*MINVU_Mes_Constante!$AC$1</f>
        <v>91730012.133075118</v>
      </c>
      <c r="AH174" s="8">
        <f>+MINVU_Mes_Corriente!AH174*MINVU_Mes_Constante!$AC$1</f>
        <v>94084967.924470887</v>
      </c>
      <c r="AI174" s="8">
        <f>+MINVU_Mes_Corriente!AI174*MINVU_Mes_Constante!$AC$1</f>
        <v>94084967.924470887</v>
      </c>
      <c r="AJ174" s="8">
        <f>+MINVU_Mes_Corriente!AJ174*MINVU_Mes_Constante!$AC$1</f>
        <v>94084967.924470887</v>
      </c>
      <c r="AK174" s="8">
        <f>+MINVU_Mes_Corriente!AK174*MINVU_Mes_Constante!$AC$1</f>
        <v>94084967.924470887</v>
      </c>
      <c r="AL174" s="8">
        <f>+MINVU_Mes_Corriente!AL174*MINVU_Mes_Constante!$AC$1</f>
        <v>94698752.486650988</v>
      </c>
      <c r="AM174" s="8">
        <f>+MINVU_Mes_Corriente!AM174*MINVU_Mes_Constante!$AC$1</f>
        <v>95901274.485267669</v>
      </c>
      <c r="AN174" s="8">
        <f>+MINVU_Mes_Corriente!AN174*MINVU_Mes_Constante!$AC$1</f>
        <v>81824706.689721957</v>
      </c>
      <c r="AO174" s="9">
        <f t="shared" si="135"/>
        <v>81824706.689721957</v>
      </c>
      <c r="AP174" s="8">
        <f>+MINVU_Mes_Corriente!AP174*MINVU_Mes_Constante!$AP$1</f>
        <v>102262233.21872041</v>
      </c>
      <c r="AQ174" s="8">
        <f>+MINVU_Mes_Corriente!AQ174*MINVU_Mes_Constante!$AP$1</f>
        <v>103998830.25050724</v>
      </c>
      <c r="AR174" s="8">
        <f>+MINVU_Mes_Corriente!AR174*MINVU_Mes_Constante!$AP$1</f>
        <v>103998830.25050724</v>
      </c>
      <c r="AS174" s="8">
        <f>+MINVU_Mes_Corriente!AS174*MINVU_Mes_Constante!$AP$1</f>
        <v>103998830.25050724</v>
      </c>
      <c r="AT174" s="8">
        <f>+MINVU_Mes_Corriente!AT174*MINVU_Mes_Constante!$AP$1</f>
        <v>103998830.25050724</v>
      </c>
      <c r="AU174" s="8">
        <f>+MINVU_Mes_Corriente!AU174*MINVU_Mes_Constante!$AP$1</f>
        <v>100641277.69214121</v>
      </c>
      <c r="AV174" s="8">
        <f>+MINVU_Mes_Corriente!AV174*MINVU_Mes_Constante!$AP$1</f>
        <v>100641277.69214121</v>
      </c>
      <c r="AW174" s="8">
        <f>+MINVU_Mes_Corriente!AW174*MINVU_Mes_Constante!$AP$1</f>
        <v>100641277.69214121</v>
      </c>
      <c r="AX174" s="8">
        <f>+MINVU_Mes_Corriente!AX174*MINVU_Mes_Constante!$AP$1</f>
        <v>100641277.69214121</v>
      </c>
      <c r="AY174" s="8">
        <f>+MINVU_Mes_Corriente!AY174*MINVU_Mes_Constante!$AP$1</f>
        <v>92160041.500067621</v>
      </c>
      <c r="AZ174" s="8">
        <f>+MINVU_Mes_Corriente!AZ174*MINVU_Mes_Constante!$AP$1</f>
        <v>95115810.470715538</v>
      </c>
      <c r="BA174" s="8">
        <f>+MINVU_Mes_Corriente!BA174*MINVU_Mes_Constante!$AP$1</f>
        <v>96489041.521980241</v>
      </c>
      <c r="BB174" s="9">
        <f t="shared" si="136"/>
        <v>96489041.521980241</v>
      </c>
      <c r="BC174" s="8">
        <f>+MINVU_Mes_Corriente!BC174*MINVU_Mes_Constante!$BC$1</f>
        <v>110791223.49914284</v>
      </c>
      <c r="BD174" s="8">
        <f>+MINVU_Mes_Corriente!BD174*MINVU_Mes_Constante!$BC$1</f>
        <v>111458245.49703287</v>
      </c>
      <c r="BE174" s="8">
        <f>+MINVU_Mes_Corriente!BE174*MINVU_Mes_Constante!$BC$1</f>
        <v>111458245.49703287</v>
      </c>
      <c r="BF174" s="8">
        <f>+MINVU_Mes_Corriente!BF174*MINVU_Mes_Constante!$BC$1</f>
        <v>111458245.49703287</v>
      </c>
      <c r="BG174" s="8">
        <f>+MINVU_Mes_Corriente!BG174*MINVU_Mes_Constante!$BC$1</f>
        <v>111458245.49703287</v>
      </c>
      <c r="BH174" s="8">
        <f>+MINVU_Mes_Corriente!BH174*MINVU_Mes_Constante!$BC$1</f>
        <v>111458245.49703287</v>
      </c>
      <c r="BI174" s="8">
        <f>+MINVU_Mes_Corriente!BI174*MINVU_Mes_Constante!$BC$1</f>
        <v>111458245.49703287</v>
      </c>
      <c r="BJ174" s="8">
        <f>+MINVU_Mes_Corriente!BJ174*MINVU_Mes_Constante!$BC$1</f>
        <v>110852511.68798631</v>
      </c>
      <c r="BK174" s="8">
        <f>+MINVU_Mes_Corriente!BK174*MINVU_Mes_Constante!$BC$1</f>
        <v>110852511.68798631</v>
      </c>
      <c r="BL174" s="8">
        <f>+MINVU_Mes_Corriente!BL174*MINVU_Mes_Constante!$BC$1</f>
        <v>111717024.41382042</v>
      </c>
      <c r="BM174" s="8">
        <f>+MINVU_Mes_Corriente!BM174*MINVU_Mes_Constante!$BC$1</f>
        <v>111717024.41382042</v>
      </c>
      <c r="BN174" s="8">
        <f>+MINVU_Mes_Corriente!BN174*MINVU_Mes_Constante!$BC$1</f>
        <v>111832609.76526444</v>
      </c>
      <c r="BO174" s="9">
        <f t="shared" si="137"/>
        <v>111832609.76526444</v>
      </c>
      <c r="BP174" s="8">
        <f>+MINVU_Mes_Corriente!BP174*MINVU_Mes_Constante!$BP$1</f>
        <v>106018440.46478875</v>
      </c>
      <c r="BQ174" s="8">
        <f>+MINVU_Mes_Corriente!BQ174*MINVU_Mes_Constante!$BP$1</f>
        <v>106018440.46478875</v>
      </c>
      <c r="BR174" s="8">
        <f>+MINVU_Mes_Corriente!BR174*MINVU_Mes_Constante!$BP$1</f>
        <v>106179044.27093472</v>
      </c>
      <c r="BS174" s="8">
        <f>+MINVU_Mes_Corriente!BS174*MINVU_Mes_Constante!$BP$1</f>
        <v>106179044.27093472</v>
      </c>
      <c r="BT174" s="8">
        <f>+MINVU_Mes_Corriente!BT174*MINVU_Mes_Constante!$BP$1</f>
        <v>106179044.27093472</v>
      </c>
      <c r="BU174" s="8">
        <f>+MINVU_Mes_Corriente!BU174*MINVU_Mes_Constante!$BP$1</f>
        <v>106179044.27093472</v>
      </c>
      <c r="BV174" s="8">
        <f>+MINVU_Mes_Corriente!BV174*MINVU_Mes_Constante!$BP$1</f>
        <v>103950586.54417415</v>
      </c>
      <c r="BW174" s="8">
        <f>+MINVU_Mes_Corriente!BW174*MINVU_Mes_Constante!$BP$1</f>
        <v>103950586.54417415</v>
      </c>
      <c r="BX174" s="8">
        <f>+MINVU_Mes_Corriente!BX174*MINVU_Mes_Constante!$BP$1</f>
        <v>98775348.845070437</v>
      </c>
      <c r="BY174" s="8">
        <f>+MINVU_Mes_Corriente!BY174*MINVU_Mes_Constante!$BP$1</f>
        <v>98775348.845070437</v>
      </c>
      <c r="BZ174" s="8">
        <f>+MINVU_Mes_Corriente!BZ174*MINVU_Mes_Constante!$BP$1</f>
        <v>98775348.845070437</v>
      </c>
      <c r="CA174" s="8">
        <f>+MINVU_Mes_Corriente!CA174*MINVU_Mes_Constante!$BP$1</f>
        <v>90508553.979257375</v>
      </c>
      <c r="CB174" s="9">
        <f t="shared" si="138"/>
        <v>90508553.979257375</v>
      </c>
      <c r="CC174" s="8">
        <f>+MINVU_Mes_Corriente!CC174*MINVU_Mes_Constante!$CC$1</f>
        <v>106048614.539351</v>
      </c>
      <c r="CD174" s="8">
        <f>+MINVU_Mes_Corriente!CD174*MINVU_Mes_Constante!$CC$1</f>
        <v>106048614.539351</v>
      </c>
      <c r="CE174" s="8">
        <f>+MINVU_Mes_Corriente!CE174*MINVU_Mes_Constante!$CC$1</f>
        <v>106048614.539351</v>
      </c>
      <c r="CF174" s="8">
        <f>+MINVU_Mes_Corriente!CF174*MINVU_Mes_Constante!$CC$1</f>
        <v>106157290.40656473</v>
      </c>
      <c r="CG174" s="8">
        <f>+MINVU_Mes_Corriente!CG174*MINVU_Mes_Constante!$CC$1</f>
        <v>80439308.085788891</v>
      </c>
      <c r="CH174" s="8">
        <f>+MINVU_Mes_Corriente!CH174*MINVU_Mes_Constante!$CC$1</f>
        <v>80439308.085788891</v>
      </c>
      <c r="CI174" s="8">
        <f>+MINVU_Mes_Corriente!CI174*MINVU_Mes_Constante!$CC$1</f>
        <v>80439308.085788891</v>
      </c>
      <c r="CJ174" s="8">
        <f>+MINVU_Mes_Corriente!CJ174*MINVU_Mes_Constante!$CC$1</f>
        <v>80439308.085788891</v>
      </c>
      <c r="CK174" s="8">
        <f>+MINVU_Mes_Corriente!CK174*MINVU_Mes_Constante!$CC$1</f>
        <v>80439308.085788891</v>
      </c>
      <c r="CL174" s="8">
        <f>+MINVU_Mes_Corriente!CL174*MINVU_Mes_Constante!$CC$1</f>
        <v>91382746.48713167</v>
      </c>
      <c r="CM174" s="8">
        <f>+MINVU_Mes_Corriente!CM174*MINVU_Mes_Constante!$CC$1</f>
        <v>89845674.416262597</v>
      </c>
      <c r="CN174" s="8">
        <f>+MINVU_Mes_Corriente!CN174*MINVU_Mes_Constante!$CC$1</f>
        <v>64364268.590824328</v>
      </c>
      <c r="CO174" s="9">
        <f t="shared" si="139"/>
        <v>64364268.590824328</v>
      </c>
      <c r="CP174" s="8">
        <f>+MINVU_Mes_Corriente!CP174*MINVU_Mes_Constante!$CP$1</f>
        <v>115667145.82691413</v>
      </c>
      <c r="CQ174" s="8">
        <f>+MINVU_Mes_Corriente!CQ174*MINVU_Mes_Constante!$CP$1</f>
        <v>115667145.82691413</v>
      </c>
      <c r="CR174" s="8">
        <f>+MINVU_Mes_Corriente!CR174*MINVU_Mes_Constante!$CP$1</f>
        <v>115869948.61113687</v>
      </c>
      <c r="CS174" s="8">
        <f>+MINVU_Mes_Corriente!CS174*MINVU_Mes_Constante!$CP$1</f>
        <v>116214220.28004637</v>
      </c>
      <c r="CT174" s="8">
        <f>+MINVU_Mes_Corriente!CT174*MINVU_Mes_Constante!$CP$1</f>
        <v>112885946.46960555</v>
      </c>
      <c r="CU174" s="8">
        <f>+MINVU_Mes_Corriente!CU174*MINVU_Mes_Constante!$CP$1</f>
        <v>112885946.46960555</v>
      </c>
      <c r="CV174" s="8">
        <f>+MINVU_Mes_Corriente!CV174*MINVU_Mes_Constante!$CP$1</f>
        <v>112885946.46960555</v>
      </c>
      <c r="CW174" s="8">
        <f>+MINVU_Mes_Corriente!CW174*MINVU_Mes_Constante!$CP$1</f>
        <v>91269704.706264481</v>
      </c>
      <c r="CX174" s="8">
        <f>+MINVU_Mes_Corriente!CX174*MINVU_Mes_Constante!$CP$1</f>
        <v>91269704.706264481</v>
      </c>
      <c r="CY174" s="8">
        <f>+MINVU_Mes_Corriente!CY174*MINVU_Mes_Constante!$CP$1</f>
        <v>91269704.706264481</v>
      </c>
      <c r="CZ174" s="8">
        <f>+MINVU_Mes_Corriente!CZ174*MINVU_Mes_Constante!$CP$1</f>
        <v>91254494.497447774</v>
      </c>
      <c r="DA174" s="8">
        <f>+MINVU_Mes_Corriente!DA174*MINVU_Mes_Constante!$CP$1</f>
        <v>89459194.25777261</v>
      </c>
      <c r="DB174" s="9">
        <f t="shared" si="140"/>
        <v>89459194.25777261</v>
      </c>
      <c r="DC174" s="8">
        <f>+MINVU_Mes_Corriente!DC174*MINVU_Mes_Constante!$DC$1</f>
        <v>77450892.638205975</v>
      </c>
      <c r="DD174" s="8">
        <f>+MINVU_Mes_Corriente!DD174*MINVU_Mes_Constante!$DC$1</f>
        <v>90307738.59520629</v>
      </c>
      <c r="DE174" s="8">
        <f>+MINVU_Mes_Corriente!DE174*MINVU_Mes_Constante!$DC$1</f>
        <v>90307738.59520629</v>
      </c>
      <c r="DF174" s="8">
        <f>+MINVU_Mes_Corriente!DF174*MINVU_Mes_Constante!$DC$1</f>
        <v>90307738.59520629</v>
      </c>
      <c r="DG174" s="8">
        <f>+MINVU_Mes_Corriente!DG174*MINVU_Mes_Constante!$DC$1</f>
        <v>91041822.827692673</v>
      </c>
      <c r="DH174" s="8">
        <f>+MINVU_Mes_Corriente!DH174*MINVU_Mes_Constante!$DC$1</f>
        <v>91041822.827692673</v>
      </c>
      <c r="DI174" s="8">
        <f>+MINVU_Mes_Corriente!DI174*MINVU_Mes_Constante!$DC$1</f>
        <v>91041822.827692673</v>
      </c>
      <c r="DJ174" s="8">
        <f>+MINVU_Mes_Corriente!DJ174*MINVU_Mes_Constante!$DC$1</f>
        <v>91041822.827692673</v>
      </c>
      <c r="DK174" s="8">
        <f>+MINVU_Mes_Corriente!DK174*MINVU_Mes_Constante!$DC$1</f>
        <v>87607005.833556265</v>
      </c>
      <c r="DL174" s="8">
        <f>+MINVU_Mes_Corriente!DL174*MINVU_Mes_Constante!$DC$1</f>
        <v>87607005.833556265</v>
      </c>
      <c r="DM174" s="8">
        <f>+MINVU_Mes_Corriente!DM174*MINVU_Mes_Constante!$DC$1</f>
        <v>87852525.563213706</v>
      </c>
      <c r="DN174" s="8">
        <f>+MINVU_Mes_Corriente!DN174*MINVU_Mes_Constante!$DC$1</f>
        <v>82721546.258409664</v>
      </c>
      <c r="DO174" s="9">
        <f t="shared" si="141"/>
        <v>82721546.258409664</v>
      </c>
      <c r="DP174" s="8">
        <f>+MINVU_Mes_Corriente!DP174*MINVU_Mes_Constante!$DP$1</f>
        <v>116585078.4726841</v>
      </c>
      <c r="DQ174" s="8">
        <f>+MINVU_Mes_Corriente!DQ174*MINVU_Mes_Constante!$DP$1</f>
        <v>117214973.61876486</v>
      </c>
      <c r="DR174" s="8">
        <f>+MINVU_Mes_Corriente!DR174*MINVU_Mes_Constante!$DP$1</f>
        <v>117214973.61876486</v>
      </c>
      <c r="DS174" s="8">
        <f>+MINVU_Mes_Corriente!DS174*MINVU_Mes_Constante!$DP$1</f>
        <v>117214973.61876486</v>
      </c>
      <c r="DT174" s="8">
        <f>+MINVU_Mes_Corriente!DT174*MINVU_Mes_Constante!$DP$1</f>
        <v>117214973.61876486</v>
      </c>
      <c r="DU174" s="8">
        <f>+MINVU_Mes_Corriente!DU174*MINVU_Mes_Constante!$DP$1</f>
        <v>117440758.15439431</v>
      </c>
      <c r="DV174" s="8">
        <f>+MINVU_Mes_Corriente!DV174*MINVU_Mes_Constante!$DP$1</f>
        <v>117862921.96852733</v>
      </c>
      <c r="DW174" s="8">
        <f>+MINVU_Mes_Corriente!DW174*MINVU_Mes_Constante!$DP$1</f>
        <v>117862921.96852733</v>
      </c>
      <c r="DX174" s="8">
        <f>+MINVU_Mes_Corriente!DX174*MINVU_Mes_Constante!$DP$1</f>
        <v>117862921.96852733</v>
      </c>
      <c r="DY174" s="8">
        <f>+MINVU_Mes_Corriente!DY174*MINVU_Mes_Constante!$DP$1</f>
        <v>117862921.96852733</v>
      </c>
      <c r="DZ174" s="8">
        <f>+MINVU_Mes_Corriente!DZ174*MINVU_Mes_Constante!$DP$1</f>
        <v>95399281.157957256</v>
      </c>
      <c r="EA174" s="8">
        <f>+MINVU_Mes_Corriente!EA174*MINVU_Mes_Constante!$DP$1</f>
        <v>103499044.82244657</v>
      </c>
      <c r="EB174" s="9">
        <f t="shared" si="142"/>
        <v>103499044.82244657</v>
      </c>
      <c r="EC174" s="8">
        <f>+MINVU_Mes_Corriente!EC174*MINVU_Mes_Constante!$EC$1</f>
        <v>127967635.40427946</v>
      </c>
      <c r="ED174" s="8">
        <f>+MINVU_Mes_Corriente!ED174*MINVU_Mes_Constante!$EC$1</f>
        <v>127967635.40427946</v>
      </c>
      <c r="EE174" s="8">
        <f>+MINVU_Mes_Corriente!EE174*MINVU_Mes_Constante!$EC$1</f>
        <v>129646916.70857789</v>
      </c>
      <c r="EF174" s="8">
        <f>+MINVU_Mes_Corriente!EF174*MINVU_Mes_Constante!$EC$1</f>
        <v>129646916.70857789</v>
      </c>
      <c r="EG174" s="8">
        <f>+MINVU_Mes_Corriente!EG174*MINVU_Mes_Constante!$EC$1</f>
        <v>129905936.97614084</v>
      </c>
      <c r="EH174" s="8">
        <f>+MINVU_Mes_Corriente!EH174*MINVU_Mes_Constante!$EC$1</f>
        <v>129905936.97614084</v>
      </c>
      <c r="EI174" s="8">
        <f>+MINVU_Mes_Corriente!EI174*MINVU_Mes_Constante!$EC$1</f>
        <v>129905936.97614084</v>
      </c>
      <c r="EJ174" s="8">
        <f>+MINVU_Mes_Corriente!EJ174*MINVU_Mes_Constante!$EC$1</f>
        <v>129905936.97614084</v>
      </c>
      <c r="EK174" s="8">
        <f>+MINVU_Mes_Corriente!EK174*MINVU_Mes_Constante!$EC$1</f>
        <v>129905936.97614084</v>
      </c>
      <c r="EL174" s="8">
        <f>+MINVU_Mes_Corriente!EL174*MINVU_Mes_Constante!$EC$1</f>
        <v>119225705.77049798</v>
      </c>
      <c r="EM174" s="8">
        <f>+MINVU_Mes_Corriente!EM174*MINVU_Mes_Constante!$EC$1</f>
        <v>119225705.77049798</v>
      </c>
      <c r="EN174" s="8">
        <f>+MINVU_Mes_Corriente!EN174*MINVU_Mes_Constante!$EC$1</f>
        <v>111060149.01552732</v>
      </c>
      <c r="EO174" s="9">
        <f t="shared" si="143"/>
        <v>111060149.01552732</v>
      </c>
      <c r="EP174" s="8">
        <f>+MINVU_Mes_Corriente!EP174*MINVU_Mes_Constante!$EP$1</f>
        <v>145360457</v>
      </c>
      <c r="EQ174" s="8">
        <f>+MINVU_Mes_Corriente!EQ174*MINVU_Mes_Constante!$EP$1</f>
        <v>145360457</v>
      </c>
      <c r="ER174" s="8">
        <f>+MINVU_Mes_Corriente!ER174*MINVU_Mes_Constante!$EP$1</f>
        <v>145818224</v>
      </c>
      <c r="ES174" s="8">
        <f>+MINVU_Mes_Corriente!ES174*MINVU_Mes_Constante!$EP$1</f>
        <v>147604105</v>
      </c>
      <c r="ET174" s="8">
        <f>+MINVU_Mes_Corriente!ET174*MINVU_Mes_Constante!$EP$1</f>
        <v>147604105</v>
      </c>
      <c r="EU174" s="8">
        <f>+MINVU_Mes_Corriente!EU174*MINVU_Mes_Constante!$EP$1</f>
        <v>147604105</v>
      </c>
      <c r="EV174" s="8">
        <f>+MINVU_Mes_Corriente!EV174*MINVU_Mes_Constante!$EP$1</f>
        <v>137115059</v>
      </c>
      <c r="EW174" s="8">
        <f>+MINVU_Mes_Corriente!EW174*MINVU_Mes_Constante!$EP$1</f>
        <v>137115059</v>
      </c>
      <c r="EX174" s="8">
        <f>+MINVU_Mes_Corriente!EX174*MINVU_Mes_Constante!$EP$1</f>
        <v>137115059</v>
      </c>
      <c r="EY174" s="8">
        <f>+MINVU_Mes_Corriente!EY174*MINVU_Mes_Constante!$EP$1</f>
        <v>127848797</v>
      </c>
      <c r="EZ174" s="8">
        <f>+MINVU_Mes_Corriente!EZ174*MINVU_Mes_Constante!$EP$1</f>
        <v>126672597</v>
      </c>
      <c r="FA174" s="8">
        <f>+MINVU_Mes_Corriente!FA174*MINVU_Mes_Constante!$EP$1</f>
        <v>122802073</v>
      </c>
      <c r="FB174" s="9">
        <f t="shared" si="144"/>
        <v>122802073</v>
      </c>
      <c r="FC174" s="8">
        <f>+MINVU_Mes_Corriente!FC174*MINVU_Mes_Constante!$FC$1</f>
        <v>135508027</v>
      </c>
      <c r="FD174" s="8">
        <f>+MINVU_Mes_Corriente!FD174*MINVU_Mes_Constante!$FC$1</f>
        <v>132508027</v>
      </c>
      <c r="FE174" s="8">
        <f>+MINVU_Mes_Corriente!FE174*MINVU_Mes_Constante!$FC$1</f>
        <v>132508027</v>
      </c>
      <c r="FF174" s="8">
        <f>+MINVU_Mes_Corriente!FF174*MINVU_Mes_Constante!$FC$1</f>
        <v>132508027</v>
      </c>
      <c r="FG174" s="8">
        <f>+MINVU_Mes_Corriente!FG174*MINVU_Mes_Constante!$FC$1</f>
        <v>132508027</v>
      </c>
      <c r="FH174" s="8">
        <f>+MINVU_Mes_Corriente!FH174*MINVU_Mes_Constante!$FC$1</f>
        <v>133330696</v>
      </c>
      <c r="FI174" s="8">
        <f>+MINVU_Mes_Corriente!FI174*MINVU_Mes_Constante!$FC$1</f>
        <v>133985654</v>
      </c>
      <c r="FJ174" s="8"/>
      <c r="FK174" s="8"/>
      <c r="FL174" s="8"/>
      <c r="FM174" s="8"/>
      <c r="FN174" s="8"/>
      <c r="FO174" s="9">
        <f t="shared" si="145"/>
        <v>133985654</v>
      </c>
    </row>
    <row r="175" spans="2:171" ht="14.25" customHeight="1" x14ac:dyDescent="0.3">
      <c r="B175" s="7" t="s">
        <v>50</v>
      </c>
      <c r="C175" s="8">
        <f>+MINVU_Mes_Corriente!C175*MINVU_Mes_Constante!$C$1</f>
        <v>136013951.6013644</v>
      </c>
      <c r="D175" s="8">
        <f>+MINVU_Mes_Corriente!D175*MINVU_Mes_Constante!$C$1</f>
        <v>136013951.6013644</v>
      </c>
      <c r="E175" s="8">
        <f>+MINVU_Mes_Corriente!E175*MINVU_Mes_Constante!$C$1</f>
        <v>136898755.05798608</v>
      </c>
      <c r="F175" s="8">
        <f>+MINVU_Mes_Corriente!F175*MINVU_Mes_Constante!$C$1</f>
        <v>136898755.05798608</v>
      </c>
      <c r="G175" s="8">
        <f>+MINVU_Mes_Corriente!G175*MINVU_Mes_Constante!$C$1</f>
        <v>136898755.05798608</v>
      </c>
      <c r="H175" s="8">
        <f>+MINVU_Mes_Corriente!H175*MINVU_Mes_Constante!$C$1</f>
        <v>121127658.19308914</v>
      </c>
      <c r="I175" s="8">
        <f>+MINVU_Mes_Corriente!I175*MINVU_Mes_Constante!$C$1</f>
        <v>121127658.19308914</v>
      </c>
      <c r="J175" s="8">
        <f>+MINVU_Mes_Corriente!J175*MINVU_Mes_Constante!$C$1</f>
        <v>121768696.64303724</v>
      </c>
      <c r="K175" s="8">
        <f>+MINVU_Mes_Corriente!K175*MINVU_Mes_Constante!$C$1</f>
        <v>118114485.16772951</v>
      </c>
      <c r="L175" s="8">
        <f>+MINVU_Mes_Corriente!L175*MINVU_Mes_Constante!$C$1</f>
        <v>118137170.02610116</v>
      </c>
      <c r="M175" s="8">
        <f>+MINVU_Mes_Corriente!M175*MINVU_Mes_Constante!$C$1</f>
        <v>139286987.78110635</v>
      </c>
      <c r="N175" s="8">
        <f>+MINVU_Mes_Corriente!N175*MINVU_Mes_Constante!$C$1</f>
        <v>138348014.50304022</v>
      </c>
      <c r="O175" s="9">
        <f t="shared" si="133"/>
        <v>138348014.50304022</v>
      </c>
      <c r="P175" s="8">
        <f>+MINVU_Mes_Corriente!P175*MINVU_Mes_Constante!$P$1</f>
        <v>199258972.29947427</v>
      </c>
      <c r="Q175" s="8">
        <f>+MINVU_Mes_Corriente!Q175*MINVU_Mes_Constante!$P$1</f>
        <v>201259883.16721117</v>
      </c>
      <c r="R175" s="8">
        <f>+MINVU_Mes_Corriente!R175*MINVU_Mes_Constante!$P$1</f>
        <v>201259883.16721117</v>
      </c>
      <c r="S175" s="8">
        <f>+MINVU_Mes_Corriente!S175*MINVU_Mes_Constante!$P$1</f>
        <v>200692917.05497932</v>
      </c>
      <c r="T175" s="8">
        <f>+MINVU_Mes_Corriente!T175*MINVU_Mes_Constante!$P$1</f>
        <v>200692917.05497932</v>
      </c>
      <c r="U175" s="8">
        <f>+MINVU_Mes_Corriente!U175*MINVU_Mes_Constante!$P$1</f>
        <v>154620484.97712737</v>
      </c>
      <c r="V175" s="8">
        <f>+MINVU_Mes_Corriente!V175*MINVU_Mes_Constante!$P$1</f>
        <v>154620484.97712737</v>
      </c>
      <c r="W175" s="8">
        <f>+MINVU_Mes_Corriente!W175*MINVU_Mes_Constante!$P$1</f>
        <v>154620484.97712737</v>
      </c>
      <c r="X175" s="8">
        <f>+MINVU_Mes_Corriente!X175*MINVU_Mes_Constante!$P$1</f>
        <v>155428911.18795279</v>
      </c>
      <c r="Y175" s="8">
        <f>+MINVU_Mes_Corriente!Y175*MINVU_Mes_Constante!$P$1</f>
        <v>155428911.18795279</v>
      </c>
      <c r="Z175" s="8">
        <f>+MINVU_Mes_Corriente!Z175*MINVU_Mes_Constante!$P$1</f>
        <v>155633802.79187378</v>
      </c>
      <c r="AA175" s="8">
        <f>+MINVU_Mes_Corriente!AA175*MINVU_Mes_Constante!$P$1</f>
        <v>156349184.93138224</v>
      </c>
      <c r="AB175" s="9">
        <f t="shared" si="134"/>
        <v>156349184.93138224</v>
      </c>
      <c r="AC175" s="8">
        <f>+MINVU_Mes_Corriente!AC175*MINVU_Mes_Constante!$AC$1</f>
        <v>167022598.61391616</v>
      </c>
      <c r="AD175" s="8">
        <f>+MINVU_Mes_Corriente!AD175*MINVU_Mes_Constante!$AC$1</f>
        <v>168165499.9288975</v>
      </c>
      <c r="AE175" s="8">
        <f>+MINVU_Mes_Corriente!AE175*MINVU_Mes_Constante!$AC$1</f>
        <v>168165499.9288975</v>
      </c>
      <c r="AF175" s="8">
        <f>+MINVU_Mes_Corriente!AF175*MINVU_Mes_Constante!$AC$1</f>
        <v>163933545.30170149</v>
      </c>
      <c r="AG175" s="8">
        <f>+MINVU_Mes_Corriente!AG175*MINVU_Mes_Constante!$AC$1</f>
        <v>164009115.92004427</v>
      </c>
      <c r="AH175" s="8">
        <f>+MINVU_Mes_Corriente!AH175*MINVU_Mes_Constante!$AC$1</f>
        <v>166319728.38400885</v>
      </c>
      <c r="AI175" s="8">
        <f>+MINVU_Mes_Corriente!AI175*MINVU_Mes_Constante!$AC$1</f>
        <v>163822497.30087149</v>
      </c>
      <c r="AJ175" s="8">
        <f>+MINVU_Mes_Corriente!AJ175*MINVU_Mes_Constante!$AC$1</f>
        <v>163867839.67187715</v>
      </c>
      <c r="AK175" s="8">
        <f>+MINVU_Mes_Corriente!AK175*MINVU_Mes_Constante!$AC$1</f>
        <v>163867839.67187715</v>
      </c>
      <c r="AL175" s="8">
        <f>+MINVU_Mes_Corriente!AL175*MINVU_Mes_Constante!$AC$1</f>
        <v>164256272.65015909</v>
      </c>
      <c r="AM175" s="8">
        <f>+MINVU_Mes_Corriente!AM175*MINVU_Mes_Constante!$AC$1</f>
        <v>164286500.89749619</v>
      </c>
      <c r="AN175" s="8">
        <f>+MINVU_Mes_Corriente!AN175*MINVU_Mes_Constante!$AC$1</f>
        <v>168432292.9284825</v>
      </c>
      <c r="AO175" s="9">
        <f t="shared" si="135"/>
        <v>168432292.9284825</v>
      </c>
      <c r="AP175" s="8">
        <f>+MINVU_Mes_Corriente!AP175*MINVU_Mes_Constante!$AP$1</f>
        <v>139864055.56824023</v>
      </c>
      <c r="AQ175" s="8">
        <f>+MINVU_Mes_Corriente!AQ175*MINVU_Mes_Constante!$AP$1</f>
        <v>140447924.86974165</v>
      </c>
      <c r="AR175" s="8">
        <f>+MINVU_Mes_Corriente!AR175*MINVU_Mes_Constante!$AP$1</f>
        <v>141002317.76518327</v>
      </c>
      <c r="AS175" s="8">
        <f>+MINVU_Mes_Corriente!AS175*MINVU_Mes_Constante!$AP$1</f>
        <v>141002317.76518327</v>
      </c>
      <c r="AT175" s="8">
        <f>+MINVU_Mes_Corriente!AT175*MINVU_Mes_Constante!$AP$1</f>
        <v>141002317.76518327</v>
      </c>
      <c r="AU175" s="8">
        <f>+MINVU_Mes_Corriente!AU175*MINVU_Mes_Constante!$AP$1</f>
        <v>141531911.75896117</v>
      </c>
      <c r="AV175" s="8">
        <f>+MINVU_Mes_Corriente!AV175*MINVU_Mes_Constante!$AP$1</f>
        <v>141531911.75896117</v>
      </c>
      <c r="AW175" s="8">
        <f>+MINVU_Mes_Corriente!AW175*MINVU_Mes_Constante!$AP$1</f>
        <v>142431869.51629919</v>
      </c>
      <c r="AX175" s="8">
        <f>+MINVU_Mes_Corriente!AX175*MINVU_Mes_Constante!$AP$1</f>
        <v>142431869.51629919</v>
      </c>
      <c r="AY175" s="8">
        <f>+MINVU_Mes_Corriente!AY175*MINVU_Mes_Constante!$AP$1</f>
        <v>143451609.81117272</v>
      </c>
      <c r="AZ175" s="8">
        <f>+MINVU_Mes_Corriente!AZ175*MINVU_Mes_Constante!$AP$1</f>
        <v>145888132.93520898</v>
      </c>
      <c r="BA175" s="8">
        <f>+MINVU_Mes_Corriente!BA175*MINVU_Mes_Constante!$AP$1</f>
        <v>152728370.53131339</v>
      </c>
      <c r="BB175" s="9">
        <f t="shared" si="136"/>
        <v>152728370.53131339</v>
      </c>
      <c r="BC175" s="8">
        <f>+MINVU_Mes_Corriente!BC175*MINVU_Mes_Constante!$BC$1</f>
        <v>177556888.60820261</v>
      </c>
      <c r="BD175" s="8">
        <f>+MINVU_Mes_Corriente!BD175*MINVU_Mes_Constante!$BC$1</f>
        <v>177915521.62653309</v>
      </c>
      <c r="BE175" s="8">
        <f>+MINVU_Mes_Corriente!BE175*MINVU_Mes_Constante!$BC$1</f>
        <v>177915521.62653309</v>
      </c>
      <c r="BF175" s="8">
        <f>+MINVU_Mes_Corriente!BF175*MINVU_Mes_Constante!$BC$1</f>
        <v>177915521.62653309</v>
      </c>
      <c r="BG175" s="8">
        <f>+MINVU_Mes_Corriente!BG175*MINVU_Mes_Constante!$BC$1</f>
        <v>177915521.62653309</v>
      </c>
      <c r="BH175" s="8">
        <f>+MINVU_Mes_Corriente!BH175*MINVU_Mes_Constante!$BC$1</f>
        <v>177915521.62653309</v>
      </c>
      <c r="BI175" s="8">
        <f>+MINVU_Mes_Corriente!BI175*MINVU_Mes_Constante!$BC$1</f>
        <v>178084664.98219708</v>
      </c>
      <c r="BJ175" s="8">
        <f>+MINVU_Mes_Corriente!BJ175*MINVU_Mes_Constante!$BC$1</f>
        <v>173762101.35302654</v>
      </c>
      <c r="BK175" s="8">
        <f>+MINVU_Mes_Corriente!BK175*MINVU_Mes_Constante!$BC$1</f>
        <v>173762101.35302654</v>
      </c>
      <c r="BL175" s="8">
        <f>+MINVU_Mes_Corriente!BL175*MINVU_Mes_Constante!$BC$1</f>
        <v>171600819.5384413</v>
      </c>
      <c r="BM175" s="8">
        <f>+MINVU_Mes_Corriente!BM175*MINVU_Mes_Constante!$BC$1</f>
        <v>171600819.5384413</v>
      </c>
      <c r="BN175" s="8">
        <f>+MINVU_Mes_Corriente!BN175*MINVU_Mes_Constante!$BC$1</f>
        <v>167967127.02545172</v>
      </c>
      <c r="BO175" s="9">
        <f t="shared" si="137"/>
        <v>167967127.02545172</v>
      </c>
      <c r="BP175" s="8">
        <f>+MINVU_Mes_Corriente!BP175*MINVU_Mes_Constante!$BP$1</f>
        <v>159186396.17131883</v>
      </c>
      <c r="BQ175" s="8">
        <f>+MINVU_Mes_Corriente!BQ175*MINVU_Mes_Constante!$BP$1</f>
        <v>159186396.17131883</v>
      </c>
      <c r="BR175" s="8">
        <f>+MINVU_Mes_Corriente!BR175*MINVU_Mes_Constante!$BP$1</f>
        <v>160306071.9464789</v>
      </c>
      <c r="BS175" s="8">
        <f>+MINVU_Mes_Corriente!BS175*MINVU_Mes_Constante!$BP$1</f>
        <v>160306071.9464789</v>
      </c>
      <c r="BT175" s="8">
        <f>+MINVU_Mes_Corriente!BT175*MINVU_Mes_Constante!$BP$1</f>
        <v>160306071.9464789</v>
      </c>
      <c r="BU175" s="8">
        <f>+MINVU_Mes_Corriente!BU175*MINVU_Mes_Constante!$BP$1</f>
        <v>160306071.9464789</v>
      </c>
      <c r="BV175" s="8">
        <f>+MINVU_Mes_Corriente!BV175*MINVU_Mes_Constante!$BP$1</f>
        <v>164047935.95953906</v>
      </c>
      <c r="BW175" s="8">
        <f>+MINVU_Mes_Corriente!BW175*MINVU_Mes_Constante!$BP$1</f>
        <v>163376427.63687581</v>
      </c>
      <c r="BX175" s="8">
        <f>+MINVU_Mes_Corriente!BX175*MINVU_Mes_Constante!$BP$1</f>
        <v>170469234.29500642</v>
      </c>
      <c r="BY175" s="8">
        <f>+MINVU_Mes_Corriente!BY175*MINVU_Mes_Constante!$BP$1</f>
        <v>170469234.29500642</v>
      </c>
      <c r="BZ175" s="8">
        <f>+MINVU_Mes_Corriente!BZ175*MINVU_Mes_Constante!$BP$1</f>
        <v>170469234.29500642</v>
      </c>
      <c r="CA175" s="8">
        <f>+MINVU_Mes_Corriente!CA175*MINVU_Mes_Constante!$BP$1</f>
        <v>183051042.3149808</v>
      </c>
      <c r="CB175" s="9">
        <f t="shared" si="138"/>
        <v>183051042.3149808</v>
      </c>
      <c r="CC175" s="8">
        <f>+MINVU_Mes_Corriente!CC175*MINVU_Mes_Constante!$CC$1</f>
        <v>158754315.41066769</v>
      </c>
      <c r="CD175" s="8">
        <f>+MINVU_Mes_Corriente!CD175*MINVU_Mes_Constante!$CC$1</f>
        <v>158754315.41066769</v>
      </c>
      <c r="CE175" s="8">
        <f>+MINVU_Mes_Corriente!CE175*MINVU_Mes_Constante!$CC$1</f>
        <v>158754315.41066769</v>
      </c>
      <c r="CF175" s="8">
        <f>+MINVU_Mes_Corriente!CF175*MINVU_Mes_Constante!$CC$1</f>
        <v>197634750.62886983</v>
      </c>
      <c r="CG175" s="8">
        <f>+MINVU_Mes_Corriente!CG175*MINVU_Mes_Constante!$CC$1</f>
        <v>149755165.70533386</v>
      </c>
      <c r="CH175" s="8">
        <f>+MINVU_Mes_Corriente!CH175*MINVU_Mes_Constante!$CC$1</f>
        <v>149755165.70533386</v>
      </c>
      <c r="CI175" s="8">
        <f>+MINVU_Mes_Corriente!CI175*MINVU_Mes_Constante!$CC$1</f>
        <v>149755165.70533386</v>
      </c>
      <c r="CJ175" s="8">
        <f>+MINVU_Mes_Corriente!CJ175*MINVU_Mes_Constante!$CC$1</f>
        <v>149755165.70533386</v>
      </c>
      <c r="CK175" s="8">
        <f>+MINVU_Mes_Corriente!CK175*MINVU_Mes_Constante!$CC$1</f>
        <v>150298545.04140249</v>
      </c>
      <c r="CL175" s="8">
        <f>+MINVU_Mes_Corriente!CL175*MINVU_Mes_Constante!$CC$1</f>
        <v>185009892.7944797</v>
      </c>
      <c r="CM175" s="8">
        <f>+MINVU_Mes_Corriente!CM175*MINVU_Mes_Constante!$CC$1</f>
        <v>185018043.4845207</v>
      </c>
      <c r="CN175" s="8">
        <f>+MINVU_Mes_Corriente!CN175*MINVU_Mes_Constante!$CC$1</f>
        <v>182753861.93957481</v>
      </c>
      <c r="CO175" s="9">
        <f t="shared" si="139"/>
        <v>182753861.93957481</v>
      </c>
      <c r="CP175" s="8">
        <f>+MINVU_Mes_Corriente!CP175*MINVU_Mes_Constante!$CP$1</f>
        <v>157693486.41229695</v>
      </c>
      <c r="CQ175" s="8">
        <f>+MINVU_Mes_Corriente!CQ175*MINVU_Mes_Constante!$CP$1</f>
        <v>157693486.41229695</v>
      </c>
      <c r="CR175" s="8">
        <f>+MINVU_Mes_Corriente!CR175*MINVU_Mes_Constante!$CP$1</f>
        <v>157703626.5515081</v>
      </c>
      <c r="CS175" s="8">
        <f>+MINVU_Mes_Corriente!CS175*MINVU_Mes_Constante!$CP$1</f>
        <v>158237086.60023198</v>
      </c>
      <c r="CT175" s="8">
        <f>+MINVU_Mes_Corriente!CT175*MINVU_Mes_Constante!$CP$1</f>
        <v>158378234.80301622</v>
      </c>
      <c r="CU175" s="8">
        <f>+MINVU_Mes_Corriente!CU175*MINVU_Mes_Constante!$CP$1</f>
        <v>158378234.80301622</v>
      </c>
      <c r="CV175" s="8">
        <f>+MINVU_Mes_Corriente!CV175*MINVU_Mes_Constante!$CP$1</f>
        <v>158378234.80301622</v>
      </c>
      <c r="CW175" s="8">
        <f>+MINVU_Mes_Corriente!CW175*MINVU_Mes_Constante!$CP$1</f>
        <v>177247766.35754058</v>
      </c>
      <c r="CX175" s="8">
        <f>+MINVU_Mes_Corriente!CX175*MINVU_Mes_Constante!$CP$1</f>
        <v>177247766.35754058</v>
      </c>
      <c r="CY175" s="8">
        <f>+MINVU_Mes_Corriente!CY175*MINVU_Mes_Constante!$CP$1</f>
        <v>177385925.75429231</v>
      </c>
      <c r="CZ175" s="8">
        <f>+MINVU_Mes_Corriente!CZ175*MINVU_Mes_Constante!$CP$1</f>
        <v>177354237.8192575</v>
      </c>
      <c r="DA175" s="8">
        <f>+MINVU_Mes_Corriente!DA175*MINVU_Mes_Constante!$CP$1</f>
        <v>171801629.40904868</v>
      </c>
      <c r="DB175" s="9">
        <f t="shared" si="140"/>
        <v>171801629.40904868</v>
      </c>
      <c r="DC175" s="8">
        <f>+MINVU_Mes_Corriente!DC175*MINVU_Mes_Constante!$DC$1</f>
        <v>186782591.07108331</v>
      </c>
      <c r="DD175" s="8">
        <f>+MINVU_Mes_Corriente!DD175*MINVU_Mes_Constante!$DC$1</f>
        <v>198617620.55879036</v>
      </c>
      <c r="DE175" s="8">
        <f>+MINVU_Mes_Corriente!DE175*MINVU_Mes_Constante!$DC$1</f>
        <v>198617620.55879036</v>
      </c>
      <c r="DF175" s="8">
        <f>+MINVU_Mes_Corriente!DF175*MINVU_Mes_Constante!$DC$1</f>
        <v>198617620.55879036</v>
      </c>
      <c r="DG175" s="8">
        <f>+MINVU_Mes_Corriente!DG175*MINVU_Mes_Constante!$DC$1</f>
        <v>198617620.55879036</v>
      </c>
      <c r="DH175" s="8">
        <f>+MINVU_Mes_Corriente!DH175*MINVU_Mes_Constante!$DC$1</f>
        <v>198617620.55879036</v>
      </c>
      <c r="DI175" s="8">
        <f>+MINVU_Mes_Corriente!DI175*MINVU_Mes_Constante!$DC$1</f>
        <v>198617620.55879036</v>
      </c>
      <c r="DJ175" s="8">
        <f>+MINVU_Mes_Corriente!DJ175*MINVU_Mes_Constante!$DC$1</f>
        <v>198617620.55879036</v>
      </c>
      <c r="DK175" s="8">
        <f>+MINVU_Mes_Corriente!DK175*MINVU_Mes_Constante!$DC$1</f>
        <v>212846934.41538948</v>
      </c>
      <c r="DL175" s="8">
        <f>+MINVU_Mes_Corriente!DL175*MINVU_Mes_Constante!$DC$1</f>
        <v>212846934.41538948</v>
      </c>
      <c r="DM175" s="8">
        <f>+MINVU_Mes_Corriente!DM175*MINVU_Mes_Constante!$DC$1</f>
        <v>213073949.29328269</v>
      </c>
      <c r="DN175" s="8">
        <f>+MINVU_Mes_Corriente!DN175*MINVU_Mes_Constante!$DC$1</f>
        <v>209691669.4885301</v>
      </c>
      <c r="DO175" s="9">
        <f t="shared" si="141"/>
        <v>209691669.4885301</v>
      </c>
      <c r="DP175" s="8">
        <f>+MINVU_Mes_Corriente!DP175*MINVU_Mes_Constante!$DP$1</f>
        <v>216087420.82660335</v>
      </c>
      <c r="DQ175" s="8">
        <f>+MINVU_Mes_Corriente!DQ175*MINVU_Mes_Constante!$DP$1</f>
        <v>216532519.07600951</v>
      </c>
      <c r="DR175" s="8">
        <f>+MINVU_Mes_Corriente!DR175*MINVU_Mes_Constante!$DP$1</f>
        <v>216532519.07600951</v>
      </c>
      <c r="DS175" s="8">
        <f>+MINVU_Mes_Corriente!DS175*MINVU_Mes_Constante!$DP$1</f>
        <v>216824872.84026131</v>
      </c>
      <c r="DT175" s="8">
        <f>+MINVU_Mes_Corriente!DT175*MINVU_Mes_Constante!$DP$1</f>
        <v>216824872.84026131</v>
      </c>
      <c r="DU175" s="8">
        <f>+MINVU_Mes_Corriente!DU175*MINVU_Mes_Constante!$DP$1</f>
        <v>225475704.19418055</v>
      </c>
      <c r="DV175" s="8">
        <f>+MINVU_Mes_Corriente!DV175*MINVU_Mes_Constante!$DP$1</f>
        <v>225475704.19418055</v>
      </c>
      <c r="DW175" s="8">
        <f>+MINVU_Mes_Corriente!DW175*MINVU_Mes_Constante!$DP$1</f>
        <v>225475704.19418055</v>
      </c>
      <c r="DX175" s="8">
        <f>+MINVU_Mes_Corriente!DX175*MINVU_Mes_Constante!$DP$1</f>
        <v>225475704.19418055</v>
      </c>
      <c r="DY175" s="8">
        <f>+MINVU_Mes_Corriente!DY175*MINVU_Mes_Constante!$DP$1</f>
        <v>225475704.19418055</v>
      </c>
      <c r="DZ175" s="8">
        <f>+MINVU_Mes_Corriente!DZ175*MINVU_Mes_Constante!$DP$1</f>
        <v>210523564.02790976</v>
      </c>
      <c r="EA175" s="8">
        <f>+MINVU_Mes_Corriente!EA175*MINVU_Mes_Constante!$DP$1</f>
        <v>209961880.68705466</v>
      </c>
      <c r="EB175" s="9">
        <f t="shared" si="142"/>
        <v>209961880.68705466</v>
      </c>
      <c r="EC175" s="8">
        <f>+MINVU_Mes_Corriente!EC175*MINVU_Mes_Constante!$EC$1</f>
        <v>233551837.07877287</v>
      </c>
      <c r="ED175" s="8">
        <f>+MINVU_Mes_Corriente!ED175*MINVU_Mes_Constante!$EC$1</f>
        <v>233551837.07877287</v>
      </c>
      <c r="EE175" s="8">
        <f>+MINVU_Mes_Corriente!EE175*MINVU_Mes_Constante!$EC$1</f>
        <v>234248737.33042976</v>
      </c>
      <c r="EF175" s="8">
        <f>+MINVU_Mes_Corriente!EF175*MINVU_Mes_Constante!$EC$1</f>
        <v>234248737.33042976</v>
      </c>
      <c r="EG175" s="8">
        <f>+MINVU_Mes_Corriente!EG175*MINVU_Mes_Constante!$EC$1</f>
        <v>234248737.33042976</v>
      </c>
      <c r="EH175" s="8">
        <f>+MINVU_Mes_Corriente!EH175*MINVU_Mes_Constante!$EC$1</f>
        <v>234248737.33042976</v>
      </c>
      <c r="EI175" s="8">
        <f>+MINVU_Mes_Corriente!EI175*MINVU_Mes_Constante!$EC$1</f>
        <v>234831606.63794729</v>
      </c>
      <c r="EJ175" s="8">
        <f>+MINVU_Mes_Corriente!EJ175*MINVU_Mes_Constante!$EC$1</f>
        <v>278890206.13008893</v>
      </c>
      <c r="EK175" s="8">
        <f>+MINVU_Mes_Corriente!EK175*MINVU_Mes_Constante!$EC$1</f>
        <v>278890206.13008893</v>
      </c>
      <c r="EL175" s="8">
        <f>+MINVU_Mes_Corriente!EL175*MINVU_Mes_Constante!$EC$1</f>
        <v>277325179.21397454</v>
      </c>
      <c r="EM175" s="8">
        <f>+MINVU_Mes_Corriente!EM175*MINVU_Mes_Constante!$EC$1</f>
        <v>277325179.21397454</v>
      </c>
      <c r="EN175" s="8">
        <f>+MINVU_Mes_Corriente!EN175*MINVU_Mes_Constante!$EC$1</f>
        <v>233918474.61882213</v>
      </c>
      <c r="EO175" s="9">
        <f t="shared" si="143"/>
        <v>233918474.61882213</v>
      </c>
      <c r="EP175" s="8">
        <f>+MINVU_Mes_Corriente!EP175*MINVU_Mes_Constante!$EP$1</f>
        <v>286562984</v>
      </c>
      <c r="EQ175" s="8">
        <f>+MINVU_Mes_Corriente!EQ175*MINVU_Mes_Constante!$EP$1</f>
        <v>330490553</v>
      </c>
      <c r="ER175" s="8">
        <f>+MINVU_Mes_Corriente!ER175*MINVU_Mes_Constante!$EP$1</f>
        <v>330490553</v>
      </c>
      <c r="ES175" s="8">
        <f>+MINVU_Mes_Corriente!ES175*MINVU_Mes_Constante!$EP$1</f>
        <v>330490553</v>
      </c>
      <c r="ET175" s="8">
        <f>+MINVU_Mes_Corriente!ET175*MINVU_Mes_Constante!$EP$1</f>
        <v>330490553</v>
      </c>
      <c r="EU175" s="8">
        <f>+MINVU_Mes_Corriente!EU175*MINVU_Mes_Constante!$EP$1</f>
        <v>330544553</v>
      </c>
      <c r="EV175" s="8">
        <f>+MINVU_Mes_Corriente!EV175*MINVU_Mes_Constante!$EP$1</f>
        <v>325783217</v>
      </c>
      <c r="EW175" s="8">
        <f>+MINVU_Mes_Corriente!EW175*MINVU_Mes_Constante!$EP$1</f>
        <v>325783217</v>
      </c>
      <c r="EX175" s="8">
        <f>+MINVU_Mes_Corriente!EX175*MINVU_Mes_Constante!$EP$1</f>
        <v>325783217</v>
      </c>
      <c r="EY175" s="8">
        <f>+MINVU_Mes_Corriente!EY175*MINVU_Mes_Constante!$EP$1</f>
        <v>314639115</v>
      </c>
      <c r="EZ175" s="8">
        <f>+MINVU_Mes_Corriente!EZ175*MINVU_Mes_Constante!$EP$1</f>
        <v>319715115</v>
      </c>
      <c r="FA175" s="8">
        <f>+MINVU_Mes_Corriente!FA175*MINVU_Mes_Constante!$EP$1</f>
        <v>287629766</v>
      </c>
      <c r="FB175" s="9">
        <f t="shared" si="144"/>
        <v>287629766</v>
      </c>
      <c r="FC175" s="8">
        <f>+MINVU_Mes_Corriente!FC175*MINVU_Mes_Constante!$FC$1</f>
        <v>303922147</v>
      </c>
      <c r="FD175" s="8">
        <f>+MINVU_Mes_Corriente!FD175*MINVU_Mes_Constante!$FC$1</f>
        <v>299922147</v>
      </c>
      <c r="FE175" s="8">
        <f>+MINVU_Mes_Corriente!FE175*MINVU_Mes_Constante!$FC$1</f>
        <v>299922147</v>
      </c>
      <c r="FF175" s="8">
        <f>+MINVU_Mes_Corriente!FF175*MINVU_Mes_Constante!$FC$1</f>
        <v>299922147</v>
      </c>
      <c r="FG175" s="8">
        <f>+MINVU_Mes_Corriente!FG175*MINVU_Mes_Constante!$FC$1</f>
        <v>299603973</v>
      </c>
      <c r="FH175" s="8">
        <f>+MINVU_Mes_Corriente!FH175*MINVU_Mes_Constante!$FC$1</f>
        <v>299576213</v>
      </c>
      <c r="FI175" s="8">
        <f>+MINVU_Mes_Corriente!FI175*MINVU_Mes_Constante!$FC$1</f>
        <v>299775335</v>
      </c>
      <c r="FJ175" s="8"/>
      <c r="FK175" s="8"/>
      <c r="FL175" s="8"/>
      <c r="FM175" s="8"/>
      <c r="FN175" s="8"/>
      <c r="FO175" s="9">
        <f t="shared" si="145"/>
        <v>299775335</v>
      </c>
    </row>
    <row r="176" spans="2:171" ht="14.25" customHeight="1" x14ac:dyDescent="0.3">
      <c r="B176" s="7" t="s">
        <v>51</v>
      </c>
      <c r="C176" s="8">
        <f>+MINVU_Mes_Corriente!C176*MINVU_Mes_Constante!$C$1</f>
        <v>390015925.14607745</v>
      </c>
      <c r="D176" s="8">
        <f>+MINVU_Mes_Corriente!D176*MINVU_Mes_Constante!$C$1</f>
        <v>390015925.14607745</v>
      </c>
      <c r="E176" s="8">
        <f>+MINVU_Mes_Corriente!E176*MINVU_Mes_Constante!$C$1</f>
        <v>377872509.81462264</v>
      </c>
      <c r="F176" s="8">
        <f>+MINVU_Mes_Corriente!F176*MINVU_Mes_Constante!$C$1</f>
        <v>377872509.81462264</v>
      </c>
      <c r="G176" s="8">
        <f>+MINVU_Mes_Corriente!G176*MINVU_Mes_Constante!$C$1</f>
        <v>377872509.81462264</v>
      </c>
      <c r="H176" s="8">
        <f>+MINVU_Mes_Corriente!H176*MINVU_Mes_Constante!$C$1</f>
        <v>351117701.04968119</v>
      </c>
      <c r="I176" s="8">
        <f>+MINVU_Mes_Corriente!I176*MINVU_Mes_Constante!$C$1</f>
        <v>351117701.04968119</v>
      </c>
      <c r="J176" s="8">
        <f>+MINVU_Mes_Corriente!J176*MINVU_Mes_Constante!$C$1</f>
        <v>352480736.96841174</v>
      </c>
      <c r="K176" s="8">
        <f>+MINVU_Mes_Corriente!K176*MINVU_Mes_Constante!$C$1</f>
        <v>419791182.29452771</v>
      </c>
      <c r="L176" s="8">
        <f>+MINVU_Mes_Corriente!L176*MINVU_Mes_Constante!$C$1</f>
        <v>405544169.25967675</v>
      </c>
      <c r="M176" s="8">
        <f>+MINVU_Mes_Corriente!M176*MINVU_Mes_Constante!$C$1</f>
        <v>406759901.05057102</v>
      </c>
      <c r="N176" s="8">
        <f>+MINVU_Mes_Corriente!N176*MINVU_Mes_Constante!$C$1</f>
        <v>424642248.51787043</v>
      </c>
      <c r="O176" s="9">
        <f t="shared" si="133"/>
        <v>424642248.51787043</v>
      </c>
      <c r="P176" s="8">
        <f>+MINVU_Mes_Corriente!P176*MINVU_Mes_Constante!$P$1</f>
        <v>400319426.08665991</v>
      </c>
      <c r="Q176" s="8">
        <f>+MINVU_Mes_Corriente!Q176*MINVU_Mes_Constante!$P$1</f>
        <v>413731636.68816578</v>
      </c>
      <c r="R176" s="8">
        <f>+MINVU_Mes_Corriente!R176*MINVU_Mes_Constante!$P$1</f>
        <v>396962365.63233399</v>
      </c>
      <c r="S176" s="8">
        <f>+MINVU_Mes_Corriente!S176*MINVU_Mes_Constante!$P$1</f>
        <v>396962365.63233399</v>
      </c>
      <c r="T176" s="8">
        <f>+MINVU_Mes_Corriente!T176*MINVU_Mes_Constante!$P$1</f>
        <v>396962365.63233399</v>
      </c>
      <c r="U176" s="8">
        <f>+MINVU_Mes_Corriente!U176*MINVU_Mes_Constante!$P$1</f>
        <v>410435865.2109673</v>
      </c>
      <c r="V176" s="8">
        <f>+MINVU_Mes_Corriente!V176*MINVU_Mes_Constante!$P$1</f>
        <v>408626858.61343926</v>
      </c>
      <c r="W176" s="8">
        <f>+MINVU_Mes_Corriente!W176*MINVU_Mes_Constante!$P$1</f>
        <v>408626858.61343926</v>
      </c>
      <c r="X176" s="8">
        <f>+MINVU_Mes_Corriente!X176*MINVU_Mes_Constante!$P$1</f>
        <v>407053843.68177283</v>
      </c>
      <c r="Y176" s="8">
        <f>+MINVU_Mes_Corriente!Y176*MINVU_Mes_Constante!$P$1</f>
        <v>407053843.68177283</v>
      </c>
      <c r="Z176" s="8">
        <f>+MINVU_Mes_Corriente!Z176*MINVU_Mes_Constante!$P$1</f>
        <v>407216825.63943726</v>
      </c>
      <c r="AA176" s="8">
        <f>+MINVU_Mes_Corriente!AA176*MINVU_Mes_Constante!$P$1</f>
        <v>398349515.93947989</v>
      </c>
      <c r="AB176" s="9">
        <f t="shared" si="134"/>
        <v>398349515.93947989</v>
      </c>
      <c r="AC176" s="8">
        <f>+MINVU_Mes_Corriente!AC176*MINVU_Mes_Constante!$AC$1</f>
        <v>438971858.57047999</v>
      </c>
      <c r="AD176" s="8">
        <f>+MINVU_Mes_Corriente!AD176*MINVU_Mes_Constante!$AC$1</f>
        <v>433400206.15825146</v>
      </c>
      <c r="AE176" s="8">
        <f>+MINVU_Mes_Corriente!AE176*MINVU_Mes_Constante!$AC$1</f>
        <v>433400206.15825146</v>
      </c>
      <c r="AF176" s="8">
        <f>+MINVU_Mes_Corriente!AF176*MINVU_Mes_Constante!$AC$1</f>
        <v>419797494.85654998</v>
      </c>
      <c r="AG176" s="8">
        <f>+MINVU_Mes_Corriente!AG176*MINVU_Mes_Constante!$AC$1</f>
        <v>417891776.16295475</v>
      </c>
      <c r="AH176" s="8">
        <f>+MINVU_Mes_Corriente!AH176*MINVU_Mes_Constante!$AC$1</f>
        <v>406516894.24706042</v>
      </c>
      <c r="AI176" s="8">
        <f>+MINVU_Mes_Corriente!AI176*MINVU_Mes_Constante!$AC$1</f>
        <v>406516894.24706042</v>
      </c>
      <c r="AJ176" s="8">
        <f>+MINVU_Mes_Corriente!AJ176*MINVU_Mes_Constante!$AC$1</f>
        <v>404997483.48595935</v>
      </c>
      <c r="AK176" s="8">
        <f>+MINVU_Mes_Corriente!AK176*MINVU_Mes_Constante!$AC$1</f>
        <v>403102786.01134318</v>
      </c>
      <c r="AL176" s="8">
        <f>+MINVU_Mes_Corriente!AL176*MINVU_Mes_Constante!$AC$1</f>
        <v>403695936.771891</v>
      </c>
      <c r="AM176" s="8">
        <f>+MINVU_Mes_Corriente!AM176*MINVU_Mes_Constante!$AC$1</f>
        <v>391013763.26352191</v>
      </c>
      <c r="AN176" s="8">
        <f>+MINVU_Mes_Corriente!AN176*MINVU_Mes_Constante!$AC$1</f>
        <v>357056565.38055056</v>
      </c>
      <c r="AO176" s="9">
        <f t="shared" si="135"/>
        <v>357056565.38055056</v>
      </c>
      <c r="AP176" s="8">
        <f>+MINVU_Mes_Corriente!AP176*MINVU_Mes_Constante!$AP$1</f>
        <v>399906706.93520898</v>
      </c>
      <c r="AQ176" s="8">
        <f>+MINVU_Mes_Corriente!AQ176*MINVU_Mes_Constante!$AP$1</f>
        <v>407944161.01826048</v>
      </c>
      <c r="AR176" s="8">
        <f>+MINVU_Mes_Corriente!AR176*MINVU_Mes_Constante!$AP$1</f>
        <v>405537168.98201001</v>
      </c>
      <c r="AS176" s="8">
        <f>+MINVU_Mes_Corriente!AS176*MINVU_Mes_Constante!$AP$1</f>
        <v>397401451.83741373</v>
      </c>
      <c r="AT176" s="8">
        <f>+MINVU_Mes_Corriente!AT176*MINVU_Mes_Constante!$AP$1</f>
        <v>390610572.62735015</v>
      </c>
      <c r="AU176" s="8">
        <f>+MINVU_Mes_Corriente!AU176*MINVU_Mes_Constante!$AP$1</f>
        <v>352229056.84837008</v>
      </c>
      <c r="AV176" s="8">
        <f>+MINVU_Mes_Corriente!AV176*MINVU_Mes_Constante!$AP$1</f>
        <v>352229056.84837008</v>
      </c>
      <c r="AW176" s="8">
        <f>+MINVU_Mes_Corriente!AW176*MINVU_Mes_Constante!$AP$1</f>
        <v>352310340.49506289</v>
      </c>
      <c r="AX176" s="8">
        <f>+MINVU_Mes_Corriente!AX176*MINVU_Mes_Constante!$AP$1</f>
        <v>352310340.49506289</v>
      </c>
      <c r="AY176" s="8">
        <f>+MINVU_Mes_Corriente!AY176*MINVU_Mes_Constante!$AP$1</f>
        <v>340635053.06100363</v>
      </c>
      <c r="AZ176" s="8">
        <f>+MINVU_Mes_Corriente!AZ176*MINVU_Mes_Constante!$AP$1</f>
        <v>340635053.06100363</v>
      </c>
      <c r="BA176" s="8">
        <f>+MINVU_Mes_Corriente!BA176*MINVU_Mes_Constante!$AP$1</f>
        <v>368093347.26281613</v>
      </c>
      <c r="BB176" s="9">
        <f t="shared" si="136"/>
        <v>368093347.26281613</v>
      </c>
      <c r="BC176" s="8">
        <f>+MINVU_Mes_Corriente!BC176*MINVU_Mes_Constante!$BC$1</f>
        <v>390916472.38480824</v>
      </c>
      <c r="BD176" s="8">
        <f>+MINVU_Mes_Corriente!BD176*MINVU_Mes_Constante!$BC$1</f>
        <v>394345557.78926557</v>
      </c>
      <c r="BE176" s="8">
        <f>+MINVU_Mes_Corriente!BE176*MINVU_Mes_Constante!$BC$1</f>
        <v>394345557.78926557</v>
      </c>
      <c r="BF176" s="8">
        <f>+MINVU_Mes_Corriente!BF176*MINVU_Mes_Constante!$BC$1</f>
        <v>394345557.78926557</v>
      </c>
      <c r="BG176" s="8">
        <f>+MINVU_Mes_Corriente!BG176*MINVU_Mes_Constante!$BC$1</f>
        <v>394345557.78926557</v>
      </c>
      <c r="BH176" s="8">
        <f>+MINVU_Mes_Corriente!BH176*MINVU_Mes_Constante!$BC$1</f>
        <v>394345557.78926557</v>
      </c>
      <c r="BI176" s="8">
        <f>+MINVU_Mes_Corriente!BI176*MINVU_Mes_Constante!$BC$1</f>
        <v>388732400.57391542</v>
      </c>
      <c r="BJ176" s="8">
        <f>+MINVU_Mes_Corriente!BJ176*MINVU_Mes_Constante!$BC$1</f>
        <v>393675929.28550714</v>
      </c>
      <c r="BK176" s="8">
        <f>+MINVU_Mes_Corriente!BK176*MINVU_Mes_Constante!$BC$1</f>
        <v>393675929.28550714</v>
      </c>
      <c r="BL176" s="8">
        <f>+MINVU_Mes_Corriente!BL176*MINVU_Mes_Constante!$BC$1</f>
        <v>405799296.70104188</v>
      </c>
      <c r="BM176" s="8">
        <f>+MINVU_Mes_Corriente!BM176*MINVU_Mes_Constante!$BC$1</f>
        <v>406183241.21113026</v>
      </c>
      <c r="BN176" s="8">
        <f>+MINVU_Mes_Corriente!BN176*MINVU_Mes_Constante!$BC$1</f>
        <v>415338703.29922205</v>
      </c>
      <c r="BO176" s="9">
        <f t="shared" si="137"/>
        <v>415338703.29922205</v>
      </c>
      <c r="BP176" s="8">
        <f>+MINVU_Mes_Corriente!BP176*MINVU_Mes_Constante!$BP$1</f>
        <v>441314049.74750322</v>
      </c>
      <c r="BQ176" s="8">
        <f>+MINVU_Mes_Corriente!BQ176*MINVU_Mes_Constante!$BP$1</f>
        <v>441314049.74750322</v>
      </c>
      <c r="BR176" s="8">
        <f>+MINVU_Mes_Corriente!BR176*MINVU_Mes_Constante!$BP$1</f>
        <v>441667267.32215112</v>
      </c>
      <c r="BS176" s="8">
        <f>+MINVU_Mes_Corriente!BS176*MINVU_Mes_Constante!$BP$1</f>
        <v>445486819.25224078</v>
      </c>
      <c r="BT176" s="8">
        <f>+MINVU_Mes_Corriente!BT176*MINVU_Mes_Constante!$BP$1</f>
        <v>445486819.25224078</v>
      </c>
      <c r="BU176" s="8">
        <f>+MINVU_Mes_Corriente!BU176*MINVU_Mes_Constante!$BP$1</f>
        <v>445486819.25224078</v>
      </c>
      <c r="BV176" s="8">
        <f>+MINVU_Mes_Corriente!BV176*MINVU_Mes_Constante!$BP$1</f>
        <v>453831676.96056342</v>
      </c>
      <c r="BW176" s="8">
        <f>+MINVU_Mes_Corriente!BW176*MINVU_Mes_Constante!$BP$1</f>
        <v>443610047.22176701</v>
      </c>
      <c r="BX176" s="8">
        <f>+MINVU_Mes_Corriente!BX176*MINVU_Mes_Constante!$BP$1</f>
        <v>475561721.25633806</v>
      </c>
      <c r="BY176" s="8">
        <f>+MINVU_Mes_Corriente!BY176*MINVU_Mes_Constante!$BP$1</f>
        <v>475561721.25633806</v>
      </c>
      <c r="BZ176" s="8">
        <f>+MINVU_Mes_Corriente!BZ176*MINVU_Mes_Constante!$BP$1</f>
        <v>476085050.0758003</v>
      </c>
      <c r="CA176" s="8">
        <f>+MINVU_Mes_Corriente!CA176*MINVU_Mes_Constante!$BP$1</f>
        <v>476217867.42714477</v>
      </c>
      <c r="CB176" s="9">
        <f t="shared" si="138"/>
        <v>476217867.42714477</v>
      </c>
      <c r="CC176" s="8">
        <f>+MINVU_Mes_Corriente!CC176*MINVU_Mes_Constante!$CC$1</f>
        <v>440068440.50578147</v>
      </c>
      <c r="CD176" s="8">
        <f>+MINVU_Mes_Corriente!CD176*MINVU_Mes_Constante!$CC$1</f>
        <v>440068440.50578147</v>
      </c>
      <c r="CE176" s="8">
        <f>+MINVU_Mes_Corriente!CE176*MINVU_Mes_Constante!$CC$1</f>
        <v>440068440.50578147</v>
      </c>
      <c r="CF176" s="8">
        <f>+MINVU_Mes_Corriente!CF176*MINVU_Mes_Constante!$CC$1</f>
        <v>440571066.39164495</v>
      </c>
      <c r="CG176" s="8">
        <f>+MINVU_Mes_Corriente!CG176*MINVU_Mes_Constante!$CC$1</f>
        <v>331386286.39313692</v>
      </c>
      <c r="CH176" s="8">
        <f>+MINVU_Mes_Corriente!CH176*MINVU_Mes_Constante!$CC$1</f>
        <v>331386286.39313692</v>
      </c>
      <c r="CI176" s="8">
        <f>+MINVU_Mes_Corriente!CI176*MINVU_Mes_Constante!$CC$1</f>
        <v>331386286.39313692</v>
      </c>
      <c r="CJ176" s="8">
        <f>+MINVU_Mes_Corriente!CJ176*MINVU_Mes_Constante!$CC$1</f>
        <v>331386286.39313692</v>
      </c>
      <c r="CK176" s="8">
        <f>+MINVU_Mes_Corriente!CK176*MINVU_Mes_Constante!$CC$1</f>
        <v>330809876.38567704</v>
      </c>
      <c r="CL176" s="8">
        <f>+MINVU_Mes_Corriente!CL176*MINVU_Mes_Constante!$CC$1</f>
        <v>396663274.6885491</v>
      </c>
      <c r="CM176" s="8">
        <f>+MINVU_Mes_Corriente!CM176*MINVU_Mes_Constante!$CC$1</f>
        <v>396641539.51510632</v>
      </c>
      <c r="CN176" s="8">
        <f>+MINVU_Mes_Corriente!CN176*MINVU_Mes_Constante!$CC$1</f>
        <v>413544975.75083929</v>
      </c>
      <c r="CO176" s="9">
        <f t="shared" si="139"/>
        <v>413544975.75083929</v>
      </c>
      <c r="CP176" s="8">
        <f>+MINVU_Mes_Corriente!CP176*MINVU_Mes_Constante!$CP$1</f>
        <v>421933358.76264495</v>
      </c>
      <c r="CQ176" s="8">
        <f>+MINVU_Mes_Corriente!CQ176*MINVU_Mes_Constante!$CP$1</f>
        <v>421933358.76264495</v>
      </c>
      <c r="CR176" s="8">
        <f>+MINVU_Mes_Corriente!CR176*MINVU_Mes_Constante!$CP$1</f>
        <v>421933358.76264495</v>
      </c>
      <c r="CS176" s="8">
        <f>+MINVU_Mes_Corriente!CS176*MINVU_Mes_Constante!$CP$1</f>
        <v>423500668.11229688</v>
      </c>
      <c r="CT176" s="8">
        <f>+MINVU_Mes_Corriente!CT176*MINVU_Mes_Constante!$CP$1</f>
        <v>408853875.85057998</v>
      </c>
      <c r="CU176" s="8">
        <f>+MINVU_Mes_Corriente!CU176*MINVU_Mes_Constante!$CP$1</f>
        <v>408853875.85057998</v>
      </c>
      <c r="CV176" s="8">
        <f>+MINVU_Mes_Corriente!CV176*MINVU_Mes_Constante!$CP$1</f>
        <v>408853875.85057998</v>
      </c>
      <c r="CW176" s="8">
        <f>+MINVU_Mes_Corriente!CW176*MINVU_Mes_Constante!$CP$1</f>
        <v>407448463.96357298</v>
      </c>
      <c r="CX176" s="8">
        <f>+MINVU_Mes_Corriente!CX176*MINVU_Mes_Constante!$CP$1</f>
        <v>408662958.57703006</v>
      </c>
      <c r="CY176" s="8">
        <f>+MINVU_Mes_Corriente!CY176*MINVU_Mes_Constante!$CP$1</f>
        <v>410429795.4459396</v>
      </c>
      <c r="CZ176" s="8">
        <f>+MINVU_Mes_Corriente!CZ176*MINVU_Mes_Constante!$CP$1</f>
        <v>444715447.82157761</v>
      </c>
      <c r="DA176" s="8">
        <f>+MINVU_Mes_Corriente!DA176*MINVU_Mes_Constante!$CP$1</f>
        <v>469986873.8784222</v>
      </c>
      <c r="DB176" s="9">
        <f t="shared" si="140"/>
        <v>469986873.8784222</v>
      </c>
      <c r="DC176" s="8">
        <f>+MINVU_Mes_Corriente!DC176*MINVU_Mes_Constante!$DC$1</f>
        <v>456932378.45900649</v>
      </c>
      <c r="DD176" s="8">
        <f>+MINVU_Mes_Corriente!DD176*MINVU_Mes_Constante!$DC$1</f>
        <v>496369674.86472607</v>
      </c>
      <c r="DE176" s="8">
        <f>+MINVU_Mes_Corriente!DE176*MINVU_Mes_Constante!$DC$1</f>
        <v>496369674.86472607</v>
      </c>
      <c r="DF176" s="8">
        <f>+MINVU_Mes_Corriente!DF176*MINVU_Mes_Constante!$DC$1</f>
        <v>493543464.50673825</v>
      </c>
      <c r="DG176" s="8">
        <f>+MINVU_Mes_Corriente!DG176*MINVU_Mes_Constante!$DC$1</f>
        <v>493971368.97253394</v>
      </c>
      <c r="DH176" s="8">
        <f>+MINVU_Mes_Corriente!DH176*MINVU_Mes_Constante!$DC$1</f>
        <v>493971368.97253394</v>
      </c>
      <c r="DI176" s="8">
        <f>+MINVU_Mes_Corriente!DI176*MINVU_Mes_Constante!$DC$1</f>
        <v>493971368.97253394</v>
      </c>
      <c r="DJ176" s="8">
        <f>+MINVU_Mes_Corriente!DJ176*MINVU_Mes_Constante!$DC$1</f>
        <v>494244330.14751589</v>
      </c>
      <c r="DK176" s="8">
        <f>+MINVU_Mes_Corriente!DK176*MINVU_Mes_Constante!$DC$1</f>
        <v>525133199.90803438</v>
      </c>
      <c r="DL176" s="8">
        <f>+MINVU_Mes_Corriente!DL176*MINVU_Mes_Constante!$DC$1</f>
        <v>492303256.16870713</v>
      </c>
      <c r="DM176" s="8">
        <f>+MINVU_Mes_Corriente!DM176*MINVU_Mes_Constante!$DC$1</f>
        <v>492393172.84394634</v>
      </c>
      <c r="DN176" s="8">
        <f>+MINVU_Mes_Corriente!DN176*MINVU_Mes_Constante!$DC$1</f>
        <v>584498267.10009289</v>
      </c>
      <c r="DO176" s="9">
        <f t="shared" si="141"/>
        <v>584498267.10009289</v>
      </c>
      <c r="DP176" s="8">
        <f>+MINVU_Mes_Corriente!DP176*MINVU_Mes_Constante!$DP$1</f>
        <v>418937351.41033256</v>
      </c>
      <c r="DQ176" s="8">
        <f>+MINVU_Mes_Corriente!DQ176*MINVU_Mes_Constante!$DP$1</f>
        <v>420872067.66983378</v>
      </c>
      <c r="DR176" s="8">
        <f>+MINVU_Mes_Corriente!DR176*MINVU_Mes_Constante!$DP$1</f>
        <v>420872067.66983378</v>
      </c>
      <c r="DS176" s="8">
        <f>+MINVU_Mes_Corriente!DS176*MINVU_Mes_Constante!$DP$1</f>
        <v>420872067.66983378</v>
      </c>
      <c r="DT176" s="8">
        <f>+MINVU_Mes_Corriente!DT176*MINVU_Mes_Constante!$DP$1</f>
        <v>420872067.66983378</v>
      </c>
      <c r="DU176" s="8">
        <f>+MINVU_Mes_Corriente!DU176*MINVU_Mes_Constante!$DP$1</f>
        <v>446243846.56175774</v>
      </c>
      <c r="DV176" s="8">
        <f>+MINVU_Mes_Corriente!DV176*MINVU_Mes_Constante!$DP$1</f>
        <v>446243846.56175774</v>
      </c>
      <c r="DW176" s="8">
        <f>+MINVU_Mes_Corriente!DW176*MINVU_Mes_Constante!$DP$1</f>
        <v>446243846.56175774</v>
      </c>
      <c r="DX176" s="8">
        <f>+MINVU_Mes_Corriente!DX176*MINVU_Mes_Constante!$DP$1</f>
        <v>446243846.56175774</v>
      </c>
      <c r="DY176" s="8">
        <f>+MINVU_Mes_Corriente!DY176*MINVU_Mes_Constante!$DP$1</f>
        <v>446744485.31116396</v>
      </c>
      <c r="DZ176" s="8">
        <f>+MINVU_Mes_Corriente!DZ176*MINVU_Mes_Constante!$DP$1</f>
        <v>490268275.51781476</v>
      </c>
      <c r="EA176" s="8">
        <f>+MINVU_Mes_Corriente!EA176*MINVU_Mes_Constante!$DP$1</f>
        <v>518031834.0997625</v>
      </c>
      <c r="EB176" s="9">
        <f t="shared" si="142"/>
        <v>518031834.0997625</v>
      </c>
      <c r="EC176" s="8">
        <f>+MINVU_Mes_Corriente!EC176*MINVU_Mes_Constante!$EC$1</f>
        <v>483981486.97027063</v>
      </c>
      <c r="ED176" s="8">
        <f>+MINVU_Mes_Corriente!ED176*MINVU_Mes_Constante!$EC$1</f>
        <v>483981486.97027063</v>
      </c>
      <c r="EE176" s="8">
        <f>+MINVU_Mes_Corriente!EE176*MINVU_Mes_Constante!$EC$1</f>
        <v>485840897.27740943</v>
      </c>
      <c r="EF176" s="8">
        <f>+MINVU_Mes_Corriente!EF176*MINVU_Mes_Constante!$EC$1</f>
        <v>485840897.27740943</v>
      </c>
      <c r="EG176" s="8">
        <f>+MINVU_Mes_Corriente!EG176*MINVU_Mes_Constante!$EC$1</f>
        <v>485840897.27740943</v>
      </c>
      <c r="EH176" s="8">
        <f>+MINVU_Mes_Corriente!EH176*MINVU_Mes_Constante!$EC$1</f>
        <v>485840897.27740943</v>
      </c>
      <c r="EI176" s="8">
        <f>+MINVU_Mes_Corriente!EI176*MINVU_Mes_Constante!$EC$1</f>
        <v>485840897.27740943</v>
      </c>
      <c r="EJ176" s="8">
        <f>+MINVU_Mes_Corriente!EJ176*MINVU_Mes_Constante!$EC$1</f>
        <v>485840897.27740943</v>
      </c>
      <c r="EK176" s="8">
        <f>+MINVU_Mes_Corriente!EK176*MINVU_Mes_Constante!$EC$1</f>
        <v>508599087.0142017</v>
      </c>
      <c r="EL176" s="8">
        <f>+MINVU_Mes_Corriente!EL176*MINVU_Mes_Constante!$EC$1</f>
        <v>544283398.87634897</v>
      </c>
      <c r="EM176" s="8">
        <f>+MINVU_Mes_Corriente!EM176*MINVU_Mes_Constante!$EC$1</f>
        <v>563625791.22628272</v>
      </c>
      <c r="EN176" s="8">
        <f>+MINVU_Mes_Corriente!EN176*MINVU_Mes_Constante!$EC$1</f>
        <v>554997649.43779564</v>
      </c>
      <c r="EO176" s="9">
        <f t="shared" si="143"/>
        <v>554997649.43779564</v>
      </c>
      <c r="EP176" s="8">
        <f>+MINVU_Mes_Corriente!EP176*MINVU_Mes_Constante!$EP$1</f>
        <v>371219703</v>
      </c>
      <c r="EQ176" s="8">
        <f>+MINVU_Mes_Corriente!EQ176*MINVU_Mes_Constante!$EP$1</f>
        <v>371219703</v>
      </c>
      <c r="ER176" s="8">
        <f>+MINVU_Mes_Corriente!ER176*MINVU_Mes_Constante!$EP$1</f>
        <v>371219703</v>
      </c>
      <c r="ES176" s="8">
        <f>+MINVU_Mes_Corriente!ES176*MINVU_Mes_Constante!$EP$1</f>
        <v>371219703</v>
      </c>
      <c r="ET176" s="8">
        <f>+MINVU_Mes_Corriente!ET176*MINVU_Mes_Constante!$EP$1</f>
        <v>371219703</v>
      </c>
      <c r="EU176" s="8">
        <f>+MINVU_Mes_Corriente!EU176*MINVU_Mes_Constante!$EP$1</f>
        <v>373154196</v>
      </c>
      <c r="EV176" s="8">
        <f>+MINVU_Mes_Corriente!EV176*MINVU_Mes_Constante!$EP$1</f>
        <v>401615007</v>
      </c>
      <c r="EW176" s="8">
        <f>+MINVU_Mes_Corriente!EW176*MINVU_Mes_Constante!$EP$1</f>
        <v>401615007</v>
      </c>
      <c r="EX176" s="8">
        <f>+MINVU_Mes_Corriente!EX176*MINVU_Mes_Constante!$EP$1</f>
        <v>401615007</v>
      </c>
      <c r="EY176" s="8">
        <f>+MINVU_Mes_Corriente!EY176*MINVU_Mes_Constante!$EP$1</f>
        <v>471641998</v>
      </c>
      <c r="EZ176" s="8">
        <f>+MINVU_Mes_Corriente!EZ176*MINVU_Mes_Constante!$EP$1</f>
        <v>483642998</v>
      </c>
      <c r="FA176" s="8">
        <f>+MINVU_Mes_Corriente!FA176*MINVU_Mes_Constante!$EP$1</f>
        <v>540684218</v>
      </c>
      <c r="FB176" s="9">
        <f t="shared" si="144"/>
        <v>540684218</v>
      </c>
      <c r="FC176" s="8">
        <f>+MINVU_Mes_Corriente!FC176*MINVU_Mes_Constante!$FC$1</f>
        <v>776352146</v>
      </c>
      <c r="FD176" s="8">
        <f>+MINVU_Mes_Corriente!FD176*MINVU_Mes_Constante!$FC$1</f>
        <v>757502146</v>
      </c>
      <c r="FE176" s="8">
        <f>+MINVU_Mes_Corriente!FE176*MINVU_Mes_Constante!$FC$1</f>
        <v>757502146</v>
      </c>
      <c r="FF176" s="8">
        <f>+MINVU_Mes_Corriente!FF176*MINVU_Mes_Constante!$FC$1</f>
        <v>757502146</v>
      </c>
      <c r="FG176" s="8">
        <f>+MINVU_Mes_Corriente!FG176*MINVU_Mes_Constante!$FC$1</f>
        <v>757502146</v>
      </c>
      <c r="FH176" s="8">
        <f>+MINVU_Mes_Corriente!FH176*MINVU_Mes_Constante!$FC$1</f>
        <v>758331938</v>
      </c>
      <c r="FI176" s="8">
        <f>+MINVU_Mes_Corriente!FI176*MINVU_Mes_Constante!$FC$1</f>
        <v>759411467</v>
      </c>
      <c r="FJ176" s="8"/>
      <c r="FK176" s="8"/>
      <c r="FL176" s="8"/>
      <c r="FM176" s="8"/>
      <c r="FN176" s="8"/>
      <c r="FO176" s="9">
        <f t="shared" si="145"/>
        <v>759411467</v>
      </c>
    </row>
    <row r="177" spans="2:171" ht="14.25" customHeight="1" x14ac:dyDescent="0.3">
      <c r="B177" s="7" t="s">
        <v>52</v>
      </c>
      <c r="C177" s="8">
        <f>+MINVU_Mes_Corriente!C177*MINVU_Mes_Constante!$C$1</f>
        <v>117862992.72608633</v>
      </c>
      <c r="D177" s="8">
        <f>+MINVU_Mes_Corriente!D177*MINVU_Mes_Constante!$C$1</f>
        <v>117862992.72608633</v>
      </c>
      <c r="E177" s="8">
        <f>+MINVU_Mes_Corriente!E177*MINVU_Mes_Constante!$C$1</f>
        <v>119023888.73290822</v>
      </c>
      <c r="F177" s="8">
        <f>+MINVU_Mes_Corriente!F177*MINVU_Mes_Constante!$C$1</f>
        <v>119023888.73290822</v>
      </c>
      <c r="G177" s="8">
        <f>+MINVU_Mes_Corriente!G177*MINVU_Mes_Constante!$C$1</f>
        <v>119023888.73290822</v>
      </c>
      <c r="H177" s="8">
        <f>+MINVU_Mes_Corriente!H177*MINVU_Mes_Constante!$C$1</f>
        <v>124253401.58742401</v>
      </c>
      <c r="I177" s="8">
        <f>+MINVU_Mes_Corriente!I177*MINVU_Mes_Constante!$C$1</f>
        <v>124253401.58742401</v>
      </c>
      <c r="J177" s="8">
        <f>+MINVU_Mes_Corriente!J177*MINVU_Mes_Constante!$C$1</f>
        <v>124367822.39270356</v>
      </c>
      <c r="K177" s="8">
        <f>+MINVU_Mes_Corriente!K177*MINVU_Mes_Constante!$C$1</f>
        <v>119078638.63858819</v>
      </c>
      <c r="L177" s="8">
        <f>+MINVU_Mes_Corriente!L177*MINVU_Mes_Constante!$C$1</f>
        <v>119078638.63858819</v>
      </c>
      <c r="M177" s="8">
        <f>+MINVU_Mes_Corriente!M177*MINVU_Mes_Constante!$C$1</f>
        <v>136669061.14489102</v>
      </c>
      <c r="N177" s="8">
        <f>+MINVU_Mes_Corriente!N177*MINVU_Mes_Constante!$C$1</f>
        <v>139335032.69079047</v>
      </c>
      <c r="O177" s="9">
        <f t="shared" si="133"/>
        <v>139335032.69079047</v>
      </c>
      <c r="P177" s="8">
        <f>+MINVU_Mes_Corriente!P177*MINVU_Mes_Constante!$P$1</f>
        <v>102882956.82398064</v>
      </c>
      <c r="Q177" s="8">
        <f>+MINVU_Mes_Corriente!Q177*MINVU_Mes_Constante!$P$1</f>
        <v>105239804.76516546</v>
      </c>
      <c r="R177" s="8">
        <f>+MINVU_Mes_Corriente!R177*MINVU_Mes_Constante!$P$1</f>
        <v>105239804.76516546</v>
      </c>
      <c r="S177" s="8">
        <f>+MINVU_Mes_Corriente!S177*MINVU_Mes_Constante!$P$1</f>
        <v>104841689.5132831</v>
      </c>
      <c r="T177" s="8">
        <f>+MINVU_Mes_Corriente!T177*MINVU_Mes_Constante!$P$1</f>
        <v>104841689.5132831</v>
      </c>
      <c r="U177" s="8">
        <f>+MINVU_Mes_Corriente!U177*MINVU_Mes_Constante!$P$1</f>
        <v>107952917.29592268</v>
      </c>
      <c r="V177" s="8">
        <f>+MINVU_Mes_Corriente!V177*MINVU_Mes_Constante!$P$1</f>
        <v>107952917.29592268</v>
      </c>
      <c r="W177" s="8">
        <f>+MINVU_Mes_Corriente!W177*MINVU_Mes_Constante!$P$1</f>
        <v>107952917.29592268</v>
      </c>
      <c r="X177" s="8">
        <f>+MINVU_Mes_Corriente!X177*MINVU_Mes_Constante!$P$1</f>
        <v>106675994.01505892</v>
      </c>
      <c r="Y177" s="8">
        <f>+MINVU_Mes_Corriente!Y177*MINVU_Mes_Constante!$P$1</f>
        <v>106675994.01505892</v>
      </c>
      <c r="Z177" s="8">
        <f>+MINVU_Mes_Corriente!Z177*MINVU_Mes_Constante!$P$1</f>
        <v>106728769.12515979</v>
      </c>
      <c r="AA177" s="8">
        <f>+MINVU_Mes_Corriente!AA177*MINVU_Mes_Constante!$P$1</f>
        <v>106622823.09163229</v>
      </c>
      <c r="AB177" s="9">
        <f t="shared" si="134"/>
        <v>106622823.09163229</v>
      </c>
      <c r="AC177" s="8">
        <f>+MINVU_Mes_Corriente!AC177*MINVU_Mes_Constante!$AC$1</f>
        <v>107964172.47032784</v>
      </c>
      <c r="AD177" s="8">
        <f>+MINVU_Mes_Corriente!AD177*MINVU_Mes_Constante!$AC$1</f>
        <v>108908546.74809794</v>
      </c>
      <c r="AE177" s="8">
        <f>+MINVU_Mes_Corriente!AE177*MINVU_Mes_Constante!$AC$1</f>
        <v>108908546.74809794</v>
      </c>
      <c r="AF177" s="8">
        <f>+MINVU_Mes_Corriente!AF177*MINVU_Mes_Constante!$AC$1</f>
        <v>108908546.74809794</v>
      </c>
      <c r="AG177" s="8">
        <f>+MINVU_Mes_Corriente!AG177*MINVU_Mes_Constante!$AC$1</f>
        <v>109074802.10845207</v>
      </c>
      <c r="AH177" s="8">
        <f>+MINVU_Mes_Corriente!AH177*MINVU_Mes_Constante!$AC$1</f>
        <v>109248473.96929036</v>
      </c>
      <c r="AI177" s="8">
        <f>+MINVU_Mes_Corriente!AI177*MINVU_Mes_Constante!$AC$1</f>
        <v>109248473.96929036</v>
      </c>
      <c r="AJ177" s="8">
        <f>+MINVU_Mes_Corriente!AJ177*MINVU_Mes_Constante!$AC$1</f>
        <v>104622488.09240559</v>
      </c>
      <c r="AK177" s="8">
        <f>+MINVU_Mes_Corriente!AK177*MINVU_Mes_Constante!$AC$1</f>
        <v>104622488.09240559</v>
      </c>
      <c r="AL177" s="8">
        <f>+MINVU_Mes_Corriente!AL177*MINVU_Mes_Constante!$AC$1</f>
        <v>104622488.09240559</v>
      </c>
      <c r="AM177" s="8">
        <f>+MINVU_Mes_Corriente!AM177*MINVU_Mes_Constante!$AC$1</f>
        <v>103744164.04647946</v>
      </c>
      <c r="AN177" s="8">
        <f>+MINVU_Mes_Corriente!AN177*MINVU_Mes_Constante!$AC$1</f>
        <v>111971423.90953106</v>
      </c>
      <c r="AO177" s="9">
        <f t="shared" si="135"/>
        <v>111971423.90953106</v>
      </c>
      <c r="AP177" s="8">
        <f>+MINVU_Mes_Corriente!AP177*MINVU_Mes_Constante!$AP$1</f>
        <v>90895578.313269302</v>
      </c>
      <c r="AQ177" s="8">
        <f>+MINVU_Mes_Corriente!AQ177*MINVU_Mes_Constante!$AP$1</f>
        <v>91234164.604625985</v>
      </c>
      <c r="AR177" s="8">
        <f>+MINVU_Mes_Corriente!AR177*MINVU_Mes_Constante!$AP$1</f>
        <v>91234164.604625985</v>
      </c>
      <c r="AS177" s="8">
        <f>+MINVU_Mes_Corriente!AS177*MINVU_Mes_Constante!$AP$1</f>
        <v>91234164.604625985</v>
      </c>
      <c r="AT177" s="8">
        <f>+MINVU_Mes_Corriente!AT177*MINVU_Mes_Constante!$AP$1</f>
        <v>91234164.604625985</v>
      </c>
      <c r="AU177" s="8">
        <f>+MINVU_Mes_Corriente!AU177*MINVU_Mes_Constante!$AP$1</f>
        <v>92213799.54822129</v>
      </c>
      <c r="AV177" s="8">
        <f>+MINVU_Mes_Corriente!AV177*MINVU_Mes_Constante!$AP$1</f>
        <v>92213799.54822129</v>
      </c>
      <c r="AW177" s="8">
        <f>+MINVU_Mes_Corriente!AW177*MINVU_Mes_Constante!$AP$1</f>
        <v>91762651.662924379</v>
      </c>
      <c r="AX177" s="8">
        <f>+MINVU_Mes_Corriente!AX177*MINVU_Mes_Constante!$AP$1</f>
        <v>91762651.662924379</v>
      </c>
      <c r="AY177" s="8">
        <f>+MINVU_Mes_Corriente!AY177*MINVU_Mes_Constante!$AP$1</f>
        <v>102847849.37968348</v>
      </c>
      <c r="AZ177" s="8">
        <f>+MINVU_Mes_Corriente!AZ177*MINVU_Mes_Constante!$AP$1</f>
        <v>109232310.35628296</v>
      </c>
      <c r="BA177" s="8">
        <f>+MINVU_Mes_Corriente!BA177*MINVU_Mes_Constante!$AP$1</f>
        <v>110137925.45543081</v>
      </c>
      <c r="BB177" s="9">
        <f t="shared" si="136"/>
        <v>110137925.45543081</v>
      </c>
      <c r="BC177" s="8">
        <f>+MINVU_Mes_Corriente!BC177*MINVU_Mes_Constante!$BC$1</f>
        <v>96665784.373466983</v>
      </c>
      <c r="BD177" s="8">
        <f>+MINVU_Mes_Corriente!BD177*MINVU_Mes_Constante!$BC$1</f>
        <v>97010589.510747746</v>
      </c>
      <c r="BE177" s="8">
        <f>+MINVU_Mes_Corriente!BE177*MINVU_Mes_Constante!$BC$1</f>
        <v>97010589.510747746</v>
      </c>
      <c r="BF177" s="8">
        <f>+MINVU_Mes_Corriente!BF177*MINVU_Mes_Constante!$BC$1</f>
        <v>97010589.510747746</v>
      </c>
      <c r="BG177" s="8">
        <f>+MINVU_Mes_Corriente!BG177*MINVU_Mes_Constante!$BC$1</f>
        <v>97010589.510747746</v>
      </c>
      <c r="BH177" s="8">
        <f>+MINVU_Mes_Corriente!BH177*MINVU_Mes_Constante!$BC$1</f>
        <v>97010589.510747746</v>
      </c>
      <c r="BI177" s="8">
        <f>+MINVU_Mes_Corriente!BI177*MINVU_Mes_Constante!$BC$1</f>
        <v>97010589.510747746</v>
      </c>
      <c r="BJ177" s="8">
        <f>+MINVU_Mes_Corriente!BJ177*MINVU_Mes_Constante!$BC$1</f>
        <v>97115571.613609418</v>
      </c>
      <c r="BK177" s="8">
        <f>+MINVU_Mes_Corriente!BK177*MINVU_Mes_Constante!$BC$1</f>
        <v>97115571.613609418</v>
      </c>
      <c r="BL177" s="8">
        <f>+MINVU_Mes_Corriente!BL177*MINVU_Mes_Constante!$BC$1</f>
        <v>95679039.634181753</v>
      </c>
      <c r="BM177" s="8">
        <f>+MINVU_Mes_Corriente!BM177*MINVU_Mes_Constante!$BC$1</f>
        <v>95679039.634181753</v>
      </c>
      <c r="BN177" s="8">
        <f>+MINVU_Mes_Corriente!BN177*MINVU_Mes_Constante!$BC$1</f>
        <v>98969354.896742731</v>
      </c>
      <c r="BO177" s="9">
        <f t="shared" si="137"/>
        <v>98969354.896742731</v>
      </c>
      <c r="BP177" s="8">
        <f>+MINVU_Mes_Corriente!BP177*MINVU_Mes_Constante!$BP$1</f>
        <v>81519476.367733687</v>
      </c>
      <c r="BQ177" s="8">
        <f>+MINVU_Mes_Corriente!BQ177*MINVU_Mes_Constante!$BP$1</f>
        <v>81519476.367733687</v>
      </c>
      <c r="BR177" s="8">
        <f>+MINVU_Mes_Corriente!BR177*MINVU_Mes_Constante!$BP$1</f>
        <v>82515195.90345712</v>
      </c>
      <c r="BS177" s="8">
        <f>+MINVU_Mes_Corriente!BS177*MINVU_Mes_Constante!$BP$1</f>
        <v>82515195.90345712</v>
      </c>
      <c r="BT177" s="8">
        <f>+MINVU_Mes_Corriente!BT177*MINVU_Mes_Constante!$BP$1</f>
        <v>82515195.90345712</v>
      </c>
      <c r="BU177" s="8">
        <f>+MINVU_Mes_Corriente!BU177*MINVU_Mes_Constante!$BP$1</f>
        <v>82515195.90345712</v>
      </c>
      <c r="BV177" s="8">
        <f>+MINVU_Mes_Corriente!BV177*MINVU_Mes_Constante!$BP$1</f>
        <v>85167175.328297064</v>
      </c>
      <c r="BW177" s="8">
        <f>+MINVU_Mes_Corriente!BW177*MINVU_Mes_Constante!$BP$1</f>
        <v>95200028.688860446</v>
      </c>
      <c r="BX177" s="8">
        <f>+MINVU_Mes_Corriente!BX177*MINVU_Mes_Constante!$BP$1</f>
        <v>117675242.97234316</v>
      </c>
      <c r="BY177" s="8">
        <f>+MINVU_Mes_Corriente!BY177*MINVU_Mes_Constante!$BP$1</f>
        <v>117675242.97234316</v>
      </c>
      <c r="BZ177" s="8">
        <f>+MINVU_Mes_Corriente!BZ177*MINVU_Mes_Constante!$BP$1</f>
        <v>117675242.97234316</v>
      </c>
      <c r="CA177" s="8">
        <f>+MINVU_Mes_Corriente!CA177*MINVU_Mes_Constante!$BP$1</f>
        <v>115684577.53444304</v>
      </c>
      <c r="CB177" s="9">
        <f t="shared" si="138"/>
        <v>115684577.53444304</v>
      </c>
      <c r="CC177" s="8">
        <f>+MINVU_Mes_Corriente!CC177*MINVU_Mes_Constante!$CC$1</f>
        <v>81326070.559492737</v>
      </c>
      <c r="CD177" s="8">
        <f>+MINVU_Mes_Corriente!CD177*MINVU_Mes_Constante!$CC$1</f>
        <v>81326070.559492737</v>
      </c>
      <c r="CE177" s="8">
        <f>+MINVU_Mes_Corriente!CE177*MINVU_Mes_Constante!$CC$1</f>
        <v>81326070.559492737</v>
      </c>
      <c r="CF177" s="8">
        <f>+MINVU_Mes_Corriente!CF177*MINVU_Mes_Constante!$CC$1</f>
        <v>91386220.039537489</v>
      </c>
      <c r="CG177" s="8">
        <f>+MINVU_Mes_Corriente!CG177*MINVU_Mes_Constante!$CC$1</f>
        <v>69246720.749720261</v>
      </c>
      <c r="CH177" s="8">
        <f>+MINVU_Mes_Corriente!CH177*MINVU_Mes_Constante!$CC$1</f>
        <v>69246720.749720261</v>
      </c>
      <c r="CI177" s="8">
        <f>+MINVU_Mes_Corriente!CI177*MINVU_Mes_Constante!$CC$1</f>
        <v>69246720.749720261</v>
      </c>
      <c r="CJ177" s="8">
        <f>+MINVU_Mes_Corriente!CJ177*MINVU_Mes_Constante!$CC$1</f>
        <v>69246720.749720261</v>
      </c>
      <c r="CK177" s="8">
        <f>+MINVU_Mes_Corriente!CK177*MINVU_Mes_Constante!$CC$1</f>
        <v>69464072.484147713</v>
      </c>
      <c r="CL177" s="8">
        <f>+MINVU_Mes_Corriente!CL177*MINVU_Mes_Constante!$CC$1</f>
        <v>73324683.500186503</v>
      </c>
      <c r="CM177" s="8">
        <f>+MINVU_Mes_Corriente!CM177*MINVU_Mes_Constante!$CC$1</f>
        <v>73332834.190227538</v>
      </c>
      <c r="CN177" s="8">
        <f>+MINVU_Mes_Corriente!CN177*MINVU_Mes_Constante!$CC$1</f>
        <v>78993834.828049242</v>
      </c>
      <c r="CO177" s="9">
        <f t="shared" si="139"/>
        <v>78993834.828049242</v>
      </c>
      <c r="CP177" s="8">
        <f>+MINVU_Mes_Corriente!CP177*MINVU_Mes_Constante!$CP$1</f>
        <v>90823036.644083515</v>
      </c>
      <c r="CQ177" s="8">
        <f>+MINVU_Mes_Corriente!CQ177*MINVU_Mes_Constante!$CP$1</f>
        <v>90823036.644083515</v>
      </c>
      <c r="CR177" s="8">
        <f>+MINVU_Mes_Corriente!CR177*MINVU_Mes_Constante!$CP$1</f>
        <v>90823036.644083515</v>
      </c>
      <c r="CS177" s="8">
        <f>+MINVU_Mes_Corriente!CS177*MINVU_Mes_Constante!$CP$1</f>
        <v>90823036.644083515</v>
      </c>
      <c r="CT177" s="8">
        <f>+MINVU_Mes_Corriente!CT177*MINVU_Mes_Constante!$CP$1</f>
        <v>86831241.556844532</v>
      </c>
      <c r="CU177" s="8">
        <f>+MINVU_Mes_Corriente!CU177*MINVU_Mes_Constante!$CP$1</f>
        <v>86831241.556844532</v>
      </c>
      <c r="CV177" s="8">
        <f>+MINVU_Mes_Corriente!CV177*MINVU_Mes_Constante!$CP$1</f>
        <v>86831241.556844532</v>
      </c>
      <c r="CW177" s="8">
        <f>+MINVU_Mes_Corriente!CW177*MINVU_Mes_Constante!$CP$1</f>
        <v>126094621.0928074</v>
      </c>
      <c r="CX177" s="8">
        <f>+MINVU_Mes_Corriente!CX177*MINVU_Mes_Constante!$CP$1</f>
        <v>126094621.0928074</v>
      </c>
      <c r="CY177" s="8">
        <f>+MINVU_Mes_Corriente!CY177*MINVU_Mes_Constante!$CP$1</f>
        <v>131260564.44709975</v>
      </c>
      <c r="CZ177" s="8">
        <f>+MINVU_Mes_Corriente!CZ177*MINVU_Mes_Constante!$CP$1</f>
        <v>146449225.4679814</v>
      </c>
      <c r="DA177" s="8">
        <f>+MINVU_Mes_Corriente!DA177*MINVU_Mes_Constante!$CP$1</f>
        <v>148538110.62320182</v>
      </c>
      <c r="DB177" s="9">
        <f t="shared" si="140"/>
        <v>148538110.62320182</v>
      </c>
      <c r="DC177" s="8">
        <f>+MINVU_Mes_Corriente!DC177*MINVU_Mes_Constante!$DC$1</f>
        <v>86699950.016870737</v>
      </c>
      <c r="DD177" s="8">
        <f>+MINVU_Mes_Corriente!DD177*MINVU_Mes_Constante!$DC$1</f>
        <v>93928287.473716736</v>
      </c>
      <c r="DE177" s="8">
        <f>+MINVU_Mes_Corriente!DE177*MINVU_Mes_Constante!$DC$1</f>
        <v>92703493.101738542</v>
      </c>
      <c r="DF177" s="8">
        <f>+MINVU_Mes_Corriente!DF177*MINVU_Mes_Constante!$DC$1</f>
        <v>92703493.101738542</v>
      </c>
      <c r="DG177" s="8">
        <f>+MINVU_Mes_Corriente!DG177*MINVU_Mes_Constante!$DC$1</f>
        <v>92703493.101738542</v>
      </c>
      <c r="DH177" s="8">
        <f>+MINVU_Mes_Corriente!DH177*MINVU_Mes_Constante!$DC$1</f>
        <v>92703493.101738542</v>
      </c>
      <c r="DI177" s="8">
        <f>+MINVU_Mes_Corriente!DI177*MINVU_Mes_Constante!$DC$1</f>
        <v>92703493.101738542</v>
      </c>
      <c r="DJ177" s="8">
        <f>+MINVU_Mes_Corriente!DJ177*MINVU_Mes_Constante!$DC$1</f>
        <v>92703493.101738542</v>
      </c>
      <c r="DK177" s="8">
        <f>+MINVU_Mes_Corriente!DK177*MINVU_Mes_Constante!$DC$1</f>
        <v>121829752.12858765</v>
      </c>
      <c r="DL177" s="8">
        <f>+MINVU_Mes_Corriente!DL177*MINVU_Mes_Constante!$DC$1</f>
        <v>121829752.12858765</v>
      </c>
      <c r="DM177" s="8">
        <f>+MINVU_Mes_Corriente!DM177*MINVU_Mes_Constante!$DC$1</f>
        <v>121919668.80382682</v>
      </c>
      <c r="DN177" s="8">
        <f>+MINVU_Mes_Corriente!DN177*MINVU_Mes_Constante!$DC$1</f>
        <v>110660472.4481021</v>
      </c>
      <c r="DO177" s="9">
        <f t="shared" si="141"/>
        <v>110660472.4481021</v>
      </c>
      <c r="DP177" s="8">
        <f>+MINVU_Mes_Corriente!DP177*MINVU_Mes_Constante!$DP$1</f>
        <v>141111021.24762473</v>
      </c>
      <c r="DQ177" s="8">
        <f>+MINVU_Mes_Corriente!DQ177*MINVU_Mes_Constante!$DP$1</f>
        <v>141240783.71793351</v>
      </c>
      <c r="DR177" s="8">
        <f>+MINVU_Mes_Corriente!DR177*MINVU_Mes_Constante!$DP$1</f>
        <v>141240783.71793351</v>
      </c>
      <c r="DS177" s="8">
        <f>+MINVU_Mes_Corriente!DS177*MINVU_Mes_Constante!$DP$1</f>
        <v>141240783.71793351</v>
      </c>
      <c r="DT177" s="8">
        <f>+MINVU_Mes_Corriente!DT177*MINVU_Mes_Constante!$DP$1</f>
        <v>141240783.71793351</v>
      </c>
      <c r="DU177" s="8">
        <f>+MINVU_Mes_Corriente!DU177*MINVU_Mes_Constante!$DP$1</f>
        <v>141542312.77019003</v>
      </c>
      <c r="DV177" s="8">
        <f>+MINVU_Mes_Corriente!DV177*MINVU_Mes_Constante!$DP$1</f>
        <v>141960174.95843232</v>
      </c>
      <c r="DW177" s="8">
        <f>+MINVU_Mes_Corriente!DW177*MINVU_Mes_Constante!$DP$1</f>
        <v>141960174.95843232</v>
      </c>
      <c r="DX177" s="8">
        <f>+MINVU_Mes_Corriente!DX177*MINVU_Mes_Constante!$DP$1</f>
        <v>141960174.95843232</v>
      </c>
      <c r="DY177" s="8">
        <f>+MINVU_Mes_Corriente!DY177*MINVU_Mes_Constante!$DP$1</f>
        <v>141960174.95843232</v>
      </c>
      <c r="DZ177" s="8">
        <f>+MINVU_Mes_Corriente!DZ177*MINVU_Mes_Constante!$DP$1</f>
        <v>131242995.21377674</v>
      </c>
      <c r="EA177" s="8">
        <f>+MINVU_Mes_Corriente!EA177*MINVU_Mes_Constante!$DP$1</f>
        <v>124862482.63361046</v>
      </c>
      <c r="EB177" s="9">
        <f t="shared" si="142"/>
        <v>124862482.63361046</v>
      </c>
      <c r="EC177" s="8">
        <f>+MINVU_Mes_Corriente!EC177*MINVU_Mes_Constante!$EC$1</f>
        <v>169818451.53095999</v>
      </c>
      <c r="ED177" s="8">
        <f>+MINVU_Mes_Corriente!ED177*MINVU_Mes_Constante!$EC$1</f>
        <v>169818451.53095999</v>
      </c>
      <c r="EE177" s="8">
        <f>+MINVU_Mes_Corriente!EE177*MINVU_Mes_Constante!$EC$1</f>
        <v>170467258.55538717</v>
      </c>
      <c r="EF177" s="8">
        <f>+MINVU_Mes_Corriente!EF177*MINVU_Mes_Constante!$EC$1</f>
        <v>170467258.55538717</v>
      </c>
      <c r="EG177" s="8">
        <f>+MINVU_Mes_Corriente!EG177*MINVU_Mes_Constante!$EC$1</f>
        <v>170490603.28574127</v>
      </c>
      <c r="EH177" s="8">
        <f>+MINVU_Mes_Corriente!EH177*MINVU_Mes_Constante!$EC$1</f>
        <v>170490603.28574127</v>
      </c>
      <c r="EI177" s="8">
        <f>+MINVU_Mes_Corriente!EI177*MINVU_Mes_Constante!$EC$1</f>
        <v>170869340.9414883</v>
      </c>
      <c r="EJ177" s="8">
        <f>+MINVU_Mes_Corriente!EJ177*MINVU_Mes_Constante!$EC$1</f>
        <v>170869340.9414883</v>
      </c>
      <c r="EK177" s="8">
        <f>+MINVU_Mes_Corriente!EK177*MINVU_Mes_Constante!$EC$1</f>
        <v>172938267.28119668</v>
      </c>
      <c r="EL177" s="8">
        <f>+MINVU_Mes_Corriente!EL177*MINVU_Mes_Constante!$EC$1</f>
        <v>179972550.63056234</v>
      </c>
      <c r="EM177" s="8">
        <f>+MINVU_Mes_Corriente!EM177*MINVU_Mes_Constante!$EC$1</f>
        <v>179972550.63056234</v>
      </c>
      <c r="EN177" s="8">
        <f>+MINVU_Mes_Corriente!EN177*MINVU_Mes_Constante!$EC$1</f>
        <v>178904903.95114556</v>
      </c>
      <c r="EO177" s="9">
        <f t="shared" si="143"/>
        <v>178904903.95114556</v>
      </c>
      <c r="EP177" s="8">
        <f>+MINVU_Mes_Corriente!EP177*MINVU_Mes_Constante!$EP$1</f>
        <v>192275210</v>
      </c>
      <c r="EQ177" s="8">
        <f>+MINVU_Mes_Corriente!EQ177*MINVU_Mes_Constante!$EP$1</f>
        <v>192275210</v>
      </c>
      <c r="ER177" s="8">
        <f>+MINVU_Mes_Corriente!ER177*MINVU_Mes_Constante!$EP$1</f>
        <v>192523010</v>
      </c>
      <c r="ES177" s="8">
        <f>+MINVU_Mes_Corriente!ES177*MINVU_Mes_Constante!$EP$1</f>
        <v>192523010</v>
      </c>
      <c r="ET177" s="8">
        <f>+MINVU_Mes_Corriente!ET177*MINVU_Mes_Constante!$EP$1</f>
        <v>192523010</v>
      </c>
      <c r="EU177" s="8">
        <f>+MINVU_Mes_Corriente!EU177*MINVU_Mes_Constante!$EP$1</f>
        <v>192523010</v>
      </c>
      <c r="EV177" s="8">
        <f>+MINVU_Mes_Corriente!EV177*MINVU_Mes_Constante!$EP$1</f>
        <v>201434593</v>
      </c>
      <c r="EW177" s="8">
        <f>+MINVU_Mes_Corriente!EW177*MINVU_Mes_Constante!$EP$1</f>
        <v>201434593</v>
      </c>
      <c r="EX177" s="8">
        <f>+MINVU_Mes_Corriente!EX177*MINVU_Mes_Constante!$EP$1</f>
        <v>201434593</v>
      </c>
      <c r="EY177" s="8">
        <f>+MINVU_Mes_Corriente!EY177*MINVU_Mes_Constante!$EP$1</f>
        <v>179316698</v>
      </c>
      <c r="EZ177" s="8">
        <f>+MINVU_Mes_Corriente!EZ177*MINVU_Mes_Constante!$EP$1</f>
        <v>175464498</v>
      </c>
      <c r="FA177" s="8">
        <f>+MINVU_Mes_Corriente!FA177*MINVU_Mes_Constante!$EP$1</f>
        <v>162893531</v>
      </c>
      <c r="FB177" s="9">
        <f t="shared" si="144"/>
        <v>162893531</v>
      </c>
      <c r="FC177" s="8">
        <f>+MINVU_Mes_Corriente!FC177*MINVU_Mes_Constante!$FC$1</f>
        <v>196116811</v>
      </c>
      <c r="FD177" s="8">
        <f>+MINVU_Mes_Corriente!FD177*MINVU_Mes_Constante!$FC$1</f>
        <v>192116811</v>
      </c>
      <c r="FE177" s="8">
        <f>+MINVU_Mes_Corriente!FE177*MINVU_Mes_Constante!$FC$1</f>
        <v>192116811</v>
      </c>
      <c r="FF177" s="8">
        <f>+MINVU_Mes_Corriente!FF177*MINVU_Mes_Constante!$FC$1</f>
        <v>192116811</v>
      </c>
      <c r="FG177" s="8">
        <f>+MINVU_Mes_Corriente!FG177*MINVU_Mes_Constante!$FC$1</f>
        <v>192116811</v>
      </c>
      <c r="FH177" s="8">
        <f>+MINVU_Mes_Corriente!FH177*MINVU_Mes_Constante!$FC$1</f>
        <v>193385572</v>
      </c>
      <c r="FI177" s="8">
        <f>+MINVU_Mes_Corriente!FI177*MINVU_Mes_Constante!$FC$1</f>
        <v>193385572</v>
      </c>
      <c r="FJ177" s="8"/>
      <c r="FK177" s="8"/>
      <c r="FL177" s="8"/>
      <c r="FM177" s="8"/>
      <c r="FN177" s="8"/>
      <c r="FO177" s="9">
        <f t="shared" si="145"/>
        <v>193385572</v>
      </c>
    </row>
    <row r="178" spans="2:171" ht="14.25" customHeight="1" x14ac:dyDescent="0.3">
      <c r="B178" s="7" t="s">
        <v>53</v>
      </c>
      <c r="C178" s="8">
        <f>+MINVU_Mes_Corriente!C178*MINVU_Mes_Constante!$C$1</f>
        <v>127886632.80943203</v>
      </c>
      <c r="D178" s="8">
        <f>+MINVU_Mes_Corriente!D178*MINVU_Mes_Constante!$C$1</f>
        <v>127886632.80943203</v>
      </c>
      <c r="E178" s="8">
        <f>+MINVU_Mes_Corriente!E178*MINVU_Mes_Constante!$C$1</f>
        <v>129083263.94957736</v>
      </c>
      <c r="F178" s="8">
        <f>+MINVU_Mes_Corriente!F178*MINVU_Mes_Constante!$C$1</f>
        <v>129083263.94957736</v>
      </c>
      <c r="G178" s="8">
        <f>+MINVU_Mes_Corriente!G178*MINVU_Mes_Constante!$C$1</f>
        <v>129083263.94957736</v>
      </c>
      <c r="H178" s="8">
        <f>+MINVU_Mes_Corriente!H178*MINVU_Mes_Constante!$C$1</f>
        <v>163136425.20836425</v>
      </c>
      <c r="I178" s="8">
        <f>+MINVU_Mes_Corriente!I178*MINVU_Mes_Constante!$C$1</f>
        <v>163136425.20836425</v>
      </c>
      <c r="J178" s="8">
        <f>+MINVU_Mes_Corriente!J178*MINVU_Mes_Constante!$C$1</f>
        <v>163594588.05220231</v>
      </c>
      <c r="K178" s="8">
        <f>+MINVU_Mes_Corriente!K178*MINVU_Mes_Constante!$C$1</f>
        <v>183049415.87453657</v>
      </c>
      <c r="L178" s="8">
        <f>+MINVU_Mes_Corriente!L178*MINVU_Mes_Constante!$C$1</f>
        <v>183049415.87453657</v>
      </c>
      <c r="M178" s="8">
        <f>+MINVU_Mes_Corriente!M178*MINVU_Mes_Constante!$C$1</f>
        <v>208787871.68915915</v>
      </c>
      <c r="N178" s="8">
        <f>+MINVU_Mes_Corriente!N178*MINVU_Mes_Constante!$C$1</f>
        <v>209563961.20272878</v>
      </c>
      <c r="O178" s="9">
        <f t="shared" si="133"/>
        <v>209563961.20272878</v>
      </c>
      <c r="P178" s="8">
        <f>+MINVU_Mes_Corriente!P178*MINVU_Mes_Constante!$P$1</f>
        <v>131785536.13382578</v>
      </c>
      <c r="Q178" s="8">
        <f>+MINVU_Mes_Corriente!Q178*MINVU_Mes_Constante!$P$1</f>
        <v>133605200.19917597</v>
      </c>
      <c r="R178" s="8">
        <f>+MINVU_Mes_Corriente!R178*MINVU_Mes_Constante!$P$1</f>
        <v>133605200.19917597</v>
      </c>
      <c r="S178" s="8">
        <f>+MINVU_Mes_Corriente!S178*MINVU_Mes_Constante!$P$1</f>
        <v>133605200.19917597</v>
      </c>
      <c r="T178" s="8">
        <f>+MINVU_Mes_Corriente!T178*MINVU_Mes_Constante!$P$1</f>
        <v>133605200.19917597</v>
      </c>
      <c r="U178" s="8">
        <f>+MINVU_Mes_Corriente!U178*MINVU_Mes_Constante!$P$1</f>
        <v>152411180.72169337</v>
      </c>
      <c r="V178" s="8">
        <f>+MINVU_Mes_Corriente!V178*MINVU_Mes_Constante!$P$1</f>
        <v>152411180.72169337</v>
      </c>
      <c r="W178" s="8">
        <f>+MINVU_Mes_Corriente!W178*MINVU_Mes_Constante!$P$1</f>
        <v>160595482.70777094</v>
      </c>
      <c r="X178" s="8">
        <f>+MINVU_Mes_Corriente!X178*MINVU_Mes_Constante!$P$1</f>
        <v>159437635.59738594</v>
      </c>
      <c r="Y178" s="8">
        <f>+MINVU_Mes_Corriente!Y178*MINVU_Mes_Constante!$P$1</f>
        <v>165186408.16195476</v>
      </c>
      <c r="Z178" s="8">
        <f>+MINVU_Mes_Corriente!Z178*MINVU_Mes_Constante!$P$1</f>
        <v>165201930.25316089</v>
      </c>
      <c r="AA178" s="8">
        <f>+MINVU_Mes_Corriente!AA178*MINVU_Mes_Constante!$P$1</f>
        <v>179741387.714448</v>
      </c>
      <c r="AB178" s="9">
        <f t="shared" si="134"/>
        <v>179741387.714448</v>
      </c>
      <c r="AC178" s="8">
        <f>+MINVU_Mes_Corriente!AC178*MINVU_Mes_Constante!$AC$1</f>
        <v>164104697.63812423</v>
      </c>
      <c r="AD178" s="8">
        <f>+MINVU_Mes_Corriente!AD178*MINVU_Mes_Constante!$AC$1</f>
        <v>167617833.61211786</v>
      </c>
      <c r="AE178" s="8">
        <f>+MINVU_Mes_Corriente!AE178*MINVU_Mes_Constante!$AC$1</f>
        <v>167617833.61211786</v>
      </c>
      <c r="AF178" s="8">
        <f>+MINVU_Mes_Corriente!AF178*MINVU_Mes_Constante!$AC$1</f>
        <v>167420957.03721124</v>
      </c>
      <c r="AG178" s="8">
        <f>+MINVU_Mes_Corriente!AG178*MINVU_Mes_Constante!$AC$1</f>
        <v>167420957.03721124</v>
      </c>
      <c r="AH178" s="8">
        <f>+MINVU_Mes_Corriente!AH178*MINVU_Mes_Constante!$AC$1</f>
        <v>180705995.15340987</v>
      </c>
      <c r="AI178" s="8">
        <f>+MINVU_Mes_Corriente!AI178*MINVU_Mes_Constante!$AC$1</f>
        <v>180705995.15340987</v>
      </c>
      <c r="AJ178" s="8">
        <f>+MINVU_Mes_Corriente!AJ178*MINVU_Mes_Constante!$AC$1</f>
        <v>180724469.14676994</v>
      </c>
      <c r="AK178" s="8">
        <f>+MINVU_Mes_Corriente!AK178*MINVU_Mes_Constante!$AC$1</f>
        <v>180724469.14676994</v>
      </c>
      <c r="AL178" s="8">
        <f>+MINVU_Mes_Corriente!AL178*MINVU_Mes_Constante!$AC$1</f>
        <v>180891771.9158943</v>
      </c>
      <c r="AM178" s="8">
        <f>+MINVU_Mes_Corriente!AM178*MINVU_Mes_Constante!$AC$1</f>
        <v>180891771.9158943</v>
      </c>
      <c r="AN178" s="8">
        <f>+MINVU_Mes_Corriente!AN178*MINVU_Mes_Constante!$AC$1</f>
        <v>181940837.1940794</v>
      </c>
      <c r="AO178" s="9">
        <f t="shared" si="135"/>
        <v>181940837.1940794</v>
      </c>
      <c r="AP178" s="8">
        <f>+MINVU_Mes_Corriente!AP178*MINVU_Mes_Constante!$AP$1</f>
        <v>164293481.67699173</v>
      </c>
      <c r="AQ178" s="8">
        <f>+MINVU_Mes_Corriente!AQ178*MINVU_Mes_Constante!$AP$1</f>
        <v>167202239.14216149</v>
      </c>
      <c r="AR178" s="8">
        <f>+MINVU_Mes_Corriente!AR178*MINVU_Mes_Constante!$AP$1</f>
        <v>167202239.14216149</v>
      </c>
      <c r="AS178" s="8">
        <f>+MINVU_Mes_Corriente!AS178*MINVU_Mes_Constante!$AP$1</f>
        <v>167202239.14216149</v>
      </c>
      <c r="AT178" s="8">
        <f>+MINVU_Mes_Corriente!AT178*MINVU_Mes_Constante!$AP$1</f>
        <v>167202239.14216149</v>
      </c>
      <c r="AU178" s="8">
        <f>+MINVU_Mes_Corriente!AU178*MINVU_Mes_Constante!$AP$1</f>
        <v>156531457.96970105</v>
      </c>
      <c r="AV178" s="8">
        <f>+MINVU_Mes_Corriente!AV178*MINVU_Mes_Constante!$AP$1</f>
        <v>156531457.96970105</v>
      </c>
      <c r="AW178" s="8">
        <f>+MINVU_Mes_Corriente!AW178*MINVU_Mes_Constante!$AP$1</f>
        <v>156857301.94102529</v>
      </c>
      <c r="AX178" s="8">
        <f>+MINVU_Mes_Corriente!AX178*MINVU_Mes_Constante!$AP$1</f>
        <v>156857301.94102529</v>
      </c>
      <c r="AY178" s="8">
        <f>+MINVU_Mes_Corriente!AY178*MINVU_Mes_Constante!$AP$1</f>
        <v>157005090.38955769</v>
      </c>
      <c r="AZ178" s="8">
        <f>+MINVU_Mes_Corriente!AZ178*MINVU_Mes_Constante!$AP$1</f>
        <v>157005090.38955769</v>
      </c>
      <c r="BA178" s="8">
        <f>+MINVU_Mes_Corriente!BA178*MINVU_Mes_Constante!$AP$1</f>
        <v>160722159.03936154</v>
      </c>
      <c r="BB178" s="9">
        <f t="shared" si="136"/>
        <v>160722159.03936154</v>
      </c>
      <c r="BC178" s="8">
        <f>+MINVU_Mes_Corriente!BC178*MINVU_Mes_Constante!$BC$1</f>
        <v>143863389.80350789</v>
      </c>
      <c r="BD178" s="8">
        <f>+MINVU_Mes_Corriente!BD178*MINVU_Mes_Constante!$BC$1</f>
        <v>145270286.28669396</v>
      </c>
      <c r="BE178" s="8">
        <f>+MINVU_Mes_Corriente!BE178*MINVU_Mes_Constante!$BC$1</f>
        <v>145270286.28669396</v>
      </c>
      <c r="BF178" s="8">
        <f>+MINVU_Mes_Corriente!BF178*MINVU_Mes_Constante!$BC$1</f>
        <v>145270286.28669396</v>
      </c>
      <c r="BG178" s="8">
        <f>+MINVU_Mes_Corriente!BG178*MINVU_Mes_Constante!$BC$1</f>
        <v>145270286.28669396</v>
      </c>
      <c r="BH178" s="8">
        <f>+MINVU_Mes_Corriente!BH178*MINVU_Mes_Constante!$BC$1</f>
        <v>145270286.28669396</v>
      </c>
      <c r="BI178" s="8">
        <f>+MINVU_Mes_Corriente!BI178*MINVU_Mes_Constante!$BC$1</f>
        <v>145304244.34656471</v>
      </c>
      <c r="BJ178" s="8">
        <f>+MINVU_Mes_Corriente!BJ178*MINVU_Mes_Constante!$BC$1</f>
        <v>139738945.11486223</v>
      </c>
      <c r="BK178" s="8">
        <f>+MINVU_Mes_Corriente!BK178*MINVU_Mes_Constante!$BC$1</f>
        <v>139738945.11486223</v>
      </c>
      <c r="BL178" s="8">
        <f>+MINVU_Mes_Corriente!BL178*MINVU_Mes_Constante!$BC$1</f>
        <v>137577663.30027696</v>
      </c>
      <c r="BM178" s="8">
        <f>+MINVU_Mes_Corriente!BM178*MINVU_Mes_Constante!$BC$1</f>
        <v>137577663.30027696</v>
      </c>
      <c r="BN178" s="8">
        <f>+MINVU_Mes_Corriente!BN178*MINVU_Mes_Constante!$BC$1</f>
        <v>137577663.30027696</v>
      </c>
      <c r="BO178" s="9">
        <f t="shared" si="137"/>
        <v>137577663.30027696</v>
      </c>
      <c r="BP178" s="8">
        <f>+MINVU_Mes_Corriente!BP178*MINVU_Mes_Constante!$BP$1</f>
        <v>164564439.17669657</v>
      </c>
      <c r="BQ178" s="8">
        <f>+MINVU_Mes_Corriente!BQ178*MINVU_Mes_Constante!$BP$1</f>
        <v>164564439.17669657</v>
      </c>
      <c r="BR178" s="8">
        <f>+MINVU_Mes_Corriente!BR178*MINVU_Mes_Constante!$BP$1</f>
        <v>165478699.15697825</v>
      </c>
      <c r="BS178" s="8">
        <f>+MINVU_Mes_Corriente!BS178*MINVU_Mes_Constante!$BP$1</f>
        <v>165478699.15697825</v>
      </c>
      <c r="BT178" s="8">
        <f>+MINVU_Mes_Corriente!BT178*MINVU_Mes_Constante!$BP$1</f>
        <v>165478699.15697825</v>
      </c>
      <c r="BU178" s="8">
        <f>+MINVU_Mes_Corriente!BU178*MINVU_Mes_Constante!$BP$1</f>
        <v>165478699.15697825</v>
      </c>
      <c r="BV178" s="8">
        <f>+MINVU_Mes_Corriente!BV178*MINVU_Mes_Constante!$BP$1</f>
        <v>165106612.19846353</v>
      </c>
      <c r="BW178" s="8">
        <f>+MINVU_Mes_Corriente!BW178*MINVU_Mes_Constante!$BP$1</f>
        <v>163008148.69014087</v>
      </c>
      <c r="BX178" s="8">
        <f>+MINVU_Mes_Corriente!BX178*MINVU_Mes_Constante!$BP$1</f>
        <v>171821695.42509604</v>
      </c>
      <c r="BY178" s="8">
        <f>+MINVU_Mes_Corriente!BY178*MINVU_Mes_Constante!$BP$1</f>
        <v>171821695.42509604</v>
      </c>
      <c r="BZ178" s="8">
        <f>+MINVU_Mes_Corriente!BZ178*MINVU_Mes_Constante!$BP$1</f>
        <v>171821695.42509604</v>
      </c>
      <c r="CA178" s="8">
        <f>+MINVU_Mes_Corriente!CA178*MINVU_Mes_Constante!$BP$1</f>
        <v>172293534.94494241</v>
      </c>
      <c r="CB178" s="9">
        <f t="shared" si="138"/>
        <v>172293534.94494241</v>
      </c>
      <c r="CC178" s="8">
        <f>+MINVU_Mes_Corriente!CC178*MINVU_Mes_Constante!$CC$1</f>
        <v>164138961.46885493</v>
      </c>
      <c r="CD178" s="8">
        <f>+MINVU_Mes_Corriente!CD178*MINVU_Mes_Constante!$CC$1</f>
        <v>164138961.46885493</v>
      </c>
      <c r="CE178" s="8">
        <f>+MINVU_Mes_Corriente!CE178*MINVU_Mes_Constante!$CC$1</f>
        <v>164138961.46885493</v>
      </c>
      <c r="CF178" s="8">
        <f>+MINVU_Mes_Corriente!CF178*MINVU_Mes_Constante!$CC$1</f>
        <v>164247637.33606866</v>
      </c>
      <c r="CG178" s="8">
        <f>+MINVU_Mes_Corriente!CG178*MINVU_Mes_Constante!$CC$1</f>
        <v>124456513.2935472</v>
      </c>
      <c r="CH178" s="8">
        <f>+MINVU_Mes_Corriente!CH178*MINVU_Mes_Constante!$CC$1</f>
        <v>124456513.2935472</v>
      </c>
      <c r="CI178" s="8">
        <f>+MINVU_Mes_Corriente!CI178*MINVU_Mes_Constante!$CC$1</f>
        <v>124456513.2935472</v>
      </c>
      <c r="CJ178" s="8">
        <f>+MINVU_Mes_Corriente!CJ178*MINVU_Mes_Constante!$CC$1</f>
        <v>124456513.2935472</v>
      </c>
      <c r="CK178" s="8">
        <f>+MINVU_Mes_Corriente!CK178*MINVU_Mes_Constante!$CC$1</f>
        <v>125161547.98209624</v>
      </c>
      <c r="CL178" s="8">
        <f>+MINVU_Mes_Corriente!CL178*MINVU_Mes_Constante!$CC$1</f>
        <v>173692731.67027229</v>
      </c>
      <c r="CM178" s="8">
        <f>+MINVU_Mes_Corriente!CM178*MINVU_Mes_Constante!$CC$1</f>
        <v>173700882.36031333</v>
      </c>
      <c r="CN178" s="8">
        <f>+MINVU_Mes_Corriente!CN178*MINVU_Mes_Constante!$CC$1</f>
        <v>181717431.06154421</v>
      </c>
      <c r="CO178" s="9">
        <f t="shared" si="139"/>
        <v>181717431.06154421</v>
      </c>
      <c r="CP178" s="8">
        <f>+MINVU_Mes_Corriente!CP178*MINVU_Mes_Constante!$CP$1</f>
        <v>173787233.44385147</v>
      </c>
      <c r="CQ178" s="8">
        <f>+MINVU_Mes_Corriente!CQ178*MINVU_Mes_Constante!$CP$1</f>
        <v>173787233.44385147</v>
      </c>
      <c r="CR178" s="8">
        <f>+MINVU_Mes_Corriente!CR178*MINVU_Mes_Constante!$CP$1</f>
        <v>173787233.44385147</v>
      </c>
      <c r="CS178" s="8">
        <f>+MINVU_Mes_Corriente!CS178*MINVU_Mes_Constante!$CP$1</f>
        <v>173787233.44385147</v>
      </c>
      <c r="CT178" s="8">
        <f>+MINVU_Mes_Corriente!CT178*MINVU_Mes_Constante!$CP$1</f>
        <v>171854136.31740135</v>
      </c>
      <c r="CU178" s="8">
        <f>+MINVU_Mes_Corriente!CU178*MINVU_Mes_Constante!$CP$1</f>
        <v>171854136.31740135</v>
      </c>
      <c r="CV178" s="8">
        <f>+MINVU_Mes_Corriente!CV178*MINVU_Mes_Constante!$CP$1</f>
        <v>171832637.95475635</v>
      </c>
      <c r="CW178" s="8">
        <f>+MINVU_Mes_Corriente!CW178*MINVU_Mes_Constante!$CP$1</f>
        <v>173627442.59512758</v>
      </c>
      <c r="CX178" s="8">
        <f>+MINVU_Mes_Corriente!CX178*MINVU_Mes_Constante!$CP$1</f>
        <v>173627442.59512758</v>
      </c>
      <c r="CY178" s="8">
        <f>+MINVU_Mes_Corriente!CY178*MINVU_Mes_Constante!$CP$1</f>
        <v>174550526.08538279</v>
      </c>
      <c r="CZ178" s="8">
        <f>+MINVU_Mes_Corriente!CZ178*MINVU_Mes_Constante!$CP$1</f>
        <v>177170986.49095124</v>
      </c>
      <c r="DA178" s="8">
        <f>+MINVU_Mes_Corriente!DA178*MINVU_Mes_Constante!$CP$1</f>
        <v>175034964.89860785</v>
      </c>
      <c r="DB178" s="9">
        <f t="shared" si="140"/>
        <v>175034964.89860785</v>
      </c>
      <c r="DC178" s="8">
        <f>+MINVU_Mes_Corriente!DC178*MINVU_Mes_Constante!$DC$1</f>
        <v>163796364.14628133</v>
      </c>
      <c r="DD178" s="8">
        <f>+MINVU_Mes_Corriente!DD178*MINVU_Mes_Constante!$DC$1</f>
        <v>178595388.9332374</v>
      </c>
      <c r="DE178" s="8">
        <f>+MINVU_Mes_Corriente!DE178*MINVU_Mes_Constante!$DC$1</f>
        <v>178595388.9332374</v>
      </c>
      <c r="DF178" s="8">
        <f>+MINVU_Mes_Corriente!DF178*MINVU_Mes_Constante!$DC$1</f>
        <v>178595388.9332374</v>
      </c>
      <c r="DG178" s="8">
        <f>+MINVU_Mes_Corriente!DG178*MINVU_Mes_Constante!$DC$1</f>
        <v>178557369.91502941</v>
      </c>
      <c r="DH178" s="8">
        <f>+MINVU_Mes_Corriente!DH178*MINVU_Mes_Constante!$DC$1</f>
        <v>178557369.91502941</v>
      </c>
      <c r="DI178" s="8">
        <f>+MINVU_Mes_Corriente!DI178*MINVU_Mes_Constante!$DC$1</f>
        <v>178557369.91502941</v>
      </c>
      <c r="DJ178" s="8">
        <f>+MINVU_Mes_Corriente!DJ178*MINVU_Mes_Constante!$DC$1</f>
        <v>179006953.29122525</v>
      </c>
      <c r="DK178" s="8">
        <f>+MINVU_Mes_Corriente!DK178*MINVU_Mes_Constante!$DC$1</f>
        <v>181524620.19792211</v>
      </c>
      <c r="DL178" s="8">
        <f>+MINVU_Mes_Corriente!DL178*MINVU_Mes_Constante!$DC$1</f>
        <v>188496439.99177048</v>
      </c>
      <c r="DM178" s="8">
        <f>+MINVU_Mes_Corriente!DM178*MINVU_Mes_Constante!$DC$1</f>
        <v>189035940.04320553</v>
      </c>
      <c r="DN178" s="8">
        <f>+MINVU_Mes_Corriente!DN178*MINVU_Mes_Constante!$DC$1</f>
        <v>188403280.6964305</v>
      </c>
      <c r="DO178" s="9">
        <f t="shared" si="141"/>
        <v>188403280.6964305</v>
      </c>
      <c r="DP178" s="8">
        <f>+MINVU_Mes_Corriente!DP178*MINVU_Mes_Constante!$DP$1</f>
        <v>189924869.44061759</v>
      </c>
      <c r="DQ178" s="8">
        <f>+MINVU_Mes_Corriente!DQ178*MINVU_Mes_Constante!$DP$1</f>
        <v>191179239.98693588</v>
      </c>
      <c r="DR178" s="8">
        <f>+MINVU_Mes_Corriente!DR178*MINVU_Mes_Constante!$DP$1</f>
        <v>191179239.98693588</v>
      </c>
      <c r="DS178" s="8">
        <f>+MINVU_Mes_Corriente!DS178*MINVU_Mes_Constante!$DP$1</f>
        <v>191265748.30047509</v>
      </c>
      <c r="DT178" s="8">
        <f>+MINVU_Mes_Corriente!DT178*MINVU_Mes_Constante!$DP$1</f>
        <v>191267370.33135393</v>
      </c>
      <c r="DU178" s="8">
        <f>+MINVU_Mes_Corriente!DU178*MINVU_Mes_Constante!$DP$1</f>
        <v>207487679.1199525</v>
      </c>
      <c r="DV178" s="8">
        <f>+MINVU_Mes_Corriente!DV178*MINVU_Mes_Constante!$DP$1</f>
        <v>207487679.1199525</v>
      </c>
      <c r="DW178" s="8">
        <f>+MINVU_Mes_Corriente!DW178*MINVU_Mes_Constante!$DP$1</f>
        <v>207487679.1199525</v>
      </c>
      <c r="DX178" s="8">
        <f>+MINVU_Mes_Corriente!DX178*MINVU_Mes_Constante!$DP$1</f>
        <v>207487679.1199525</v>
      </c>
      <c r="DY178" s="8">
        <f>+MINVU_Mes_Corriente!DY178*MINVU_Mes_Constante!$DP$1</f>
        <v>207487679.1199525</v>
      </c>
      <c r="DZ178" s="8">
        <f>+MINVU_Mes_Corriente!DZ178*MINVU_Mes_Constante!$DP$1</f>
        <v>234033659.14133018</v>
      </c>
      <c r="EA178" s="8">
        <f>+MINVU_Mes_Corriente!EA178*MINVU_Mes_Constante!$DP$1</f>
        <v>237323483.79691213</v>
      </c>
      <c r="EB178" s="9">
        <f t="shared" si="142"/>
        <v>237323483.79691213</v>
      </c>
      <c r="EC178" s="8">
        <f>+MINVU_Mes_Corriente!EC178*MINVU_Mes_Constante!$EC$1</f>
        <v>197547191.2825222</v>
      </c>
      <c r="ED178" s="8">
        <f>+MINVU_Mes_Corriente!ED178*MINVU_Mes_Constante!$EC$1</f>
        <v>197547191.2825222</v>
      </c>
      <c r="EE178" s="8">
        <f>+MINVU_Mes_Corriente!EE178*MINVU_Mes_Constante!$EC$1</f>
        <v>197950942.25771627</v>
      </c>
      <c r="EF178" s="8">
        <f>+MINVU_Mes_Corriente!EF178*MINVU_Mes_Constante!$EC$1</f>
        <v>197950942.25771627</v>
      </c>
      <c r="EG178" s="8">
        <f>+MINVU_Mes_Corriente!EG178*MINVU_Mes_Constante!$EC$1</f>
        <v>198001629.91857597</v>
      </c>
      <c r="EH178" s="8">
        <f>+MINVU_Mes_Corriente!EH178*MINVU_Mes_Constante!$EC$1</f>
        <v>198001629.91857597</v>
      </c>
      <c r="EI178" s="8">
        <f>+MINVU_Mes_Corriente!EI178*MINVU_Mes_Constante!$EC$1</f>
        <v>198001629.91857597</v>
      </c>
      <c r="EJ178" s="8">
        <f>+MINVU_Mes_Corriente!EJ178*MINVU_Mes_Constante!$EC$1</f>
        <v>198001629.91857597</v>
      </c>
      <c r="EK178" s="8">
        <f>+MINVU_Mes_Corriente!EK178*MINVU_Mes_Constante!$EC$1</f>
        <v>200070556.25828436</v>
      </c>
      <c r="EL178" s="8">
        <f>+MINVU_Mes_Corriente!EL178*MINVU_Mes_Constante!$EC$1</f>
        <v>221018557.51448584</v>
      </c>
      <c r="EM178" s="8">
        <f>+MINVU_Mes_Corriente!EM178*MINVU_Mes_Constante!$EC$1</f>
        <v>224121947.02404842</v>
      </c>
      <c r="EN178" s="8">
        <f>+MINVU_Mes_Corriente!EN178*MINVU_Mes_Constante!$EC$1</f>
        <v>220800730.60480961</v>
      </c>
      <c r="EO178" s="9">
        <f t="shared" si="143"/>
        <v>220800730.60480961</v>
      </c>
      <c r="EP178" s="8">
        <f>+MINVU_Mes_Corriente!EP178*MINVU_Mes_Constante!$EP$1</f>
        <v>263292274</v>
      </c>
      <c r="EQ178" s="8">
        <f>+MINVU_Mes_Corriente!EQ178*MINVU_Mes_Constante!$EP$1</f>
        <v>263497063</v>
      </c>
      <c r="ER178" s="8">
        <f>+MINVU_Mes_Corriente!ER178*MINVU_Mes_Constante!$EP$1</f>
        <v>263497063</v>
      </c>
      <c r="ES178" s="8">
        <f>+MINVU_Mes_Corriente!ES178*MINVU_Mes_Constante!$EP$1</f>
        <v>263497063</v>
      </c>
      <c r="ET178" s="8">
        <f>+MINVU_Mes_Corriente!ET178*MINVU_Mes_Constante!$EP$1</f>
        <v>263497063</v>
      </c>
      <c r="EU178" s="8">
        <f>+MINVU_Mes_Corriente!EU178*MINVU_Mes_Constante!$EP$1</f>
        <v>263497063</v>
      </c>
      <c r="EV178" s="8">
        <f>+MINVU_Mes_Corriente!EV178*MINVU_Mes_Constante!$EP$1</f>
        <v>263237933</v>
      </c>
      <c r="EW178" s="8">
        <f>+MINVU_Mes_Corriente!EW178*MINVU_Mes_Constante!$EP$1</f>
        <v>263237933</v>
      </c>
      <c r="EX178" s="8">
        <f>+MINVU_Mes_Corriente!EX178*MINVU_Mes_Constante!$EP$1</f>
        <v>263237933</v>
      </c>
      <c r="EY178" s="8">
        <f>+MINVU_Mes_Corriente!EY178*MINVU_Mes_Constante!$EP$1</f>
        <v>256093165</v>
      </c>
      <c r="EZ178" s="8">
        <f>+MINVU_Mes_Corriente!EZ178*MINVU_Mes_Constante!$EP$1</f>
        <v>256916287</v>
      </c>
      <c r="FA178" s="8">
        <f>+MINVU_Mes_Corriente!FA178*MINVU_Mes_Constante!$EP$1</f>
        <v>253541087</v>
      </c>
      <c r="FB178" s="9">
        <f t="shared" si="144"/>
        <v>253541087</v>
      </c>
      <c r="FC178" s="8">
        <f>+MINVU_Mes_Corriente!FC178*MINVU_Mes_Constante!$FC$1</f>
        <v>237880088</v>
      </c>
      <c r="FD178" s="8">
        <f>+MINVU_Mes_Corriente!FD178*MINVU_Mes_Constante!$FC$1</f>
        <v>235880088</v>
      </c>
      <c r="FE178" s="8">
        <f>+MINVU_Mes_Corriente!FE178*MINVU_Mes_Constante!$FC$1</f>
        <v>235880088</v>
      </c>
      <c r="FF178" s="8">
        <f>+MINVU_Mes_Corriente!FF178*MINVU_Mes_Constante!$FC$1</f>
        <v>235880088</v>
      </c>
      <c r="FG178" s="8">
        <f>+MINVU_Mes_Corriente!FG178*MINVU_Mes_Constante!$FC$1</f>
        <v>235880088</v>
      </c>
      <c r="FH178" s="8">
        <f>+MINVU_Mes_Corriente!FH178*MINVU_Mes_Constante!$FC$1</f>
        <v>236629939</v>
      </c>
      <c r="FI178" s="8">
        <f>+MINVU_Mes_Corriente!FI178*MINVU_Mes_Constante!$FC$1</f>
        <v>237753345</v>
      </c>
      <c r="FJ178" s="8"/>
      <c r="FK178" s="8"/>
      <c r="FL178" s="8"/>
      <c r="FM178" s="8"/>
      <c r="FN178" s="8"/>
      <c r="FO178" s="9">
        <f t="shared" si="145"/>
        <v>237753345</v>
      </c>
    </row>
    <row r="179" spans="2:171" ht="14.25" customHeight="1" x14ac:dyDescent="0.3">
      <c r="B179" s="7" t="s">
        <v>54</v>
      </c>
      <c r="C179" s="8">
        <f>+MINVU_Mes_Corriente!C179*MINVU_Mes_Constante!$C$1</f>
        <v>0</v>
      </c>
      <c r="D179" s="8">
        <f>+MINVU_Mes_Corriente!D179*MINVU_Mes_Constante!$C$1</f>
        <v>0</v>
      </c>
      <c r="E179" s="8">
        <f>+MINVU_Mes_Corriente!E179*MINVU_Mes_Constante!$C$1</f>
        <v>0</v>
      </c>
      <c r="F179" s="8">
        <f>+MINVU_Mes_Corriente!F179*MINVU_Mes_Constante!$C$1</f>
        <v>0</v>
      </c>
      <c r="G179" s="8">
        <f>+MINVU_Mes_Corriente!G179*MINVU_Mes_Constante!$C$1</f>
        <v>0</v>
      </c>
      <c r="H179" s="8">
        <f>+MINVU_Mes_Corriente!H179*MINVU_Mes_Constante!$C$1</f>
        <v>0</v>
      </c>
      <c r="I179" s="8">
        <f>+MINVU_Mes_Corriente!I179*MINVU_Mes_Constante!$C$1</f>
        <v>0</v>
      </c>
      <c r="J179" s="8">
        <f>+MINVU_Mes_Corriente!J179*MINVU_Mes_Constante!$C$1</f>
        <v>0</v>
      </c>
      <c r="K179" s="8">
        <f>+MINVU_Mes_Corriente!K179*MINVU_Mes_Constante!$C$1</f>
        <v>0</v>
      </c>
      <c r="L179" s="8">
        <f>+MINVU_Mes_Corriente!L179*MINVU_Mes_Constante!$C$1</f>
        <v>0</v>
      </c>
      <c r="M179" s="8">
        <f>+MINVU_Mes_Corriente!M179*MINVU_Mes_Constante!$C$1</f>
        <v>0</v>
      </c>
      <c r="N179" s="8">
        <f>+MINVU_Mes_Corriente!N179*MINVU_Mes_Constante!$C$1</f>
        <v>0</v>
      </c>
      <c r="O179" s="9">
        <f t="shared" si="133"/>
        <v>0</v>
      </c>
      <c r="P179" s="8">
        <f>+MINVU_Mes_Corriente!P179*MINVU_Mes_Constante!$P$1</f>
        <v>0</v>
      </c>
      <c r="Q179" s="8">
        <f>+MINVU_Mes_Corriente!Q179*MINVU_Mes_Constante!$P$1</f>
        <v>0</v>
      </c>
      <c r="R179" s="8">
        <f>+MINVU_Mes_Corriente!R179*MINVU_Mes_Constante!$P$1</f>
        <v>0</v>
      </c>
      <c r="S179" s="8">
        <f>+MINVU_Mes_Corriente!S179*MINVU_Mes_Constante!$P$1</f>
        <v>0</v>
      </c>
      <c r="T179" s="8">
        <f>+MINVU_Mes_Corriente!T179*MINVU_Mes_Constante!$P$1</f>
        <v>0</v>
      </c>
      <c r="U179" s="8">
        <f>+MINVU_Mes_Corriente!U179*MINVU_Mes_Constante!$P$1</f>
        <v>0</v>
      </c>
      <c r="V179" s="8">
        <f>+MINVU_Mes_Corriente!V179*MINVU_Mes_Constante!$P$1</f>
        <v>0</v>
      </c>
      <c r="W179" s="8">
        <f>+MINVU_Mes_Corriente!W179*MINVU_Mes_Constante!$P$1</f>
        <v>0</v>
      </c>
      <c r="X179" s="8">
        <f>+MINVU_Mes_Corriente!X179*MINVU_Mes_Constante!$P$1</f>
        <v>0</v>
      </c>
      <c r="Y179" s="8">
        <f>+MINVU_Mes_Corriente!Y179*MINVU_Mes_Constante!$P$1</f>
        <v>0</v>
      </c>
      <c r="Z179" s="8">
        <f>+MINVU_Mes_Corriente!Z179*MINVU_Mes_Constante!$P$1</f>
        <v>0</v>
      </c>
      <c r="AA179" s="8">
        <f>+MINVU_Mes_Corriente!AA179*MINVU_Mes_Constante!$P$1</f>
        <v>0</v>
      </c>
      <c r="AB179" s="9">
        <f t="shared" si="134"/>
        <v>0</v>
      </c>
      <c r="AC179" s="8">
        <f>+MINVU_Mes_Corriente!AC179*MINVU_Mes_Constante!$AC$1</f>
        <v>0</v>
      </c>
      <c r="AD179" s="8">
        <f>+MINVU_Mes_Corriente!AD179*MINVU_Mes_Constante!$AC$1</f>
        <v>0</v>
      </c>
      <c r="AE179" s="8">
        <f>+MINVU_Mes_Corriente!AE179*MINVU_Mes_Constante!$AC$1</f>
        <v>0</v>
      </c>
      <c r="AF179" s="8">
        <f>+MINVU_Mes_Corriente!AF179*MINVU_Mes_Constante!$AC$1</f>
        <v>0</v>
      </c>
      <c r="AG179" s="8">
        <f>+MINVU_Mes_Corriente!AG179*MINVU_Mes_Constante!$AC$1</f>
        <v>0</v>
      </c>
      <c r="AH179" s="8">
        <f>+MINVU_Mes_Corriente!AH179*MINVU_Mes_Constante!$AC$1</f>
        <v>0</v>
      </c>
      <c r="AI179" s="8">
        <f>+MINVU_Mes_Corriente!AI179*MINVU_Mes_Constante!$AC$1</f>
        <v>0</v>
      </c>
      <c r="AJ179" s="8">
        <f>+MINVU_Mes_Corriente!AJ179*MINVU_Mes_Constante!$AC$1</f>
        <v>0</v>
      </c>
      <c r="AK179" s="8">
        <f>+MINVU_Mes_Corriente!AK179*MINVU_Mes_Constante!$AC$1</f>
        <v>0</v>
      </c>
      <c r="AL179" s="8">
        <f>+MINVU_Mes_Corriente!AL179*MINVU_Mes_Constante!$AC$1</f>
        <v>0</v>
      </c>
      <c r="AM179" s="8">
        <f>+MINVU_Mes_Corriente!AM179*MINVU_Mes_Constante!$AC$1</f>
        <v>0</v>
      </c>
      <c r="AN179" s="8">
        <f>+MINVU_Mes_Corriente!AN179*MINVU_Mes_Constante!$AC$1</f>
        <v>0</v>
      </c>
      <c r="AO179" s="9">
        <f t="shared" si="135"/>
        <v>0</v>
      </c>
      <c r="AP179" s="8">
        <f>+MINVU_Mes_Corriente!AP179*MINVU_Mes_Constante!$AP$1</f>
        <v>0</v>
      </c>
      <c r="AQ179" s="8">
        <f>+MINVU_Mes_Corriente!AQ179*MINVU_Mes_Constante!$AP$1</f>
        <v>0</v>
      </c>
      <c r="AR179" s="8">
        <f>+MINVU_Mes_Corriente!AR179*MINVU_Mes_Constante!$AP$1</f>
        <v>0</v>
      </c>
      <c r="AS179" s="8">
        <f>+MINVU_Mes_Corriente!AS179*MINVU_Mes_Constante!$AP$1</f>
        <v>0</v>
      </c>
      <c r="AT179" s="8">
        <f>+MINVU_Mes_Corriente!AT179*MINVU_Mes_Constante!$AP$1</f>
        <v>0</v>
      </c>
      <c r="AU179" s="8">
        <f>+MINVU_Mes_Corriente!AU179*MINVU_Mes_Constante!$AP$1</f>
        <v>0</v>
      </c>
      <c r="AV179" s="8">
        <f>+MINVU_Mes_Corriente!AV179*MINVU_Mes_Constante!$AP$1</f>
        <v>0</v>
      </c>
      <c r="AW179" s="8">
        <f>+MINVU_Mes_Corriente!AW179*MINVU_Mes_Constante!$AP$1</f>
        <v>0</v>
      </c>
      <c r="AX179" s="8">
        <f>+MINVU_Mes_Corriente!AX179*MINVU_Mes_Constante!$AP$1</f>
        <v>0</v>
      </c>
      <c r="AY179" s="8">
        <f>+MINVU_Mes_Corriente!AY179*MINVU_Mes_Constante!$AP$1</f>
        <v>0</v>
      </c>
      <c r="AZ179" s="8">
        <f>+MINVU_Mes_Corriente!AZ179*MINVU_Mes_Constante!$AP$1</f>
        <v>0</v>
      </c>
      <c r="BA179" s="8">
        <f>+MINVU_Mes_Corriente!BA179*MINVU_Mes_Constante!$AP$1</f>
        <v>0</v>
      </c>
      <c r="BB179" s="9">
        <f t="shared" si="136"/>
        <v>0</v>
      </c>
      <c r="BC179" s="8">
        <f>+MINVU_Mes_Corriente!BC179*MINVU_Mes_Constante!$BC$1</f>
        <v>0</v>
      </c>
      <c r="BD179" s="8">
        <f>+MINVU_Mes_Corriente!BD179*MINVU_Mes_Constante!$BC$1</f>
        <v>0</v>
      </c>
      <c r="BE179" s="8">
        <f>+MINVU_Mes_Corriente!BE179*MINVU_Mes_Constante!$BC$1</f>
        <v>0</v>
      </c>
      <c r="BF179" s="8">
        <f>+MINVU_Mes_Corriente!BF179*MINVU_Mes_Constante!$BC$1</f>
        <v>0</v>
      </c>
      <c r="BG179" s="8">
        <f>+MINVU_Mes_Corriente!BG179*MINVU_Mes_Constante!$BC$1</f>
        <v>0</v>
      </c>
      <c r="BH179" s="8">
        <f>+MINVU_Mes_Corriente!BH179*MINVU_Mes_Constante!$BC$1</f>
        <v>0</v>
      </c>
      <c r="BI179" s="8">
        <f>+MINVU_Mes_Corriente!BI179*MINVU_Mes_Constante!$BC$1</f>
        <v>0</v>
      </c>
      <c r="BJ179" s="8">
        <f>+MINVU_Mes_Corriente!BJ179*MINVU_Mes_Constante!$BC$1</f>
        <v>0</v>
      </c>
      <c r="BK179" s="8">
        <f>+MINVU_Mes_Corriente!BK179*MINVU_Mes_Constante!$BC$1</f>
        <v>0</v>
      </c>
      <c r="BL179" s="8">
        <f>+MINVU_Mes_Corriente!BL179*MINVU_Mes_Constante!$BC$1</f>
        <v>0</v>
      </c>
      <c r="BM179" s="8">
        <f>+MINVU_Mes_Corriente!BM179*MINVU_Mes_Constante!$BC$1</f>
        <v>0</v>
      </c>
      <c r="BN179" s="8">
        <f>+MINVU_Mes_Corriente!BN179*MINVU_Mes_Constante!$BC$1</f>
        <v>0</v>
      </c>
      <c r="BO179" s="9">
        <f t="shared" si="137"/>
        <v>0</v>
      </c>
      <c r="BP179" s="8">
        <f>+MINVU_Mes_Corriente!BP179*MINVU_Mes_Constante!$BP$1</f>
        <v>2797965.33418694</v>
      </c>
      <c r="BQ179" s="8">
        <f>+MINVU_Mes_Corriente!BQ179*MINVU_Mes_Constante!$BP$1</f>
        <v>2797965.33418694</v>
      </c>
      <c r="BR179" s="8">
        <f>+MINVU_Mes_Corriente!BR179*MINVU_Mes_Constante!$BP$1</f>
        <v>2797965.33418694</v>
      </c>
      <c r="BS179" s="8">
        <f>+MINVU_Mes_Corriente!BS179*MINVU_Mes_Constante!$BP$1</f>
        <v>2797965.33418694</v>
      </c>
      <c r="BT179" s="8">
        <f>+MINVU_Mes_Corriente!BT179*MINVU_Mes_Constante!$BP$1</f>
        <v>2797965.33418694</v>
      </c>
      <c r="BU179" s="8">
        <f>+MINVU_Mes_Corriente!BU179*MINVU_Mes_Constante!$BP$1</f>
        <v>2797965.33418694</v>
      </c>
      <c r="BV179" s="8">
        <f>+MINVU_Mes_Corriente!BV179*MINVU_Mes_Constante!$BP$1</f>
        <v>2797965.33418694</v>
      </c>
      <c r="BW179" s="8">
        <f>+MINVU_Mes_Corriente!BW179*MINVU_Mes_Constante!$BP$1</f>
        <v>1585898.4076824586</v>
      </c>
      <c r="BX179" s="8">
        <f>+MINVU_Mes_Corriente!BX179*MINVU_Mes_Constante!$BP$1</f>
        <v>1588367.5997439183</v>
      </c>
      <c r="BY179" s="8">
        <f>+MINVU_Mes_Corriente!BY179*MINVU_Mes_Constante!$BP$1</f>
        <v>1588367.5997439183</v>
      </c>
      <c r="BZ179" s="8">
        <f>+MINVU_Mes_Corriente!BZ179*MINVU_Mes_Constante!$BP$1</f>
        <v>1588367.5997439183</v>
      </c>
      <c r="CA179" s="8">
        <f>+MINVU_Mes_Corriente!CA179*MINVU_Mes_Constante!$BP$1</f>
        <v>1376957.1941101153</v>
      </c>
      <c r="CB179" s="9">
        <f t="shared" si="138"/>
        <v>1376957.1941101153</v>
      </c>
      <c r="CC179" s="8">
        <f>+MINVU_Mes_Corriente!CC179*MINVU_Mes_Constante!$CC$1</f>
        <v>18164118.407310706</v>
      </c>
      <c r="CD179" s="8">
        <f>+MINVU_Mes_Corriente!CD179*MINVU_Mes_Constante!$CC$1</f>
        <v>18164118.407310706</v>
      </c>
      <c r="CE179" s="8">
        <f>+MINVU_Mes_Corriente!CE179*MINVU_Mes_Constante!$CC$1</f>
        <v>18164118.407310706</v>
      </c>
      <c r="CF179" s="8">
        <f>+MINVU_Mes_Corriente!CF179*MINVU_Mes_Constante!$CC$1</f>
        <v>18164118.407310706</v>
      </c>
      <c r="CG179" s="8">
        <f>+MINVU_Mes_Corriente!CG179*MINVU_Mes_Constante!$CC$1</f>
        <v>18164118.407310706</v>
      </c>
      <c r="CH179" s="8">
        <f>+MINVU_Mes_Corriente!CH179*MINVU_Mes_Constante!$CC$1</f>
        <v>18164118.407310706</v>
      </c>
      <c r="CI179" s="8">
        <f>+MINVU_Mes_Corriente!CI179*MINVU_Mes_Constante!$CC$1</f>
        <v>13804799.270421486</v>
      </c>
      <c r="CJ179" s="8">
        <f>+MINVU_Mes_Corriente!CJ179*MINVU_Mes_Constante!$CC$1</f>
        <v>13804799.270421486</v>
      </c>
      <c r="CK179" s="8">
        <f>+MINVU_Mes_Corriente!CK179*MINVU_Mes_Constante!$CC$1</f>
        <v>15146254.780305857</v>
      </c>
      <c r="CL179" s="8">
        <f>+MINVU_Mes_Corriente!CL179*MINVU_Mes_Constante!$CC$1</f>
        <v>16158061.065274153</v>
      </c>
      <c r="CM179" s="8">
        <f>+MINVU_Mes_Corriente!CM179*MINVU_Mes_Constante!$CC$1</f>
        <v>16186180.945915705</v>
      </c>
      <c r="CN179" s="8">
        <f>+MINVU_Mes_Corriente!CN179*MINVU_Mes_Constante!$CC$1</f>
        <v>20230172.978739277</v>
      </c>
      <c r="CO179" s="9">
        <f t="shared" si="139"/>
        <v>20230172.978739277</v>
      </c>
      <c r="CP179" s="8">
        <f>+MINVU_Mes_Corriente!CP179*MINVU_Mes_Constante!$CP$1</f>
        <v>41456473.634338737</v>
      </c>
      <c r="CQ179" s="8">
        <f>+MINVU_Mes_Corriente!CQ179*MINVU_Mes_Constante!$CP$1</f>
        <v>41456473.634338737</v>
      </c>
      <c r="CR179" s="8">
        <f>+MINVU_Mes_Corriente!CR179*MINVU_Mes_Constante!$CP$1</f>
        <v>41456473.634338737</v>
      </c>
      <c r="CS179" s="8">
        <f>+MINVU_Mes_Corriente!CS179*MINVU_Mes_Constante!$CP$1</f>
        <v>41456473.634338737</v>
      </c>
      <c r="CT179" s="8">
        <f>+MINVU_Mes_Corriente!CT179*MINVU_Mes_Constante!$CP$1</f>
        <v>51131349.035498828</v>
      </c>
      <c r="CU179" s="8">
        <f>+MINVU_Mes_Corriente!CU179*MINVU_Mes_Constante!$CP$1</f>
        <v>51131349.035498828</v>
      </c>
      <c r="CV179" s="8">
        <f>+MINVU_Mes_Corriente!CV179*MINVU_Mes_Constante!$CP$1</f>
        <v>51131349.035498828</v>
      </c>
      <c r="CW179" s="8">
        <f>+MINVU_Mes_Corriente!CW179*MINVU_Mes_Constante!$CP$1</f>
        <v>63627781.548027828</v>
      </c>
      <c r="CX179" s="8">
        <f>+MINVU_Mes_Corriente!CX179*MINVU_Mes_Constante!$CP$1</f>
        <v>63627781.548027828</v>
      </c>
      <c r="CY179" s="8">
        <f>+MINVU_Mes_Corriente!CY179*MINVU_Mes_Constante!$CP$1</f>
        <v>71587007.503016233</v>
      </c>
      <c r="CZ179" s="8">
        <f>+MINVU_Mes_Corriente!CZ179*MINVU_Mes_Constante!$CP$1</f>
        <v>72223847.538515061</v>
      </c>
      <c r="DA179" s="8">
        <f>+MINVU_Mes_Corriente!DA179*MINVU_Mes_Constante!$CP$1</f>
        <v>62975916.361252889</v>
      </c>
      <c r="DB179" s="9">
        <f t="shared" si="140"/>
        <v>62975916.361252889</v>
      </c>
      <c r="DC179" s="8">
        <f>+MINVU_Mes_Corriente!DC179*MINVU_Mes_Constante!$DC$1</f>
        <v>76069789.365908891</v>
      </c>
      <c r="DD179" s="8">
        <f>+MINVU_Mes_Corriente!DD179*MINVU_Mes_Constante!$DC$1</f>
        <v>99358770.232074931</v>
      </c>
      <c r="DE179" s="8">
        <f>+MINVU_Mes_Corriente!DE179*MINVU_Mes_Constante!$DC$1</f>
        <v>99358770.232074931</v>
      </c>
      <c r="DF179" s="8">
        <f>+MINVU_Mes_Corriente!DF179*MINVU_Mes_Constante!$DC$1</f>
        <v>99358770.232074931</v>
      </c>
      <c r="DG179" s="8">
        <f>+MINVU_Mes_Corriente!DG179*MINVU_Mes_Constante!$DC$1</f>
        <v>100488907.07211196</v>
      </c>
      <c r="DH179" s="8">
        <f>+MINVU_Mes_Corriente!DH179*MINVU_Mes_Constante!$DC$1</f>
        <v>100488907.07211196</v>
      </c>
      <c r="DI179" s="8">
        <f>+MINVU_Mes_Corriente!DI179*MINVU_Mes_Constante!$DC$1</f>
        <v>100488907.07211196</v>
      </c>
      <c r="DJ179" s="8">
        <f>+MINVU_Mes_Corriente!DJ179*MINVU_Mes_Constante!$DC$1</f>
        <v>100622300.70774616</v>
      </c>
      <c r="DK179" s="8">
        <f>+MINVU_Mes_Corriente!DK179*MINVU_Mes_Constante!$DC$1</f>
        <v>100860418.04711454</v>
      </c>
      <c r="DL179" s="8">
        <f>+MINVU_Mes_Corriente!DL179*MINVU_Mes_Constante!$DC$1</f>
        <v>100860418.04711454</v>
      </c>
      <c r="DM179" s="8">
        <f>+MINVU_Mes_Corriente!DM179*MINVU_Mes_Constante!$DC$1</f>
        <v>101032571.38956903</v>
      </c>
      <c r="DN179" s="8">
        <f>+MINVU_Mes_Corriente!DN179*MINVU_Mes_Constante!$DC$1</f>
        <v>103538136.63573711</v>
      </c>
      <c r="DO179" s="9">
        <f t="shared" si="141"/>
        <v>103538136.63573711</v>
      </c>
      <c r="DP179" s="8">
        <f>+MINVU_Mes_Corriente!DP179*MINVU_Mes_Constante!$DP$1</f>
        <v>120537564.37945369</v>
      </c>
      <c r="DQ179" s="8">
        <f>+MINVU_Mes_Corriente!DQ179*MINVU_Mes_Constante!$DP$1</f>
        <v>120537564.37945369</v>
      </c>
      <c r="DR179" s="8">
        <f>+MINVU_Mes_Corriente!DR179*MINVU_Mes_Constante!$DP$1</f>
        <v>120537564.37945369</v>
      </c>
      <c r="DS179" s="8">
        <f>+MINVU_Mes_Corriente!DS179*MINVU_Mes_Constante!$DP$1</f>
        <v>120537564.37945369</v>
      </c>
      <c r="DT179" s="8">
        <f>+MINVU_Mes_Corriente!DT179*MINVU_Mes_Constante!$DP$1</f>
        <v>120537564.37945369</v>
      </c>
      <c r="DU179" s="8">
        <f>+MINVU_Mes_Corriente!DU179*MINVU_Mes_Constante!$DP$1</f>
        <v>122700272.21793351</v>
      </c>
      <c r="DV179" s="8">
        <f>+MINVU_Mes_Corriente!DV179*MINVU_Mes_Constante!$DP$1</f>
        <v>122700272.21793351</v>
      </c>
      <c r="DW179" s="8">
        <f>+MINVU_Mes_Corriente!DW179*MINVU_Mes_Constante!$DP$1</f>
        <v>122700272.21793351</v>
      </c>
      <c r="DX179" s="8">
        <f>+MINVU_Mes_Corriente!DX179*MINVU_Mes_Constante!$DP$1</f>
        <v>122700272.21793351</v>
      </c>
      <c r="DY179" s="8">
        <f>+MINVU_Mes_Corriente!DY179*MINVU_Mes_Constante!$DP$1</f>
        <v>122700272.21793351</v>
      </c>
      <c r="DZ179" s="8">
        <f>+MINVU_Mes_Corriente!DZ179*MINVU_Mes_Constante!$DP$1</f>
        <v>128280058.44121142</v>
      </c>
      <c r="EA179" s="8">
        <f>+MINVU_Mes_Corriente!EA179*MINVU_Mes_Constante!$DP$1</f>
        <v>130319640.07838482</v>
      </c>
      <c r="EB179" s="9">
        <f t="shared" si="142"/>
        <v>130319640.07838482</v>
      </c>
      <c r="EC179" s="8">
        <f>+MINVU_Mes_Corriente!EC179*MINVU_Mes_Constante!$EC$1</f>
        <v>120685191.58170797</v>
      </c>
      <c r="ED179" s="8">
        <f>+MINVU_Mes_Corriente!ED179*MINVU_Mes_Constante!$EC$1</f>
        <v>120685191.58170797</v>
      </c>
      <c r="EE179" s="8">
        <f>+MINVU_Mes_Corriente!EE179*MINVU_Mes_Constante!$EC$1</f>
        <v>120767948.6352963</v>
      </c>
      <c r="EF179" s="8">
        <f>+MINVU_Mes_Corriente!EF179*MINVU_Mes_Constante!$EC$1</f>
        <v>120767948.6352963</v>
      </c>
      <c r="EG179" s="8">
        <f>+MINVU_Mes_Corriente!EG179*MINVU_Mes_Constante!$EC$1</f>
        <v>120871237.71387991</v>
      </c>
      <c r="EH179" s="8">
        <f>+MINVU_Mes_Corriente!EH179*MINVU_Mes_Constante!$EC$1</f>
        <v>120871237.71387991</v>
      </c>
      <c r="EI179" s="8">
        <f>+MINVU_Mes_Corriente!EI179*MINVU_Mes_Constante!$EC$1</f>
        <v>120871237.71387991</v>
      </c>
      <c r="EJ179" s="8">
        <f>+MINVU_Mes_Corriente!EJ179*MINVU_Mes_Constante!$EC$1</f>
        <v>120871237.71387991</v>
      </c>
      <c r="EK179" s="8">
        <f>+MINVU_Mes_Corriente!EK179*MINVU_Mes_Constante!$EC$1</f>
        <v>123974627.22344249</v>
      </c>
      <c r="EL179" s="8">
        <f>+MINVU_Mes_Corriente!EL179*MINVU_Mes_Constante!$EC$1</f>
        <v>147134837.27854568</v>
      </c>
      <c r="EM179" s="8">
        <f>+MINVU_Mes_Corriente!EM179*MINVU_Mes_Constante!$EC$1</f>
        <v>147134837.27854568</v>
      </c>
      <c r="EN179" s="8">
        <f>+MINVU_Mes_Corriente!EN179*MINVU_Mes_Constante!$EC$1</f>
        <v>160033895.778451</v>
      </c>
      <c r="EO179" s="9">
        <f t="shared" si="143"/>
        <v>160033895.778451</v>
      </c>
      <c r="EP179" s="8">
        <f>+MINVU_Mes_Corriente!EP179*MINVU_Mes_Constante!$EP$1</f>
        <v>154915622</v>
      </c>
      <c r="EQ179" s="8">
        <f>+MINVU_Mes_Corriente!EQ179*MINVU_Mes_Constante!$EP$1</f>
        <v>154915622</v>
      </c>
      <c r="ER179" s="8">
        <f>+MINVU_Mes_Corriente!ER179*MINVU_Mes_Constante!$EP$1</f>
        <v>154915622</v>
      </c>
      <c r="ES179" s="8">
        <f>+MINVU_Mes_Corriente!ES179*MINVU_Mes_Constante!$EP$1</f>
        <v>154915622</v>
      </c>
      <c r="ET179" s="8">
        <f>+MINVU_Mes_Corriente!ET179*MINVU_Mes_Constante!$EP$1</f>
        <v>154915622</v>
      </c>
      <c r="EU179" s="8">
        <f>+MINVU_Mes_Corriente!EU179*MINVU_Mes_Constante!$EP$1</f>
        <v>154915622</v>
      </c>
      <c r="EV179" s="8">
        <f>+MINVU_Mes_Corriente!EV179*MINVU_Mes_Constante!$EP$1</f>
        <v>165235367</v>
      </c>
      <c r="EW179" s="8">
        <f>+MINVU_Mes_Corriente!EW179*MINVU_Mes_Constante!$EP$1</f>
        <v>165235367</v>
      </c>
      <c r="EX179" s="8">
        <f>+MINVU_Mes_Corriente!EX179*MINVU_Mes_Constante!$EP$1</f>
        <v>165235367</v>
      </c>
      <c r="EY179" s="8">
        <f>+MINVU_Mes_Corriente!EY179*MINVU_Mes_Constante!$EP$1</f>
        <v>189916720</v>
      </c>
      <c r="EZ179" s="8">
        <f>+MINVU_Mes_Corriente!EZ179*MINVU_Mes_Constante!$EP$1</f>
        <v>187467078</v>
      </c>
      <c r="FA179" s="8">
        <f>+MINVU_Mes_Corriente!FA179*MINVU_Mes_Constante!$EP$1</f>
        <v>187909116</v>
      </c>
      <c r="FB179" s="9">
        <f t="shared" si="144"/>
        <v>187909116</v>
      </c>
      <c r="FC179" s="8">
        <f>+MINVU_Mes_Corriente!FC179*MINVU_Mes_Constante!$FC$1</f>
        <v>185909865</v>
      </c>
      <c r="FD179" s="8">
        <f>+MINVU_Mes_Corriente!FD179*MINVU_Mes_Constante!$FC$1</f>
        <v>181909865</v>
      </c>
      <c r="FE179" s="8">
        <f>+MINVU_Mes_Corriente!FE179*MINVU_Mes_Constante!$FC$1</f>
        <v>181909865</v>
      </c>
      <c r="FF179" s="8">
        <f>+MINVU_Mes_Corriente!FF179*MINVU_Mes_Constante!$FC$1</f>
        <v>181909865</v>
      </c>
      <c r="FG179" s="8">
        <f>+MINVU_Mes_Corriente!FG179*MINVU_Mes_Constante!$FC$1</f>
        <v>181909865</v>
      </c>
      <c r="FH179" s="8">
        <f>+MINVU_Mes_Corriente!FH179*MINVU_Mes_Constante!$FC$1</f>
        <v>182635761</v>
      </c>
      <c r="FI179" s="8">
        <f>+MINVU_Mes_Corriente!FI179*MINVU_Mes_Constante!$FC$1</f>
        <v>182989649</v>
      </c>
      <c r="FJ179" s="8"/>
      <c r="FK179" s="8"/>
      <c r="FL179" s="8"/>
      <c r="FM179" s="8"/>
      <c r="FN179" s="8"/>
      <c r="FO179" s="9">
        <f t="shared" si="145"/>
        <v>182989649</v>
      </c>
    </row>
    <row r="180" spans="2:171" ht="14.25" customHeight="1" x14ac:dyDescent="0.3">
      <c r="B180" s="7" t="s">
        <v>55</v>
      </c>
      <c r="C180" s="8">
        <f>+MINVU_Mes_Corriente!C180*MINVU_Mes_Constante!$C$1</f>
        <v>196204606.67596027</v>
      </c>
      <c r="D180" s="8">
        <f>+MINVU_Mes_Corriente!D180*MINVU_Mes_Constante!$C$1</f>
        <v>196204606.67596027</v>
      </c>
      <c r="E180" s="8">
        <f>+MINVU_Mes_Corriente!E180*MINVU_Mes_Constante!$C$1</f>
        <v>200104820.85718527</v>
      </c>
      <c r="F180" s="8">
        <f>+MINVU_Mes_Corriente!F180*MINVU_Mes_Constante!$C$1</f>
        <v>200104820.85718527</v>
      </c>
      <c r="G180" s="8">
        <f>+MINVU_Mes_Corriente!G180*MINVU_Mes_Constante!$C$1</f>
        <v>200104820.85718527</v>
      </c>
      <c r="H180" s="8">
        <f>+MINVU_Mes_Corriente!H180*MINVU_Mes_Constante!$C$1</f>
        <v>205181363.23031294</v>
      </c>
      <c r="I180" s="8">
        <f>+MINVU_Mes_Corriente!I180*MINVU_Mes_Constante!$C$1</f>
        <v>205181363.23031294</v>
      </c>
      <c r="J180" s="8">
        <f>+MINVU_Mes_Corriente!J180*MINVU_Mes_Constante!$C$1</f>
        <v>206482621.79830939</v>
      </c>
      <c r="K180" s="8">
        <f>+MINVU_Mes_Corriente!K180*MINVU_Mes_Constante!$C$1</f>
        <v>285295350.02580458</v>
      </c>
      <c r="L180" s="8">
        <f>+MINVU_Mes_Corriente!L180*MINVU_Mes_Constante!$C$1</f>
        <v>285295350.02580458</v>
      </c>
      <c r="M180" s="8">
        <f>+MINVU_Mes_Corriente!M180*MINVU_Mes_Constante!$C$1</f>
        <v>291040488.09076083</v>
      </c>
      <c r="N180" s="8">
        <f>+MINVU_Mes_Corriente!N180*MINVU_Mes_Constante!$C$1</f>
        <v>290216700.42177075</v>
      </c>
      <c r="O180" s="9">
        <f t="shared" si="133"/>
        <v>290216700.42177075</v>
      </c>
      <c r="P180" s="8">
        <f>+MINVU_Mes_Corriente!P180*MINVU_Mes_Constante!$P$1</f>
        <v>224352517.35104409</v>
      </c>
      <c r="Q180" s="8">
        <f>+MINVU_Mes_Corriente!Q180*MINVU_Mes_Constante!$P$1</f>
        <v>229845468.77823547</v>
      </c>
      <c r="R180" s="8">
        <f>+MINVU_Mes_Corriente!R180*MINVU_Mes_Constante!$P$1</f>
        <v>229845468.77823547</v>
      </c>
      <c r="S180" s="8">
        <f>+MINVU_Mes_Corriente!S180*MINVU_Mes_Constante!$P$1</f>
        <v>229845468.77823547</v>
      </c>
      <c r="T180" s="8">
        <f>+MINVU_Mes_Corriente!T180*MINVU_Mes_Constante!$P$1</f>
        <v>229845468.77823547</v>
      </c>
      <c r="U180" s="8">
        <f>+MINVU_Mes_Corriente!U180*MINVU_Mes_Constante!$P$1</f>
        <v>262438928.18809479</v>
      </c>
      <c r="V180" s="8">
        <f>+MINVU_Mes_Corriente!V180*MINVU_Mes_Constante!$P$1</f>
        <v>262438928.18809479</v>
      </c>
      <c r="W180" s="8">
        <f>+MINVU_Mes_Corriente!W180*MINVU_Mes_Constante!$P$1</f>
        <v>262438928.18809479</v>
      </c>
      <c r="X180" s="8">
        <f>+MINVU_Mes_Corriente!X180*MINVU_Mes_Constante!$P$1</f>
        <v>261626652.49865028</v>
      </c>
      <c r="Y180" s="8">
        <f>+MINVU_Mes_Corriente!Y180*MINVU_Mes_Constante!$P$1</f>
        <v>261626652.49865028</v>
      </c>
      <c r="Z180" s="8">
        <f>+MINVU_Mes_Corriente!Z180*MINVU_Mes_Constante!$P$1</f>
        <v>261657696.68106255</v>
      </c>
      <c r="AA180" s="8">
        <f>+MINVU_Mes_Corriente!AA180*MINVU_Mes_Constante!$P$1</f>
        <v>269661247.01946288</v>
      </c>
      <c r="AB180" s="9">
        <f t="shared" si="134"/>
        <v>269661247.01946288</v>
      </c>
      <c r="AC180" s="8">
        <f>+MINVU_Mes_Corriente!AC180*MINVU_Mes_Constante!$AC$1</f>
        <v>247024390.84797344</v>
      </c>
      <c r="AD180" s="8">
        <f>+MINVU_Mes_Corriente!AD180*MINVU_Mes_Constante!$AC$1</f>
        <v>253165786.77742425</v>
      </c>
      <c r="AE180" s="8">
        <f>+MINVU_Mes_Corriente!AE180*MINVU_Mes_Constante!$AC$1</f>
        <v>253165786.77742425</v>
      </c>
      <c r="AF180" s="8">
        <f>+MINVU_Mes_Corriente!AF180*MINVU_Mes_Constante!$AC$1</f>
        <v>246515572.36325911</v>
      </c>
      <c r="AG180" s="8">
        <f>+MINVU_Mes_Corriente!AG180*MINVU_Mes_Constante!$AC$1</f>
        <v>246515572.36325911</v>
      </c>
      <c r="AH180" s="8">
        <f>+MINVU_Mes_Corriente!AH180*MINVU_Mes_Constante!$AC$1</f>
        <v>250612164.8988795</v>
      </c>
      <c r="AI180" s="8">
        <f>+MINVU_Mes_Corriente!AI180*MINVU_Mes_Constante!$AC$1</f>
        <v>256447664.56799003</v>
      </c>
      <c r="AJ180" s="8">
        <f>+MINVU_Mes_Corriente!AJ180*MINVU_Mes_Constante!$AC$1</f>
        <v>255757623.2062526</v>
      </c>
      <c r="AK180" s="8">
        <f>+MINVU_Mes_Corriente!AK180*MINVU_Mes_Constante!$AC$1</f>
        <v>255757623.2062526</v>
      </c>
      <c r="AL180" s="8">
        <f>+MINVU_Mes_Corriente!AL180*MINVU_Mes_Constante!$AC$1</f>
        <v>255757623.2062526</v>
      </c>
      <c r="AM180" s="8">
        <f>+MINVU_Mes_Corriente!AM180*MINVU_Mes_Constante!$AC$1</f>
        <v>261697383.12325355</v>
      </c>
      <c r="AN180" s="8">
        <f>+MINVU_Mes_Corriente!AN180*MINVU_Mes_Constante!$AC$1</f>
        <v>283383827.54682529</v>
      </c>
      <c r="AO180" s="9">
        <f t="shared" si="135"/>
        <v>283383827.54682529</v>
      </c>
      <c r="AP180" s="8">
        <f>+MINVU_Mes_Corriente!AP180*MINVU_Mes_Constante!$AP$1</f>
        <v>205686159.0150142</v>
      </c>
      <c r="AQ180" s="8">
        <f>+MINVU_Mes_Corriente!AQ180*MINVU_Mes_Constante!$AP$1</f>
        <v>208529685.61477071</v>
      </c>
      <c r="AR180" s="8">
        <f>+MINVU_Mes_Corriente!AR180*MINVU_Mes_Constante!$AP$1</f>
        <v>208529685.61477071</v>
      </c>
      <c r="AS180" s="8">
        <f>+MINVU_Mes_Corriente!AS180*MINVU_Mes_Constante!$AP$1</f>
        <v>208529685.61477071</v>
      </c>
      <c r="AT180" s="8">
        <f>+MINVU_Mes_Corriente!AT180*MINVU_Mes_Constante!$AP$1</f>
        <v>208529685.61477071</v>
      </c>
      <c r="AU180" s="8">
        <f>+MINVU_Mes_Corriente!AU180*MINVU_Mes_Constante!$AP$1</f>
        <v>248666768.55079126</v>
      </c>
      <c r="AV180" s="8">
        <f>+MINVU_Mes_Corriente!AV180*MINVU_Mes_Constante!$AP$1</f>
        <v>248666768.55079126</v>
      </c>
      <c r="AW180" s="8">
        <f>+MINVU_Mes_Corriente!AW180*MINVU_Mes_Constante!$AP$1</f>
        <v>249376153.10374677</v>
      </c>
      <c r="AX180" s="8">
        <f>+MINVU_Mes_Corriente!AX180*MINVU_Mes_Constante!$AP$1</f>
        <v>249376153.10374677</v>
      </c>
      <c r="AY180" s="8">
        <f>+MINVU_Mes_Corriente!AY180*MINVU_Mes_Constante!$AP$1</f>
        <v>264154997.95698631</v>
      </c>
      <c r="AZ180" s="8">
        <f>+MINVU_Mes_Corriente!AZ180*MINVU_Mes_Constante!$AP$1</f>
        <v>264154997.95698631</v>
      </c>
      <c r="BA180" s="8">
        <f>+MINVU_Mes_Corriente!BA180*MINVU_Mes_Constante!$AP$1</f>
        <v>274300374.93818474</v>
      </c>
      <c r="BB180" s="9">
        <f t="shared" si="136"/>
        <v>274300374.93818474</v>
      </c>
      <c r="BC180" s="8">
        <f>+MINVU_Mes_Corriente!BC180*MINVU_Mes_Constante!$BC$1</f>
        <v>247481527.88395101</v>
      </c>
      <c r="BD180" s="8">
        <f>+MINVU_Mes_Corriente!BD180*MINVU_Mes_Constante!$BC$1</f>
        <v>248251912.46419629</v>
      </c>
      <c r="BE180" s="8">
        <f>+MINVU_Mes_Corriente!BE180*MINVU_Mes_Constante!$BC$1</f>
        <v>248251912.46419629</v>
      </c>
      <c r="BF180" s="8">
        <f>+MINVU_Mes_Corriente!BF180*MINVU_Mes_Constante!$BC$1</f>
        <v>248251912.46419629</v>
      </c>
      <c r="BG180" s="8">
        <f>+MINVU_Mes_Corriente!BG180*MINVU_Mes_Constante!$BC$1</f>
        <v>248251912.46419629</v>
      </c>
      <c r="BH180" s="8">
        <f>+MINVU_Mes_Corriente!BH180*MINVU_Mes_Constante!$BC$1</f>
        <v>251452796.76697883</v>
      </c>
      <c r="BI180" s="8">
        <f>+MINVU_Mes_Corriente!BI180*MINVU_Mes_Constante!$BC$1</f>
        <v>251452796.76697883</v>
      </c>
      <c r="BJ180" s="8">
        <f>+MINVU_Mes_Corriente!BJ180*MINVU_Mes_Constante!$BC$1</f>
        <v>251452796.76697883</v>
      </c>
      <c r="BK180" s="8">
        <f>+MINVU_Mes_Corriente!BK180*MINVU_Mes_Constante!$BC$1</f>
        <v>251452796.76697883</v>
      </c>
      <c r="BL180" s="8">
        <f>+MINVU_Mes_Corriente!BL180*MINVU_Mes_Constante!$BC$1</f>
        <v>271048418.55255181</v>
      </c>
      <c r="BM180" s="8">
        <f>+MINVU_Mes_Corriente!BM180*MINVU_Mes_Constante!$BC$1</f>
        <v>271048418.55255181</v>
      </c>
      <c r="BN180" s="8">
        <f>+MINVU_Mes_Corriente!BN180*MINVU_Mes_Constante!$BC$1</f>
        <v>279627652.65092981</v>
      </c>
      <c r="BO180" s="9">
        <f t="shared" si="137"/>
        <v>279627652.65092981</v>
      </c>
      <c r="BP180" s="8">
        <f>+MINVU_Mes_Corriente!BP180*MINVU_Mes_Constante!$BP$1</f>
        <v>328145783.17413574</v>
      </c>
      <c r="BQ180" s="8">
        <f>+MINVU_Mes_Corriente!BQ180*MINVU_Mes_Constante!$BP$1</f>
        <v>328145783.17413574</v>
      </c>
      <c r="BR180" s="8">
        <f>+MINVU_Mes_Corriente!BR180*MINVU_Mes_Constante!$BP$1</f>
        <v>328998446.25556982</v>
      </c>
      <c r="BS180" s="8">
        <f>+MINVU_Mes_Corriente!BS180*MINVU_Mes_Constante!$BP$1</f>
        <v>328998446.25556982</v>
      </c>
      <c r="BT180" s="8">
        <f>+MINVU_Mes_Corriente!BT180*MINVU_Mes_Constante!$BP$1</f>
        <v>328998446.25556982</v>
      </c>
      <c r="BU180" s="8">
        <f>+MINVU_Mes_Corriente!BU180*MINVU_Mes_Constante!$BP$1</f>
        <v>327913351.76005125</v>
      </c>
      <c r="BV180" s="8">
        <f>+MINVU_Mes_Corriente!BV180*MINVU_Mes_Constante!$BP$1</f>
        <v>333556531.43277854</v>
      </c>
      <c r="BW180" s="8">
        <f>+MINVU_Mes_Corriente!BW180*MINVU_Mes_Constante!$BP$1</f>
        <v>334848682.72163898</v>
      </c>
      <c r="BX180" s="8">
        <f>+MINVU_Mes_Corriente!BX180*MINVU_Mes_Constante!$BP$1</f>
        <v>374007410.7626121</v>
      </c>
      <c r="BY180" s="8">
        <f>+MINVU_Mes_Corriente!BY180*MINVU_Mes_Constante!$BP$1</f>
        <v>374007410.7626121</v>
      </c>
      <c r="BZ180" s="8">
        <f>+MINVU_Mes_Corriente!BZ180*MINVU_Mes_Constante!$BP$1</f>
        <v>374007410.7626121</v>
      </c>
      <c r="CA180" s="8">
        <f>+MINVU_Mes_Corriente!CA180*MINVU_Mes_Constante!$BP$1</f>
        <v>374617704.10678619</v>
      </c>
      <c r="CB180" s="9">
        <f t="shared" si="138"/>
        <v>374617704.10678619</v>
      </c>
      <c r="CC180" s="8">
        <f>+MINVU_Mes_Corriente!CC180*MINVU_Mes_Constante!$CC$1</f>
        <v>327090543.99701607</v>
      </c>
      <c r="CD180" s="8">
        <f>+MINVU_Mes_Corriente!CD180*MINVU_Mes_Constante!$CC$1</f>
        <v>327090543.99701607</v>
      </c>
      <c r="CE180" s="8">
        <f>+MINVU_Mes_Corriente!CE180*MINVU_Mes_Constante!$CC$1</f>
        <v>327090543.99701607</v>
      </c>
      <c r="CF180" s="8">
        <f>+MINVU_Mes_Corriente!CF180*MINVU_Mes_Constante!$CC$1</f>
        <v>390763537.62252897</v>
      </c>
      <c r="CG180" s="8">
        <f>+MINVU_Mes_Corriente!CG180*MINVU_Mes_Constante!$CC$1</f>
        <v>296095995.12644541</v>
      </c>
      <c r="CH180" s="8">
        <f>+MINVU_Mes_Corriente!CH180*MINVU_Mes_Constante!$CC$1</f>
        <v>296095995.12644541</v>
      </c>
      <c r="CI180" s="8">
        <f>+MINVU_Mes_Corriente!CI180*MINVU_Mes_Constante!$CC$1</f>
        <v>296095995.12644541</v>
      </c>
      <c r="CJ180" s="8">
        <f>+MINVU_Mes_Corriente!CJ180*MINVU_Mes_Constante!$CC$1</f>
        <v>296095995.12644541</v>
      </c>
      <c r="CK180" s="8">
        <f>+MINVU_Mes_Corriente!CK180*MINVU_Mes_Constante!$CC$1</f>
        <v>299278589.63297278</v>
      </c>
      <c r="CL180" s="8">
        <f>+MINVU_Mes_Corriente!CL180*MINVU_Mes_Constante!$CC$1</f>
        <v>323780740.31256998</v>
      </c>
      <c r="CM180" s="8">
        <f>+MINVU_Mes_Corriente!CM180*MINVU_Mes_Constante!$CC$1</f>
        <v>323653046.16859382</v>
      </c>
      <c r="CN180" s="8">
        <f>+MINVU_Mes_Corriente!CN180*MINVU_Mes_Constante!$CC$1</f>
        <v>327621899.70682585</v>
      </c>
      <c r="CO180" s="9">
        <f t="shared" si="139"/>
        <v>327621899.70682585</v>
      </c>
      <c r="CP180" s="8">
        <f>+MINVU_Mes_Corriente!CP180*MINVU_Mes_Constante!$CP$1</f>
        <v>346572247.2160092</v>
      </c>
      <c r="CQ180" s="8">
        <f>+MINVU_Mes_Corriente!CQ180*MINVU_Mes_Constante!$CP$1</f>
        <v>346572247.2160092</v>
      </c>
      <c r="CR180" s="8">
        <f>+MINVU_Mes_Corriente!CR180*MINVU_Mes_Constante!$CP$1</f>
        <v>346572247.2160092</v>
      </c>
      <c r="CS180" s="8">
        <f>+MINVU_Mes_Corriente!CS180*MINVU_Mes_Constante!$CP$1</f>
        <v>345603572.39234334</v>
      </c>
      <c r="CT180" s="8">
        <f>+MINVU_Mes_Corriente!CT180*MINVU_Mes_Constante!$CP$1</f>
        <v>341731996.26055676</v>
      </c>
      <c r="CU180" s="8">
        <f>+MINVU_Mes_Corriente!CU180*MINVU_Mes_Constante!$CP$1</f>
        <v>341731996.26055676</v>
      </c>
      <c r="CV180" s="8">
        <f>+MINVU_Mes_Corriente!CV180*MINVU_Mes_Constante!$CP$1</f>
        <v>341731996.26055676</v>
      </c>
      <c r="CW180" s="8">
        <f>+MINVU_Mes_Corriente!CW180*MINVU_Mes_Constante!$CP$1</f>
        <v>309398759.24408346</v>
      </c>
      <c r="CX180" s="8">
        <f>+MINVU_Mes_Corriente!CX180*MINVU_Mes_Constante!$CP$1</f>
        <v>310430131.81600922</v>
      </c>
      <c r="CY180" s="8">
        <f>+MINVU_Mes_Corriente!CY180*MINVU_Mes_Constante!$CP$1</f>
        <v>310632934.60023195</v>
      </c>
      <c r="CZ180" s="8">
        <f>+MINVU_Mes_Corriente!CZ180*MINVU_Mes_Constante!$CP$1</f>
        <v>310588571.49118322</v>
      </c>
      <c r="DA180" s="8">
        <f>+MINVU_Mes_Corriente!DA180*MINVU_Mes_Constante!$CP$1</f>
        <v>313521223.96774936</v>
      </c>
      <c r="DB180" s="9">
        <f t="shared" si="140"/>
        <v>313521223.96774936</v>
      </c>
      <c r="DC180" s="8">
        <f>+MINVU_Mes_Corriente!DC180*MINVU_Mes_Constante!$DC$1</f>
        <v>258463708.24462515</v>
      </c>
      <c r="DD180" s="8">
        <f>+MINVU_Mes_Corriente!DD180*MINVU_Mes_Constante!$DC$1</f>
        <v>279044751.77553761</v>
      </c>
      <c r="DE180" s="8">
        <f>+MINVU_Mes_Corriente!DE180*MINVU_Mes_Constante!$DC$1</f>
        <v>279044751.77553761</v>
      </c>
      <c r="DF180" s="8">
        <f>+MINVU_Mes_Corriente!DF180*MINVU_Mes_Constante!$DC$1</f>
        <v>279044751.77553761</v>
      </c>
      <c r="DG180" s="8">
        <f>+MINVU_Mes_Corriente!DG180*MINVU_Mes_Constante!$DC$1</f>
        <v>279420752.96450996</v>
      </c>
      <c r="DH180" s="8">
        <f>+MINVU_Mes_Corriente!DH180*MINVU_Mes_Constante!$DC$1</f>
        <v>279420752.96450996</v>
      </c>
      <c r="DI180" s="8">
        <f>+MINVU_Mes_Corriente!DI180*MINVU_Mes_Constante!$DC$1</f>
        <v>279420752.96450996</v>
      </c>
      <c r="DJ180" s="8">
        <f>+MINVU_Mes_Corriente!DJ180*MINVU_Mes_Constante!$DC$1</f>
        <v>279420752.96450996</v>
      </c>
      <c r="DK180" s="8">
        <f>+MINVU_Mes_Corriente!DK180*MINVU_Mes_Constante!$DC$1</f>
        <v>249720301.78500167</v>
      </c>
      <c r="DL180" s="8">
        <f>+MINVU_Mes_Corriente!DL180*MINVU_Mes_Constante!$DC$1</f>
        <v>249720301.78500167</v>
      </c>
      <c r="DM180" s="8">
        <f>+MINVU_Mes_Corriente!DM180*MINVU_Mes_Constante!$DC$1</f>
        <v>252744391.77018836</v>
      </c>
      <c r="DN180" s="8">
        <f>+MINVU_Mes_Corriente!DN180*MINVU_Mes_Constante!$DC$1</f>
        <v>255126840.85670212</v>
      </c>
      <c r="DO180" s="9">
        <f t="shared" si="141"/>
        <v>255126840.85670212</v>
      </c>
      <c r="DP180" s="8">
        <f>+MINVU_Mes_Corriente!DP180*MINVU_Mes_Constante!$DP$1</f>
        <v>237720200.10926369</v>
      </c>
      <c r="DQ180" s="8">
        <f>+MINVU_Mes_Corriente!DQ180*MINVU_Mes_Constante!$DP$1</f>
        <v>237763454.26603329</v>
      </c>
      <c r="DR180" s="8">
        <f>+MINVU_Mes_Corriente!DR180*MINVU_Mes_Constante!$DP$1</f>
        <v>237763454.26603329</v>
      </c>
      <c r="DS180" s="8">
        <f>+MINVU_Mes_Corriente!DS180*MINVU_Mes_Constante!$DP$1</f>
        <v>237763454.26603329</v>
      </c>
      <c r="DT180" s="8">
        <f>+MINVU_Mes_Corriente!DT180*MINVU_Mes_Constante!$DP$1</f>
        <v>237763454.26603329</v>
      </c>
      <c r="DU180" s="8">
        <f>+MINVU_Mes_Corriente!DU180*MINVU_Mes_Constante!$DP$1</f>
        <v>248576993.45843232</v>
      </c>
      <c r="DV180" s="8">
        <f>+MINVU_Mes_Corriente!DV180*MINVU_Mes_Constante!$DP$1</f>
        <v>248646427.19358674</v>
      </c>
      <c r="DW180" s="8">
        <f>+MINVU_Mes_Corriente!DW180*MINVU_Mes_Constante!$DP$1</f>
        <v>248646427.19358674</v>
      </c>
      <c r="DX180" s="8">
        <f>+MINVU_Mes_Corriente!DX180*MINVU_Mes_Constante!$DP$1</f>
        <v>248646427.19358674</v>
      </c>
      <c r="DY180" s="8">
        <f>+MINVU_Mes_Corriente!DY180*MINVU_Mes_Constante!$DP$1</f>
        <v>248646427.19358674</v>
      </c>
      <c r="DZ180" s="8">
        <f>+MINVU_Mes_Corriente!DZ180*MINVU_Mes_Constante!$DP$1</f>
        <v>274579468.77969122</v>
      </c>
      <c r="EA180" s="8">
        <f>+MINVU_Mes_Corriente!EA180*MINVU_Mes_Constante!$DP$1</f>
        <v>274977266.44596201</v>
      </c>
      <c r="EB180" s="9">
        <f t="shared" si="142"/>
        <v>274977266.44596201</v>
      </c>
      <c r="EC180" s="8">
        <f>+MINVU_Mes_Corriente!EC180*MINVU_Mes_Constante!$EC$1</f>
        <v>303430681.7723915</v>
      </c>
      <c r="ED180" s="8">
        <f>+MINVU_Mes_Corriente!ED180*MINVU_Mes_Constante!$EC$1</f>
        <v>303430681.7723915</v>
      </c>
      <c r="EE180" s="8">
        <f>+MINVU_Mes_Corriente!EE180*MINVU_Mes_Constante!$EC$1</f>
        <v>305184684.42037481</v>
      </c>
      <c r="EF180" s="8">
        <f>+MINVU_Mes_Corriente!EF180*MINVU_Mes_Constante!$EC$1</f>
        <v>305184684.42037481</v>
      </c>
      <c r="EG180" s="8">
        <f>+MINVU_Mes_Corriente!EG180*MINVU_Mes_Constante!$EC$1</f>
        <v>305473764.11872745</v>
      </c>
      <c r="EH180" s="8">
        <f>+MINVU_Mes_Corriente!EH180*MINVU_Mes_Constante!$EC$1</f>
        <v>305473764.11872745</v>
      </c>
      <c r="EI180" s="8">
        <f>+MINVU_Mes_Corriente!EI180*MINVU_Mes_Constante!$EC$1</f>
        <v>305473764.11872745</v>
      </c>
      <c r="EJ180" s="8">
        <f>+MINVU_Mes_Corriente!EJ180*MINVU_Mes_Constante!$EC$1</f>
        <v>305473764.11872745</v>
      </c>
      <c r="EK180" s="8">
        <f>+MINVU_Mes_Corriente!EK180*MINVU_Mes_Constante!$EC$1</f>
        <v>305473764.11872745</v>
      </c>
      <c r="EL180" s="8">
        <f>+MINVU_Mes_Corriente!EL180*MINVU_Mes_Constante!$EC$1</f>
        <v>302905559.30240476</v>
      </c>
      <c r="EM180" s="8">
        <f>+MINVU_Mes_Corriente!EM180*MINVU_Mes_Constante!$EC$1</f>
        <v>304353807.74020064</v>
      </c>
      <c r="EN180" s="8">
        <f>+MINVU_Mes_Corriente!EN180*MINVU_Mes_Constante!$EC$1</f>
        <v>314409528.35788667</v>
      </c>
      <c r="EO180" s="9">
        <f t="shared" si="143"/>
        <v>314409528.35788667</v>
      </c>
      <c r="EP180" s="8">
        <f>+MINVU_Mes_Corriente!EP180*MINVU_Mes_Constante!$EP$1</f>
        <v>339023824</v>
      </c>
      <c r="EQ180" s="8">
        <f>+MINVU_Mes_Corriente!EQ180*MINVU_Mes_Constante!$EP$1</f>
        <v>339191329</v>
      </c>
      <c r="ER180" s="8">
        <f>+MINVU_Mes_Corriente!ER180*MINVU_Mes_Constante!$EP$1</f>
        <v>339191329</v>
      </c>
      <c r="ES180" s="8">
        <f>+MINVU_Mes_Corriente!ES180*MINVU_Mes_Constante!$EP$1</f>
        <v>339191329</v>
      </c>
      <c r="ET180" s="8">
        <f>+MINVU_Mes_Corriente!ET180*MINVU_Mes_Constante!$EP$1</f>
        <v>339191329</v>
      </c>
      <c r="EU180" s="8">
        <f>+MINVU_Mes_Corriente!EU180*MINVU_Mes_Constante!$EP$1</f>
        <v>339191329</v>
      </c>
      <c r="EV180" s="8">
        <f>+MINVU_Mes_Corriente!EV180*MINVU_Mes_Constante!$EP$1</f>
        <v>358437931</v>
      </c>
      <c r="EW180" s="8">
        <f>+MINVU_Mes_Corriente!EW180*MINVU_Mes_Constante!$EP$1</f>
        <v>358437931</v>
      </c>
      <c r="EX180" s="8">
        <f>+MINVU_Mes_Corriente!EX180*MINVU_Mes_Constante!$EP$1</f>
        <v>358437931</v>
      </c>
      <c r="EY180" s="8">
        <f>+MINVU_Mes_Corriente!EY180*MINVU_Mes_Constante!$EP$1</f>
        <v>339273828</v>
      </c>
      <c r="EZ180" s="8">
        <f>+MINVU_Mes_Corriente!EZ180*MINVU_Mes_Constante!$EP$1</f>
        <v>335170414</v>
      </c>
      <c r="FA180" s="8">
        <f>+MINVU_Mes_Corriente!FA180*MINVU_Mes_Constante!$EP$1</f>
        <v>330148272</v>
      </c>
      <c r="FB180" s="9">
        <f t="shared" si="144"/>
        <v>330148272</v>
      </c>
      <c r="FC180" s="8">
        <f>+MINVU_Mes_Corriente!FC180*MINVU_Mes_Constante!$FC$1</f>
        <v>343891426</v>
      </c>
      <c r="FD180" s="8">
        <f>+MINVU_Mes_Corriente!FD180*MINVU_Mes_Constante!$FC$1</f>
        <v>340891426</v>
      </c>
      <c r="FE180" s="8">
        <f>+MINVU_Mes_Corriente!FE180*MINVU_Mes_Constante!$FC$1</f>
        <v>340891426</v>
      </c>
      <c r="FF180" s="8">
        <f>+MINVU_Mes_Corriente!FF180*MINVU_Mes_Constante!$FC$1</f>
        <v>340891426</v>
      </c>
      <c r="FG180" s="8">
        <f>+MINVU_Mes_Corriente!FG180*MINVU_Mes_Constante!$FC$1</f>
        <v>340891426</v>
      </c>
      <c r="FH180" s="8">
        <f>+MINVU_Mes_Corriente!FH180*MINVU_Mes_Constante!$FC$1</f>
        <v>345526651</v>
      </c>
      <c r="FI180" s="8">
        <f>+MINVU_Mes_Corriente!FI180*MINVU_Mes_Constante!$FC$1</f>
        <v>345526651</v>
      </c>
      <c r="FJ180" s="8"/>
      <c r="FK180" s="8"/>
      <c r="FL180" s="8"/>
      <c r="FM180" s="8"/>
      <c r="FN180" s="8"/>
      <c r="FO180" s="9">
        <f t="shared" si="145"/>
        <v>345526651</v>
      </c>
    </row>
    <row r="181" spans="2:171" ht="14.25" customHeight="1" x14ac:dyDescent="0.3">
      <c r="B181" s="7" t="s">
        <v>56</v>
      </c>
      <c r="C181" s="8">
        <f>+MINVU_Mes_Corriente!C181*MINVU_Mes_Constante!$C$1</f>
        <v>99522670.375203937</v>
      </c>
      <c r="D181" s="8">
        <f>+MINVU_Mes_Corriente!D181*MINVU_Mes_Constante!$C$1</f>
        <v>99522670.375203937</v>
      </c>
      <c r="E181" s="8">
        <f>+MINVU_Mes_Corriente!E181*MINVU_Mes_Constante!$C$1</f>
        <v>102059158.36986506</v>
      </c>
      <c r="F181" s="8">
        <f>+MINVU_Mes_Corriente!F181*MINVU_Mes_Constante!$C$1</f>
        <v>103252717.33204807</v>
      </c>
      <c r="G181" s="8">
        <f>+MINVU_Mes_Corriente!G181*MINVU_Mes_Constante!$C$1</f>
        <v>103252717.33204807</v>
      </c>
      <c r="H181" s="8">
        <f>+MINVU_Mes_Corriente!H181*MINVU_Mes_Constante!$C$1</f>
        <v>113204648.95773396</v>
      </c>
      <c r="I181" s="8">
        <f>+MINVU_Mes_Corriente!I181*MINVU_Mes_Constante!$C$1</f>
        <v>113204648.95773396</v>
      </c>
      <c r="J181" s="8">
        <f>+MINVU_Mes_Corriente!J181*MINVU_Mes_Constante!$C$1</f>
        <v>113534170.83078749</v>
      </c>
      <c r="K181" s="8">
        <f>+MINVU_Mes_Corriente!K181*MINVU_Mes_Constante!$C$1</f>
        <v>122169120.04093136</v>
      </c>
      <c r="L181" s="8">
        <f>+MINVU_Mes_Corriente!L181*MINVU_Mes_Constante!$C$1</f>
        <v>122138226.50452323</v>
      </c>
      <c r="M181" s="8">
        <f>+MINVU_Mes_Corriente!M181*MINVU_Mes_Constante!$C$1</f>
        <v>132593682.58905534</v>
      </c>
      <c r="N181" s="8">
        <f>+MINVU_Mes_Corriente!N181*MINVU_Mes_Constante!$C$1</f>
        <v>134222599.63102478</v>
      </c>
      <c r="O181" s="9">
        <f t="shared" si="133"/>
        <v>134222599.63102478</v>
      </c>
      <c r="P181" s="8">
        <f>+MINVU_Mes_Corriente!P181*MINVU_Mes_Constante!$P$1</f>
        <v>128097192.34351465</v>
      </c>
      <c r="Q181" s="8">
        <f>+MINVU_Mes_Corriente!Q181*MINVU_Mes_Constante!$P$1</f>
        <v>128764108.30544107</v>
      </c>
      <c r="R181" s="8">
        <f>+MINVU_Mes_Corriente!R181*MINVU_Mes_Constante!$P$1</f>
        <v>128764108.30544107</v>
      </c>
      <c r="S181" s="8">
        <f>+MINVU_Mes_Corriente!S181*MINVU_Mes_Constante!$P$1</f>
        <v>128764108.30544107</v>
      </c>
      <c r="T181" s="8">
        <f>+MINVU_Mes_Corriente!T181*MINVU_Mes_Constante!$P$1</f>
        <v>128764108.30544107</v>
      </c>
      <c r="U181" s="8">
        <f>+MINVU_Mes_Corriente!U181*MINVU_Mes_Constante!$P$1</f>
        <v>137277838.73760471</v>
      </c>
      <c r="V181" s="8">
        <f>+MINVU_Mes_Corriente!V181*MINVU_Mes_Constante!$P$1</f>
        <v>137277838.73760471</v>
      </c>
      <c r="W181" s="8">
        <f>+MINVU_Mes_Corriente!W181*MINVU_Mes_Constante!$P$1</f>
        <v>137335213.04332995</v>
      </c>
      <c r="X181" s="8">
        <f>+MINVU_Mes_Corriente!X181*MINVU_Mes_Constante!$P$1</f>
        <v>137729208.73220623</v>
      </c>
      <c r="Y181" s="8">
        <f>+MINVU_Mes_Corriente!Y181*MINVU_Mes_Constante!$P$1</f>
        <v>137729208.73220623</v>
      </c>
      <c r="Z181" s="8">
        <f>+MINVU_Mes_Corriente!Z181*MINVU_Mes_Constante!$P$1</f>
        <v>137757924.60093758</v>
      </c>
      <c r="AA181" s="8">
        <f>+MINVU_Mes_Corriente!AA181*MINVU_Mes_Constante!$P$1</f>
        <v>136952900.83250457</v>
      </c>
      <c r="AB181" s="9">
        <f t="shared" si="134"/>
        <v>136952900.83250457</v>
      </c>
      <c r="AC181" s="8">
        <f>+MINVU_Mes_Corriente!AC181*MINVU_Mes_Constante!$AC$1</f>
        <v>135313999.9454973</v>
      </c>
      <c r="AD181" s="8">
        <f>+MINVU_Mes_Corriente!AD181*MINVU_Mes_Constante!$AC$1</f>
        <v>135431924.87259647</v>
      </c>
      <c r="AE181" s="8">
        <f>+MINVU_Mes_Corriente!AE181*MINVU_Mes_Constante!$AC$1</f>
        <v>135431924.87259647</v>
      </c>
      <c r="AF181" s="8">
        <f>+MINVU_Mes_Corriente!AF181*MINVU_Mes_Constante!$AC$1</f>
        <v>130971671.40738691</v>
      </c>
      <c r="AG181" s="8">
        <f>+MINVU_Mes_Corriente!AG181*MINVU_Mes_Constante!$AC$1</f>
        <v>131498403.15147322</v>
      </c>
      <c r="AH181" s="8">
        <f>+MINVU_Mes_Corriente!AH181*MINVU_Mes_Constante!$AC$1</f>
        <v>160580720.30322313</v>
      </c>
      <c r="AI181" s="8">
        <f>+MINVU_Mes_Corriente!AI181*MINVU_Mes_Constante!$AC$1</f>
        <v>160504598.01936644</v>
      </c>
      <c r="AJ181" s="8">
        <f>+MINVU_Mes_Corriente!AJ181*MINVU_Mes_Constante!$AC$1</f>
        <v>160504598.01936644</v>
      </c>
      <c r="AK181" s="8">
        <f>+MINVU_Mes_Corriente!AK181*MINVU_Mes_Constante!$AC$1</f>
        <v>160504598.01936644</v>
      </c>
      <c r="AL181" s="8">
        <f>+MINVU_Mes_Corriente!AL181*MINVU_Mes_Constante!$AC$1</f>
        <v>160504598.01936644</v>
      </c>
      <c r="AM181" s="8">
        <f>+MINVU_Mes_Corriente!AM181*MINVU_Mes_Constante!$AC$1</f>
        <v>161298089.51196569</v>
      </c>
      <c r="AN181" s="8">
        <f>+MINVU_Mes_Corriente!AN181*MINVU_Mes_Constante!$AC$1</f>
        <v>163689493.01258817</v>
      </c>
      <c r="AO181" s="9">
        <f t="shared" si="135"/>
        <v>163689493.01258817</v>
      </c>
      <c r="AP181" s="8">
        <f>+MINVU_Mes_Corriente!AP181*MINVU_Mes_Constante!$AP$1</f>
        <v>218194395.44596237</v>
      </c>
      <c r="AQ181" s="8">
        <f>+MINVU_Mes_Corriente!AQ181*MINVU_Mes_Constante!$AP$1</f>
        <v>218194395.44596237</v>
      </c>
      <c r="AR181" s="8">
        <f>+MINVU_Mes_Corriente!AR181*MINVU_Mes_Constante!$AP$1</f>
        <v>218194395.44596237</v>
      </c>
      <c r="AS181" s="8">
        <f>+MINVU_Mes_Corriente!AS181*MINVU_Mes_Constante!$AP$1</f>
        <v>218194395.44596237</v>
      </c>
      <c r="AT181" s="8">
        <f>+MINVU_Mes_Corriente!AT181*MINVU_Mes_Constante!$AP$1</f>
        <v>218194395.44596237</v>
      </c>
      <c r="AU181" s="8">
        <f>+MINVU_Mes_Corriente!AU181*MINVU_Mes_Constante!$AP$1</f>
        <v>202620770.91843635</v>
      </c>
      <c r="AV181" s="8">
        <f>+MINVU_Mes_Corriente!AV181*MINVU_Mes_Constante!$AP$1</f>
        <v>202620770.91843635</v>
      </c>
      <c r="AW181" s="8">
        <f>+MINVU_Mes_Corriente!AW181*MINVU_Mes_Constante!$AP$1</f>
        <v>202634071.87880427</v>
      </c>
      <c r="AX181" s="8">
        <f>+MINVU_Mes_Corriente!AX181*MINVU_Mes_Constante!$AP$1</f>
        <v>202634071.87880427</v>
      </c>
      <c r="AY181" s="8">
        <f>+MINVU_Mes_Corriente!AY181*MINVU_Mes_Constante!$AP$1</f>
        <v>195896695.04287839</v>
      </c>
      <c r="AZ181" s="8">
        <f>+MINVU_Mes_Corriente!AZ181*MINVU_Mes_Constante!$AP$1</f>
        <v>195896695.04287839</v>
      </c>
      <c r="BA181" s="8">
        <f>+MINVU_Mes_Corriente!BA181*MINVU_Mes_Constante!$AP$1</f>
        <v>189639400.11470309</v>
      </c>
      <c r="BB181" s="9">
        <f t="shared" si="136"/>
        <v>189639400.11470309</v>
      </c>
      <c r="BC181" s="8">
        <f>+MINVU_Mes_Corriente!BC181*MINVU_Mes_Constante!$BC$1</f>
        <v>188643030.94553611</v>
      </c>
      <c r="BD181" s="8">
        <f>+MINVU_Mes_Corriente!BD181*MINVU_Mes_Constante!$BC$1</f>
        <v>189208769.51417649</v>
      </c>
      <c r="BE181" s="8">
        <f>+MINVU_Mes_Corriente!BE181*MINVU_Mes_Constante!$BC$1</f>
        <v>189208769.51417649</v>
      </c>
      <c r="BF181" s="8">
        <f>+MINVU_Mes_Corriente!BF181*MINVU_Mes_Constante!$BC$1</f>
        <v>189208769.51417649</v>
      </c>
      <c r="BG181" s="8">
        <f>+MINVU_Mes_Corriente!BG181*MINVU_Mes_Constante!$BC$1</f>
        <v>189208769.51417649</v>
      </c>
      <c r="BH181" s="8">
        <f>+MINVU_Mes_Corriente!BH181*MINVU_Mes_Constante!$BC$1</f>
        <v>189208769.51417649</v>
      </c>
      <c r="BI181" s="8">
        <f>+MINVU_Mes_Corriente!BI181*MINVU_Mes_Constante!$BC$1</f>
        <v>189208769.51417649</v>
      </c>
      <c r="BJ181" s="8">
        <f>+MINVU_Mes_Corriente!BJ181*MINVU_Mes_Constante!$BC$1</f>
        <v>189301327.12831339</v>
      </c>
      <c r="BK181" s="8">
        <f>+MINVU_Mes_Corriente!BK181*MINVU_Mes_Constante!$BC$1</f>
        <v>189301327.12831339</v>
      </c>
      <c r="BL181" s="8">
        <f>+MINVU_Mes_Corriente!BL181*MINVU_Mes_Constante!$BC$1</f>
        <v>186419618.0421997</v>
      </c>
      <c r="BM181" s="8">
        <f>+MINVU_Mes_Corriente!BM181*MINVU_Mes_Constante!$BC$1</f>
        <v>182362324.3795332</v>
      </c>
      <c r="BN181" s="8">
        <f>+MINVU_Mes_Corriente!BN181*MINVU_Mes_Constante!$BC$1</f>
        <v>186650788.74508774</v>
      </c>
      <c r="BO181" s="9">
        <f t="shared" si="137"/>
        <v>186650788.74508774</v>
      </c>
      <c r="BP181" s="8">
        <f>+MINVU_Mes_Corriente!BP181*MINVU_Mes_Constante!$BP$1</f>
        <v>219406760.31549299</v>
      </c>
      <c r="BQ181" s="8">
        <f>+MINVU_Mes_Corriente!BQ181*MINVU_Mes_Constante!$BP$1</f>
        <v>219406760.31549299</v>
      </c>
      <c r="BR181" s="8">
        <f>+MINVU_Mes_Corriente!BR181*MINVU_Mes_Constante!$BP$1</f>
        <v>219727967.92778492</v>
      </c>
      <c r="BS181" s="8">
        <f>+MINVU_Mes_Corriente!BS181*MINVU_Mes_Constante!$BP$1</f>
        <v>219727967.92778492</v>
      </c>
      <c r="BT181" s="8">
        <f>+MINVU_Mes_Corriente!BT181*MINVU_Mes_Constante!$BP$1</f>
        <v>219727967.92778492</v>
      </c>
      <c r="BU181" s="8">
        <f>+MINVU_Mes_Corriente!BU181*MINVU_Mes_Constante!$BP$1</f>
        <v>219727967.92778492</v>
      </c>
      <c r="BV181" s="8">
        <f>+MINVU_Mes_Corriente!BV181*MINVU_Mes_Constante!$BP$1</f>
        <v>215531040.91113958</v>
      </c>
      <c r="BW181" s="8">
        <f>+MINVU_Mes_Corriente!BW181*MINVU_Mes_Constante!$BP$1</f>
        <v>213468603.8243278</v>
      </c>
      <c r="BX181" s="8">
        <f>+MINVU_Mes_Corriente!BX181*MINVU_Mes_Constante!$BP$1</f>
        <v>225502161.67221513</v>
      </c>
      <c r="BY181" s="8">
        <f>+MINVU_Mes_Corriente!BY181*MINVU_Mes_Constante!$BP$1</f>
        <v>225502161.67221513</v>
      </c>
      <c r="BZ181" s="8">
        <f>+MINVU_Mes_Corriente!BZ181*MINVU_Mes_Constante!$BP$1</f>
        <v>225502161.67221513</v>
      </c>
      <c r="CA181" s="8">
        <f>+MINVU_Mes_Corriente!CA181*MINVU_Mes_Constante!$BP$1</f>
        <v>223642268.28322667</v>
      </c>
      <c r="CB181" s="9">
        <f t="shared" si="138"/>
        <v>223642268.28322667</v>
      </c>
      <c r="CC181" s="8">
        <f>+MINVU_Mes_Corriente!CC181*MINVU_Mes_Constante!$CC$1</f>
        <v>218838624.05818728</v>
      </c>
      <c r="CD181" s="8">
        <f>+MINVU_Mes_Corriente!CD181*MINVU_Mes_Constante!$CC$1</f>
        <v>218838624.05818728</v>
      </c>
      <c r="CE181" s="8">
        <f>+MINVU_Mes_Corriente!CE181*MINVU_Mes_Constante!$CC$1</f>
        <v>218838624.05818728</v>
      </c>
      <c r="CF181" s="8">
        <f>+MINVU_Mes_Corriente!CF181*MINVU_Mes_Constante!$CC$1</f>
        <v>297668456.13502425</v>
      </c>
      <c r="CG181" s="8">
        <f>+MINVU_Mes_Corriente!CG181*MINVU_Mes_Constante!$CC$1</f>
        <v>225554406.85266694</v>
      </c>
      <c r="CH181" s="8">
        <f>+MINVU_Mes_Corriente!CH181*MINVU_Mes_Constante!$CC$1</f>
        <v>225554406.85266694</v>
      </c>
      <c r="CI181" s="8">
        <f>+MINVU_Mes_Corriente!CI181*MINVU_Mes_Constante!$CC$1</f>
        <v>225370274.61395004</v>
      </c>
      <c r="CJ181" s="8">
        <f>+MINVU_Mes_Corriente!CJ181*MINVU_Mes_Constante!$CC$1</f>
        <v>225370274.61395004</v>
      </c>
      <c r="CK181" s="8">
        <f>+MINVU_Mes_Corriente!CK181*MINVU_Mes_Constante!$CC$1</f>
        <v>225370274.61395004</v>
      </c>
      <c r="CL181" s="8">
        <f>+MINVU_Mes_Corriente!CL181*MINVU_Mes_Constante!$CC$1</f>
        <v>202689172.83849311</v>
      </c>
      <c r="CM181" s="8">
        <f>+MINVU_Mes_Corriente!CM181*MINVU_Mes_Constante!$CC$1</f>
        <v>202697323.52853414</v>
      </c>
      <c r="CN181" s="8">
        <f>+MINVU_Mes_Corriente!CN181*MINVU_Mes_Constante!$CC$1</f>
        <v>198467339.54121599</v>
      </c>
      <c r="CO181" s="9">
        <f t="shared" si="139"/>
        <v>198467339.54121599</v>
      </c>
      <c r="CP181" s="8">
        <f>+MINVU_Mes_Corriente!CP181*MINVU_Mes_Constante!$CP$1</f>
        <v>239567789.3617169</v>
      </c>
      <c r="CQ181" s="8">
        <f>+MINVU_Mes_Corriente!CQ181*MINVU_Mes_Constante!$CP$1</f>
        <v>239567789.3617169</v>
      </c>
      <c r="CR181" s="8">
        <f>+MINVU_Mes_Corriente!CR181*MINVU_Mes_Constante!$CP$1</f>
        <v>239871993.53805101</v>
      </c>
      <c r="CS181" s="8">
        <f>+MINVU_Mes_Corriente!CS181*MINVU_Mes_Constante!$CP$1</f>
        <v>239871993.53805101</v>
      </c>
      <c r="CT181" s="8">
        <f>+MINVU_Mes_Corriente!CT181*MINVU_Mes_Constante!$CP$1</f>
        <v>249400466.87679809</v>
      </c>
      <c r="CU181" s="8">
        <f>+MINVU_Mes_Corriente!CU181*MINVU_Mes_Constante!$CP$1</f>
        <v>249400466.87679809</v>
      </c>
      <c r="CV181" s="8">
        <f>+MINVU_Mes_Corriente!CV181*MINVU_Mes_Constante!$CP$1</f>
        <v>249400466.87679809</v>
      </c>
      <c r="CW181" s="8">
        <f>+MINVU_Mes_Corriente!CW181*MINVU_Mes_Constante!$CP$1</f>
        <v>217509602.30603245</v>
      </c>
      <c r="CX181" s="8">
        <f>+MINVU_Mes_Corriente!CX181*MINVU_Mes_Constante!$CP$1</f>
        <v>217509602.30603245</v>
      </c>
      <c r="CY181" s="8">
        <f>+MINVU_Mes_Corriente!CY181*MINVU_Mes_Constante!$CP$1</f>
        <v>206038563.48584682</v>
      </c>
      <c r="CZ181" s="8">
        <f>+MINVU_Mes_Corriente!CZ181*MINVU_Mes_Constante!$CP$1</f>
        <v>181943057.68538278</v>
      </c>
      <c r="DA181" s="8">
        <f>+MINVU_Mes_Corriente!DA181*MINVU_Mes_Constante!$CP$1</f>
        <v>164472902.09999996</v>
      </c>
      <c r="DB181" s="9">
        <f t="shared" si="140"/>
        <v>164472902.09999996</v>
      </c>
      <c r="DC181" s="8">
        <f>+MINVU_Mes_Corriente!DC181*MINVU_Mes_Constante!$DC$1</f>
        <v>178297193.76730797</v>
      </c>
      <c r="DD181" s="8">
        <f>+MINVU_Mes_Corriente!DD181*MINVU_Mes_Constante!$DC$1</f>
        <v>211192865.47227663</v>
      </c>
      <c r="DE181" s="8">
        <f>+MINVU_Mes_Corriente!DE181*MINVU_Mes_Constante!$DC$1</f>
        <v>211192865.47227663</v>
      </c>
      <c r="DF181" s="8">
        <f>+MINVU_Mes_Corriente!DF181*MINVU_Mes_Constante!$DC$1</f>
        <v>211192865.47227663</v>
      </c>
      <c r="DG181" s="8">
        <f>+MINVU_Mes_Corriente!DG181*MINVU_Mes_Constante!$DC$1</f>
        <v>211294021.73192069</v>
      </c>
      <c r="DH181" s="8">
        <f>+MINVU_Mes_Corriente!DH181*MINVU_Mes_Constante!$DC$1</f>
        <v>211810367.11552319</v>
      </c>
      <c r="DI181" s="8">
        <f>+MINVU_Mes_Corriente!DI181*MINVU_Mes_Constante!$DC$1</f>
        <v>211810367.11552319</v>
      </c>
      <c r="DJ181" s="8">
        <f>+MINVU_Mes_Corriente!DJ181*MINVU_Mes_Constante!$DC$1</f>
        <v>206385147.85454181</v>
      </c>
      <c r="DK181" s="8">
        <f>+MINVU_Mes_Corriente!DK181*MINVU_Mes_Constante!$DC$1</f>
        <v>178497946.2322807</v>
      </c>
      <c r="DL181" s="8">
        <f>+MINVU_Mes_Corriente!DL181*MINVU_Mes_Constante!$DC$1</f>
        <v>178497946.2322807</v>
      </c>
      <c r="DM181" s="8">
        <f>+MINVU_Mes_Corriente!DM181*MINVU_Mes_Constante!$DC$1</f>
        <v>178623829.57761556</v>
      </c>
      <c r="DN181" s="8">
        <f>+MINVU_Mes_Corriente!DN181*MINVU_Mes_Constante!$DC$1</f>
        <v>177107996.28309852</v>
      </c>
      <c r="DO181" s="9">
        <f t="shared" si="141"/>
        <v>177107996.28309852</v>
      </c>
      <c r="DP181" s="8">
        <f>+MINVU_Mes_Corriente!DP181*MINVU_Mes_Constante!$DP$1</f>
        <v>210644983.85273162</v>
      </c>
      <c r="DQ181" s="8">
        <f>+MINVU_Mes_Corriente!DQ181*MINVU_Mes_Constante!$DP$1</f>
        <v>210677213.60629454</v>
      </c>
      <c r="DR181" s="8">
        <f>+MINVU_Mes_Corriente!DR181*MINVU_Mes_Constante!$DP$1</f>
        <v>210677213.60629454</v>
      </c>
      <c r="DS181" s="8">
        <f>+MINVU_Mes_Corriente!DS181*MINVU_Mes_Constante!$DP$1</f>
        <v>210677213.60629454</v>
      </c>
      <c r="DT181" s="8">
        <f>+MINVU_Mes_Corriente!DT181*MINVU_Mes_Constante!$DP$1</f>
        <v>210677213.60629454</v>
      </c>
      <c r="DU181" s="8">
        <f>+MINVU_Mes_Corriente!DU181*MINVU_Mes_Constante!$DP$1</f>
        <v>210677213.60629454</v>
      </c>
      <c r="DV181" s="8">
        <f>+MINVU_Mes_Corriente!DV181*MINVU_Mes_Constante!$DP$1</f>
        <v>210677213.60629454</v>
      </c>
      <c r="DW181" s="8">
        <f>+MINVU_Mes_Corriente!DW181*MINVU_Mes_Constante!$DP$1</f>
        <v>210677213.60629454</v>
      </c>
      <c r="DX181" s="8">
        <f>+MINVU_Mes_Corriente!DX181*MINVU_Mes_Constante!$DP$1</f>
        <v>210677213.60629454</v>
      </c>
      <c r="DY181" s="8">
        <f>+MINVU_Mes_Corriente!DY181*MINVU_Mes_Constante!$DP$1</f>
        <v>210677213.60629454</v>
      </c>
      <c r="DZ181" s="8">
        <f>+MINVU_Mes_Corriente!DZ181*MINVU_Mes_Constante!$DP$1</f>
        <v>217078137.8230404</v>
      </c>
      <c r="EA181" s="8">
        <f>+MINVU_Mes_Corriente!EA181*MINVU_Mes_Constante!$DP$1</f>
        <v>220134205.12054634</v>
      </c>
      <c r="EB181" s="9">
        <f t="shared" si="142"/>
        <v>220134205.12054634</v>
      </c>
      <c r="EC181" s="8">
        <f>+MINVU_Mes_Corriente!EC181*MINVU_Mes_Constante!$EC$1</f>
        <v>258364023.78280622</v>
      </c>
      <c r="ED181" s="8">
        <f>+MINVU_Mes_Corriente!ED181*MINVU_Mes_Constante!$EC$1</f>
        <v>258364023.78280622</v>
      </c>
      <c r="EE181" s="8">
        <f>+MINVU_Mes_Corriente!EE181*MINVU_Mes_Constante!$EC$1</f>
        <v>260231116.01344433</v>
      </c>
      <c r="EF181" s="8">
        <f>+MINVU_Mes_Corriente!EF181*MINVU_Mes_Constante!$EC$1</f>
        <v>260231116.01344433</v>
      </c>
      <c r="EG181" s="8">
        <f>+MINVU_Mes_Corriente!EG181*MINVU_Mes_Constante!$EC$1</f>
        <v>260592513.99753827</v>
      </c>
      <c r="EH181" s="8">
        <f>+MINVU_Mes_Corriente!EH181*MINVU_Mes_Constante!$EC$1</f>
        <v>260592513.99753827</v>
      </c>
      <c r="EI181" s="8">
        <f>+MINVU_Mes_Corriente!EI181*MINVU_Mes_Constante!$EC$1</f>
        <v>260592513.99753827</v>
      </c>
      <c r="EJ181" s="8">
        <f>+MINVU_Mes_Corriente!EJ181*MINVU_Mes_Constante!$EC$1</f>
        <v>260592513.99753827</v>
      </c>
      <c r="EK181" s="8">
        <f>+MINVU_Mes_Corriente!EK181*MINVU_Mes_Constante!$EC$1</f>
        <v>265951033.217383</v>
      </c>
      <c r="EL181" s="8">
        <f>+MINVU_Mes_Corriente!EL181*MINVU_Mes_Constante!$EC$1</f>
        <v>268665633.19257706</v>
      </c>
      <c r="EM181" s="8">
        <f>+MINVU_Mes_Corriente!EM181*MINVU_Mes_Constante!$EC$1</f>
        <v>270734559.53228545</v>
      </c>
      <c r="EN181" s="8">
        <f>+MINVU_Mes_Corriente!EN181*MINVU_Mes_Constante!$EC$1</f>
        <v>275526237.41696638</v>
      </c>
      <c r="EO181" s="9">
        <f t="shared" si="143"/>
        <v>275526237.41696638</v>
      </c>
      <c r="EP181" s="8">
        <f>+MINVU_Mes_Corriente!EP181*MINVU_Mes_Constante!$EP$1</f>
        <v>284310890</v>
      </c>
      <c r="EQ181" s="8">
        <f>+MINVU_Mes_Corriente!EQ181*MINVU_Mes_Constante!$EP$1</f>
        <v>284664514</v>
      </c>
      <c r="ER181" s="8">
        <f>+MINVU_Mes_Corriente!ER181*MINVU_Mes_Constante!$EP$1</f>
        <v>285230729</v>
      </c>
      <c r="ES181" s="8">
        <f>+MINVU_Mes_Corriente!ES181*MINVU_Mes_Constante!$EP$1</f>
        <v>285410729</v>
      </c>
      <c r="ET181" s="8">
        <f>+MINVU_Mes_Corriente!ET181*MINVU_Mes_Constante!$EP$1</f>
        <v>285410729</v>
      </c>
      <c r="EU181" s="8">
        <f>+MINVU_Mes_Corriente!EU181*MINVU_Mes_Constante!$EP$1</f>
        <v>285410729</v>
      </c>
      <c r="EV181" s="8">
        <f>+MINVU_Mes_Corriente!EV181*MINVU_Mes_Constante!$EP$1</f>
        <v>287486255</v>
      </c>
      <c r="EW181" s="8">
        <f>+MINVU_Mes_Corriente!EW181*MINVU_Mes_Constante!$EP$1</f>
        <v>287486255</v>
      </c>
      <c r="EX181" s="8">
        <f>+MINVU_Mes_Corriente!EX181*MINVU_Mes_Constante!$EP$1</f>
        <v>287486255</v>
      </c>
      <c r="EY181" s="8">
        <f>+MINVU_Mes_Corriente!EY181*MINVU_Mes_Constante!$EP$1</f>
        <v>284249006</v>
      </c>
      <c r="EZ181" s="8">
        <f>+MINVU_Mes_Corriente!EZ181*MINVU_Mes_Constante!$EP$1</f>
        <v>284249006</v>
      </c>
      <c r="FA181" s="8">
        <f>+MINVU_Mes_Corriente!FA181*MINVU_Mes_Constante!$EP$1</f>
        <v>282838420</v>
      </c>
      <c r="FB181" s="9">
        <f t="shared" si="144"/>
        <v>282838420</v>
      </c>
      <c r="FC181" s="8">
        <f>+MINVU_Mes_Corriente!FC181*MINVU_Mes_Constante!$FC$1</f>
        <v>280082307</v>
      </c>
      <c r="FD181" s="8">
        <f>+MINVU_Mes_Corriente!FD181*MINVU_Mes_Constante!$FC$1</f>
        <v>275682307</v>
      </c>
      <c r="FE181" s="8">
        <f>+MINVU_Mes_Corriente!FE181*MINVU_Mes_Constante!$FC$1</f>
        <v>275682307</v>
      </c>
      <c r="FF181" s="8">
        <f>+MINVU_Mes_Corriente!FF181*MINVU_Mes_Constante!$FC$1</f>
        <v>275682307</v>
      </c>
      <c r="FG181" s="8">
        <f>+MINVU_Mes_Corriente!FG181*MINVU_Mes_Constante!$FC$1</f>
        <v>275682307</v>
      </c>
      <c r="FH181" s="8">
        <f>+MINVU_Mes_Corriente!FH181*MINVU_Mes_Constante!$FC$1</f>
        <v>277309735</v>
      </c>
      <c r="FI181" s="8">
        <f>+MINVU_Mes_Corriente!FI181*MINVU_Mes_Constante!$FC$1</f>
        <v>277430246</v>
      </c>
      <c r="FJ181" s="8"/>
      <c r="FK181" s="8"/>
      <c r="FL181" s="8"/>
      <c r="FM181" s="8"/>
      <c r="FN181" s="8"/>
      <c r="FO181" s="9">
        <f t="shared" si="145"/>
        <v>277430246</v>
      </c>
    </row>
    <row r="182" spans="2:171" ht="14.25" customHeight="1" x14ac:dyDescent="0.3">
      <c r="B182" s="7" t="s">
        <v>57</v>
      </c>
      <c r="C182" s="8">
        <f>+MINVU_Mes_Corriente!C182*MINVU_Mes_Constante!$C$1</f>
        <v>25676121.064511348</v>
      </c>
      <c r="D182" s="8">
        <f>+MINVU_Mes_Corriente!D182*MINVU_Mes_Constante!$C$1</f>
        <v>25676121.064511348</v>
      </c>
      <c r="E182" s="8">
        <f>+MINVU_Mes_Corriente!E182*MINVU_Mes_Constante!$C$1</f>
        <v>26231772.087201547</v>
      </c>
      <c r="F182" s="8">
        <f>+MINVU_Mes_Corriente!F182*MINVU_Mes_Constante!$C$1</f>
        <v>26231772.087201547</v>
      </c>
      <c r="G182" s="8">
        <f>+MINVU_Mes_Corriente!G182*MINVU_Mes_Constante!$C$1</f>
        <v>26231772.087201547</v>
      </c>
      <c r="H182" s="8">
        <f>+MINVU_Mes_Corriente!H182*MINVU_Mes_Constante!$C$1</f>
        <v>28781765.674328938</v>
      </c>
      <c r="I182" s="8">
        <f>+MINVU_Mes_Corriente!I182*MINVU_Mes_Constante!$C$1</f>
        <v>28781765.674328938</v>
      </c>
      <c r="J182" s="8">
        <f>+MINVU_Mes_Corriente!J182*MINVU_Mes_Constante!$C$1</f>
        <v>29008097.367343917</v>
      </c>
      <c r="K182" s="8">
        <f>+MINVU_Mes_Corriente!K182*MINVU_Mes_Constante!$C$1</f>
        <v>34516998.557911918</v>
      </c>
      <c r="L182" s="8">
        <f>+MINVU_Mes_Corriente!L182*MINVU_Mes_Constante!$C$1</f>
        <v>34516998.557911918</v>
      </c>
      <c r="M182" s="8">
        <f>+MINVU_Mes_Corriente!M182*MINVU_Mes_Constante!$C$1</f>
        <v>38241419.669879884</v>
      </c>
      <c r="N182" s="8">
        <f>+MINVU_Mes_Corriente!N182*MINVU_Mes_Constante!$C$1</f>
        <v>38174058.603292309</v>
      </c>
      <c r="O182" s="9">
        <f t="shared" si="133"/>
        <v>38174058.603292309</v>
      </c>
      <c r="P182" s="8">
        <f>+MINVU_Mes_Corriente!P182*MINVU_Mes_Constante!$P$1</f>
        <v>44922943.613581456</v>
      </c>
      <c r="Q182" s="8">
        <f>+MINVU_Mes_Corriente!Q182*MINVU_Mes_Constante!$P$1</f>
        <v>45979608.420230128</v>
      </c>
      <c r="R182" s="8">
        <f>+MINVU_Mes_Corriente!R182*MINVU_Mes_Constante!$P$1</f>
        <v>45979608.420230128</v>
      </c>
      <c r="S182" s="8">
        <f>+MINVU_Mes_Corriente!S182*MINVU_Mes_Constante!$P$1</f>
        <v>45979608.420230128</v>
      </c>
      <c r="T182" s="8">
        <f>+MINVU_Mes_Corriente!T182*MINVU_Mes_Constante!$P$1</f>
        <v>45979608.420230128</v>
      </c>
      <c r="U182" s="8">
        <f>+MINVU_Mes_Corriente!U182*MINVU_Mes_Constante!$P$1</f>
        <v>38448134.546100281</v>
      </c>
      <c r="V182" s="8">
        <f>+MINVU_Mes_Corriente!V182*MINVU_Mes_Constante!$P$1</f>
        <v>38448134.546100281</v>
      </c>
      <c r="W182" s="8">
        <f>+MINVU_Mes_Corriente!W182*MINVU_Mes_Constante!$P$1</f>
        <v>38448134.546100281</v>
      </c>
      <c r="X182" s="8">
        <f>+MINVU_Mes_Corriente!X182*MINVU_Mes_Constante!$P$1</f>
        <v>38380102.772552907</v>
      </c>
      <c r="Y182" s="8">
        <f>+MINVU_Mes_Corriente!Y182*MINVU_Mes_Constante!$P$1</f>
        <v>38380102.772552907</v>
      </c>
      <c r="Z182" s="8">
        <f>+MINVU_Mes_Corriente!Z182*MINVU_Mes_Constante!$P$1</f>
        <v>38403385.909362108</v>
      </c>
      <c r="AA182" s="8">
        <f>+MINVU_Mes_Corriente!AA182*MINVU_Mes_Constante!$P$1</f>
        <v>36031459.808779642</v>
      </c>
      <c r="AB182" s="9">
        <f t="shared" si="134"/>
        <v>36031459.808779642</v>
      </c>
      <c r="AC182" s="8">
        <f>+MINVU_Mes_Corriente!AC182*MINVU_Mes_Constante!$AC$1</f>
        <v>43557643.89486789</v>
      </c>
      <c r="AD182" s="8">
        <f>+MINVU_Mes_Corriente!AD182*MINVU_Mes_Constante!$AC$1</f>
        <v>43959904.784894176</v>
      </c>
      <c r="AE182" s="8">
        <f>+MINVU_Mes_Corriente!AE182*MINVU_Mes_Constante!$AC$1</f>
        <v>43959904.784894176</v>
      </c>
      <c r="AF182" s="8">
        <f>+MINVU_Mes_Corriente!AF182*MINVU_Mes_Constante!$AC$1</f>
        <v>43959904.784894176</v>
      </c>
      <c r="AG182" s="8">
        <f>+MINVU_Mes_Corriente!AG182*MINVU_Mes_Constante!$AC$1</f>
        <v>43959904.784894176</v>
      </c>
      <c r="AH182" s="8">
        <f>+MINVU_Mes_Corriente!AH182*MINVU_Mes_Constante!$AC$1</f>
        <v>31342381.940517358</v>
      </c>
      <c r="AI182" s="8">
        <f>+MINVU_Mes_Corriente!AI182*MINVU_Mes_Constante!$AC$1</f>
        <v>31342381.940517358</v>
      </c>
      <c r="AJ182" s="8">
        <f>+MINVU_Mes_Corriente!AJ182*MINVU_Mes_Constante!$AC$1</f>
        <v>31342381.940517358</v>
      </c>
      <c r="AK182" s="8">
        <f>+MINVU_Mes_Corriente!AK182*MINVU_Mes_Constante!$AC$1</f>
        <v>31342381.940517358</v>
      </c>
      <c r="AL182" s="8">
        <f>+MINVU_Mes_Corriente!AL182*MINVU_Mes_Constante!$AC$1</f>
        <v>31342381.940517358</v>
      </c>
      <c r="AM182" s="8">
        <f>+MINVU_Mes_Corriente!AM182*MINVU_Mes_Constante!$AC$1</f>
        <v>38236338.804260619</v>
      </c>
      <c r="AN182" s="8">
        <f>+MINVU_Mes_Corriente!AN182*MINVU_Mes_Constante!$AC$1</f>
        <v>44949462.735371418</v>
      </c>
      <c r="AO182" s="9">
        <f t="shared" si="135"/>
        <v>44949462.735371418</v>
      </c>
      <c r="AP182" s="8">
        <f>+MINVU_Mes_Corriente!AP182*MINVU_Mes_Constante!$AP$1</f>
        <v>46230771.61801704</v>
      </c>
      <c r="AQ182" s="8">
        <f>+MINVU_Mes_Corriente!AQ182*MINVU_Mes_Constante!$AP$1</f>
        <v>46417849.62559177</v>
      </c>
      <c r="AR182" s="8">
        <f>+MINVU_Mes_Corriente!AR182*MINVU_Mes_Constante!$AP$1</f>
        <v>46417849.62559177</v>
      </c>
      <c r="AS182" s="8">
        <f>+MINVU_Mes_Corriente!AS182*MINVU_Mes_Constante!$AP$1</f>
        <v>46417849.62559177</v>
      </c>
      <c r="AT182" s="8">
        <f>+MINVU_Mes_Corriente!AT182*MINVU_Mes_Constante!$AP$1</f>
        <v>46417849.62559177</v>
      </c>
      <c r="AU182" s="8">
        <f>+MINVU_Mes_Corriente!AU182*MINVU_Mes_Constante!$AP$1</f>
        <v>50019093.512511835</v>
      </c>
      <c r="AV182" s="8">
        <f>+MINVU_Mes_Corriente!AV182*MINVU_Mes_Constante!$AP$1</f>
        <v>50019093.512511835</v>
      </c>
      <c r="AW182" s="8">
        <f>+MINVU_Mes_Corriente!AW182*MINVU_Mes_Constante!$AP$1</f>
        <v>50019093.512511835</v>
      </c>
      <c r="AX182" s="8">
        <f>+MINVU_Mes_Corriente!AX182*MINVU_Mes_Constante!$AP$1</f>
        <v>50019093.512511835</v>
      </c>
      <c r="AY182" s="8">
        <f>+MINVU_Mes_Corriente!AY182*MINVU_Mes_Constante!$AP$1</f>
        <v>50078808.913025834</v>
      </c>
      <c r="AZ182" s="8">
        <f>+MINVU_Mes_Corriente!AZ182*MINVU_Mes_Constante!$AP$1</f>
        <v>50078808.913025834</v>
      </c>
      <c r="BA182" s="8">
        <f>+MINVU_Mes_Corriente!BA182*MINVU_Mes_Constante!$AP$1</f>
        <v>49018441.573650748</v>
      </c>
      <c r="BB182" s="9">
        <f t="shared" si="136"/>
        <v>49018441.573650748</v>
      </c>
      <c r="BC182" s="8">
        <f>+MINVU_Mes_Corriente!BC182*MINVU_Mes_Constante!$BC$1</f>
        <v>54525604.324937373</v>
      </c>
      <c r="BD182" s="8">
        <f>+MINVU_Mes_Corriente!BD182*MINVU_Mes_Constante!$BC$1</f>
        <v>54525604.324937373</v>
      </c>
      <c r="BE182" s="8">
        <f>+MINVU_Mes_Corriente!BE182*MINVU_Mes_Constante!$BC$1</f>
        <v>54525604.324937373</v>
      </c>
      <c r="BF182" s="8">
        <f>+MINVU_Mes_Corriente!BF182*MINVU_Mes_Constante!$BC$1</f>
        <v>54525604.324937373</v>
      </c>
      <c r="BG182" s="8">
        <f>+MINVU_Mes_Corriente!BG182*MINVU_Mes_Constante!$BC$1</f>
        <v>54525604.324937373</v>
      </c>
      <c r="BH182" s="8">
        <f>+MINVU_Mes_Corriente!BH182*MINVU_Mes_Constante!$BC$1</f>
        <v>54525604.324937373</v>
      </c>
      <c r="BI182" s="8">
        <f>+MINVU_Mes_Corriente!BI182*MINVU_Mes_Constante!$BC$1</f>
        <v>54525604.324937373</v>
      </c>
      <c r="BJ182" s="8">
        <f>+MINVU_Mes_Corriente!BJ182*MINVU_Mes_Constante!$BC$1</f>
        <v>54679602.858499289</v>
      </c>
      <c r="BK182" s="8">
        <f>+MINVU_Mes_Corriente!BK182*MINVU_Mes_Constante!$BC$1</f>
        <v>54679602.858499289</v>
      </c>
      <c r="BL182" s="8">
        <f>+MINVU_Mes_Corriente!BL182*MINVU_Mes_Constante!$BC$1</f>
        <v>52374235.589608349</v>
      </c>
      <c r="BM182" s="8">
        <f>+MINVU_Mes_Corriente!BM182*MINVU_Mes_Constante!$BC$1</f>
        <v>52993117.19636029</v>
      </c>
      <c r="BN182" s="8">
        <f>+MINVU_Mes_Corriente!BN182*MINVU_Mes_Constante!$BC$1</f>
        <v>49898399.37887381</v>
      </c>
      <c r="BO182" s="9">
        <f t="shared" si="137"/>
        <v>49898399.37887381</v>
      </c>
      <c r="BP182" s="8">
        <f>+MINVU_Mes_Corriente!BP182*MINVU_Mes_Constante!$BP$1</f>
        <v>69662951.896286815</v>
      </c>
      <c r="BQ182" s="8">
        <f>+MINVU_Mes_Corriente!BQ182*MINVU_Mes_Constante!$BP$1</f>
        <v>69662951.896286815</v>
      </c>
      <c r="BR182" s="8">
        <f>+MINVU_Mes_Corriente!BR182*MINVU_Mes_Constante!$BP$1</f>
        <v>70061339.597439185</v>
      </c>
      <c r="BS182" s="8">
        <f>+MINVU_Mes_Corriente!BS182*MINVU_Mes_Constante!$BP$1</f>
        <v>70061339.597439185</v>
      </c>
      <c r="BT182" s="8">
        <f>+MINVU_Mes_Corriente!BT182*MINVU_Mes_Constante!$BP$1</f>
        <v>70061339.597439185</v>
      </c>
      <c r="BU182" s="8">
        <f>+MINVU_Mes_Corriente!BU182*MINVU_Mes_Constante!$BP$1</f>
        <v>70061339.597439185</v>
      </c>
      <c r="BV182" s="8">
        <f>+MINVU_Mes_Corriente!BV182*MINVU_Mes_Constante!$BP$1</f>
        <v>70157369.484507054</v>
      </c>
      <c r="BW182" s="8">
        <f>+MINVU_Mes_Corriente!BW182*MINVU_Mes_Constante!$BP$1</f>
        <v>68063858.350064024</v>
      </c>
      <c r="BX182" s="8">
        <f>+MINVU_Mes_Corriente!BX182*MINVU_Mes_Constante!$BP$1</f>
        <v>75502682.05505763</v>
      </c>
      <c r="BY182" s="8">
        <f>+MINVU_Mes_Corriente!BY182*MINVU_Mes_Constante!$BP$1</f>
        <v>75502682.05505763</v>
      </c>
      <c r="BZ182" s="8">
        <f>+MINVU_Mes_Corriente!BZ182*MINVU_Mes_Constante!$BP$1</f>
        <v>75502682.05505763</v>
      </c>
      <c r="CA182" s="8">
        <f>+MINVU_Mes_Corriente!CA182*MINVU_Mes_Constante!$BP$1</f>
        <v>65818779.393341877</v>
      </c>
      <c r="CB182" s="9">
        <f t="shared" si="138"/>
        <v>65818779.393341877</v>
      </c>
      <c r="CC182" s="8">
        <f>+MINVU_Mes_Corriente!CC182*MINVU_Mes_Constante!$CC$1</f>
        <v>69523076.68780306</v>
      </c>
      <c r="CD182" s="8">
        <f>+MINVU_Mes_Corriente!CD182*MINVU_Mes_Constante!$CC$1</f>
        <v>69523076.68780306</v>
      </c>
      <c r="CE182" s="8">
        <f>+MINVU_Mes_Corriente!CE182*MINVU_Mes_Constante!$CC$1</f>
        <v>69523076.68780306</v>
      </c>
      <c r="CF182" s="8">
        <f>+MINVU_Mes_Corriente!CF182*MINVU_Mes_Constante!$CC$1</f>
        <v>85044055.367400229</v>
      </c>
      <c r="CG182" s="8">
        <f>+MINVU_Mes_Corriente!CG182*MINVU_Mes_Constante!$CC$1</f>
        <v>74314080.821335331</v>
      </c>
      <c r="CH182" s="8">
        <f>+MINVU_Mes_Corriente!CH182*MINVU_Mes_Constante!$CC$1</f>
        <v>74314080.821335331</v>
      </c>
      <c r="CI182" s="8">
        <f>+MINVU_Mes_Corriente!CI182*MINVU_Mes_Constante!$CC$1</f>
        <v>74314080.821335331</v>
      </c>
      <c r="CJ182" s="8">
        <f>+MINVU_Mes_Corriente!CJ182*MINVU_Mes_Constante!$CC$1</f>
        <v>74314080.821335331</v>
      </c>
      <c r="CK182" s="8">
        <f>+MINVU_Mes_Corriente!CK182*MINVU_Mes_Constante!$CC$1</f>
        <v>74531432.555762783</v>
      </c>
      <c r="CL182" s="8">
        <f>+MINVU_Mes_Corriente!CL182*MINVU_Mes_Constante!$CC$1</f>
        <v>74192119.329354718</v>
      </c>
      <c r="CM182" s="8">
        <f>+MINVU_Mes_Corriente!CM182*MINVU_Mes_Constante!$CC$1</f>
        <v>74200270.019395754</v>
      </c>
      <c r="CN182" s="8">
        <f>+MINVU_Mes_Corriente!CN182*MINVU_Mes_Constante!$CC$1</f>
        <v>65827892.076837011</v>
      </c>
      <c r="CO182" s="9">
        <f t="shared" si="139"/>
        <v>65827892.076837011</v>
      </c>
      <c r="CP182" s="8">
        <f>+MINVU_Mes_Corriente!CP182*MINVU_Mes_Constante!$CP$1</f>
        <v>74785170.652204156</v>
      </c>
      <c r="CQ182" s="8">
        <f>+MINVU_Mes_Corriente!CQ182*MINVU_Mes_Constante!$CP$1</f>
        <v>74785170.652204156</v>
      </c>
      <c r="CR182" s="8">
        <f>+MINVU_Mes_Corriente!CR182*MINVU_Mes_Constante!$CP$1</f>
        <v>74785170.652204156</v>
      </c>
      <c r="CS182" s="8">
        <f>+MINVU_Mes_Corriente!CS182*MINVU_Mes_Constante!$CP$1</f>
        <v>74933657.780742437</v>
      </c>
      <c r="CT182" s="8">
        <f>+MINVU_Mes_Corriente!CT182*MINVU_Mes_Constante!$CP$1</f>
        <v>72362783.923433855</v>
      </c>
      <c r="CU182" s="8">
        <f>+MINVU_Mes_Corriente!CU182*MINVU_Mes_Constante!$CP$1</f>
        <v>72362783.923433855</v>
      </c>
      <c r="CV182" s="8">
        <f>+MINVU_Mes_Corriente!CV182*MINVU_Mes_Constante!$CP$1</f>
        <v>72362783.923433855</v>
      </c>
      <c r="CW182" s="8">
        <f>+MINVU_Mes_Corriente!CW182*MINVU_Mes_Constante!$CP$1</f>
        <v>64504176.034802772</v>
      </c>
      <c r="CX182" s="8">
        <f>+MINVU_Mes_Corriente!CX182*MINVU_Mes_Constante!$CP$1</f>
        <v>64504176.034802772</v>
      </c>
      <c r="CY182" s="8">
        <f>+MINVU_Mes_Corriente!CY182*MINVU_Mes_Constante!$CP$1</f>
        <v>66850680.299303934</v>
      </c>
      <c r="CZ182" s="8">
        <f>+MINVU_Mes_Corriente!CZ182*MINVU_Mes_Constante!$CP$1</f>
        <v>68110048.831322491</v>
      </c>
      <c r="DA182" s="8">
        <f>+MINVU_Mes_Corriente!DA182*MINVU_Mes_Constante!$CP$1</f>
        <v>60425051.533642679</v>
      </c>
      <c r="DB182" s="9">
        <f t="shared" si="140"/>
        <v>60425051.533642679</v>
      </c>
      <c r="DC182" s="8">
        <f>+MINVU_Mes_Corriente!DC182*MINVU_Mes_Constante!$DC$1</f>
        <v>73195113.919967115</v>
      </c>
      <c r="DD182" s="8">
        <f>+MINVU_Mes_Corriente!DD182*MINVU_Mes_Constante!$DC$1</f>
        <v>81105381.689743891</v>
      </c>
      <c r="DE182" s="8">
        <f>+MINVU_Mes_Corriente!DE182*MINVU_Mes_Constante!$DC$1</f>
        <v>80190435.684806123</v>
      </c>
      <c r="DF182" s="8">
        <f>+MINVU_Mes_Corriente!DF182*MINVU_Mes_Constante!$DC$1</f>
        <v>80190435.684806123</v>
      </c>
      <c r="DG182" s="8">
        <f>+MINVU_Mes_Corriente!DG182*MINVU_Mes_Constante!$DC$1</f>
        <v>80190435.684806123</v>
      </c>
      <c r="DH182" s="8">
        <f>+MINVU_Mes_Corriente!DH182*MINVU_Mes_Constante!$DC$1</f>
        <v>80190435.684806123</v>
      </c>
      <c r="DI182" s="8">
        <f>+MINVU_Mes_Corriente!DI182*MINVU_Mes_Constante!$DC$1</f>
        <v>80190435.684806123</v>
      </c>
      <c r="DJ182" s="8">
        <f>+MINVU_Mes_Corriente!DJ182*MINVU_Mes_Constante!$DC$1</f>
        <v>80190435.684806123</v>
      </c>
      <c r="DK182" s="8">
        <f>+MINVU_Mes_Corriente!DK182*MINVU_Mes_Constante!$DC$1</f>
        <v>73379247.535438776</v>
      </c>
      <c r="DL182" s="8">
        <f>+MINVU_Mes_Corriente!DL182*MINVU_Mes_Constante!$DC$1</f>
        <v>73379247.535438776</v>
      </c>
      <c r="DM182" s="8">
        <f>+MINVU_Mes_Corriente!DM182*MINVU_Mes_Constante!$DC$1</f>
        <v>73379247.535438776</v>
      </c>
      <c r="DN182" s="8">
        <f>+MINVU_Mes_Corriente!DN182*MINVU_Mes_Constante!$DC$1</f>
        <v>58879880.184343204</v>
      </c>
      <c r="DO182" s="9">
        <f t="shared" si="141"/>
        <v>58879880.184343204</v>
      </c>
      <c r="DP182" s="8">
        <f>+MINVU_Mes_Corriente!DP182*MINVU_Mes_Constante!$DP$1</f>
        <v>77535630.167458445</v>
      </c>
      <c r="DQ182" s="8">
        <f>+MINVU_Mes_Corriente!DQ182*MINVU_Mes_Constante!$DP$1</f>
        <v>78168222.21021378</v>
      </c>
      <c r="DR182" s="8">
        <f>+MINVU_Mes_Corriente!DR182*MINVU_Mes_Constante!$DP$1</f>
        <v>78168222.21021378</v>
      </c>
      <c r="DS182" s="8">
        <f>+MINVU_Mes_Corriente!DS182*MINVU_Mes_Constante!$DP$1</f>
        <v>78168222.21021378</v>
      </c>
      <c r="DT182" s="8">
        <f>+MINVU_Mes_Corriente!DT182*MINVU_Mes_Constante!$DP$1</f>
        <v>78168222.21021378</v>
      </c>
      <c r="DU182" s="8">
        <f>+MINVU_Mes_Corriente!DU182*MINVU_Mes_Constante!$DP$1</f>
        <v>78374977.079572454</v>
      </c>
      <c r="DV182" s="8">
        <f>+MINVU_Mes_Corriente!DV182*MINVU_Mes_Constante!$DP$1</f>
        <v>78374977.079572454</v>
      </c>
      <c r="DW182" s="8">
        <f>+MINVU_Mes_Corriente!DW182*MINVU_Mes_Constante!$DP$1</f>
        <v>78374977.079572454</v>
      </c>
      <c r="DX182" s="8">
        <f>+MINVU_Mes_Corriente!DX182*MINVU_Mes_Constante!$DP$1</f>
        <v>78374977.079572454</v>
      </c>
      <c r="DY182" s="8">
        <f>+MINVU_Mes_Corriente!DY182*MINVU_Mes_Constante!$DP$1</f>
        <v>78380427.103325427</v>
      </c>
      <c r="DZ182" s="8">
        <f>+MINVU_Mes_Corriente!DZ182*MINVU_Mes_Constante!$DP$1</f>
        <v>69556579.122327805</v>
      </c>
      <c r="EA182" s="8">
        <f>+MINVU_Mes_Corriente!EA182*MINVU_Mes_Constante!$DP$1</f>
        <v>66116125.109857492</v>
      </c>
      <c r="EB182" s="9">
        <f t="shared" si="142"/>
        <v>66116125.109857492</v>
      </c>
      <c r="EC182" s="8">
        <f>+MINVU_Mes_Corriente!EC182*MINVU_Mes_Constante!$EC$1</f>
        <v>88053640.532664239</v>
      </c>
      <c r="ED182" s="8">
        <f>+MINVU_Mes_Corriente!ED182*MINVU_Mes_Constante!$EC$1</f>
        <v>88053640.532664239</v>
      </c>
      <c r="EE182" s="8">
        <f>+MINVU_Mes_Corriente!EE182*MINVU_Mes_Constante!$EC$1</f>
        <v>88219154.639840916</v>
      </c>
      <c r="EF182" s="8">
        <f>+MINVU_Mes_Corriente!EF182*MINVU_Mes_Constante!$EC$1</f>
        <v>88219154.639840916</v>
      </c>
      <c r="EG182" s="8">
        <f>+MINVU_Mes_Corriente!EG182*MINVU_Mes_Constante!$EC$1</f>
        <v>88387076.977276996</v>
      </c>
      <c r="EH182" s="8">
        <f>+MINVU_Mes_Corriente!EH182*MINVU_Mes_Constante!$EC$1</f>
        <v>88387076.977276996</v>
      </c>
      <c r="EI182" s="8">
        <f>+MINVU_Mes_Corriente!EI182*MINVU_Mes_Constante!$EC$1</f>
        <v>88387076.977276996</v>
      </c>
      <c r="EJ182" s="8">
        <f>+MINVU_Mes_Corriente!EJ182*MINVU_Mes_Constante!$EC$1</f>
        <v>88387076.977276996</v>
      </c>
      <c r="EK182" s="8">
        <f>+MINVU_Mes_Corriente!EK182*MINVU_Mes_Constante!$EC$1</f>
        <v>88387076.977276996</v>
      </c>
      <c r="EL182" s="8">
        <f>+MINVU_Mes_Corriente!EL182*MINVU_Mes_Constante!$EC$1</f>
        <v>81232165.912137821</v>
      </c>
      <c r="EM182" s="8">
        <f>+MINVU_Mes_Corriente!EM182*MINVU_Mes_Constante!$EC$1</f>
        <v>81232165.912137821</v>
      </c>
      <c r="EN182" s="8">
        <f>+MINVU_Mes_Corriente!EN182*MINVU_Mes_Constante!$EC$1</f>
        <v>76397343.67203179</v>
      </c>
      <c r="EO182" s="9">
        <f t="shared" si="143"/>
        <v>76397343.67203179</v>
      </c>
      <c r="EP182" s="8">
        <f>+MINVU_Mes_Corriente!EP182*MINVU_Mes_Constante!$EP$1</f>
        <v>105212754</v>
      </c>
      <c r="EQ182" s="8">
        <f>+MINVU_Mes_Corriente!EQ182*MINVU_Mes_Constante!$EP$1</f>
        <v>105414108</v>
      </c>
      <c r="ER182" s="8">
        <f>+MINVU_Mes_Corriente!ER182*MINVU_Mes_Constante!$EP$1</f>
        <v>106293108</v>
      </c>
      <c r="ES182" s="8">
        <f>+MINVU_Mes_Corriente!ES182*MINVU_Mes_Constante!$EP$1</f>
        <v>106293108</v>
      </c>
      <c r="ET182" s="8">
        <f>+MINVU_Mes_Corriente!ET182*MINVU_Mes_Constante!$EP$1</f>
        <v>106293108</v>
      </c>
      <c r="EU182" s="8">
        <f>+MINVU_Mes_Corriente!EU182*MINVU_Mes_Constante!$EP$1</f>
        <v>106512970</v>
      </c>
      <c r="EV182" s="8">
        <f>+MINVU_Mes_Corriente!EV182*MINVU_Mes_Constante!$EP$1</f>
        <v>90904180</v>
      </c>
      <c r="EW182" s="8">
        <f>+MINVU_Mes_Corriente!EW182*MINVU_Mes_Constante!$EP$1</f>
        <v>90904180</v>
      </c>
      <c r="EX182" s="8">
        <f>+MINVU_Mes_Corriente!EX182*MINVU_Mes_Constante!$EP$1</f>
        <v>90904180</v>
      </c>
      <c r="EY182" s="8">
        <f>+MINVU_Mes_Corriente!EY182*MINVU_Mes_Constante!$EP$1</f>
        <v>78690932</v>
      </c>
      <c r="EZ182" s="8">
        <f>+MINVU_Mes_Corriente!EZ182*MINVU_Mes_Constante!$EP$1</f>
        <v>76260230</v>
      </c>
      <c r="FA182" s="8">
        <f>+MINVU_Mes_Corriente!FA182*MINVU_Mes_Constante!$EP$1</f>
        <v>68572554</v>
      </c>
      <c r="FB182" s="9">
        <f t="shared" si="144"/>
        <v>68572554</v>
      </c>
      <c r="FC182" s="8">
        <f>+MINVU_Mes_Corriente!FC182*MINVU_Mes_Constante!$FC$1</f>
        <v>84118714</v>
      </c>
      <c r="FD182" s="8">
        <f>+MINVU_Mes_Corriente!FD182*MINVU_Mes_Constante!$FC$1</f>
        <v>82118714</v>
      </c>
      <c r="FE182" s="8">
        <f>+MINVU_Mes_Corriente!FE182*MINVU_Mes_Constante!$FC$1</f>
        <v>82118714</v>
      </c>
      <c r="FF182" s="8">
        <f>+MINVU_Mes_Corriente!FF182*MINVU_Mes_Constante!$FC$1</f>
        <v>82118714</v>
      </c>
      <c r="FG182" s="8">
        <f>+MINVU_Mes_Corriente!FG182*MINVU_Mes_Constante!$FC$1</f>
        <v>82118714</v>
      </c>
      <c r="FH182" s="8">
        <f>+MINVU_Mes_Corriente!FH182*MINVU_Mes_Constante!$FC$1</f>
        <v>82920697</v>
      </c>
      <c r="FI182" s="8">
        <f>+MINVU_Mes_Corriente!FI182*MINVU_Mes_Constante!$FC$1</f>
        <v>83140559</v>
      </c>
      <c r="FJ182" s="8"/>
      <c r="FK182" s="8"/>
      <c r="FL182" s="8"/>
      <c r="FM182" s="8"/>
      <c r="FN182" s="8"/>
      <c r="FO182" s="9">
        <f t="shared" si="145"/>
        <v>83140559</v>
      </c>
    </row>
    <row r="183" spans="2:171" ht="14.25" customHeight="1" x14ac:dyDescent="0.3">
      <c r="B183" s="7" t="s">
        <v>58</v>
      </c>
      <c r="C183" s="8">
        <f>+MINVU_Mes_Corriente!C183*MINVU_Mes_Constante!$C$1</f>
        <v>46468333.091798909</v>
      </c>
      <c r="D183" s="8">
        <f>+MINVU_Mes_Corriente!D183*MINVU_Mes_Constante!$C$1</f>
        <v>46468333.091798909</v>
      </c>
      <c r="E183" s="8">
        <f>+MINVU_Mes_Corriente!E183*MINVU_Mes_Constante!$C$1</f>
        <v>47474447.069257013</v>
      </c>
      <c r="F183" s="8">
        <f>+MINVU_Mes_Corriente!F183*MINVU_Mes_Constante!$C$1</f>
        <v>47474447.069257013</v>
      </c>
      <c r="G183" s="8">
        <f>+MINVU_Mes_Corriente!G183*MINVU_Mes_Constante!$C$1</f>
        <v>47474447.069257013</v>
      </c>
      <c r="H183" s="8">
        <f>+MINVU_Mes_Corriente!H183*MINVU_Mes_Constante!$C$1</f>
        <v>65527997.162687242</v>
      </c>
      <c r="I183" s="8">
        <f>+MINVU_Mes_Corriente!I183*MINVU_Mes_Constante!$C$1</f>
        <v>65527997.162687242</v>
      </c>
      <c r="J183" s="8">
        <f>+MINVU_Mes_Corriente!J183*MINVU_Mes_Constante!$C$1</f>
        <v>65854059.594839104</v>
      </c>
      <c r="K183" s="8">
        <f>+MINVU_Mes_Corriente!K183*MINVU_Mes_Constante!$C$1</f>
        <v>82062233.727717653</v>
      </c>
      <c r="L183" s="8">
        <f>+MINVU_Mes_Corriente!L183*MINVU_Mes_Constante!$C$1</f>
        <v>82552743.559246644</v>
      </c>
      <c r="M183" s="8">
        <f>+MINVU_Mes_Corriente!M183*MINVU_Mes_Constante!$C$1</f>
        <v>88069229.594245896</v>
      </c>
      <c r="N183" s="8">
        <f>+MINVU_Mes_Corriente!N183*MINVU_Mes_Constante!$C$1</f>
        <v>90665025.530772671</v>
      </c>
      <c r="O183" s="9">
        <f t="shared" si="133"/>
        <v>90665025.530772671</v>
      </c>
      <c r="P183" s="8">
        <f>+MINVU_Mes_Corriente!P183*MINVU_Mes_Constante!$P$1</f>
        <v>93409304.570819691</v>
      </c>
      <c r="Q183" s="8">
        <f>+MINVU_Mes_Corriente!Q183*MINVU_Mes_Constante!$P$1</f>
        <v>93908024.704645514</v>
      </c>
      <c r="R183" s="8">
        <f>+MINVU_Mes_Corriente!R183*MINVU_Mes_Constante!$P$1</f>
        <v>93908024.704645514</v>
      </c>
      <c r="S183" s="8">
        <f>+MINVU_Mes_Corriente!S183*MINVU_Mes_Constante!$P$1</f>
        <v>93908024.704645514</v>
      </c>
      <c r="T183" s="8">
        <f>+MINVU_Mes_Corriente!T183*MINVU_Mes_Constante!$P$1</f>
        <v>93908024.704645514</v>
      </c>
      <c r="U183" s="8">
        <f>+MINVU_Mes_Corriente!U183*MINVU_Mes_Constante!$P$1</f>
        <v>99927901.457593367</v>
      </c>
      <c r="V183" s="8">
        <f>+MINVU_Mes_Corriente!V183*MINVU_Mes_Constante!$P$1</f>
        <v>99927901.457593367</v>
      </c>
      <c r="W183" s="8">
        <f>+MINVU_Mes_Corriente!W183*MINVU_Mes_Constante!$P$1</f>
        <v>99927901.457593367</v>
      </c>
      <c r="X183" s="8">
        <f>+MINVU_Mes_Corriente!X183*MINVU_Mes_Constante!$P$1</f>
        <v>100083122.36965474</v>
      </c>
      <c r="Y183" s="8">
        <f>+MINVU_Mes_Corriente!Y183*MINVU_Mes_Constante!$P$1</f>
        <v>100483607.84486429</v>
      </c>
      <c r="Z183" s="8">
        <f>+MINVU_Mes_Corriente!Z183*MINVU_Mes_Constante!$P$1</f>
        <v>100553457.25529191</v>
      </c>
      <c r="AA183" s="8">
        <f>+MINVU_Mes_Corriente!AA183*MINVU_Mes_Constante!$P$1</f>
        <v>95183914.214234948</v>
      </c>
      <c r="AB183" s="9">
        <f t="shared" si="134"/>
        <v>95183914.214234948</v>
      </c>
      <c r="AC183" s="8">
        <f>+MINVU_Mes_Corriente!AC183*MINVU_Mes_Constante!$AC$1</f>
        <v>97830235.678240418</v>
      </c>
      <c r="AD183" s="8">
        <f>+MINVU_Mes_Corriente!AD183*MINVU_Mes_Constante!$AC$1</f>
        <v>98119235.859731629</v>
      </c>
      <c r="AE183" s="8">
        <f>+MINVU_Mes_Corriente!AE183*MINVU_Mes_Constante!$AC$1</f>
        <v>98119235.859731629</v>
      </c>
      <c r="AF183" s="8">
        <f>+MINVU_Mes_Corriente!AF183*MINVU_Mes_Constante!$AC$1</f>
        <v>98119235.859731629</v>
      </c>
      <c r="AG183" s="8">
        <f>+MINVU_Mes_Corriente!AG183*MINVU_Mes_Constante!$AC$1</f>
        <v>99326917.820168763</v>
      </c>
      <c r="AH183" s="8">
        <f>+MINVU_Mes_Corriente!AH183*MINVU_Mes_Constante!$AC$1</f>
        <v>102592922.75805782</v>
      </c>
      <c r="AI183" s="8">
        <f>+MINVU_Mes_Corriente!AI183*MINVU_Mes_Constante!$AC$1</f>
        <v>102592922.75805782</v>
      </c>
      <c r="AJ183" s="8">
        <f>+MINVU_Mes_Corriente!AJ183*MINVU_Mes_Constante!$AC$1</f>
        <v>96575881.303914785</v>
      </c>
      <c r="AK183" s="8">
        <f>+MINVU_Mes_Corriente!AK183*MINVU_Mes_Constante!$AC$1</f>
        <v>96603452.488310963</v>
      </c>
      <c r="AL183" s="8">
        <f>+MINVU_Mes_Corriente!AL183*MINVU_Mes_Constante!$AC$1</f>
        <v>96496724.104025453</v>
      </c>
      <c r="AM183" s="8">
        <f>+MINVU_Mes_Corriente!AM183*MINVU_Mes_Constante!$AC$1</f>
        <v>96496724.104025453</v>
      </c>
      <c r="AN183" s="8">
        <f>+MINVU_Mes_Corriente!AN183*MINVU_Mes_Constante!$AC$1</f>
        <v>104843241.95988379</v>
      </c>
      <c r="AO183" s="9">
        <f t="shared" si="135"/>
        <v>104843241.95988379</v>
      </c>
      <c r="AP183" s="8">
        <f>+MINVU_Mes_Corriente!AP183*MINVU_Mes_Constante!$AP$1</f>
        <v>123340395.16759096</v>
      </c>
      <c r="AQ183" s="8">
        <f>+MINVU_Mes_Corriente!AQ183*MINVU_Mes_Constante!$AP$1</f>
        <v>123340395.16759096</v>
      </c>
      <c r="AR183" s="8">
        <f>+MINVU_Mes_Corriente!AR183*MINVU_Mes_Constante!$AP$1</f>
        <v>123340395.16759096</v>
      </c>
      <c r="AS183" s="8">
        <f>+MINVU_Mes_Corriente!AS183*MINVU_Mes_Constante!$AP$1</f>
        <v>123885045.84850533</v>
      </c>
      <c r="AT183" s="8">
        <f>+MINVU_Mes_Corriente!AT183*MINVU_Mes_Constante!$AP$1</f>
        <v>123885045.84850533</v>
      </c>
      <c r="AU183" s="8">
        <f>+MINVU_Mes_Corriente!AU183*MINVU_Mes_Constante!$AP$1</f>
        <v>130109794.80454484</v>
      </c>
      <c r="AV183" s="8">
        <f>+MINVU_Mes_Corriente!AV183*MINVU_Mes_Constante!$AP$1</f>
        <v>130109794.80454484</v>
      </c>
      <c r="AW183" s="8">
        <f>+MINVU_Mes_Corriente!AW183*MINVU_Mes_Constante!$AP$1</f>
        <v>130208813.06506154</v>
      </c>
      <c r="AX183" s="8">
        <f>+MINVU_Mes_Corriente!AX183*MINVU_Mes_Constante!$AP$1</f>
        <v>130208813.06506154</v>
      </c>
      <c r="AY183" s="8">
        <f>+MINVU_Mes_Corriente!AY183*MINVU_Mes_Constante!$AP$1</f>
        <v>130208813.06506154</v>
      </c>
      <c r="AZ183" s="8">
        <f>+MINVU_Mes_Corriente!AZ183*MINVU_Mes_Constante!$AP$1</f>
        <v>130208813.06506154</v>
      </c>
      <c r="BA183" s="8">
        <f>+MINVU_Mes_Corriente!BA183*MINVU_Mes_Constante!$AP$1</f>
        <v>126486613.20032462</v>
      </c>
      <c r="BB183" s="9">
        <f t="shared" si="136"/>
        <v>126486613.20032462</v>
      </c>
      <c r="BC183" s="8">
        <f>+MINVU_Mes_Corriente!BC183*MINVU_Mes_Constante!$BC$1</f>
        <v>91359382.208624572</v>
      </c>
      <c r="BD183" s="8">
        <f>+MINVU_Mes_Corriente!BD183*MINVU_Mes_Constante!$BC$1</f>
        <v>91381905.646841645</v>
      </c>
      <c r="BE183" s="8">
        <f>+MINVU_Mes_Corriente!BE183*MINVU_Mes_Constante!$BC$1</f>
        <v>91381905.646841645</v>
      </c>
      <c r="BF183" s="8">
        <f>+MINVU_Mes_Corriente!BF183*MINVU_Mes_Constante!$BC$1</f>
        <v>91381905.646841645</v>
      </c>
      <c r="BG183" s="8">
        <f>+MINVU_Mes_Corriente!BG183*MINVU_Mes_Constante!$BC$1</f>
        <v>91381905.646841645</v>
      </c>
      <c r="BH183" s="8">
        <f>+MINVU_Mes_Corriente!BH183*MINVU_Mes_Constante!$BC$1</f>
        <v>91381905.646841645</v>
      </c>
      <c r="BI183" s="8">
        <f>+MINVU_Mes_Corriente!BI183*MINVU_Mes_Constante!$BC$1</f>
        <v>91381905.646841645</v>
      </c>
      <c r="BJ183" s="8">
        <f>+MINVU_Mes_Corriente!BJ183*MINVU_Mes_Constante!$BC$1</f>
        <v>94097528.870631695</v>
      </c>
      <c r="BK183" s="8">
        <f>+MINVU_Mes_Corriente!BK183*MINVU_Mes_Constante!$BC$1</f>
        <v>94097528.870631695</v>
      </c>
      <c r="BL183" s="8">
        <f>+MINVU_Mes_Corriente!BL183*MINVU_Mes_Constante!$BC$1</f>
        <v>103463083.40050115</v>
      </c>
      <c r="BM183" s="8">
        <f>+MINVU_Mes_Corriente!BM183*MINVU_Mes_Constante!$BC$1</f>
        <v>103463083.40050115</v>
      </c>
      <c r="BN183" s="8">
        <f>+MINVU_Mes_Corriente!BN183*MINVU_Mes_Constante!$BC$1</f>
        <v>105070262.98773575</v>
      </c>
      <c r="BO183" s="9">
        <f t="shared" si="137"/>
        <v>105070262.98773575</v>
      </c>
      <c r="BP183" s="8">
        <f>+MINVU_Mes_Corriente!BP183*MINVU_Mes_Constante!$BP$1</f>
        <v>141707233.18693984</v>
      </c>
      <c r="BQ183" s="8">
        <f>+MINVU_Mes_Corriente!BQ183*MINVU_Mes_Constante!$BP$1</f>
        <v>141707233.18693984</v>
      </c>
      <c r="BR183" s="8">
        <f>+MINVU_Mes_Corriente!BR183*MINVU_Mes_Constante!$BP$1</f>
        <v>142321492.62714469</v>
      </c>
      <c r="BS183" s="8">
        <f>+MINVU_Mes_Corriente!BS183*MINVU_Mes_Constante!$BP$1</f>
        <v>142321492.62714469</v>
      </c>
      <c r="BT183" s="8">
        <f>+MINVU_Mes_Corriente!BT183*MINVU_Mes_Constante!$BP$1</f>
        <v>142321492.62714469</v>
      </c>
      <c r="BU183" s="8">
        <f>+MINVU_Mes_Corriente!BU183*MINVU_Mes_Constante!$BP$1</f>
        <v>142321492.62714469</v>
      </c>
      <c r="BV183" s="8">
        <f>+MINVU_Mes_Corriente!BV183*MINVU_Mes_Constante!$BP$1</f>
        <v>142162886.55825865</v>
      </c>
      <c r="BW183" s="8">
        <f>+MINVU_Mes_Corriente!BW183*MINVU_Mes_Constante!$BP$1</f>
        <v>143282335.6993598</v>
      </c>
      <c r="BX183" s="8">
        <f>+MINVU_Mes_Corriente!BX183*MINVU_Mes_Constante!$BP$1</f>
        <v>143312273.7787452</v>
      </c>
      <c r="BY183" s="8">
        <f>+MINVU_Mes_Corriente!BY183*MINVU_Mes_Constante!$BP$1</f>
        <v>143312273.7787452</v>
      </c>
      <c r="BZ183" s="8">
        <f>+MINVU_Mes_Corriente!BZ183*MINVU_Mes_Constante!$BP$1</f>
        <v>143312273.7787452</v>
      </c>
      <c r="CA183" s="8">
        <f>+MINVU_Mes_Corriente!CA183*MINVU_Mes_Constante!$BP$1</f>
        <v>143759945.99385405</v>
      </c>
      <c r="CB183" s="9">
        <f t="shared" si="138"/>
        <v>143759945.99385405</v>
      </c>
      <c r="CC183" s="8">
        <f>+MINVU_Mes_Corriente!CC183*MINVU_Mes_Constante!$CC$1</f>
        <v>141305933.54792988</v>
      </c>
      <c r="CD183" s="8">
        <f>+MINVU_Mes_Corriente!CD183*MINVU_Mes_Constante!$CC$1</f>
        <v>141305933.54792988</v>
      </c>
      <c r="CE183" s="8">
        <f>+MINVU_Mes_Corriente!CE183*MINVU_Mes_Constante!$CC$1</f>
        <v>141305933.54792988</v>
      </c>
      <c r="CF183" s="8">
        <f>+MINVU_Mes_Corriente!CF183*MINVU_Mes_Constante!$CC$1</f>
        <v>178432734.21932116</v>
      </c>
      <c r="CG183" s="8">
        <f>+MINVU_Mes_Corriente!CG183*MINVU_Mes_Constante!$CC$1</f>
        <v>135205086.35583737</v>
      </c>
      <c r="CH183" s="8">
        <f>+MINVU_Mes_Corriente!CH183*MINVU_Mes_Constante!$CC$1</f>
        <v>135205086.35583737</v>
      </c>
      <c r="CI183" s="8">
        <f>+MINVU_Mes_Corriente!CI183*MINVU_Mes_Constante!$CC$1</f>
        <v>135205086.35583737</v>
      </c>
      <c r="CJ183" s="8">
        <f>+MINVU_Mes_Corriente!CJ183*MINVU_Mes_Constante!$CC$1</f>
        <v>135205086.35583737</v>
      </c>
      <c r="CK183" s="8">
        <f>+MINVU_Mes_Corriente!CK183*MINVU_Mes_Constante!$CC$1</f>
        <v>135422438.09026483</v>
      </c>
      <c r="CL183" s="8">
        <f>+MINVU_Mes_Corriente!CL183*MINVU_Mes_Constante!$CC$1</f>
        <v>152661985.68966806</v>
      </c>
      <c r="CM183" s="8">
        <f>+MINVU_Mes_Corriente!CM183*MINVU_Mes_Constante!$CC$1</f>
        <v>152670136.37970906</v>
      </c>
      <c r="CN183" s="8">
        <f>+MINVU_Mes_Corriente!CN183*MINVU_Mes_Constante!$CC$1</f>
        <v>158376426.32674378</v>
      </c>
      <c r="CO183" s="9">
        <f t="shared" si="139"/>
        <v>158376426.32674378</v>
      </c>
      <c r="CP183" s="8">
        <f>+MINVU_Mes_Corriente!CP183*MINVU_Mes_Constante!$CP$1</f>
        <v>153721604.02343383</v>
      </c>
      <c r="CQ183" s="8">
        <f>+MINVU_Mes_Corriente!CQ183*MINVU_Mes_Constante!$CP$1</f>
        <v>153721604.02343383</v>
      </c>
      <c r="CR183" s="8">
        <f>+MINVU_Mes_Corriente!CR183*MINVU_Mes_Constante!$CP$1</f>
        <v>153721604.02343383</v>
      </c>
      <c r="CS183" s="8">
        <f>+MINVU_Mes_Corriente!CS183*MINVU_Mes_Constante!$CP$1</f>
        <v>154110414.98631087</v>
      </c>
      <c r="CT183" s="8">
        <f>+MINVU_Mes_Corriente!CT183*MINVU_Mes_Constante!$CP$1</f>
        <v>150827998.68793499</v>
      </c>
      <c r="CU183" s="8">
        <f>+MINVU_Mes_Corriente!CU183*MINVU_Mes_Constante!$CP$1</f>
        <v>150827998.68793499</v>
      </c>
      <c r="CV183" s="8">
        <f>+MINVU_Mes_Corriente!CV183*MINVU_Mes_Constante!$CP$1</f>
        <v>150827998.68793499</v>
      </c>
      <c r="CW183" s="8">
        <f>+MINVU_Mes_Corriente!CW183*MINVU_Mes_Constante!$CP$1</f>
        <v>146011432.56264499</v>
      </c>
      <c r="CX183" s="8">
        <f>+MINVU_Mes_Corriente!CX183*MINVU_Mes_Constante!$CP$1</f>
        <v>146011432.56264499</v>
      </c>
      <c r="CY183" s="8">
        <f>+MINVU_Mes_Corriente!CY183*MINVU_Mes_Constante!$CP$1</f>
        <v>146011432.56264499</v>
      </c>
      <c r="CZ183" s="8">
        <f>+MINVU_Mes_Corriente!CZ183*MINVU_Mes_Constante!$CP$1</f>
        <v>145992419.80162409</v>
      </c>
      <c r="DA183" s="8">
        <f>+MINVU_Mes_Corriente!DA183*MINVU_Mes_Constante!$CP$1</f>
        <v>143425001.19675171</v>
      </c>
      <c r="DB183" s="9">
        <f t="shared" si="140"/>
        <v>143425001.19675171</v>
      </c>
      <c r="DC183" s="8">
        <f>+MINVU_Mes_Corriente!DC183*MINVU_Mes_Constante!$DC$1</f>
        <v>120403884.96348119</v>
      </c>
      <c r="DD183" s="8">
        <f>+MINVU_Mes_Corriente!DD183*MINVU_Mes_Constante!$DC$1</f>
        <v>130749351.43730076</v>
      </c>
      <c r="DE183" s="8">
        <f>+MINVU_Mes_Corriente!DE183*MINVU_Mes_Constante!$DC$1</f>
        <v>130749351.43730076</v>
      </c>
      <c r="DF183" s="8">
        <f>+MINVU_Mes_Corriente!DF183*MINVU_Mes_Constante!$DC$1</f>
        <v>130749351.43730076</v>
      </c>
      <c r="DG183" s="8">
        <f>+MINVU_Mes_Corriente!DG183*MINVU_Mes_Constante!$DC$1</f>
        <v>130749351.43730076</v>
      </c>
      <c r="DH183" s="8">
        <f>+MINVU_Mes_Corriente!DH183*MINVU_Mes_Constante!$DC$1</f>
        <v>130749351.43730076</v>
      </c>
      <c r="DI183" s="8">
        <f>+MINVU_Mes_Corriente!DI183*MINVU_Mes_Constante!$DC$1</f>
        <v>130749351.43730076</v>
      </c>
      <c r="DJ183" s="8">
        <f>+MINVU_Mes_Corriente!DJ183*MINVU_Mes_Constante!$DC$1</f>
        <v>130914598.05513842</v>
      </c>
      <c r="DK183" s="8">
        <f>+MINVU_Mes_Corriente!DK183*MINVU_Mes_Constante!$DC$1</f>
        <v>132216703.9084457</v>
      </c>
      <c r="DL183" s="8">
        <f>+MINVU_Mes_Corriente!DL183*MINVU_Mes_Constante!$DC$1</f>
        <v>132216703.9084457</v>
      </c>
      <c r="DM183" s="8">
        <f>+MINVU_Mes_Corriente!DM183*MINVU_Mes_Constante!$DC$1</f>
        <v>132441495.59654362</v>
      </c>
      <c r="DN183" s="8">
        <f>+MINVU_Mes_Corriente!DN183*MINVU_Mes_Constante!$DC$1</f>
        <v>133109167.37269835</v>
      </c>
      <c r="DO183" s="9">
        <f t="shared" si="141"/>
        <v>133109167.37269835</v>
      </c>
      <c r="DP183" s="8">
        <f>+MINVU_Mes_Corriente!DP183*MINVU_Mes_Constante!$DP$1</f>
        <v>142897301.13598576</v>
      </c>
      <c r="DQ183" s="8">
        <f>+MINVU_Mes_Corriente!DQ183*MINVU_Mes_Constante!$DP$1</f>
        <v>142897301.13598576</v>
      </c>
      <c r="DR183" s="8">
        <f>+MINVU_Mes_Corriente!DR183*MINVU_Mes_Constante!$DP$1</f>
        <v>142897301.13598576</v>
      </c>
      <c r="DS183" s="8">
        <f>+MINVU_Mes_Corriente!DS183*MINVU_Mes_Constante!$DP$1</f>
        <v>142897301.13598576</v>
      </c>
      <c r="DT183" s="8">
        <f>+MINVU_Mes_Corriente!DT183*MINVU_Mes_Constante!$DP$1</f>
        <v>142897301.13598576</v>
      </c>
      <c r="DU183" s="8">
        <f>+MINVU_Mes_Corriente!DU183*MINVU_Mes_Constante!$DP$1</f>
        <v>160198963.84382424</v>
      </c>
      <c r="DV183" s="8">
        <f>+MINVU_Mes_Corriente!DV183*MINVU_Mes_Constante!$DP$1</f>
        <v>160198963.84382424</v>
      </c>
      <c r="DW183" s="8">
        <f>+MINVU_Mes_Corriente!DW183*MINVU_Mes_Constante!$DP$1</f>
        <v>160198963.84382424</v>
      </c>
      <c r="DX183" s="8">
        <f>+MINVU_Mes_Corriente!DX183*MINVU_Mes_Constante!$DP$1</f>
        <v>160198963.84382424</v>
      </c>
      <c r="DY183" s="8">
        <f>+MINVU_Mes_Corriente!DY183*MINVU_Mes_Constante!$DP$1</f>
        <v>160198963.84382424</v>
      </c>
      <c r="DZ183" s="8">
        <f>+MINVU_Mes_Corriente!DZ183*MINVU_Mes_Constante!$DP$1</f>
        <v>156547354.93289787</v>
      </c>
      <c r="EA183" s="8">
        <f>+MINVU_Mes_Corriente!EA183*MINVU_Mes_Constante!$DP$1</f>
        <v>158794907.96258909</v>
      </c>
      <c r="EB183" s="9">
        <f t="shared" si="142"/>
        <v>158794907.96258909</v>
      </c>
      <c r="EC183" s="8">
        <f>+MINVU_Mes_Corriente!EC183*MINVU_Mes_Constante!$EC$1</f>
        <v>159160320.5964779</v>
      </c>
      <c r="ED183" s="8">
        <f>+MINVU_Mes_Corriente!ED183*MINVU_Mes_Constante!$EC$1</f>
        <v>159160320.5964779</v>
      </c>
      <c r="EE183" s="8">
        <f>+MINVU_Mes_Corriente!EE183*MINVU_Mes_Constante!$EC$1</f>
        <v>159408591.75724289</v>
      </c>
      <c r="EF183" s="8">
        <f>+MINVU_Mes_Corriente!EF183*MINVU_Mes_Constante!$EC$1</f>
        <v>159408591.75724289</v>
      </c>
      <c r="EG183" s="8">
        <f>+MINVU_Mes_Corriente!EG183*MINVU_Mes_Constante!$EC$1</f>
        <v>159408591.75724289</v>
      </c>
      <c r="EH183" s="8">
        <f>+MINVU_Mes_Corriente!EH183*MINVU_Mes_Constante!$EC$1</f>
        <v>159408591.75724289</v>
      </c>
      <c r="EI183" s="8">
        <f>+MINVU_Mes_Corriente!EI183*MINVU_Mes_Constante!$EC$1</f>
        <v>159408591.75724289</v>
      </c>
      <c r="EJ183" s="8">
        <f>+MINVU_Mes_Corriente!EJ183*MINVU_Mes_Constante!$EC$1</f>
        <v>159408591.75724289</v>
      </c>
      <c r="EK183" s="8">
        <f>+MINVU_Mes_Corriente!EK183*MINVU_Mes_Constante!$EC$1</f>
        <v>169753223.45578483</v>
      </c>
      <c r="EL183" s="8">
        <f>+MINVU_Mes_Corriente!EL183*MINVU_Mes_Constante!$EC$1</f>
        <v>196761410.98977461</v>
      </c>
      <c r="EM183" s="8">
        <f>+MINVU_Mes_Corriente!EM183*MINVU_Mes_Constante!$EC$1</f>
        <v>199864800.4993372</v>
      </c>
      <c r="EN183" s="8">
        <f>+MINVU_Mes_Corriente!EN183*MINVU_Mes_Constante!$EC$1</f>
        <v>216317560.6712743</v>
      </c>
      <c r="EO183" s="9">
        <f t="shared" si="143"/>
        <v>216317560.6712743</v>
      </c>
      <c r="EP183" s="8">
        <f>+MINVU_Mes_Corriente!EP183*MINVU_Mes_Constante!$EP$1</f>
        <v>204729212</v>
      </c>
      <c r="EQ183" s="8">
        <f>+MINVU_Mes_Corriente!EQ183*MINVU_Mes_Constante!$EP$1</f>
        <v>206516275</v>
      </c>
      <c r="ER183" s="8">
        <f>+MINVU_Mes_Corriente!ER183*MINVU_Mes_Constante!$EP$1</f>
        <v>206516275</v>
      </c>
      <c r="ES183" s="8">
        <f>+MINVU_Mes_Corriente!ES183*MINVU_Mes_Constante!$EP$1</f>
        <v>206516275</v>
      </c>
      <c r="ET183" s="8">
        <f>+MINVU_Mes_Corriente!ET183*MINVU_Mes_Constante!$EP$1</f>
        <v>206516275</v>
      </c>
      <c r="EU183" s="8">
        <f>+MINVU_Mes_Corriente!EU183*MINVU_Mes_Constante!$EP$1</f>
        <v>206516275</v>
      </c>
      <c r="EV183" s="8">
        <f>+MINVU_Mes_Corriente!EV183*MINVU_Mes_Constante!$EP$1</f>
        <v>226188007</v>
      </c>
      <c r="EW183" s="8">
        <f>+MINVU_Mes_Corriente!EW183*MINVU_Mes_Constante!$EP$1</f>
        <v>226188007</v>
      </c>
      <c r="EX183" s="8">
        <f>+MINVU_Mes_Corriente!EX183*MINVU_Mes_Constante!$EP$1</f>
        <v>226188007</v>
      </c>
      <c r="EY183" s="8">
        <f>+MINVU_Mes_Corriente!EY183*MINVU_Mes_Constante!$EP$1</f>
        <v>240800108</v>
      </c>
      <c r="EZ183" s="8">
        <f>+MINVU_Mes_Corriente!EZ183*MINVU_Mes_Constante!$EP$1</f>
        <v>240800108</v>
      </c>
      <c r="FA183" s="8">
        <f>+MINVU_Mes_Corriente!FA183*MINVU_Mes_Constante!$EP$1</f>
        <v>256732296</v>
      </c>
      <c r="FB183" s="9">
        <f t="shared" si="144"/>
        <v>256732296</v>
      </c>
      <c r="FC183" s="8">
        <f>+MINVU_Mes_Corriente!FC183*MINVU_Mes_Constante!$FC$1</f>
        <v>253550567</v>
      </c>
      <c r="FD183" s="8">
        <f>+MINVU_Mes_Corriente!FD183*MINVU_Mes_Constante!$FC$1</f>
        <v>249550567</v>
      </c>
      <c r="FE183" s="8">
        <f>+MINVU_Mes_Corriente!FE183*MINVU_Mes_Constante!$FC$1</f>
        <v>249550567</v>
      </c>
      <c r="FF183" s="8">
        <f>+MINVU_Mes_Corriente!FF183*MINVU_Mes_Constante!$FC$1</f>
        <v>249550567</v>
      </c>
      <c r="FG183" s="8">
        <f>+MINVU_Mes_Corriente!FG183*MINVU_Mes_Constante!$FC$1</f>
        <v>249550567</v>
      </c>
      <c r="FH183" s="8">
        <f>+MINVU_Mes_Corriente!FH183*MINVU_Mes_Constante!$FC$1</f>
        <v>252101636</v>
      </c>
      <c r="FI183" s="8">
        <f>+MINVU_Mes_Corriente!FI183*MINVU_Mes_Constante!$FC$1</f>
        <v>253151342</v>
      </c>
      <c r="FJ183" s="8"/>
      <c r="FK183" s="8"/>
      <c r="FL183" s="8"/>
      <c r="FM183" s="8"/>
      <c r="FN183" s="8"/>
      <c r="FO183" s="9">
        <f t="shared" si="145"/>
        <v>253151342</v>
      </c>
    </row>
    <row r="184" spans="2:171" ht="14.25" customHeight="1" x14ac:dyDescent="0.3">
      <c r="B184" s="7" t="s">
        <v>59</v>
      </c>
      <c r="C184" s="8">
        <f>+MINVU_Mes_Corriente!C184*MINVU_Mes_Constante!$C$1</f>
        <v>19755821.865638442</v>
      </c>
      <c r="D184" s="8">
        <f>+MINVU_Mes_Corriente!D184*MINVU_Mes_Constante!$C$1</f>
        <v>19755821.865638442</v>
      </c>
      <c r="E184" s="8">
        <f>+MINVU_Mes_Corriente!E184*MINVU_Mes_Constante!$C$1</f>
        <v>20117159.252558213</v>
      </c>
      <c r="F184" s="8">
        <f>+MINVU_Mes_Corriente!F184*MINVU_Mes_Constante!$C$1</f>
        <v>20117159.252558213</v>
      </c>
      <c r="G184" s="8">
        <f>+MINVU_Mes_Corriente!G184*MINVU_Mes_Constante!$C$1</f>
        <v>20117159.252558213</v>
      </c>
      <c r="H184" s="8">
        <f>+MINVU_Mes_Corriente!H184*MINVU_Mes_Constante!$C$1</f>
        <v>20117159.252558213</v>
      </c>
      <c r="I184" s="8">
        <f>+MINVU_Mes_Corriente!I184*MINVU_Mes_Constante!$C$1</f>
        <v>20117159.252558213</v>
      </c>
      <c r="J184" s="8">
        <f>+MINVU_Mes_Corriente!J184*MINVU_Mes_Constante!$C$1</f>
        <v>20267973.052053984</v>
      </c>
      <c r="K184" s="8">
        <f>+MINVU_Mes_Corriente!K184*MINVU_Mes_Constante!$C$1</f>
        <v>19387599.624202881</v>
      </c>
      <c r="L184" s="8">
        <f>+MINVU_Mes_Corriente!L184*MINVU_Mes_Constante!$C$1</f>
        <v>19434511.911315441</v>
      </c>
      <c r="M184" s="8">
        <f>+MINVU_Mes_Corriente!M184*MINVU_Mes_Constante!$C$1</f>
        <v>20965260.228681598</v>
      </c>
      <c r="N184" s="8">
        <f>+MINVU_Mes_Corriente!N184*MINVU_Mes_Constante!$C$1</f>
        <v>22178650.618122499</v>
      </c>
      <c r="O184" s="9">
        <f t="shared" si="133"/>
        <v>22178650.618122499</v>
      </c>
      <c r="P184" s="8">
        <f>+MINVU_Mes_Corriente!P184*MINVU_Mes_Constante!$P$1</f>
        <v>24651399.835772116</v>
      </c>
      <c r="Q184" s="8">
        <f>+MINVU_Mes_Corriente!Q184*MINVU_Mes_Constante!$P$1</f>
        <v>25292336.473646816</v>
      </c>
      <c r="R184" s="8">
        <f>+MINVU_Mes_Corriente!R184*MINVU_Mes_Constante!$P$1</f>
        <v>25292336.473646816</v>
      </c>
      <c r="S184" s="8">
        <f>+MINVU_Mes_Corriente!S184*MINVU_Mes_Constante!$P$1</f>
        <v>25292336.473646816</v>
      </c>
      <c r="T184" s="8">
        <f>+MINVU_Mes_Corriente!T184*MINVU_Mes_Constante!$P$1</f>
        <v>25292336.473646816</v>
      </c>
      <c r="U184" s="8">
        <f>+MINVU_Mes_Corriente!U184*MINVU_Mes_Constante!$P$1</f>
        <v>20734937.18425912</v>
      </c>
      <c r="V184" s="8">
        <f>+MINVU_Mes_Corriente!V184*MINVU_Mes_Constante!$P$1</f>
        <v>20734937.18425912</v>
      </c>
      <c r="W184" s="8">
        <f>+MINVU_Mes_Corriente!W184*MINVU_Mes_Constante!$P$1</f>
        <v>20734937.18425912</v>
      </c>
      <c r="X184" s="8">
        <f>+MINVU_Mes_Corriente!X184*MINVU_Mes_Constante!$P$1</f>
        <v>21682503.420656335</v>
      </c>
      <c r="Y184" s="8">
        <f>+MINVU_Mes_Corriente!Y184*MINVU_Mes_Constante!$P$1</f>
        <v>25359539.367523786</v>
      </c>
      <c r="Z184" s="8">
        <f>+MINVU_Mes_Corriente!Z184*MINVU_Mes_Constante!$P$1</f>
        <v>25359539.367523786</v>
      </c>
      <c r="AA184" s="8">
        <f>+MINVU_Mes_Corriente!AA184*MINVU_Mes_Constante!$P$1</f>
        <v>27434908.154567398</v>
      </c>
      <c r="AB184" s="9">
        <f t="shared" si="134"/>
        <v>27434908.154567398</v>
      </c>
      <c r="AC184" s="8">
        <f>+MINVU_Mes_Corriente!AC184*MINVU_Mes_Constante!$AC$1</f>
        <v>20386641.879374739</v>
      </c>
      <c r="AD184" s="8">
        <f>+MINVU_Mes_Corriente!AD184*MINVU_Mes_Constante!$AC$1</f>
        <v>21203477.135980081</v>
      </c>
      <c r="AE184" s="8">
        <f>+MINVU_Mes_Corriente!AE184*MINVU_Mes_Constante!$AC$1</f>
        <v>21203477.135980081</v>
      </c>
      <c r="AF184" s="8">
        <f>+MINVU_Mes_Corriente!AF184*MINVU_Mes_Constante!$AC$1</f>
        <v>21203477.135980081</v>
      </c>
      <c r="AG184" s="8">
        <f>+MINVU_Mes_Corriente!AG184*MINVU_Mes_Constante!$AC$1</f>
        <v>21709800.278876748</v>
      </c>
      <c r="AH184" s="8">
        <f>+MINVU_Mes_Corriente!AH184*MINVU_Mes_Constante!$AC$1</f>
        <v>37803431.005671598</v>
      </c>
      <c r="AI184" s="8">
        <f>+MINVU_Mes_Corriente!AI184*MINVU_Mes_Constante!$AC$1</f>
        <v>37803431.005671598</v>
      </c>
      <c r="AJ184" s="8">
        <f>+MINVU_Mes_Corriente!AJ184*MINVU_Mes_Constante!$AC$1</f>
        <v>37803431.005671598</v>
      </c>
      <c r="AK184" s="8">
        <f>+MINVU_Mes_Corriente!AK184*MINVU_Mes_Constante!$AC$1</f>
        <v>37803431.005671598</v>
      </c>
      <c r="AL184" s="8">
        <f>+MINVU_Mes_Corriente!AL184*MINVU_Mes_Constante!$AC$1</f>
        <v>37886792.954765528</v>
      </c>
      <c r="AM184" s="8">
        <f>+MINVU_Mes_Corriente!AM184*MINVU_Mes_Constante!$AC$1</f>
        <v>37894350.016599804</v>
      </c>
      <c r="AN184" s="8">
        <f>+MINVU_Mes_Corriente!AN184*MINVU_Mes_Constante!$AC$1</f>
        <v>35617160.925715864</v>
      </c>
      <c r="AO184" s="9">
        <f t="shared" si="135"/>
        <v>35617160.925715864</v>
      </c>
      <c r="AP184" s="8">
        <f>+MINVU_Mes_Corriente!AP184*MINVU_Mes_Constante!$AP$1</f>
        <v>30376350.516163938</v>
      </c>
      <c r="AQ184" s="8">
        <f>+MINVU_Mes_Corriente!AQ184*MINVU_Mes_Constante!$AP$1</f>
        <v>30866282.524009194</v>
      </c>
      <c r="AR184" s="8">
        <f>+MINVU_Mes_Corriente!AR184*MINVU_Mes_Constante!$AP$1</f>
        <v>30866282.524009194</v>
      </c>
      <c r="AS184" s="8">
        <f>+MINVU_Mes_Corriente!AS184*MINVU_Mes_Constante!$AP$1</f>
        <v>30866282.524009194</v>
      </c>
      <c r="AT184" s="8">
        <f>+MINVU_Mes_Corriente!AT184*MINVU_Mes_Constante!$AP$1</f>
        <v>30866282.524009194</v>
      </c>
      <c r="AU184" s="8">
        <f>+MINVU_Mes_Corriente!AU184*MINVU_Mes_Constante!$AP$1</f>
        <v>37607702.851886921</v>
      </c>
      <c r="AV184" s="8">
        <f>+MINVU_Mes_Corriente!AV184*MINVU_Mes_Constante!$AP$1</f>
        <v>42008494.06844312</v>
      </c>
      <c r="AW184" s="8">
        <f>+MINVU_Mes_Corriente!AW184*MINVU_Mes_Constante!$AP$1</f>
        <v>42008494.06844312</v>
      </c>
      <c r="AX184" s="8">
        <f>+MINVU_Mes_Corriente!AX184*MINVU_Mes_Constante!$AP$1</f>
        <v>42008494.06844312</v>
      </c>
      <c r="AY184" s="8">
        <f>+MINVU_Mes_Corriente!AY184*MINVU_Mes_Constante!$AP$1</f>
        <v>40408224.491005003</v>
      </c>
      <c r="AZ184" s="8">
        <f>+MINVU_Mes_Corriente!AZ184*MINVU_Mes_Constante!$AP$1</f>
        <v>40408224.491005003</v>
      </c>
      <c r="BA184" s="8">
        <f>+MINVU_Mes_Corriente!BA184*MINVU_Mes_Constante!$AP$1</f>
        <v>39779439.324225619</v>
      </c>
      <c r="BB184" s="9">
        <f t="shared" si="136"/>
        <v>39779439.324225619</v>
      </c>
      <c r="BC184" s="8">
        <f>+MINVU_Mes_Corriente!BC184*MINVU_Mes_Constante!$BC$1</f>
        <v>21609973.898984578</v>
      </c>
      <c r="BD184" s="8">
        <f>+MINVU_Mes_Corriente!BD184*MINVU_Mes_Constante!$BC$1</f>
        <v>21649505.184227884</v>
      </c>
      <c r="BE184" s="8">
        <f>+MINVU_Mes_Corriente!BE184*MINVU_Mes_Constante!$BC$1</f>
        <v>20511659.469866812</v>
      </c>
      <c r="BF184" s="8">
        <f>+MINVU_Mes_Corriente!BF184*MINVU_Mes_Constante!$BC$1</f>
        <v>20511659.469866812</v>
      </c>
      <c r="BG184" s="8">
        <f>+MINVU_Mes_Corriente!BG184*MINVU_Mes_Constante!$BC$1</f>
        <v>20266137.855729926</v>
      </c>
      <c r="BH184" s="8">
        <f>+MINVU_Mes_Corriente!BH184*MINVU_Mes_Constante!$BC$1</f>
        <v>20266137.855729926</v>
      </c>
      <c r="BI184" s="8">
        <f>+MINVU_Mes_Corriente!BI184*MINVU_Mes_Constante!$BC$1</f>
        <v>20266137.855729926</v>
      </c>
      <c r="BJ184" s="8">
        <f>+MINVU_Mes_Corriente!BJ184*MINVU_Mes_Constante!$BC$1</f>
        <v>20445408.97797706</v>
      </c>
      <c r="BK184" s="8">
        <f>+MINVU_Mes_Corriente!BK184*MINVU_Mes_Constante!$BC$1</f>
        <v>20445408.97797706</v>
      </c>
      <c r="BL184" s="8">
        <f>+MINVU_Mes_Corriente!BL184*MINVU_Mes_Constante!$BC$1</f>
        <v>20445408.97797706</v>
      </c>
      <c r="BM184" s="8">
        <f>+MINVU_Mes_Corriente!BM184*MINVU_Mes_Constante!$BC$1</f>
        <v>20445408.97797706</v>
      </c>
      <c r="BN184" s="8">
        <f>+MINVU_Mes_Corriente!BN184*MINVU_Mes_Constante!$BC$1</f>
        <v>19439914.398523018</v>
      </c>
      <c r="BO184" s="9">
        <f t="shared" si="137"/>
        <v>19439914.398523018</v>
      </c>
      <c r="BP184" s="8">
        <f>+MINVU_Mes_Corriente!BP184*MINVU_Mes_Constante!$BP$1</f>
        <v>24555257.479129326</v>
      </c>
      <c r="BQ184" s="8">
        <f>+MINVU_Mes_Corriente!BQ184*MINVU_Mes_Constante!$BP$1</f>
        <v>24555257.479129326</v>
      </c>
      <c r="BR184" s="8">
        <f>+MINVU_Mes_Corriente!BR184*MINVU_Mes_Constante!$BP$1</f>
        <v>24679813.879129324</v>
      </c>
      <c r="BS184" s="8">
        <f>+MINVU_Mes_Corriente!BS184*MINVU_Mes_Constante!$BP$1</f>
        <v>24679813.879129324</v>
      </c>
      <c r="BT184" s="8">
        <f>+MINVU_Mes_Corriente!BT184*MINVU_Mes_Constante!$BP$1</f>
        <v>21753523.304481436</v>
      </c>
      <c r="BU184" s="8">
        <f>+MINVU_Mes_Corriente!BU184*MINVU_Mes_Constante!$BP$1</f>
        <v>21753523.304481436</v>
      </c>
      <c r="BV184" s="8">
        <f>+MINVU_Mes_Corriente!BV184*MINVU_Mes_Constante!$BP$1</f>
        <v>21829067.990781054</v>
      </c>
      <c r="BW184" s="8">
        <f>+MINVU_Mes_Corriente!BW184*MINVU_Mes_Constante!$BP$1</f>
        <v>22883442.379513446</v>
      </c>
      <c r="BX184" s="8">
        <f>+MINVU_Mes_Corriente!BX184*MINVU_Mes_Constante!$BP$1</f>
        <v>31021051.634827148</v>
      </c>
      <c r="BY184" s="8">
        <f>+MINVU_Mes_Corriente!BY184*MINVU_Mes_Constante!$BP$1</f>
        <v>31021051.634827148</v>
      </c>
      <c r="BZ184" s="8">
        <f>+MINVU_Mes_Corriente!BZ184*MINVU_Mes_Constante!$BP$1</f>
        <v>33819002.979257368</v>
      </c>
      <c r="CA184" s="8">
        <f>+MINVU_Mes_Corriente!CA184*MINVU_Mes_Constante!$BP$1</f>
        <v>31021174.744686302</v>
      </c>
      <c r="CB184" s="9">
        <f t="shared" si="138"/>
        <v>31021174.744686302</v>
      </c>
      <c r="CC184" s="8">
        <f>+MINVU_Mes_Corriente!CC184*MINVU_Mes_Constante!$CC$1</f>
        <v>24503798.477433797</v>
      </c>
      <c r="CD184" s="8">
        <f>+MINVU_Mes_Corriente!CD184*MINVU_Mes_Constante!$CC$1</f>
        <v>24503798.477433797</v>
      </c>
      <c r="CE184" s="8">
        <f>+MINVU_Mes_Corriente!CE184*MINVU_Mes_Constante!$CC$1</f>
        <v>24503798.477433797</v>
      </c>
      <c r="CF184" s="8">
        <f>+MINVU_Mes_Corriente!CF184*MINVU_Mes_Constante!$CC$1</f>
        <v>29177978.770607986</v>
      </c>
      <c r="CG184" s="8">
        <f>+MINVU_Mes_Corriente!CG184*MINVU_Mes_Constante!$CC$1</f>
        <v>23467682.75941813</v>
      </c>
      <c r="CH184" s="8">
        <f>+MINVU_Mes_Corriente!CH184*MINVU_Mes_Constante!$CC$1</f>
        <v>23467682.75941813</v>
      </c>
      <c r="CI184" s="8">
        <f>+MINVU_Mes_Corriente!CI184*MINVU_Mes_Constante!$CC$1</f>
        <v>24193171.604625143</v>
      </c>
      <c r="CJ184" s="8">
        <f>+MINVU_Mes_Corriente!CJ184*MINVU_Mes_Constante!$CC$1</f>
        <v>24193171.604625143</v>
      </c>
      <c r="CK184" s="8">
        <f>+MINVU_Mes_Corriente!CK184*MINVU_Mes_Constante!$CC$1</f>
        <v>24193171.604625143</v>
      </c>
      <c r="CL184" s="8">
        <f>+MINVU_Mes_Corriente!CL184*MINVU_Mes_Constante!$CC$1</f>
        <v>45082452.850428946</v>
      </c>
      <c r="CM184" s="8">
        <f>+MINVU_Mes_Corriente!CM184*MINVU_Mes_Constante!$CC$1</f>
        <v>45090603.540469982</v>
      </c>
      <c r="CN184" s="8">
        <f>+MINVU_Mes_Corriente!CN184*MINVU_Mes_Constante!$CC$1</f>
        <v>44635589.91048117</v>
      </c>
      <c r="CO184" s="9">
        <f t="shared" si="139"/>
        <v>44635589.91048117</v>
      </c>
      <c r="CP184" s="8">
        <f>+MINVU_Mes_Corriente!CP184*MINVU_Mes_Constante!$CP$1</f>
        <v>37162763.507192567</v>
      </c>
      <c r="CQ184" s="8">
        <f>+MINVU_Mes_Corriente!CQ184*MINVU_Mes_Constante!$CP$1</f>
        <v>37162763.507192567</v>
      </c>
      <c r="CR184" s="8">
        <f>+MINVU_Mes_Corriente!CR184*MINVU_Mes_Constante!$CP$1</f>
        <v>37162763.507192567</v>
      </c>
      <c r="CS184" s="8">
        <f>+MINVU_Mes_Corriente!CS184*MINVU_Mes_Constante!$CP$1</f>
        <v>39697798.309976786</v>
      </c>
      <c r="CT184" s="8">
        <f>+MINVU_Mes_Corriente!CT184*MINVU_Mes_Constante!$CP$1</f>
        <v>33192594.801856142</v>
      </c>
      <c r="CU184" s="8">
        <f>+MINVU_Mes_Corriente!CU184*MINVU_Mes_Constante!$CP$1</f>
        <v>33192594.801856142</v>
      </c>
      <c r="CV184" s="8">
        <f>+MINVU_Mes_Corriente!CV184*MINVU_Mes_Constante!$CP$1</f>
        <v>33192594.801856142</v>
      </c>
      <c r="CW184" s="8">
        <f>+MINVU_Mes_Corriente!CW184*MINVU_Mes_Constante!$CP$1</f>
        <v>36097061.493967511</v>
      </c>
      <c r="CX184" s="8">
        <f>+MINVU_Mes_Corriente!CX184*MINVU_Mes_Constante!$CP$1</f>
        <v>36097061.493967511</v>
      </c>
      <c r="CY184" s="8">
        <f>+MINVU_Mes_Corriente!CY184*MINVU_Mes_Constante!$CP$1</f>
        <v>36781283.864965193</v>
      </c>
      <c r="CZ184" s="8">
        <f>+MINVU_Mes_Corriente!CZ184*MINVU_Mes_Constante!$CP$1</f>
        <v>36781283.864965193</v>
      </c>
      <c r="DA184" s="8">
        <f>+MINVU_Mes_Corriente!DA184*MINVU_Mes_Constante!$CP$1</f>
        <v>36652878.01461716</v>
      </c>
      <c r="DB184" s="9">
        <f t="shared" si="140"/>
        <v>36652878.01461716</v>
      </c>
      <c r="DC184" s="8">
        <f>+MINVU_Mes_Corriente!DC184*MINVU_Mes_Constante!$DC$1</f>
        <v>31658047.347392257</v>
      </c>
      <c r="DD184" s="8">
        <f>+MINVU_Mes_Corriente!DD184*MINVU_Mes_Constante!$DC$1</f>
        <v>35327867.192058444</v>
      </c>
      <c r="DE184" s="8">
        <f>+MINVU_Mes_Corriente!DE184*MINVU_Mes_Constante!$DC$1</f>
        <v>35327867.192058444</v>
      </c>
      <c r="DF184" s="8">
        <f>+MINVU_Mes_Corriente!DF184*MINVU_Mes_Constante!$DC$1</f>
        <v>35327867.192058444</v>
      </c>
      <c r="DG184" s="8">
        <f>+MINVU_Mes_Corriente!DG184*MINVU_Mes_Constante!$DC$1</f>
        <v>35327867.192058444</v>
      </c>
      <c r="DH184" s="8">
        <f>+MINVU_Mes_Corriente!DH184*MINVU_Mes_Constante!$DC$1</f>
        <v>35327867.192058444</v>
      </c>
      <c r="DI184" s="8">
        <f>+MINVU_Mes_Corriente!DI184*MINVU_Mes_Constante!$DC$1</f>
        <v>35327867.192058444</v>
      </c>
      <c r="DJ184" s="8">
        <f>+MINVU_Mes_Corriente!DJ184*MINVU_Mes_Constante!$DC$1</f>
        <v>35327867.192058444</v>
      </c>
      <c r="DK184" s="8">
        <f>+MINVU_Mes_Corriente!DK184*MINVU_Mes_Constante!$DC$1</f>
        <v>42561869.39944452</v>
      </c>
      <c r="DL184" s="8">
        <f>+MINVU_Mes_Corriente!DL184*MINVU_Mes_Constante!$DC$1</f>
        <v>46136057.240201645</v>
      </c>
      <c r="DM184" s="8">
        <f>+MINVU_Mes_Corriente!DM184*MINVU_Mes_Constante!$DC$1</f>
        <v>46136057.240201645</v>
      </c>
      <c r="DN184" s="8">
        <f>+MINVU_Mes_Corriente!DN184*MINVU_Mes_Constante!$DC$1</f>
        <v>44461400.750334352</v>
      </c>
      <c r="DO184" s="9">
        <f t="shared" si="141"/>
        <v>44461400.750334352</v>
      </c>
      <c r="DP184" s="8">
        <f>+MINVU_Mes_Corriente!DP184*MINVU_Mes_Constante!$DP$1</f>
        <v>56592534.089073643</v>
      </c>
      <c r="DQ184" s="8">
        <f>+MINVU_Mes_Corriente!DQ184*MINVU_Mes_Constante!$DP$1</f>
        <v>56592534.089073643</v>
      </c>
      <c r="DR184" s="8">
        <f>+MINVU_Mes_Corriente!DR184*MINVU_Mes_Constante!$DP$1</f>
        <v>56592534.089073643</v>
      </c>
      <c r="DS184" s="8">
        <f>+MINVU_Mes_Corriente!DS184*MINVU_Mes_Constante!$DP$1</f>
        <v>56773960.405581951</v>
      </c>
      <c r="DT184" s="8">
        <f>+MINVU_Mes_Corriente!DT184*MINVU_Mes_Constante!$DP$1</f>
        <v>56773960.405581951</v>
      </c>
      <c r="DU184" s="8">
        <f>+MINVU_Mes_Corriente!DU184*MINVU_Mes_Constante!$DP$1</f>
        <v>56773960.405581951</v>
      </c>
      <c r="DV184" s="8">
        <f>+MINVU_Mes_Corriente!DV184*MINVU_Mes_Constante!$DP$1</f>
        <v>56773960.405581951</v>
      </c>
      <c r="DW184" s="8">
        <f>+MINVU_Mes_Corriente!DW184*MINVU_Mes_Constante!$DP$1</f>
        <v>56773960.405581951</v>
      </c>
      <c r="DX184" s="8">
        <f>+MINVU_Mes_Corriente!DX184*MINVU_Mes_Constante!$DP$1</f>
        <v>56773960.405581951</v>
      </c>
      <c r="DY184" s="8">
        <f>+MINVU_Mes_Corriente!DY184*MINVU_Mes_Constante!$DP$1</f>
        <v>56773960.405581951</v>
      </c>
      <c r="DZ184" s="8">
        <f>+MINVU_Mes_Corriente!DZ184*MINVU_Mes_Constante!$DP$1</f>
        <v>57281782.589073643</v>
      </c>
      <c r="EA184" s="8">
        <f>+MINVU_Mes_Corriente!EA184*MINVU_Mes_Constante!$DP$1</f>
        <v>57047488.879453689</v>
      </c>
      <c r="EB184" s="9">
        <f t="shared" si="142"/>
        <v>57047488.879453689</v>
      </c>
      <c r="EC184" s="8">
        <f>+MINVU_Mes_Corriente!EC184*MINVU_Mes_Constante!$EC$1</f>
        <v>34641103.34065517</v>
      </c>
      <c r="ED184" s="8">
        <f>+MINVU_Mes_Corriente!ED184*MINVU_Mes_Constante!$EC$1</f>
        <v>34641103.34065517</v>
      </c>
      <c r="EE184" s="8">
        <f>+MINVU_Mes_Corriente!EE184*MINVU_Mes_Constante!$EC$1</f>
        <v>34806617.447831839</v>
      </c>
      <c r="EF184" s="8">
        <f>+MINVU_Mes_Corriente!EF184*MINVU_Mes_Constante!$EC$1</f>
        <v>34806617.447831839</v>
      </c>
      <c r="EG184" s="8">
        <f>+MINVU_Mes_Corriente!EG184*MINVU_Mes_Constante!$EC$1</f>
        <v>35272125.87426623</v>
      </c>
      <c r="EH184" s="8">
        <f>+MINVU_Mes_Corriente!EH184*MINVU_Mes_Constante!$EC$1</f>
        <v>35272125.87426623</v>
      </c>
      <c r="EI184" s="8">
        <f>+MINVU_Mes_Corriente!EI184*MINVU_Mes_Constante!$EC$1</f>
        <v>35272125.87426623</v>
      </c>
      <c r="EJ184" s="8">
        <f>+MINVU_Mes_Corriente!EJ184*MINVU_Mes_Constante!$EC$1</f>
        <v>35272125.87426623</v>
      </c>
      <c r="EK184" s="8">
        <f>+MINVU_Mes_Corriente!EK184*MINVU_Mes_Constante!$EC$1</f>
        <v>35272125.87426623</v>
      </c>
      <c r="EL184" s="8">
        <f>+MINVU_Mes_Corriente!EL184*MINVU_Mes_Constante!$EC$1</f>
        <v>38112669.671463728</v>
      </c>
      <c r="EM184" s="8">
        <f>+MINVU_Mes_Corriente!EM184*MINVU_Mes_Constante!$EC$1</f>
        <v>41216059.18102631</v>
      </c>
      <c r="EN184" s="8">
        <f>+MINVU_Mes_Corriente!EN184*MINVU_Mes_Constante!$EC$1</f>
        <v>42321400.663889401</v>
      </c>
      <c r="EO184" s="9">
        <f t="shared" si="143"/>
        <v>42321400.663889401</v>
      </c>
      <c r="EP184" s="8">
        <f>+MINVU_Mes_Corriente!EP184*MINVU_Mes_Constante!$EP$1</f>
        <v>62332384</v>
      </c>
      <c r="EQ184" s="8">
        <f>+MINVU_Mes_Corriente!EQ184*MINVU_Mes_Constante!$EP$1</f>
        <v>62658631</v>
      </c>
      <c r="ER184" s="8">
        <f>+MINVU_Mes_Corriente!ER184*MINVU_Mes_Constante!$EP$1</f>
        <v>62658631</v>
      </c>
      <c r="ES184" s="8">
        <f>+MINVU_Mes_Corriente!ES184*MINVU_Mes_Constante!$EP$1</f>
        <v>62658631</v>
      </c>
      <c r="ET184" s="8">
        <f>+MINVU_Mes_Corriente!ET184*MINVU_Mes_Constante!$EP$1</f>
        <v>62658631</v>
      </c>
      <c r="EU184" s="8">
        <f>+MINVU_Mes_Corriente!EU184*MINVU_Mes_Constante!$EP$1</f>
        <v>62940186</v>
      </c>
      <c r="EV184" s="8">
        <f>+MINVU_Mes_Corriente!EV184*MINVU_Mes_Constante!$EP$1</f>
        <v>62859105</v>
      </c>
      <c r="EW184" s="8">
        <f>+MINVU_Mes_Corriente!EW184*MINVU_Mes_Constante!$EP$1</f>
        <v>62859105</v>
      </c>
      <c r="EX184" s="8">
        <f>+MINVU_Mes_Corriente!EX184*MINVU_Mes_Constante!$EP$1</f>
        <v>62859105</v>
      </c>
      <c r="EY184" s="8">
        <f>+MINVU_Mes_Corriente!EY184*MINVU_Mes_Constante!$EP$1</f>
        <v>61143121</v>
      </c>
      <c r="EZ184" s="8">
        <f>+MINVU_Mes_Corriente!EZ184*MINVU_Mes_Constante!$EP$1</f>
        <v>59245303</v>
      </c>
      <c r="FA184" s="8">
        <f>+MINVU_Mes_Corriente!FA184*MINVU_Mes_Constante!$EP$1</f>
        <v>50534617</v>
      </c>
      <c r="FB184" s="9">
        <f t="shared" si="144"/>
        <v>50534617</v>
      </c>
      <c r="FC184" s="8">
        <f>+MINVU_Mes_Corriente!FC184*MINVU_Mes_Constante!$FC$1</f>
        <v>52358707</v>
      </c>
      <c r="FD184" s="8">
        <f>+MINVU_Mes_Corriente!FD184*MINVU_Mes_Constante!$FC$1</f>
        <v>51458707</v>
      </c>
      <c r="FE184" s="8">
        <f>+MINVU_Mes_Corriente!FE184*MINVU_Mes_Constante!$FC$1</f>
        <v>51458707</v>
      </c>
      <c r="FF184" s="8">
        <f>+MINVU_Mes_Corriente!FF184*MINVU_Mes_Constante!$FC$1</f>
        <v>51458707</v>
      </c>
      <c r="FG184" s="8">
        <f>+MINVU_Mes_Corriente!FG184*MINVU_Mes_Constante!$FC$1</f>
        <v>51458707</v>
      </c>
      <c r="FH184" s="8">
        <f>+MINVU_Mes_Corriente!FH184*MINVU_Mes_Constante!$FC$1</f>
        <v>51630599</v>
      </c>
      <c r="FI184" s="8">
        <f>+MINVU_Mes_Corriente!FI184*MINVU_Mes_Constante!$FC$1</f>
        <v>51630599</v>
      </c>
      <c r="FJ184" s="8"/>
      <c r="FK184" s="8"/>
      <c r="FL184" s="8"/>
      <c r="FM184" s="8"/>
      <c r="FN184" s="8"/>
      <c r="FO184" s="9">
        <f t="shared" si="145"/>
        <v>51630599</v>
      </c>
    </row>
    <row r="185" spans="2:171" ht="14.25" customHeight="1" x14ac:dyDescent="0.3">
      <c r="B185" s="7" t="s">
        <v>60</v>
      </c>
      <c r="C185" s="8">
        <f>+MINVU_Mes_Corriente!C185*MINVU_Mes_Constante!$C$1</f>
        <v>27110471.69657423</v>
      </c>
      <c r="D185" s="8">
        <f>+MINVU_Mes_Corriente!D185*MINVU_Mes_Constante!$C$1</f>
        <v>27110471.69657423</v>
      </c>
      <c r="E185" s="8">
        <f>+MINVU_Mes_Corriente!E185*MINVU_Mes_Constante!$C$1</f>
        <v>28053200.939047907</v>
      </c>
      <c r="F185" s="8">
        <f>+MINVU_Mes_Corriente!F185*MINVU_Mes_Constante!$C$1</f>
        <v>28746208.779178411</v>
      </c>
      <c r="G185" s="8">
        <f>+MINVU_Mes_Corriente!G185*MINVU_Mes_Constante!$C$1</f>
        <v>28746208.779178411</v>
      </c>
      <c r="H185" s="8">
        <f>+MINVU_Mes_Corriente!H185*MINVU_Mes_Constante!$C$1</f>
        <v>25804134.960996594</v>
      </c>
      <c r="I185" s="8">
        <f>+MINVU_Mes_Corriente!I185*MINVU_Mes_Constante!$C$1</f>
        <v>25804134.960996594</v>
      </c>
      <c r="J185" s="8">
        <f>+MINVU_Mes_Corriente!J185*MINVU_Mes_Constante!$C$1</f>
        <v>25983476.590241738</v>
      </c>
      <c r="K185" s="8">
        <f>+MINVU_Mes_Corriente!K185*MINVU_Mes_Constante!$C$1</f>
        <v>25230514.289781999</v>
      </c>
      <c r="L185" s="8">
        <f>+MINVU_Mes_Corriente!L185*MINVU_Mes_Constante!$C$1</f>
        <v>25230514.289781999</v>
      </c>
      <c r="M185" s="8">
        <f>+MINVU_Mes_Corriente!M185*MINVU_Mes_Constante!$C$1</f>
        <v>25230514.289781999</v>
      </c>
      <c r="N185" s="8">
        <f>+MINVU_Mes_Corriente!N185*MINVU_Mes_Constante!$C$1</f>
        <v>23832640.909980725</v>
      </c>
      <c r="O185" s="9">
        <f t="shared" si="133"/>
        <v>23832640.909980725</v>
      </c>
      <c r="P185" s="8">
        <f>+MINVU_Mes_Corriente!P185*MINVU_Mes_Constante!$P$1</f>
        <v>28547044.258559443</v>
      </c>
      <c r="Q185" s="8">
        <f>+MINVU_Mes_Corriente!Q185*MINVU_Mes_Constante!$P$1</f>
        <v>30691742.46597527</v>
      </c>
      <c r="R185" s="8">
        <f>+MINVU_Mes_Corriente!R185*MINVU_Mes_Constante!$P$1</f>
        <v>30691742.46597527</v>
      </c>
      <c r="S185" s="8">
        <f>+MINVU_Mes_Corriente!S185*MINVU_Mes_Constante!$P$1</f>
        <v>30691742.46597527</v>
      </c>
      <c r="T185" s="8">
        <f>+MINVU_Mes_Corriente!T185*MINVU_Mes_Constante!$P$1</f>
        <v>30691742.46597527</v>
      </c>
      <c r="U185" s="8">
        <f>+MINVU_Mes_Corriente!U185*MINVU_Mes_Constante!$P$1</f>
        <v>32111684.743003257</v>
      </c>
      <c r="V185" s="8">
        <f>+MINVU_Mes_Corriente!V185*MINVU_Mes_Constante!$P$1</f>
        <v>32111684.743003257</v>
      </c>
      <c r="W185" s="8">
        <f>+MINVU_Mes_Corriente!W185*MINVU_Mes_Constante!$P$1</f>
        <v>32134967.87981246</v>
      </c>
      <c r="X185" s="8">
        <f>+MINVU_Mes_Corriente!X185*MINVU_Mes_Constante!$P$1</f>
        <v>32200247.586588994</v>
      </c>
      <c r="Y185" s="8">
        <f>+MINVU_Mes_Corriente!Y185*MINVU_Mes_Constante!$P$1</f>
        <v>32200247.586588994</v>
      </c>
      <c r="Z185" s="8">
        <f>+MINVU_Mes_Corriente!Z185*MINVU_Mes_Constante!$P$1</f>
        <v>32277858.042619679</v>
      </c>
      <c r="AA185" s="8">
        <f>+MINVU_Mes_Corriente!AA185*MINVU_Mes_Constante!$P$1</f>
        <v>31494340.131552767</v>
      </c>
      <c r="AB185" s="9">
        <f t="shared" si="134"/>
        <v>31494340.131552767</v>
      </c>
      <c r="AC185" s="8">
        <f>+MINVU_Mes_Corriente!AC185*MINVU_Mes_Constante!$AC$1</f>
        <v>31133864.467561211</v>
      </c>
      <c r="AD185" s="8">
        <f>+MINVU_Mes_Corriente!AD185*MINVU_Mes_Constante!$AC$1</f>
        <v>31751628.578503251</v>
      </c>
      <c r="AE185" s="8">
        <f>+MINVU_Mes_Corriente!AE185*MINVU_Mes_Constante!$AC$1</f>
        <v>31751628.578503251</v>
      </c>
      <c r="AF185" s="8">
        <f>+MINVU_Mes_Corriente!AF185*MINVU_Mes_Constante!$AC$1</f>
        <v>31751628.578503251</v>
      </c>
      <c r="AG185" s="8">
        <f>+MINVU_Mes_Corriente!AG185*MINVU_Mes_Constante!$AC$1</f>
        <v>31751628.578503251</v>
      </c>
      <c r="AH185" s="8">
        <f>+MINVU_Mes_Corriente!AH185*MINVU_Mes_Constante!$AC$1</f>
        <v>33698855.189929448</v>
      </c>
      <c r="AI185" s="8">
        <f>+MINVU_Mes_Corriente!AI185*MINVU_Mes_Constante!$AC$1</f>
        <v>33698855.189929448</v>
      </c>
      <c r="AJ185" s="8">
        <f>+MINVU_Mes_Corriente!AJ185*MINVU_Mes_Constante!$AC$1</f>
        <v>33698855.189929448</v>
      </c>
      <c r="AK185" s="8">
        <f>+MINVU_Mes_Corriente!AK185*MINVU_Mes_Constante!$AC$1</f>
        <v>33698855.189929448</v>
      </c>
      <c r="AL185" s="8">
        <f>+MINVU_Mes_Corriente!AL185*MINVU_Mes_Constante!$AC$1</f>
        <v>33698855.189929448</v>
      </c>
      <c r="AM185" s="8">
        <f>+MINVU_Mes_Corriente!AM185*MINVU_Mes_Constante!$AC$1</f>
        <v>33709435.076497443</v>
      </c>
      <c r="AN185" s="8">
        <f>+MINVU_Mes_Corriente!AN185*MINVU_Mes_Constante!$AC$1</f>
        <v>30239508.870659843</v>
      </c>
      <c r="AO185" s="9">
        <f t="shared" si="135"/>
        <v>30239508.870659843</v>
      </c>
      <c r="AP185" s="8">
        <f>+MINVU_Mes_Corriente!AP185*MINVU_Mes_Constante!$AP$1</f>
        <v>24658765.701068576</v>
      </c>
      <c r="AQ185" s="8">
        <f>+MINVU_Mes_Corriente!AQ185*MINVU_Mes_Constante!$AP$1</f>
        <v>25697777.60963073</v>
      </c>
      <c r="AR185" s="8">
        <f>+MINVU_Mes_Corriente!AR185*MINVU_Mes_Constante!$AP$1</f>
        <v>25697777.60963073</v>
      </c>
      <c r="AS185" s="8">
        <f>+MINVU_Mes_Corriente!AS185*MINVU_Mes_Constante!$AP$1</f>
        <v>25697777.60963073</v>
      </c>
      <c r="AT185" s="8">
        <f>+MINVU_Mes_Corriente!AT185*MINVU_Mes_Constante!$AP$1</f>
        <v>27608682.249154605</v>
      </c>
      <c r="AU185" s="8">
        <f>+MINVU_Mes_Corriente!AU185*MINVU_Mes_Constante!$AP$1</f>
        <v>26836245.232517246</v>
      </c>
      <c r="AV185" s="8">
        <f>+MINVU_Mes_Corriente!AV185*MINVU_Mes_Constante!$AP$1</f>
        <v>26836245.232517246</v>
      </c>
      <c r="AW185" s="8">
        <f>+MINVU_Mes_Corriente!AW185*MINVU_Mes_Constante!$AP$1</f>
        <v>26836245.232517246</v>
      </c>
      <c r="AX185" s="8">
        <f>+MINVU_Mes_Corriente!AX185*MINVU_Mes_Constante!$AP$1</f>
        <v>26836245.232517246</v>
      </c>
      <c r="AY185" s="8">
        <f>+MINVU_Mes_Corriente!AY185*MINVU_Mes_Constante!$AP$1</f>
        <v>26673635.080481537</v>
      </c>
      <c r="AZ185" s="8">
        <f>+MINVU_Mes_Corriente!AZ185*MINVU_Mes_Constante!$AP$1</f>
        <v>26673635.080481537</v>
      </c>
      <c r="BA185" s="8">
        <f>+MINVU_Mes_Corriente!BA185*MINVU_Mes_Constante!$AP$1</f>
        <v>26117081.517922357</v>
      </c>
      <c r="BB185" s="9">
        <f t="shared" si="136"/>
        <v>26117081.517922357</v>
      </c>
      <c r="BC185" s="8">
        <f>+MINVU_Mes_Corriente!BC185*MINVU_Mes_Constante!$BC$1</f>
        <v>30457320.769880001</v>
      </c>
      <c r="BD185" s="8">
        <f>+MINVU_Mes_Corriente!BD185*MINVU_Mes_Constante!$BC$1</f>
        <v>30457320.769880001</v>
      </c>
      <c r="BE185" s="8">
        <f>+MINVU_Mes_Corriente!BE185*MINVU_Mes_Constante!$BC$1</f>
        <v>30457320.769880001</v>
      </c>
      <c r="BF185" s="8">
        <f>+MINVU_Mes_Corriente!BF185*MINVU_Mes_Constante!$BC$1</f>
        <v>30457320.769880001</v>
      </c>
      <c r="BG185" s="8">
        <f>+MINVU_Mes_Corriente!BG185*MINVU_Mes_Constante!$BC$1</f>
        <v>30457320.769880001</v>
      </c>
      <c r="BH185" s="8">
        <f>+MINVU_Mes_Corriente!BH185*MINVU_Mes_Constante!$BC$1</f>
        <v>33138697.762890685</v>
      </c>
      <c r="BI185" s="8">
        <f>+MINVU_Mes_Corriente!BI185*MINVU_Mes_Constante!$BC$1</f>
        <v>33672213.060530141</v>
      </c>
      <c r="BJ185" s="8">
        <f>+MINVU_Mes_Corriente!BJ185*MINVU_Mes_Constante!$BC$1</f>
        <v>33672213.060530141</v>
      </c>
      <c r="BK185" s="8">
        <f>+MINVU_Mes_Corriente!BK185*MINVU_Mes_Constante!$BC$1</f>
        <v>33672213.060530141</v>
      </c>
      <c r="BL185" s="8">
        <f>+MINVU_Mes_Corriente!BL185*MINVU_Mes_Constante!$BC$1</f>
        <v>32087273.06316762</v>
      </c>
      <c r="BM185" s="8">
        <f>+MINVU_Mes_Corriente!BM185*MINVU_Mes_Constante!$BC$1</f>
        <v>32087273.06316762</v>
      </c>
      <c r="BN185" s="8">
        <f>+MINVU_Mes_Corriente!BN185*MINVU_Mes_Constante!$BC$1</f>
        <v>28616071.48041673</v>
      </c>
      <c r="BO185" s="9">
        <f t="shared" si="137"/>
        <v>28616071.48041673</v>
      </c>
      <c r="BP185" s="8">
        <f>+MINVU_Mes_Corriente!BP185*MINVU_Mes_Constante!$BP$1</f>
        <v>24614588.037387967</v>
      </c>
      <c r="BQ185" s="8">
        <f>+MINVU_Mes_Corriente!BQ185*MINVU_Mes_Constante!$BP$1</f>
        <v>24614588.037387967</v>
      </c>
      <c r="BR185" s="8">
        <f>+MINVU_Mes_Corriente!BR185*MINVU_Mes_Constante!$BP$1</f>
        <v>24721657.241485279</v>
      </c>
      <c r="BS185" s="8">
        <f>+MINVU_Mes_Corriente!BS185*MINVU_Mes_Constante!$BP$1</f>
        <v>24721657.241485279</v>
      </c>
      <c r="BT185" s="8">
        <f>+MINVU_Mes_Corriente!BT185*MINVU_Mes_Constante!$BP$1</f>
        <v>24721657.241485279</v>
      </c>
      <c r="BU185" s="8">
        <f>+MINVU_Mes_Corriente!BU185*MINVU_Mes_Constante!$BP$1</f>
        <v>24721657.241485279</v>
      </c>
      <c r="BV185" s="8">
        <f>+MINVU_Mes_Corriente!BV185*MINVU_Mes_Constante!$BP$1</f>
        <v>24496973.354673497</v>
      </c>
      <c r="BW185" s="8">
        <f>+MINVU_Mes_Corriente!BW185*MINVU_Mes_Constante!$BP$1</f>
        <v>21434670.168245841</v>
      </c>
      <c r="BX185" s="8">
        <f>+MINVU_Mes_Corriente!BX185*MINVU_Mes_Constante!$BP$1</f>
        <v>24038163.894238159</v>
      </c>
      <c r="BY185" s="8">
        <f>+MINVU_Mes_Corriente!BY185*MINVU_Mes_Constante!$BP$1</f>
        <v>24038163.894238159</v>
      </c>
      <c r="BZ185" s="8">
        <f>+MINVU_Mes_Corriente!BZ185*MINVU_Mes_Constante!$BP$1</f>
        <v>24038163.894238159</v>
      </c>
      <c r="CA185" s="8">
        <f>+MINVU_Mes_Corriente!CA185*MINVU_Mes_Constante!$BP$1</f>
        <v>29482037.098847635</v>
      </c>
      <c r="CB185" s="9">
        <f t="shared" si="138"/>
        <v>29482037.098847635</v>
      </c>
      <c r="CC185" s="8">
        <f>+MINVU_Mes_Corriente!CC185*MINVU_Mes_Constante!$CC$1</f>
        <v>24567049.190600526</v>
      </c>
      <c r="CD185" s="8">
        <f>+MINVU_Mes_Corriente!CD185*MINVU_Mes_Constante!$CC$1</f>
        <v>24567049.190600526</v>
      </c>
      <c r="CE185" s="8">
        <f>+MINVU_Mes_Corriente!CE185*MINVU_Mes_Constante!$CC$1</f>
        <v>27756554.123834394</v>
      </c>
      <c r="CF185" s="8">
        <f>+MINVU_Mes_Corriente!CF185*MINVU_Mes_Constante!$CC$1</f>
        <v>27810892.057441257</v>
      </c>
      <c r="CG185" s="8">
        <f>+MINVU_Mes_Corriente!CG185*MINVU_Mes_Constante!$CC$1</f>
        <v>20865041.093621787</v>
      </c>
      <c r="CH185" s="8">
        <f>+MINVU_Mes_Corriente!CH185*MINVU_Mes_Constante!$CC$1</f>
        <v>20865041.093621787</v>
      </c>
      <c r="CI185" s="8">
        <f>+MINVU_Mes_Corriente!CI185*MINVU_Mes_Constante!$CC$1</f>
        <v>21724857.386049982</v>
      </c>
      <c r="CJ185" s="8">
        <f>+MINVU_Mes_Corriente!CJ185*MINVU_Mes_Constante!$CC$1</f>
        <v>21724857.386049982</v>
      </c>
      <c r="CK185" s="8">
        <f>+MINVU_Mes_Corriente!CK185*MINVU_Mes_Constante!$CC$1</f>
        <v>21887871.186870571</v>
      </c>
      <c r="CL185" s="8">
        <f>+MINVU_Mes_Corriente!CL185*MINVU_Mes_Constante!$CC$1</f>
        <v>41488786.442372255</v>
      </c>
      <c r="CM185" s="8">
        <f>+MINVU_Mes_Corriente!CM185*MINVU_Mes_Constante!$CC$1</f>
        <v>41496937.132413283</v>
      </c>
      <c r="CN185" s="8">
        <f>+MINVU_Mes_Corriente!CN185*MINVU_Mes_Constante!$CC$1</f>
        <v>41836383.486758679</v>
      </c>
      <c r="CO185" s="9">
        <f t="shared" si="139"/>
        <v>41836383.486758679</v>
      </c>
      <c r="CP185" s="8">
        <f>+MINVU_Mes_Corriente!CP185*MINVU_Mes_Constante!$CP$1</f>
        <v>27020336.427146167</v>
      </c>
      <c r="CQ185" s="8">
        <f>+MINVU_Mes_Corriente!CQ185*MINVU_Mes_Constante!$CP$1</f>
        <v>27020336.427146167</v>
      </c>
      <c r="CR185" s="8">
        <f>+MINVU_Mes_Corriente!CR185*MINVU_Mes_Constante!$CP$1</f>
        <v>27020336.427146167</v>
      </c>
      <c r="CS185" s="8">
        <f>+MINVU_Mes_Corriente!CS185*MINVU_Mes_Constante!$CP$1</f>
        <v>27020336.427146167</v>
      </c>
      <c r="CT185" s="8">
        <f>+MINVU_Mes_Corriente!CT185*MINVU_Mes_Constante!$CP$1</f>
        <v>26821751.94083526</v>
      </c>
      <c r="CU185" s="8">
        <f>+MINVU_Mes_Corriente!CU185*MINVU_Mes_Constante!$CP$1</f>
        <v>26821751.94083526</v>
      </c>
      <c r="CV185" s="8">
        <f>+MINVU_Mes_Corriente!CV185*MINVU_Mes_Constante!$CP$1</f>
        <v>26821751.94083526</v>
      </c>
      <c r="CW185" s="8">
        <f>+MINVU_Mes_Corriente!CW185*MINVU_Mes_Constante!$CP$1</f>
        <v>43147376.070765652</v>
      </c>
      <c r="CX185" s="8">
        <f>+MINVU_Mes_Corriente!CX185*MINVU_Mes_Constante!$CP$1</f>
        <v>61921643.55243618</v>
      </c>
      <c r="CY185" s="8">
        <f>+MINVU_Mes_Corriente!CY185*MINVU_Mes_Constante!$CP$1</f>
        <v>62111771.162644997</v>
      </c>
      <c r="CZ185" s="8">
        <f>+MINVU_Mes_Corriente!CZ185*MINVU_Mes_Constante!$CP$1</f>
        <v>63559347.016009271</v>
      </c>
      <c r="DA185" s="8">
        <f>+MINVU_Mes_Corriente!DA185*MINVU_Mes_Constante!$CP$1</f>
        <v>65780189.605336413</v>
      </c>
      <c r="DB185" s="9">
        <f t="shared" si="140"/>
        <v>65780189.605336413</v>
      </c>
      <c r="DC185" s="8">
        <f>+MINVU_Mes_Corriente!DC185*MINVU_Mes_Constante!$DC$1</f>
        <v>58713081.379899219</v>
      </c>
      <c r="DD185" s="8">
        <f>+MINVU_Mes_Corriente!DD185*MINVU_Mes_Constante!$DC$1</f>
        <v>59710793.436477758</v>
      </c>
      <c r="DE185" s="8">
        <f>+MINVU_Mes_Corriente!DE185*MINVU_Mes_Constante!$DC$1</f>
        <v>59710793.436477758</v>
      </c>
      <c r="DF185" s="8">
        <f>+MINVU_Mes_Corriente!DF185*MINVU_Mes_Constante!$DC$1</f>
        <v>59710793.436477758</v>
      </c>
      <c r="DG185" s="8">
        <f>+MINVU_Mes_Corriente!DG185*MINVU_Mes_Constante!$DC$1</f>
        <v>59710793.436477758</v>
      </c>
      <c r="DH185" s="8">
        <f>+MINVU_Mes_Corriente!DH185*MINVU_Mes_Constante!$DC$1</f>
        <v>59710793.436477758</v>
      </c>
      <c r="DI185" s="8">
        <f>+MINVU_Mes_Corriente!DI185*MINVU_Mes_Constante!$DC$1</f>
        <v>59710793.436477758</v>
      </c>
      <c r="DJ185" s="8">
        <f>+MINVU_Mes_Corriente!DJ185*MINVU_Mes_Constante!$DC$1</f>
        <v>59710793.436477758</v>
      </c>
      <c r="DK185" s="8">
        <f>+MINVU_Mes_Corriente!DK185*MINVU_Mes_Constante!$DC$1</f>
        <v>60006394.506326541</v>
      </c>
      <c r="DL185" s="8">
        <f>+MINVU_Mes_Corriente!DL185*MINVU_Mes_Constante!$DC$1</f>
        <v>60006394.506326541</v>
      </c>
      <c r="DM185" s="8">
        <f>+MINVU_Mes_Corriente!DM185*MINVU_Mes_Constante!$DC$1</f>
        <v>60006394.506326541</v>
      </c>
      <c r="DN185" s="8">
        <f>+MINVU_Mes_Corriente!DN185*MINVU_Mes_Constante!$DC$1</f>
        <v>67214292.778932244</v>
      </c>
      <c r="DO185" s="9">
        <f t="shared" si="141"/>
        <v>67214292.778932244</v>
      </c>
      <c r="DP185" s="8">
        <f>+MINVU_Mes_Corriente!DP185*MINVU_Mes_Constante!$DP$1</f>
        <v>44873034.420427561</v>
      </c>
      <c r="DQ185" s="8">
        <f>+MINVU_Mes_Corriente!DQ185*MINVU_Mes_Constante!$DP$1</f>
        <v>45539104.099168651</v>
      </c>
      <c r="DR185" s="8">
        <f>+MINVU_Mes_Corriente!DR185*MINVU_Mes_Constante!$DP$1</f>
        <v>45539104.099168651</v>
      </c>
      <c r="DS185" s="8">
        <f>+MINVU_Mes_Corriente!DS185*MINVU_Mes_Constante!$DP$1</f>
        <v>45539104.099168651</v>
      </c>
      <c r="DT185" s="8">
        <f>+MINVU_Mes_Corriente!DT185*MINVU_Mes_Constante!$DP$1</f>
        <v>45539104.099168651</v>
      </c>
      <c r="DU185" s="8">
        <f>+MINVU_Mes_Corriente!DU185*MINVU_Mes_Constante!$DP$1</f>
        <v>45539104.099168651</v>
      </c>
      <c r="DV185" s="8">
        <f>+MINVU_Mes_Corriente!DV185*MINVU_Mes_Constante!$DP$1</f>
        <v>45539104.099168651</v>
      </c>
      <c r="DW185" s="8">
        <f>+MINVU_Mes_Corriente!DW185*MINVU_Mes_Constante!$DP$1</f>
        <v>45539104.099168651</v>
      </c>
      <c r="DX185" s="8">
        <f>+MINVU_Mes_Corriente!DX185*MINVU_Mes_Constante!$DP$1</f>
        <v>45539104.099168651</v>
      </c>
      <c r="DY185" s="8">
        <f>+MINVU_Mes_Corriente!DY185*MINVU_Mes_Constante!$DP$1</f>
        <v>45539104.099168651</v>
      </c>
      <c r="DZ185" s="8">
        <f>+MINVU_Mes_Corriente!DZ185*MINVU_Mes_Constante!$DP$1</f>
        <v>45507875.679334924</v>
      </c>
      <c r="EA185" s="8">
        <f>+MINVU_Mes_Corriente!EA185*MINVU_Mes_Constante!$DP$1</f>
        <v>53324008.861638963</v>
      </c>
      <c r="EB185" s="9">
        <f t="shared" si="142"/>
        <v>53324008.861638963</v>
      </c>
      <c r="EC185" s="8">
        <f>+MINVU_Mes_Corriente!EC185*MINVU_Mes_Constante!$EC$1</f>
        <v>88985676.331755325</v>
      </c>
      <c r="ED185" s="8">
        <f>+MINVU_Mes_Corriente!ED185*MINVU_Mes_Constante!$EC$1</f>
        <v>88985676.331755325</v>
      </c>
      <c r="EE185" s="8">
        <f>+MINVU_Mes_Corriente!EE185*MINVU_Mes_Constante!$EC$1</f>
        <v>89068433.385343656</v>
      </c>
      <c r="EF185" s="8">
        <f>+MINVU_Mes_Corriente!EF185*MINVU_Mes_Constante!$EC$1</f>
        <v>89068433.385343656</v>
      </c>
      <c r="EG185" s="8">
        <f>+MINVU_Mes_Corriente!EG185*MINVU_Mes_Constante!$EC$1</f>
        <v>89068433.385343656</v>
      </c>
      <c r="EH185" s="8">
        <f>+MINVU_Mes_Corriente!EH185*MINVU_Mes_Constante!$EC$1</f>
        <v>89068433.385343656</v>
      </c>
      <c r="EI185" s="8">
        <f>+MINVU_Mes_Corriente!EI185*MINVU_Mes_Constante!$EC$1</f>
        <v>89068433.385343656</v>
      </c>
      <c r="EJ185" s="8">
        <f>+MINVU_Mes_Corriente!EJ185*MINVU_Mes_Constante!$EC$1</f>
        <v>89068433.385343656</v>
      </c>
      <c r="EK185" s="8">
        <f>+MINVU_Mes_Corriente!EK185*MINVU_Mes_Constante!$EC$1</f>
        <v>89068433.385343656</v>
      </c>
      <c r="EL185" s="8">
        <f>+MINVU_Mes_Corriente!EL185*MINVU_Mes_Constante!$EC$1</f>
        <v>70986794.058132902</v>
      </c>
      <c r="EM185" s="8">
        <f>+MINVU_Mes_Corriente!EM185*MINVU_Mes_Constante!$EC$1</f>
        <v>70986794.058132902</v>
      </c>
      <c r="EN185" s="8">
        <f>+MINVU_Mes_Corriente!EN185*MINVU_Mes_Constante!$EC$1</f>
        <v>68781519.26585871</v>
      </c>
      <c r="EO185" s="9">
        <f t="shared" si="143"/>
        <v>68781519.26585871</v>
      </c>
      <c r="EP185" s="8">
        <f>+MINVU_Mes_Corriente!EP185*MINVU_Mes_Constante!$EP$1</f>
        <v>122155247</v>
      </c>
      <c r="EQ185" s="8">
        <f>+MINVU_Mes_Corriente!EQ185*MINVU_Mes_Constante!$EP$1</f>
        <v>122406272</v>
      </c>
      <c r="ER185" s="8">
        <f>+MINVU_Mes_Corriente!ER185*MINVU_Mes_Constante!$EP$1</f>
        <v>122406272</v>
      </c>
      <c r="ES185" s="8">
        <f>+MINVU_Mes_Corriente!ES185*MINVU_Mes_Constante!$EP$1</f>
        <v>122406272</v>
      </c>
      <c r="ET185" s="8">
        <f>+MINVU_Mes_Corriente!ET185*MINVU_Mes_Constante!$EP$1</f>
        <v>122406272</v>
      </c>
      <c r="EU185" s="8">
        <f>+MINVU_Mes_Corriente!EU185*MINVU_Mes_Constante!$EP$1</f>
        <v>122323772</v>
      </c>
      <c r="EV185" s="8">
        <f>+MINVU_Mes_Corriente!EV185*MINVU_Mes_Constante!$EP$1</f>
        <v>68851579</v>
      </c>
      <c r="EW185" s="8">
        <f>+MINVU_Mes_Corriente!EW185*MINVU_Mes_Constante!$EP$1</f>
        <v>68851579</v>
      </c>
      <c r="EX185" s="8">
        <f>+MINVU_Mes_Corriente!EX185*MINVU_Mes_Constante!$EP$1</f>
        <v>68851579</v>
      </c>
      <c r="EY185" s="8">
        <f>+MINVU_Mes_Corriente!EY185*MINVU_Mes_Constante!$EP$1</f>
        <v>54909642</v>
      </c>
      <c r="EZ185" s="8">
        <f>+MINVU_Mes_Corriente!EZ185*MINVU_Mes_Constante!$EP$1</f>
        <v>54936042</v>
      </c>
      <c r="FA185" s="8">
        <f>+MINVU_Mes_Corriente!FA185*MINVU_Mes_Constante!$EP$1</f>
        <v>54940045</v>
      </c>
      <c r="FB185" s="9">
        <f t="shared" si="144"/>
        <v>54940045</v>
      </c>
      <c r="FC185" s="8">
        <f>+MINVU_Mes_Corriente!FC185*MINVU_Mes_Constante!$FC$1</f>
        <v>77301509</v>
      </c>
      <c r="FD185" s="8">
        <f>+MINVU_Mes_Corriente!FD185*MINVU_Mes_Constante!$FC$1</f>
        <v>76051509</v>
      </c>
      <c r="FE185" s="8">
        <f>+MINVU_Mes_Corriente!FE185*MINVU_Mes_Constante!$FC$1</f>
        <v>76051509</v>
      </c>
      <c r="FF185" s="8">
        <f>+MINVU_Mes_Corriente!FF185*MINVU_Mes_Constante!$FC$1</f>
        <v>76051509</v>
      </c>
      <c r="FG185" s="8">
        <f>+MINVU_Mes_Corriente!FG185*MINVU_Mes_Constante!$FC$1</f>
        <v>76051509</v>
      </c>
      <c r="FH185" s="8">
        <f>+MINVU_Mes_Corriente!FH185*MINVU_Mes_Constante!$FC$1</f>
        <v>76096259</v>
      </c>
      <c r="FI185" s="8">
        <f>+MINVU_Mes_Corriente!FI185*MINVU_Mes_Constante!$FC$1</f>
        <v>76096259</v>
      </c>
      <c r="FJ185" s="8"/>
      <c r="FK185" s="8"/>
      <c r="FL185" s="8"/>
      <c r="FM185" s="8"/>
      <c r="FN185" s="8"/>
      <c r="FO185" s="9">
        <f t="shared" si="145"/>
        <v>76096259</v>
      </c>
    </row>
    <row r="186" spans="2:171" ht="14.25" customHeight="1" thickBot="1" x14ac:dyDescent="0.35">
      <c r="B186" s="14" t="s">
        <v>77</v>
      </c>
      <c r="C186" s="16">
        <f t="shared" ref="C186:AH186" si="146">SUM(C168:C185)</f>
        <v>1426809608.2966042</v>
      </c>
      <c r="D186" s="16">
        <f t="shared" si="146"/>
        <v>1426809608.2966042</v>
      </c>
      <c r="E186" s="16">
        <f t="shared" si="146"/>
        <v>1477912825.772505</v>
      </c>
      <c r="F186" s="16">
        <f t="shared" si="146"/>
        <v>1477912825.7725053</v>
      </c>
      <c r="G186" s="16">
        <f t="shared" si="146"/>
        <v>1477895442.6896045</v>
      </c>
      <c r="H186" s="16">
        <f t="shared" si="146"/>
        <v>1455340267.1718822</v>
      </c>
      <c r="I186" s="16">
        <f t="shared" si="146"/>
        <v>1455340267.1718822</v>
      </c>
      <c r="J186" s="16">
        <f t="shared" si="146"/>
        <v>1462348324.7738395</v>
      </c>
      <c r="K186" s="16">
        <f t="shared" si="146"/>
        <v>1650730367.5266206</v>
      </c>
      <c r="L186" s="16">
        <f t="shared" si="146"/>
        <v>1634290064.0990658</v>
      </c>
      <c r="M186" s="16">
        <f t="shared" si="146"/>
        <v>1740365011.1425183</v>
      </c>
      <c r="N186" s="16">
        <f t="shared" si="146"/>
        <v>1763237713.1042566</v>
      </c>
      <c r="O186" s="16">
        <f t="shared" si="146"/>
        <v>1763237713.1042566</v>
      </c>
      <c r="P186" s="16">
        <f t="shared" si="146"/>
        <v>1734394914.8336406</v>
      </c>
      <c r="Q186" s="16">
        <f t="shared" si="146"/>
        <v>1734518861.8363397</v>
      </c>
      <c r="R186" s="16">
        <f t="shared" si="146"/>
        <v>1732392302.7447073</v>
      </c>
      <c r="S186" s="16">
        <f t="shared" si="146"/>
        <v>1727619733.1226022</v>
      </c>
      <c r="T186" s="16">
        <f t="shared" si="146"/>
        <v>1727619733.1226022</v>
      </c>
      <c r="U186" s="16">
        <f t="shared" si="146"/>
        <v>1727247069.4436705</v>
      </c>
      <c r="V186" s="16">
        <f t="shared" si="146"/>
        <v>1727247069.4436705</v>
      </c>
      <c r="W186" s="16">
        <f t="shared" si="146"/>
        <v>1735436032.7137372</v>
      </c>
      <c r="X186" s="16">
        <f t="shared" si="146"/>
        <v>1737850860.3222046</v>
      </c>
      <c r="Y186" s="16">
        <f t="shared" si="146"/>
        <v>1743832664.4898417</v>
      </c>
      <c r="Z186" s="16">
        <f t="shared" si="146"/>
        <v>1743403172.8827951</v>
      </c>
      <c r="AA186" s="16">
        <f t="shared" si="146"/>
        <v>1788559595.1356719</v>
      </c>
      <c r="AB186" s="16">
        <f t="shared" si="146"/>
        <v>1788559595.1356719</v>
      </c>
      <c r="AC186" s="16">
        <f t="shared" si="146"/>
        <v>1977133147.083967</v>
      </c>
      <c r="AD186" s="16">
        <f t="shared" si="146"/>
        <v>1981231015.2516255</v>
      </c>
      <c r="AE186" s="16">
        <f t="shared" si="146"/>
        <v>1981123957.3794441</v>
      </c>
      <c r="AF186" s="16">
        <f t="shared" si="146"/>
        <v>1969868144.5298104</v>
      </c>
      <c r="AG186" s="16">
        <f t="shared" si="146"/>
        <v>1954782937.2026558</v>
      </c>
      <c r="AH186" s="16">
        <f t="shared" si="146"/>
        <v>1967144201.5916448</v>
      </c>
      <c r="AI186" s="16">
        <f t="shared" ref="AI186:BN186" si="147">SUM(AI168:AI185)</f>
        <v>1968172498.5524969</v>
      </c>
      <c r="AJ186" s="16">
        <f t="shared" si="147"/>
        <v>1948478895.1655831</v>
      </c>
      <c r="AK186" s="16">
        <f t="shared" si="147"/>
        <v>1946518194.3129065</v>
      </c>
      <c r="AL186" s="16">
        <f t="shared" si="147"/>
        <v>1948260293.5493152</v>
      </c>
      <c r="AM186" s="16">
        <f t="shared" si="147"/>
        <v>1956100698.3485963</v>
      </c>
      <c r="AN186" s="16">
        <f t="shared" si="147"/>
        <v>1966853612.9157557</v>
      </c>
      <c r="AO186" s="16">
        <f t="shared" si="147"/>
        <v>1966853612.9157557</v>
      </c>
      <c r="AP186" s="16">
        <f t="shared" si="147"/>
        <v>1892593560.5997562</v>
      </c>
      <c r="AQ186" s="16">
        <f t="shared" si="147"/>
        <v>1881159607.268497</v>
      </c>
      <c r="AR186" s="16">
        <f t="shared" si="147"/>
        <v>1881714000.1639388</v>
      </c>
      <c r="AS186" s="16">
        <f t="shared" si="147"/>
        <v>1874186866.9830921</v>
      </c>
      <c r="AT186" s="16">
        <f t="shared" si="147"/>
        <v>1869306892.4125519</v>
      </c>
      <c r="AU186" s="16">
        <f t="shared" si="147"/>
        <v>1868346842.3941565</v>
      </c>
      <c r="AV186" s="16">
        <f t="shared" si="147"/>
        <v>1877792882.9590151</v>
      </c>
      <c r="AW186" s="16">
        <f t="shared" si="147"/>
        <v>1884908737.1443255</v>
      </c>
      <c r="AX186" s="16">
        <f t="shared" si="147"/>
        <v>1884908737.1443255</v>
      </c>
      <c r="AY186" s="16">
        <f t="shared" si="147"/>
        <v>1883910871.017719</v>
      </c>
      <c r="AZ186" s="16">
        <f t="shared" si="147"/>
        <v>1892391112.5935342</v>
      </c>
      <c r="BA186" s="16">
        <f t="shared" si="147"/>
        <v>1937836599.9450831</v>
      </c>
      <c r="BB186" s="16">
        <f t="shared" si="147"/>
        <v>1937836599.9450831</v>
      </c>
      <c r="BC186" s="16">
        <f t="shared" si="147"/>
        <v>1868331280.2299886</v>
      </c>
      <c r="BD186" s="16">
        <f t="shared" si="147"/>
        <v>1865016493.4938681</v>
      </c>
      <c r="BE186" s="16">
        <f t="shared" si="147"/>
        <v>1863878647.7795069</v>
      </c>
      <c r="BF186" s="16">
        <f t="shared" si="147"/>
        <v>1863878647.7795069</v>
      </c>
      <c r="BG186" s="16">
        <f t="shared" si="147"/>
        <v>1863633126.16537</v>
      </c>
      <c r="BH186" s="16">
        <f t="shared" si="147"/>
        <v>1872842317.7193723</v>
      </c>
      <c r="BI186" s="16">
        <f t="shared" si="147"/>
        <v>1874042840.6063564</v>
      </c>
      <c r="BJ186" s="16">
        <f t="shared" si="147"/>
        <v>1874042840.6063566</v>
      </c>
      <c r="BK186" s="16">
        <f t="shared" si="147"/>
        <v>1878473756.497165</v>
      </c>
      <c r="BL186" s="16">
        <f t="shared" si="147"/>
        <v>1897821745.8166957</v>
      </c>
      <c r="BM186" s="16">
        <f t="shared" si="147"/>
        <v>1898964245.491231</v>
      </c>
      <c r="BN186" s="16">
        <f t="shared" si="147"/>
        <v>1902242693.8757756</v>
      </c>
      <c r="BO186" s="16">
        <f t="shared" ref="BO186:CT186" si="148">SUM(BO168:BO185)</f>
        <v>1902242693.8757756</v>
      </c>
      <c r="BP186" s="16">
        <f t="shared" si="148"/>
        <v>2081138045.1994882</v>
      </c>
      <c r="BQ186" s="16">
        <f t="shared" si="148"/>
        <v>2081138045.1994882</v>
      </c>
      <c r="BR186" s="16">
        <f t="shared" si="148"/>
        <v>2088162489.5124209</v>
      </c>
      <c r="BS186" s="16">
        <f t="shared" si="148"/>
        <v>2091982041.4425104</v>
      </c>
      <c r="BT186" s="16">
        <f t="shared" si="148"/>
        <v>2089055750.8678625</v>
      </c>
      <c r="BU186" s="16">
        <f t="shared" si="148"/>
        <v>2087970656.3723438</v>
      </c>
      <c r="BV186" s="16">
        <f t="shared" si="148"/>
        <v>2102948176.6555698</v>
      </c>
      <c r="BW186" s="16">
        <f t="shared" si="148"/>
        <v>2114950365.2719593</v>
      </c>
      <c r="BX186" s="16">
        <f t="shared" si="148"/>
        <v>2238265012.0816903</v>
      </c>
      <c r="BY186" s="16">
        <f t="shared" si="148"/>
        <v>2237587158.0053778</v>
      </c>
      <c r="BZ186" s="16">
        <f t="shared" si="148"/>
        <v>2240908438.1692705</v>
      </c>
      <c r="CA186" s="16">
        <f t="shared" si="148"/>
        <v>2276935732.6409736</v>
      </c>
      <c r="CB186" s="16">
        <f t="shared" si="148"/>
        <v>2276935732.6409736</v>
      </c>
      <c r="CC186" s="16">
        <f t="shared" si="148"/>
        <v>2116024023.1644909</v>
      </c>
      <c r="CD186" s="16">
        <f t="shared" si="148"/>
        <v>2116024023.1644909</v>
      </c>
      <c r="CE186" s="16">
        <f t="shared" si="148"/>
        <v>2126397786.7452443</v>
      </c>
      <c r="CF186" s="16">
        <f t="shared" si="148"/>
        <v>2461628393.6419249</v>
      </c>
      <c r="CG186" s="16">
        <f t="shared" si="148"/>
        <v>1922721483.8358822</v>
      </c>
      <c r="CH186" s="16">
        <f t="shared" si="148"/>
        <v>1919490601.924655</v>
      </c>
      <c r="CI186" s="16">
        <f t="shared" si="148"/>
        <v>1917983998.4916081</v>
      </c>
      <c r="CJ186" s="16">
        <f t="shared" si="148"/>
        <v>1917983998.4916081</v>
      </c>
      <c r="CK186" s="16">
        <f t="shared" si="148"/>
        <v>1936877424.3424098</v>
      </c>
      <c r="CL186" s="16">
        <f t="shared" si="148"/>
        <v>2304387206.2916827</v>
      </c>
      <c r="CM186" s="16">
        <f t="shared" si="148"/>
        <v>2302841983.5307727</v>
      </c>
      <c r="CN186" s="16">
        <f t="shared" si="148"/>
        <v>2262390550.3528533</v>
      </c>
      <c r="CO186" s="16">
        <f t="shared" si="148"/>
        <v>2262390550.3528533</v>
      </c>
      <c r="CP186" s="16">
        <f t="shared" si="148"/>
        <v>2272781685.3744774</v>
      </c>
      <c r="CQ186" s="16">
        <f t="shared" si="148"/>
        <v>2283555583.2863102</v>
      </c>
      <c r="CR186" s="16">
        <f t="shared" si="148"/>
        <v>2284174131.7781897</v>
      </c>
      <c r="CS186" s="16">
        <f t="shared" si="148"/>
        <v>2293731263.6853814</v>
      </c>
      <c r="CT186" s="16">
        <f t="shared" si="148"/>
        <v>2303705903.1494193</v>
      </c>
      <c r="CU186" s="16">
        <f t="shared" ref="CU186:DZ186" si="149">SUM(CU168:CU185)</f>
        <v>2303705903.1494193</v>
      </c>
      <c r="CV186" s="16">
        <f t="shared" si="149"/>
        <v>2303684404.7867742</v>
      </c>
      <c r="CW186" s="16">
        <f t="shared" si="149"/>
        <v>2303684404.7867742</v>
      </c>
      <c r="CX186" s="16">
        <f t="shared" si="149"/>
        <v>2324622453.7593961</v>
      </c>
      <c r="CY186" s="16">
        <f t="shared" si="149"/>
        <v>2328988430.1236649</v>
      </c>
      <c r="CZ186" s="16">
        <f t="shared" si="149"/>
        <v>2380966546.6941991</v>
      </c>
      <c r="DA186" s="16">
        <f t="shared" si="149"/>
        <v>2379680840.4180965</v>
      </c>
      <c r="DB186" s="16">
        <f t="shared" si="149"/>
        <v>2379680840.4180965</v>
      </c>
      <c r="DC186" s="16">
        <f t="shared" si="149"/>
        <v>2226797783.9314895</v>
      </c>
      <c r="DD186" s="16">
        <f t="shared" si="149"/>
        <v>2416202645.3494506</v>
      </c>
      <c r="DE186" s="16">
        <f t="shared" si="149"/>
        <v>2414062904.9725347</v>
      </c>
      <c r="DF186" s="16">
        <f t="shared" si="149"/>
        <v>2411236694.6145473</v>
      </c>
      <c r="DG186" s="16">
        <f t="shared" si="149"/>
        <v>2400761751.5002584</v>
      </c>
      <c r="DH186" s="16">
        <f t="shared" si="149"/>
        <v>2400761751.5002584</v>
      </c>
      <c r="DI186" s="16">
        <f t="shared" si="149"/>
        <v>2400572034.0592542</v>
      </c>
      <c r="DJ186" s="16">
        <f t="shared" si="149"/>
        <v>2400473687.6957116</v>
      </c>
      <c r="DK186" s="16">
        <f t="shared" si="149"/>
        <v>2439772894.5674329</v>
      </c>
      <c r="DL186" s="16">
        <f t="shared" si="149"/>
        <v>2417488958.4627113</v>
      </c>
      <c r="DM186" s="16">
        <f t="shared" si="149"/>
        <v>2420167970.7274985</v>
      </c>
      <c r="DN186" s="16">
        <f t="shared" si="149"/>
        <v>2489085867.5459323</v>
      </c>
      <c r="DO186" s="16">
        <f t="shared" si="149"/>
        <v>2489085867.5459323</v>
      </c>
      <c r="DP186" s="16">
        <f t="shared" si="149"/>
        <v>2560210929.8853922</v>
      </c>
      <c r="DQ186" s="16">
        <f t="shared" si="149"/>
        <v>2555909037.9815917</v>
      </c>
      <c r="DR186" s="16">
        <f t="shared" si="149"/>
        <v>2555909037.9815917</v>
      </c>
      <c r="DS186" s="16">
        <f t="shared" si="149"/>
        <v>2555909037.9815922</v>
      </c>
      <c r="DT186" s="16">
        <f t="shared" si="149"/>
        <v>2555909037.9815917</v>
      </c>
      <c r="DU186" s="16">
        <f t="shared" si="149"/>
        <v>2647833392.6454873</v>
      </c>
      <c r="DV186" s="16">
        <f t="shared" si="149"/>
        <v>2647833392.6454878</v>
      </c>
      <c r="DW186" s="16">
        <f t="shared" si="149"/>
        <v>2647833392.6454878</v>
      </c>
      <c r="DX186" s="16">
        <f t="shared" si="149"/>
        <v>2647833392.6454878</v>
      </c>
      <c r="DY186" s="16">
        <f t="shared" si="149"/>
        <v>2647833392.6454873</v>
      </c>
      <c r="DZ186" s="16">
        <f t="shared" si="149"/>
        <v>2703245879.8058205</v>
      </c>
      <c r="EA186" s="16">
        <f t="shared" ref="EA186:FF186" si="150">SUM(EA168:EA185)</f>
        <v>2718356089.0439439</v>
      </c>
      <c r="EB186" s="16">
        <f t="shared" si="150"/>
        <v>2718356089.0439439</v>
      </c>
      <c r="EC186" s="16">
        <f t="shared" si="150"/>
        <v>2823218570.7881079</v>
      </c>
      <c r="ED186" s="16">
        <f t="shared" si="150"/>
        <v>2823218570.7881079</v>
      </c>
      <c r="EE186" s="16">
        <f t="shared" si="150"/>
        <v>2830011775.5991278</v>
      </c>
      <c r="EF186" s="16">
        <f t="shared" si="150"/>
        <v>2830011775.5991278</v>
      </c>
      <c r="EG186" s="16">
        <f t="shared" si="150"/>
        <v>2830011775.5991273</v>
      </c>
      <c r="EH186" s="16">
        <f t="shared" si="150"/>
        <v>2830011775.5991273</v>
      </c>
      <c r="EI186" s="16">
        <f t="shared" si="150"/>
        <v>2839095008.7699285</v>
      </c>
      <c r="EJ186" s="16">
        <f t="shared" si="150"/>
        <v>2883153608.2620702</v>
      </c>
      <c r="EK186" s="16">
        <f t="shared" si="150"/>
        <v>2929890654.276083</v>
      </c>
      <c r="EL186" s="16">
        <f t="shared" si="150"/>
        <v>3001456012.2060204</v>
      </c>
      <c r="EM186" s="16">
        <f t="shared" si="150"/>
        <v>3047177215.3872366</v>
      </c>
      <c r="EN186" s="16">
        <f t="shared" si="150"/>
        <v>3013813776.4732046</v>
      </c>
      <c r="EO186" s="16">
        <f t="shared" si="150"/>
        <v>3013813776.4732046</v>
      </c>
      <c r="EP186" s="16">
        <f t="shared" si="150"/>
        <v>3213324447</v>
      </c>
      <c r="EQ186" s="16">
        <f t="shared" si="150"/>
        <v>3256706784</v>
      </c>
      <c r="ER186" s="16">
        <f t="shared" si="150"/>
        <v>3256706784</v>
      </c>
      <c r="ES186" s="16">
        <f t="shared" si="150"/>
        <v>3258022984</v>
      </c>
      <c r="ET186" s="16">
        <f t="shared" si="150"/>
        <v>3258022984</v>
      </c>
      <c r="EU186" s="16">
        <f t="shared" si="150"/>
        <v>3268606253</v>
      </c>
      <c r="EV186" s="16">
        <f t="shared" si="150"/>
        <v>3284070519</v>
      </c>
      <c r="EW186" s="16">
        <f t="shared" si="150"/>
        <v>3284070519</v>
      </c>
      <c r="EX186" s="16">
        <f t="shared" si="150"/>
        <v>3284070519</v>
      </c>
      <c r="EY186" s="16">
        <f t="shared" si="150"/>
        <v>3311310679</v>
      </c>
      <c r="EZ186" s="16">
        <f t="shared" si="150"/>
        <v>3311473650</v>
      </c>
      <c r="FA186" s="16">
        <f t="shared" si="150"/>
        <v>3265901057</v>
      </c>
      <c r="FB186" s="16">
        <f t="shared" si="150"/>
        <v>3265901057</v>
      </c>
      <c r="FC186" s="16">
        <f t="shared" si="150"/>
        <v>3742452377</v>
      </c>
      <c r="FD186" s="16">
        <f t="shared" si="150"/>
        <v>3682852377</v>
      </c>
      <c r="FE186" s="16">
        <f t="shared" si="150"/>
        <v>3682852377</v>
      </c>
      <c r="FF186" s="16">
        <f t="shared" si="150"/>
        <v>3682852377</v>
      </c>
      <c r="FG186" s="16">
        <f t="shared" ref="FG186:GL186" si="151">SUM(FG168:FG185)</f>
        <v>3682534203</v>
      </c>
      <c r="FH186" s="16">
        <f t="shared" si="151"/>
        <v>3682046793</v>
      </c>
      <c r="FI186" s="16">
        <f t="shared" si="151"/>
        <v>3682245915</v>
      </c>
      <c r="FJ186" s="16">
        <f t="shared" si="151"/>
        <v>0</v>
      </c>
      <c r="FK186" s="16">
        <f t="shared" si="151"/>
        <v>0</v>
      </c>
      <c r="FL186" s="16">
        <f t="shared" si="151"/>
        <v>0</v>
      </c>
      <c r="FM186" s="16">
        <f t="shared" si="151"/>
        <v>0</v>
      </c>
      <c r="FN186" s="16">
        <f t="shared" si="151"/>
        <v>0</v>
      </c>
      <c r="FO186" s="16">
        <f t="shared" si="151"/>
        <v>3682245915</v>
      </c>
    </row>
    <row r="187" spans="2:171" ht="14.25" customHeight="1" thickTop="1" x14ac:dyDescent="0.3">
      <c r="B187" s="4" t="s">
        <v>78</v>
      </c>
    </row>
    <row r="188" spans="2:171" ht="14.25" customHeight="1" x14ac:dyDescent="0.3">
      <c r="C188" s="33" t="s">
        <v>4</v>
      </c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3" t="s">
        <v>5</v>
      </c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3" t="s">
        <v>6</v>
      </c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3" t="s">
        <v>7</v>
      </c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3" t="s">
        <v>8</v>
      </c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3" t="s">
        <v>9</v>
      </c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3" t="s">
        <v>10</v>
      </c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3" t="s">
        <v>11</v>
      </c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3" t="s">
        <v>12</v>
      </c>
      <c r="DD188" s="34"/>
      <c r="DE188" s="34"/>
      <c r="DF188" s="34"/>
      <c r="DG188" s="34"/>
      <c r="DH188" s="34"/>
      <c r="DI188" s="34"/>
      <c r="DJ188" s="34"/>
      <c r="DK188" s="34"/>
      <c r="DL188" s="34"/>
      <c r="DM188" s="34"/>
      <c r="DN188" s="34"/>
      <c r="DO188" s="34"/>
      <c r="DP188" s="33" t="s">
        <v>13</v>
      </c>
      <c r="DQ188" s="34"/>
      <c r="DR188" s="34"/>
      <c r="DS188" s="34"/>
      <c r="DT188" s="34"/>
      <c r="DU188" s="34"/>
      <c r="DV188" s="34"/>
      <c r="DW188" s="34"/>
      <c r="DX188" s="34"/>
      <c r="DY188" s="34"/>
      <c r="DZ188" s="34"/>
      <c r="EA188" s="34"/>
      <c r="EB188" s="34"/>
      <c r="EC188" s="33" t="s">
        <v>14</v>
      </c>
      <c r="ED188" s="34"/>
      <c r="EE188" s="34"/>
      <c r="EF188" s="34"/>
      <c r="EG188" s="34"/>
      <c r="EH188" s="34"/>
      <c r="EI188" s="34"/>
      <c r="EJ188" s="34"/>
      <c r="EK188" s="34"/>
      <c r="EL188" s="34"/>
      <c r="EM188" s="34"/>
      <c r="EN188" s="34"/>
      <c r="EO188" s="34"/>
      <c r="EP188" s="33" t="s">
        <v>15</v>
      </c>
      <c r="EQ188" s="34"/>
      <c r="ER188" s="34"/>
      <c r="ES188" s="34"/>
      <c r="ET188" s="34"/>
      <c r="EU188" s="34"/>
      <c r="EV188" s="34"/>
      <c r="EW188" s="34"/>
      <c r="EX188" s="34"/>
      <c r="EY188" s="34"/>
      <c r="EZ188" s="34"/>
      <c r="FA188" s="34"/>
      <c r="FB188" s="34"/>
      <c r="FC188" s="33" t="s">
        <v>16</v>
      </c>
      <c r="FD188" s="34"/>
      <c r="FE188" s="34"/>
      <c r="FF188" s="34"/>
      <c r="FG188" s="34"/>
      <c r="FH188" s="34"/>
      <c r="FI188" s="34"/>
      <c r="FJ188" s="34"/>
      <c r="FK188" s="34"/>
      <c r="FL188" s="34"/>
      <c r="FM188" s="34"/>
      <c r="FN188" s="34"/>
      <c r="FO188" s="34"/>
    </row>
    <row r="189" spans="2:171" ht="14.25" customHeight="1" x14ac:dyDescent="0.3">
      <c r="B189" s="5" t="s">
        <v>17</v>
      </c>
      <c r="C189" s="6" t="s">
        <v>18</v>
      </c>
      <c r="D189" s="6" t="s">
        <v>19</v>
      </c>
      <c r="E189" s="6" t="s">
        <v>20</v>
      </c>
      <c r="F189" s="6" t="s">
        <v>21</v>
      </c>
      <c r="G189" s="6" t="s">
        <v>22</v>
      </c>
      <c r="H189" s="6" t="s">
        <v>23</v>
      </c>
      <c r="I189" s="6" t="s">
        <v>24</v>
      </c>
      <c r="J189" s="6" t="s">
        <v>25</v>
      </c>
      <c r="K189" s="6" t="s">
        <v>26</v>
      </c>
      <c r="L189" s="6" t="s">
        <v>27</v>
      </c>
      <c r="M189" s="6" t="s">
        <v>28</v>
      </c>
      <c r="N189" s="6" t="s">
        <v>29</v>
      </c>
      <c r="O189" s="6" t="s">
        <v>30</v>
      </c>
      <c r="P189" s="6" t="s">
        <v>18</v>
      </c>
      <c r="Q189" s="6" t="s">
        <v>19</v>
      </c>
      <c r="R189" s="6" t="s">
        <v>20</v>
      </c>
      <c r="S189" s="6" t="s">
        <v>21</v>
      </c>
      <c r="T189" s="6" t="s">
        <v>22</v>
      </c>
      <c r="U189" s="6" t="s">
        <v>23</v>
      </c>
      <c r="V189" s="6" t="s">
        <v>24</v>
      </c>
      <c r="W189" s="6" t="s">
        <v>25</v>
      </c>
      <c r="X189" s="6" t="s">
        <v>26</v>
      </c>
      <c r="Y189" s="6" t="s">
        <v>27</v>
      </c>
      <c r="Z189" s="6" t="s">
        <v>28</v>
      </c>
      <c r="AA189" s="6" t="s">
        <v>29</v>
      </c>
      <c r="AB189" s="6" t="s">
        <v>31</v>
      </c>
      <c r="AC189" s="6" t="s">
        <v>18</v>
      </c>
      <c r="AD189" s="6" t="s">
        <v>19</v>
      </c>
      <c r="AE189" s="6" t="s">
        <v>20</v>
      </c>
      <c r="AF189" s="6" t="s">
        <v>21</v>
      </c>
      <c r="AG189" s="6" t="s">
        <v>22</v>
      </c>
      <c r="AH189" s="6" t="s">
        <v>23</v>
      </c>
      <c r="AI189" s="6" t="s">
        <v>24</v>
      </c>
      <c r="AJ189" s="6" t="s">
        <v>25</v>
      </c>
      <c r="AK189" s="6" t="s">
        <v>26</v>
      </c>
      <c r="AL189" s="6" t="s">
        <v>27</v>
      </c>
      <c r="AM189" s="6" t="s">
        <v>28</v>
      </c>
      <c r="AN189" s="6" t="s">
        <v>29</v>
      </c>
      <c r="AO189" s="6" t="s">
        <v>32</v>
      </c>
      <c r="AP189" s="6" t="s">
        <v>18</v>
      </c>
      <c r="AQ189" s="6" t="s">
        <v>19</v>
      </c>
      <c r="AR189" s="6" t="s">
        <v>20</v>
      </c>
      <c r="AS189" s="6" t="s">
        <v>21</v>
      </c>
      <c r="AT189" s="6" t="s">
        <v>22</v>
      </c>
      <c r="AU189" s="6" t="s">
        <v>23</v>
      </c>
      <c r="AV189" s="6" t="s">
        <v>24</v>
      </c>
      <c r="AW189" s="6" t="s">
        <v>25</v>
      </c>
      <c r="AX189" s="6" t="s">
        <v>26</v>
      </c>
      <c r="AY189" s="6" t="s">
        <v>27</v>
      </c>
      <c r="AZ189" s="6" t="s">
        <v>28</v>
      </c>
      <c r="BA189" s="6" t="s">
        <v>29</v>
      </c>
      <c r="BB189" s="6" t="s">
        <v>33</v>
      </c>
      <c r="BC189" s="6" t="s">
        <v>18</v>
      </c>
      <c r="BD189" s="6" t="s">
        <v>19</v>
      </c>
      <c r="BE189" s="6" t="s">
        <v>20</v>
      </c>
      <c r="BF189" s="6" t="s">
        <v>21</v>
      </c>
      <c r="BG189" s="6" t="s">
        <v>22</v>
      </c>
      <c r="BH189" s="6" t="s">
        <v>23</v>
      </c>
      <c r="BI189" s="6" t="s">
        <v>24</v>
      </c>
      <c r="BJ189" s="6" t="s">
        <v>25</v>
      </c>
      <c r="BK189" s="6" t="s">
        <v>26</v>
      </c>
      <c r="BL189" s="6" t="s">
        <v>27</v>
      </c>
      <c r="BM189" s="6" t="s">
        <v>28</v>
      </c>
      <c r="BN189" s="6" t="s">
        <v>29</v>
      </c>
      <c r="BO189" s="6" t="s">
        <v>34</v>
      </c>
      <c r="BP189" s="6" t="s">
        <v>18</v>
      </c>
      <c r="BQ189" s="6" t="s">
        <v>19</v>
      </c>
      <c r="BR189" s="6" t="s">
        <v>20</v>
      </c>
      <c r="BS189" s="6" t="s">
        <v>21</v>
      </c>
      <c r="BT189" s="6" t="s">
        <v>22</v>
      </c>
      <c r="BU189" s="6" t="s">
        <v>23</v>
      </c>
      <c r="BV189" s="6" t="s">
        <v>24</v>
      </c>
      <c r="BW189" s="6" t="s">
        <v>25</v>
      </c>
      <c r="BX189" s="6" t="s">
        <v>26</v>
      </c>
      <c r="BY189" s="6" t="s">
        <v>27</v>
      </c>
      <c r="BZ189" s="6" t="s">
        <v>28</v>
      </c>
      <c r="CA189" s="6" t="s">
        <v>29</v>
      </c>
      <c r="CB189" s="6" t="s">
        <v>35</v>
      </c>
      <c r="CC189" s="6" t="s">
        <v>18</v>
      </c>
      <c r="CD189" s="6" t="s">
        <v>19</v>
      </c>
      <c r="CE189" s="6" t="s">
        <v>20</v>
      </c>
      <c r="CF189" s="6" t="s">
        <v>21</v>
      </c>
      <c r="CG189" s="6" t="s">
        <v>22</v>
      </c>
      <c r="CH189" s="6" t="s">
        <v>23</v>
      </c>
      <c r="CI189" s="6" t="s">
        <v>24</v>
      </c>
      <c r="CJ189" s="6" t="s">
        <v>25</v>
      </c>
      <c r="CK189" s="6" t="s">
        <v>26</v>
      </c>
      <c r="CL189" s="6" t="s">
        <v>27</v>
      </c>
      <c r="CM189" s="6" t="s">
        <v>28</v>
      </c>
      <c r="CN189" s="6" t="s">
        <v>29</v>
      </c>
      <c r="CO189" s="6" t="s">
        <v>36</v>
      </c>
      <c r="CP189" s="6" t="s">
        <v>18</v>
      </c>
      <c r="CQ189" s="6" t="s">
        <v>19</v>
      </c>
      <c r="CR189" s="6" t="s">
        <v>20</v>
      </c>
      <c r="CS189" s="6" t="s">
        <v>21</v>
      </c>
      <c r="CT189" s="6" t="s">
        <v>22</v>
      </c>
      <c r="CU189" s="6" t="s">
        <v>23</v>
      </c>
      <c r="CV189" s="6" t="s">
        <v>24</v>
      </c>
      <c r="CW189" s="6" t="s">
        <v>25</v>
      </c>
      <c r="CX189" s="6" t="s">
        <v>26</v>
      </c>
      <c r="CY189" s="6" t="s">
        <v>27</v>
      </c>
      <c r="CZ189" s="6" t="s">
        <v>28</v>
      </c>
      <c r="DA189" s="6" t="s">
        <v>29</v>
      </c>
      <c r="DB189" s="6" t="s">
        <v>37</v>
      </c>
      <c r="DC189" s="6" t="s">
        <v>18</v>
      </c>
      <c r="DD189" s="6" t="s">
        <v>19</v>
      </c>
      <c r="DE189" s="6" t="s">
        <v>20</v>
      </c>
      <c r="DF189" s="6" t="s">
        <v>21</v>
      </c>
      <c r="DG189" s="6" t="s">
        <v>22</v>
      </c>
      <c r="DH189" s="6" t="s">
        <v>23</v>
      </c>
      <c r="DI189" s="6" t="s">
        <v>24</v>
      </c>
      <c r="DJ189" s="6" t="s">
        <v>25</v>
      </c>
      <c r="DK189" s="6" t="s">
        <v>26</v>
      </c>
      <c r="DL189" s="6" t="s">
        <v>27</v>
      </c>
      <c r="DM189" s="6" t="s">
        <v>28</v>
      </c>
      <c r="DN189" s="6" t="s">
        <v>29</v>
      </c>
      <c r="DO189" s="6" t="s">
        <v>38</v>
      </c>
      <c r="DP189" s="6" t="s">
        <v>18</v>
      </c>
      <c r="DQ189" s="6" t="s">
        <v>19</v>
      </c>
      <c r="DR189" s="6" t="s">
        <v>20</v>
      </c>
      <c r="DS189" s="6" t="s">
        <v>21</v>
      </c>
      <c r="DT189" s="6" t="s">
        <v>22</v>
      </c>
      <c r="DU189" s="6" t="s">
        <v>23</v>
      </c>
      <c r="DV189" s="6" t="s">
        <v>24</v>
      </c>
      <c r="DW189" s="6" t="s">
        <v>25</v>
      </c>
      <c r="DX189" s="6" t="s">
        <v>26</v>
      </c>
      <c r="DY189" s="6" t="s">
        <v>27</v>
      </c>
      <c r="DZ189" s="6" t="s">
        <v>28</v>
      </c>
      <c r="EA189" s="6" t="s">
        <v>29</v>
      </c>
      <c r="EB189" s="6" t="s">
        <v>39</v>
      </c>
      <c r="EC189" s="6" t="s">
        <v>18</v>
      </c>
      <c r="ED189" s="6" t="s">
        <v>19</v>
      </c>
      <c r="EE189" s="6" t="s">
        <v>20</v>
      </c>
      <c r="EF189" s="6" t="s">
        <v>21</v>
      </c>
      <c r="EG189" s="6" t="s">
        <v>22</v>
      </c>
      <c r="EH189" s="6" t="s">
        <v>23</v>
      </c>
      <c r="EI189" s="6" t="s">
        <v>24</v>
      </c>
      <c r="EJ189" s="6" t="s">
        <v>25</v>
      </c>
      <c r="EK189" s="6" t="s">
        <v>26</v>
      </c>
      <c r="EL189" s="6" t="s">
        <v>27</v>
      </c>
      <c r="EM189" s="6" t="s">
        <v>28</v>
      </c>
      <c r="EN189" s="6" t="s">
        <v>29</v>
      </c>
      <c r="EO189" s="6" t="s">
        <v>40</v>
      </c>
      <c r="EP189" s="6" t="s">
        <v>18</v>
      </c>
      <c r="EQ189" s="6" t="s">
        <v>19</v>
      </c>
      <c r="ER189" s="6" t="s">
        <v>20</v>
      </c>
      <c r="ES189" s="6" t="s">
        <v>21</v>
      </c>
      <c r="ET189" s="6" t="s">
        <v>22</v>
      </c>
      <c r="EU189" s="6" t="s">
        <v>23</v>
      </c>
      <c r="EV189" s="6" t="s">
        <v>24</v>
      </c>
      <c r="EW189" s="6" t="s">
        <v>25</v>
      </c>
      <c r="EX189" s="6" t="s">
        <v>26</v>
      </c>
      <c r="EY189" s="6" t="s">
        <v>27</v>
      </c>
      <c r="EZ189" s="6" t="s">
        <v>28</v>
      </c>
      <c r="FA189" s="6" t="s">
        <v>29</v>
      </c>
      <c r="FB189" s="6" t="s">
        <v>41</v>
      </c>
      <c r="FC189" s="6" t="s">
        <v>18</v>
      </c>
      <c r="FD189" s="6" t="s">
        <v>19</v>
      </c>
      <c r="FE189" s="6" t="s">
        <v>20</v>
      </c>
      <c r="FF189" s="6" t="s">
        <v>21</v>
      </c>
      <c r="FG189" s="6" t="s">
        <v>22</v>
      </c>
      <c r="FH189" s="6" t="s">
        <v>23</v>
      </c>
      <c r="FI189" s="6" t="s">
        <v>24</v>
      </c>
      <c r="FJ189" s="6" t="s">
        <v>25</v>
      </c>
      <c r="FK189" s="6" t="s">
        <v>26</v>
      </c>
      <c r="FL189" s="6" t="s">
        <v>27</v>
      </c>
      <c r="FM189" s="6" t="s">
        <v>28</v>
      </c>
      <c r="FN189" s="6" t="s">
        <v>29</v>
      </c>
      <c r="FO189" s="6" t="s">
        <v>42</v>
      </c>
    </row>
    <row r="190" spans="2:171" ht="14.25" customHeight="1" x14ac:dyDescent="0.3">
      <c r="B190" s="7" t="s">
        <v>43</v>
      </c>
      <c r="C190" s="8">
        <f>+MINVU_Mes_Corriente!C190*MINVU_Mes_Constante!$C$1</f>
        <v>9497557.1531959083</v>
      </c>
      <c r="D190" s="8">
        <f>+MINVU_Mes_Corriente!D190*MINVU_Mes_Constante!$C$1</f>
        <v>13747194.309654459</v>
      </c>
      <c r="E190" s="8">
        <f>+MINVU_Mes_Corriente!E190*MINVU_Mes_Constante!$C$1</f>
        <v>21488261.258786894</v>
      </c>
      <c r="F190" s="8">
        <f>+MINVU_Mes_Corriente!F190*MINVU_Mes_Constante!$C$1</f>
        <v>29909932.291561626</v>
      </c>
      <c r="G190" s="8">
        <f>+MINVU_Mes_Corriente!G190*MINVU_Mes_Constante!$C$1</f>
        <v>39522508.158089876</v>
      </c>
      <c r="H190" s="8">
        <f>+MINVU_Mes_Corriente!H190*MINVU_Mes_Constante!$C$1</f>
        <v>47355027.493400574</v>
      </c>
      <c r="I190" s="8">
        <f>+MINVU_Mes_Corriente!I190*MINVU_Mes_Constante!$C$1</f>
        <v>53625224.42918583</v>
      </c>
      <c r="J190" s="8">
        <f>+MINVU_Mes_Corriente!J190*MINVU_Mes_Constante!$C$1</f>
        <v>63899396.088387966</v>
      </c>
      <c r="K190" s="8">
        <f>+MINVU_Mes_Corriente!K190*MINVU_Mes_Constante!$C$1</f>
        <v>75294439.562509283</v>
      </c>
      <c r="L190" s="8">
        <f>+MINVU_Mes_Corriente!L190*MINVU_Mes_Constante!$C$1</f>
        <v>83736554.513717949</v>
      </c>
      <c r="M190" s="8">
        <f>+MINVU_Mes_Corriente!M190*MINVU_Mes_Constante!$C$1</f>
        <v>95409451.855257317</v>
      </c>
      <c r="N190" s="8">
        <f>+MINVU_Mes_Corriente!N190*MINVU_Mes_Constante!$C$1</f>
        <v>110401064.57956401</v>
      </c>
      <c r="O190" s="9">
        <f t="shared" ref="O190:O207" si="152">N190</f>
        <v>110401064.57956401</v>
      </c>
      <c r="P190" s="8">
        <f>+MINVU_Mes_Corriente!P190*MINVU_Mes_Constante!$P$1</f>
        <v>10578238.411990335</v>
      </c>
      <c r="Q190" s="8">
        <f>+MINVU_Mes_Corriente!Q190*MINVU_Mes_Constante!$P$1</f>
        <v>20613644.459156122</v>
      </c>
      <c r="R190" s="8">
        <f>+MINVU_Mes_Corriente!R190*MINVU_Mes_Constante!$P$1</f>
        <v>27116329.650234398</v>
      </c>
      <c r="S190" s="8">
        <f>+MINVU_Mes_Corriente!S190*MINVU_Mes_Constante!$P$1</f>
        <v>30985457.684614278</v>
      </c>
      <c r="T190" s="8">
        <f>+MINVU_Mes_Corriente!T190*MINVU_Mes_Constante!$P$1</f>
        <v>45973138.812615409</v>
      </c>
      <c r="U190" s="8">
        <f>+MINVU_Mes_Corriente!U190*MINVU_Mes_Constante!$P$1</f>
        <v>54735769.081687719</v>
      </c>
      <c r="V190" s="8">
        <f>+MINVU_Mes_Corriente!V190*MINVU_Mes_Constante!$P$1</f>
        <v>64790416.313112631</v>
      </c>
      <c r="W190" s="8">
        <f>+MINVU_Mes_Corriente!W190*MINVU_Mes_Constante!$P$1</f>
        <v>76878640.653217763</v>
      </c>
      <c r="X190" s="8">
        <f>+MINVU_Mes_Corriente!X190*MINVU_Mes_Constante!$P$1</f>
        <v>85415169.932944983</v>
      </c>
      <c r="Y190" s="8">
        <f>+MINVU_Mes_Corriente!Y190*MINVU_Mes_Constante!$P$1</f>
        <v>98621034.510583848</v>
      </c>
      <c r="Z190" s="8">
        <f>+MINVU_Mes_Corriente!Z190*MINVU_Mes_Constante!$P$1</f>
        <v>112579104.28469948</v>
      </c>
      <c r="AA190" s="8">
        <f>+MINVU_Mes_Corriente!AA190*MINVU_Mes_Constante!$P$1</f>
        <v>137188454.77539417</v>
      </c>
      <c r="AB190" s="9">
        <f t="shared" ref="AB190:AB207" si="153">AA190</f>
        <v>137188454.77539417</v>
      </c>
      <c r="AC190" s="8">
        <f>+MINVU_Mes_Corriente!AC190*MINVU_Mes_Constante!$AC$1</f>
        <v>8591381.773412643</v>
      </c>
      <c r="AD190" s="8">
        <f>+MINVU_Mes_Corriente!AD190*MINVU_Mes_Constante!$AC$1</f>
        <v>20525002.613086179</v>
      </c>
      <c r="AE190" s="8">
        <f>+MINVU_Mes_Corriente!AE190*MINVU_Mes_Constante!$AC$1</f>
        <v>31271236.737584729</v>
      </c>
      <c r="AF190" s="8">
        <f>+MINVU_Mes_Corriente!AF190*MINVU_Mes_Constante!$AC$1</f>
        <v>44930745.404620282</v>
      </c>
      <c r="AG190" s="8">
        <f>+MINVU_Mes_Corriente!AG190*MINVU_Mes_Constante!$AC$1</f>
        <v>57268262.482501037</v>
      </c>
      <c r="AH190" s="8">
        <f>+MINVU_Mes_Corriente!AH190*MINVU_Mes_Constante!$AC$1</f>
        <v>68415104.011896521</v>
      </c>
      <c r="AI190" s="8">
        <f>+MINVU_Mes_Corriente!AI190*MINVU_Mes_Constante!$AC$1</f>
        <v>89886722.327292845</v>
      </c>
      <c r="AJ190" s="8">
        <f>+MINVU_Mes_Corriente!AJ190*MINVU_Mes_Constante!$AC$1</f>
        <v>104253156.34361599</v>
      </c>
      <c r="AK190" s="8">
        <f>+MINVU_Mes_Corriente!AK190*MINVU_Mes_Constante!$AC$1</f>
        <v>111560390.78212754</v>
      </c>
      <c r="AL190" s="8">
        <f>+MINVU_Mes_Corriente!AL190*MINVU_Mes_Constante!$AC$1</f>
        <v>121904548.40890856</v>
      </c>
      <c r="AM190" s="8">
        <f>+MINVU_Mes_Corriente!AM190*MINVU_Mes_Constante!$AC$1</f>
        <v>145997292.81339052</v>
      </c>
      <c r="AN190" s="8">
        <f>+MINVU_Mes_Corriente!AN190*MINVU_Mes_Constante!$AC$1</f>
        <v>167666693.03970119</v>
      </c>
      <c r="AO190" s="9">
        <f t="shared" ref="AO190:AO207" si="154">AN190</f>
        <v>167666693.03970119</v>
      </c>
      <c r="AP190" s="8">
        <f>+MINVU_Mes_Corriente!AP190*MINVU_Mes_Constante!$AP$1</f>
        <v>15343309.531448666</v>
      </c>
      <c r="AQ190" s="8">
        <f>+MINVU_Mes_Corriente!AQ190*MINVU_Mes_Constante!$AP$1</f>
        <v>27430076.953334235</v>
      </c>
      <c r="AR190" s="8">
        <f>+MINVU_Mes_Corriente!AR190*MINVU_Mes_Constante!$AP$1</f>
        <v>40073344.733937509</v>
      </c>
      <c r="AS190" s="8">
        <f>+MINVU_Mes_Corriente!AS190*MINVU_Mes_Constante!$AP$1</f>
        <v>48936571.206817254</v>
      </c>
      <c r="AT190" s="8">
        <f>+MINVU_Mes_Corriente!AT190*MINVU_Mes_Constante!$AP$1</f>
        <v>61453101.525497086</v>
      </c>
      <c r="AU190" s="8">
        <f>+MINVU_Mes_Corriente!AU190*MINVU_Mes_Constante!$AP$1</f>
        <v>71816949.736507505</v>
      </c>
      <c r="AV190" s="8">
        <f>+MINVU_Mes_Corriente!AV190*MINVU_Mes_Constante!$AP$1</f>
        <v>84229302.499932364</v>
      </c>
      <c r="AW190" s="8">
        <f>+MINVU_Mes_Corriente!AW190*MINVU_Mes_Constante!$AP$1</f>
        <v>100700025.07831731</v>
      </c>
      <c r="AX190" s="8">
        <f>+MINVU_Mes_Corriente!AX190*MINVU_Mes_Constante!$AP$1</f>
        <v>112309796.41525766</v>
      </c>
      <c r="AY190" s="8">
        <f>+MINVU_Mes_Corriente!AY190*MINVU_Mes_Constante!$AP$1</f>
        <v>122842590.46909238</v>
      </c>
      <c r="AZ190" s="8">
        <f>+MINVU_Mes_Corriente!AZ190*MINVU_Mes_Constante!$AP$1</f>
        <v>133588075.74651697</v>
      </c>
      <c r="BA190" s="8">
        <f>+MINVU_Mes_Corriente!BA190*MINVU_Mes_Constante!$AP$1</f>
        <v>149231658.8919248</v>
      </c>
      <c r="BB190" s="9">
        <f t="shared" ref="BB190:BB207" si="155">BA190</f>
        <v>149231658.8919248</v>
      </c>
      <c r="BC190" s="8">
        <f>+MINVU_Mes_Corriente!BC190*MINVU_Mes_Constante!$BC$1</f>
        <v>5657319.4070948185</v>
      </c>
      <c r="BD190" s="8">
        <f>+MINVU_Mes_Corriente!BD190*MINVU_Mes_Constante!$BC$1</f>
        <v>21699595.051562712</v>
      </c>
      <c r="BE190" s="8">
        <f>+MINVU_Mes_Corriente!BE190*MINVU_Mes_Constante!$BC$1</f>
        <v>43336080.674139537</v>
      </c>
      <c r="BF190" s="8">
        <f>+MINVU_Mes_Corriente!BF190*MINVU_Mes_Constante!$BC$1</f>
        <v>54103887.81300278</v>
      </c>
      <c r="BG190" s="8">
        <f>+MINVU_Mes_Corriente!BG190*MINVU_Mes_Constante!$BC$1</f>
        <v>71301241.79216671</v>
      </c>
      <c r="BH190" s="8">
        <f>+MINVU_Mes_Corriente!BH190*MINVU_Mes_Constante!$BC$1</f>
        <v>82230475.069761336</v>
      </c>
      <c r="BI190" s="8">
        <f>+MINVU_Mes_Corriente!BI190*MINVU_Mes_Constante!$BC$1</f>
        <v>95623268.477383643</v>
      </c>
      <c r="BJ190" s="8">
        <f>+MINVU_Mes_Corriente!BJ190*MINVU_Mes_Constante!$BC$1</f>
        <v>113765647.25253861</v>
      </c>
      <c r="BK190" s="8">
        <f>+MINVU_Mes_Corriente!BK190*MINVU_Mes_Constante!$BC$1</f>
        <v>123110750.2930239</v>
      </c>
      <c r="BL190" s="8">
        <f>+MINVU_Mes_Corriente!BL190*MINVU_Mes_Constante!$BC$1</f>
        <v>137687551.51285774</v>
      </c>
      <c r="BM190" s="8">
        <f>+MINVU_Mes_Corriente!BM190*MINVU_Mes_Constante!$BC$1</f>
        <v>152811291.03125417</v>
      </c>
      <c r="BN190" s="8">
        <f>+MINVU_Mes_Corriente!BN190*MINVU_Mes_Constante!$BC$1</f>
        <v>163175925.45615196</v>
      </c>
      <c r="BO190" s="9">
        <f t="shared" ref="BO190:BO207" si="156">BN190</f>
        <v>163175925.45615196</v>
      </c>
      <c r="BP190" s="8">
        <f>+MINVU_Mes_Corriente!BP190*MINVU_Mes_Constante!$BP$1</f>
        <v>17643795.840460949</v>
      </c>
      <c r="BQ190" s="8">
        <f>+MINVU_Mes_Corriente!BQ190*MINVU_Mes_Constante!$BP$1</f>
        <v>33382729.617925741</v>
      </c>
      <c r="BR190" s="8">
        <f>+MINVU_Mes_Corriente!BR190*MINVU_Mes_Constante!$BP$1</f>
        <v>44134793.573623568</v>
      </c>
      <c r="BS190" s="8">
        <f>+MINVU_Mes_Corriente!BS190*MINVU_Mes_Constante!$BP$1</f>
        <v>60887366.366197191</v>
      </c>
      <c r="BT190" s="8">
        <f>+MINVU_Mes_Corriente!BT190*MINVU_Mes_Constante!$BP$1</f>
        <v>77634157.192317545</v>
      </c>
      <c r="BU190" s="8">
        <f>+MINVU_Mes_Corriente!BU190*MINVU_Mes_Constante!$BP$1</f>
        <v>87246954.117541626</v>
      </c>
      <c r="BV190" s="8">
        <f>+MINVU_Mes_Corriente!BV190*MINVU_Mes_Constante!$BP$1</f>
        <v>97817692.639436632</v>
      </c>
      <c r="BW190" s="8">
        <f>+MINVU_Mes_Corriente!BW190*MINVU_Mes_Constante!$BP$1</f>
        <v>113203224.1774648</v>
      </c>
      <c r="BX190" s="8">
        <f>+MINVU_Mes_Corriente!BX190*MINVU_Mes_Constante!$BP$1</f>
        <v>127132437.42944944</v>
      </c>
      <c r="BY190" s="8">
        <f>+MINVU_Mes_Corriente!BY190*MINVU_Mes_Constante!$BP$1</f>
        <v>141004400.40000001</v>
      </c>
      <c r="BZ190" s="8">
        <f>+MINVU_Mes_Corriente!BZ190*MINVU_Mes_Constante!$BP$1</f>
        <v>154363633.19078106</v>
      </c>
      <c r="CA190" s="8">
        <f>+MINVU_Mes_Corriente!CA190*MINVU_Mes_Constante!$BP$1</f>
        <v>186022354.72471192</v>
      </c>
      <c r="CB190" s="9">
        <f t="shared" ref="CB190:CB207" si="157">CA190</f>
        <v>186022354.72471192</v>
      </c>
      <c r="CC190" s="8">
        <f>+MINVU_Mes_Corriente!CC190*MINVU_Mes_Constante!$CC$1</f>
        <v>5059766.3453935105</v>
      </c>
      <c r="CD190" s="8">
        <f>+MINVU_Mes_Corriente!CD190*MINVU_Mes_Constante!$CC$1</f>
        <v>16741587.983588215</v>
      </c>
      <c r="CE190" s="8">
        <f>+MINVU_Mes_Corriente!CE190*MINVU_Mes_Constante!$CC$1</f>
        <v>38789612.079074979</v>
      </c>
      <c r="CF190" s="8">
        <f>+MINVU_Mes_Corriente!CF190*MINVU_Mes_Constante!$CC$1</f>
        <v>55075454.229019031</v>
      </c>
      <c r="CG190" s="8">
        <f>+MINVU_Mes_Corriente!CG190*MINVU_Mes_Constante!$CC$1</f>
        <v>77776681.416635588</v>
      </c>
      <c r="CH190" s="8">
        <f>+MINVU_Mes_Corriente!CH190*MINVU_Mes_Constante!$CC$1</f>
        <v>92120540.157403961</v>
      </c>
      <c r="CI190" s="8">
        <f>+MINVU_Mes_Corriente!CI190*MINVU_Mes_Constante!$CC$1</f>
        <v>107395420.97724731</v>
      </c>
      <c r="CJ190" s="8">
        <f>+MINVU_Mes_Corriente!CJ190*MINVU_Mes_Constante!$CC$1</f>
        <v>129090391.14136517</v>
      </c>
      <c r="CK190" s="8">
        <f>+MINVU_Mes_Corriente!CK190*MINVU_Mes_Constante!$CC$1</f>
        <v>153517055.56359568</v>
      </c>
      <c r="CL190" s="8">
        <f>+MINVU_Mes_Corriente!CL190*MINVU_Mes_Constante!$CC$1</f>
        <v>182751165.41961956</v>
      </c>
      <c r="CM190" s="8">
        <f>+MINVU_Mes_Corriente!CM190*MINVU_Mes_Constante!$CC$1</f>
        <v>216690655.05184636</v>
      </c>
      <c r="CN190" s="8">
        <f>+MINVU_Mes_Corriente!CN190*MINVU_Mes_Constante!$CC$1</f>
        <v>244558596.50578144</v>
      </c>
      <c r="CO190" s="9">
        <f t="shared" ref="CO190:CO207" si="158">CN190</f>
        <v>244558596.50578144</v>
      </c>
      <c r="CP190" s="8">
        <f>+MINVU_Mes_Corriente!CP190*MINVU_Mes_Constante!$CP$1</f>
        <v>13910973.059860786</v>
      </c>
      <c r="CQ190" s="8">
        <f>+MINVU_Mes_Corriente!CQ190*MINVU_Mes_Constante!$CP$1</f>
        <v>30551201.346403707</v>
      </c>
      <c r="CR190" s="8">
        <f>+MINVU_Mes_Corriente!CR190*MINVU_Mes_Constante!$CP$1</f>
        <v>42786690.051508114</v>
      </c>
      <c r="CS190" s="8">
        <f>+MINVU_Mes_Corriente!CS190*MINVU_Mes_Constante!$CP$1</f>
        <v>62970609.265893258</v>
      </c>
      <c r="CT190" s="8">
        <f>+MINVU_Mes_Corriente!CT190*MINVU_Mes_Constante!$CP$1</f>
        <v>93108373.053828284</v>
      </c>
      <c r="CU190" s="8">
        <f>+MINVU_Mes_Corriente!CU190*MINVU_Mes_Constante!$CP$1</f>
        <v>120675842.23990718</v>
      </c>
      <c r="CV190" s="8">
        <f>+MINVU_Mes_Corriente!CV190*MINVU_Mes_Constante!$CP$1</f>
        <v>146466414.2714617</v>
      </c>
      <c r="CW190" s="8">
        <f>+MINVU_Mes_Corriente!CW190*MINVU_Mes_Constante!$CP$1</f>
        <v>178668313.66983756</v>
      </c>
      <c r="CX190" s="8">
        <f>+MINVU_Mes_Corriente!CX190*MINVU_Mes_Constante!$CP$1</f>
        <v>203722487.24408349</v>
      </c>
      <c r="CY190" s="8">
        <f>+MINVU_Mes_Corriente!CY190*MINVU_Mes_Constante!$CP$1</f>
        <v>221611056.66125286</v>
      </c>
      <c r="CZ190" s="8">
        <f>+MINVU_Mes_Corriente!CZ190*MINVU_Mes_Constante!$CP$1</f>
        <v>245481423.48584682</v>
      </c>
      <c r="DA190" s="8">
        <f>+MINVU_Mes_Corriente!DA190*MINVU_Mes_Constante!$CP$1</f>
        <v>279160850.17378187</v>
      </c>
      <c r="DB190" s="9">
        <f t="shared" ref="DB190:DB207" si="159">DA190</f>
        <v>279160850.17378187</v>
      </c>
      <c r="DC190" s="8">
        <f>+MINVU_Mes_Corriente!DC190*MINVU_Mes_Constante!$DC$1</f>
        <v>5934055.4782429822</v>
      </c>
      <c r="DD190" s="8">
        <f>+MINVU_Mes_Corriente!DD190*MINVU_Mes_Constante!$DC$1</f>
        <v>24734944.40818847</v>
      </c>
      <c r="DE190" s="8">
        <f>+MINVU_Mes_Corriente!DE190*MINVU_Mes_Constante!$DC$1</f>
        <v>38829370.888385989</v>
      </c>
      <c r="DF190" s="8">
        <f>+MINVU_Mes_Corriente!DF190*MINVU_Mes_Constante!$DC$1</f>
        <v>56693417.979014531</v>
      </c>
      <c r="DG190" s="8">
        <f>+MINVU_Mes_Corriente!DG190*MINVU_Mes_Constante!$DC$1</f>
        <v>74010057.970579192</v>
      </c>
      <c r="DH190" s="8">
        <f>+MINVU_Mes_Corriente!DH190*MINVU_Mes_Constante!$DC$1</f>
        <v>86370539.153173581</v>
      </c>
      <c r="DI190" s="8">
        <f>+MINVU_Mes_Corriente!DI190*MINVU_Mes_Constante!$DC$1</f>
        <v>104775121.46096085</v>
      </c>
      <c r="DJ190" s="8">
        <f>+MINVU_Mes_Corriente!DJ190*MINVU_Mes_Constante!$DC$1</f>
        <v>128226441.26447903</v>
      </c>
      <c r="DK190" s="8">
        <f>+MINVU_Mes_Corriente!DK190*MINVU_Mes_Constante!$DC$1</f>
        <v>153643441.8689436</v>
      </c>
      <c r="DL190" s="8">
        <f>+MINVU_Mes_Corriente!DL190*MINVU_Mes_Constante!$DC$1</f>
        <v>168842390.17631939</v>
      </c>
      <c r="DM190" s="8">
        <f>+MINVU_Mes_Corriente!DM190*MINVU_Mes_Constante!$DC$1</f>
        <v>193057422.88077366</v>
      </c>
      <c r="DN190" s="8">
        <f>+MINVU_Mes_Corriente!DN190*MINVU_Mes_Constante!$DC$1</f>
        <v>222585935.39388964</v>
      </c>
      <c r="DO190" s="9">
        <f t="shared" ref="DO190:DO207" si="160">DN190</f>
        <v>222585935.39388964</v>
      </c>
      <c r="DP190" s="8">
        <f>+MINVU_Mes_Corriente!DP190*MINVU_Mes_Constante!$DP$1</f>
        <v>15174314.061163897</v>
      </c>
      <c r="DQ190" s="8">
        <f>+MINVU_Mes_Corriente!DQ190*MINVU_Mes_Constante!$DP$1</f>
        <v>35445272.983966753</v>
      </c>
      <c r="DR190" s="8">
        <f>+MINVU_Mes_Corriente!DR190*MINVU_Mes_Constante!$DP$1</f>
        <v>56067882.794536822</v>
      </c>
      <c r="DS190" s="8">
        <f>+MINVU_Mes_Corriente!DS190*MINVU_Mes_Constante!$DP$1</f>
        <v>71039445.158551082</v>
      </c>
      <c r="DT190" s="8">
        <f>+MINVU_Mes_Corriente!DT190*MINVU_Mes_Constante!$DP$1</f>
        <v>95832774.317102149</v>
      </c>
      <c r="DU190" s="8">
        <f>+MINVU_Mes_Corriente!DU190*MINVU_Mes_Constante!$DP$1</f>
        <v>109084383.79809977</v>
      </c>
      <c r="DV190" s="8">
        <f>+MINVU_Mes_Corriente!DV190*MINVU_Mes_Constante!$DP$1</f>
        <v>124187911.35035631</v>
      </c>
      <c r="DW190" s="8">
        <f>+MINVU_Mes_Corriente!DW190*MINVU_Mes_Constante!$DP$1</f>
        <v>147119141.49049884</v>
      </c>
      <c r="DX190" s="8">
        <f>+MINVU_Mes_Corriente!DX190*MINVU_Mes_Constante!$DP$1</f>
        <v>162398063.56710216</v>
      </c>
      <c r="DY190" s="8">
        <f>+MINVU_Mes_Corriente!DY190*MINVU_Mes_Constante!$DP$1</f>
        <v>176911791.49524942</v>
      </c>
      <c r="DZ190" s="8">
        <f>+MINVU_Mes_Corriente!DZ190*MINVU_Mes_Constante!$DP$1</f>
        <v>189890151.49168649</v>
      </c>
      <c r="EA190" s="8">
        <f>+MINVU_Mes_Corriente!EA190*MINVU_Mes_Constante!$DP$1</f>
        <v>235464460.14904991</v>
      </c>
      <c r="EB190" s="9">
        <f t="shared" ref="EB190:EB207" si="161">EA190</f>
        <v>235464460.14904991</v>
      </c>
      <c r="EC190" s="8">
        <f>+MINVU_Mes_Corriente!EC190*MINVU_Mes_Constante!$EC$1</f>
        <v>19703528.614845667</v>
      </c>
      <c r="ED190" s="8">
        <f>+MINVU_Mes_Corriente!ED190*MINVU_Mes_Constante!$EC$1</f>
        <v>37815013.238969877</v>
      </c>
      <c r="EE190" s="8">
        <f>+MINVU_Mes_Corriente!EE190*MINVU_Mes_Constante!$EC$1</f>
        <v>60053009.722779758</v>
      </c>
      <c r="EF190" s="8">
        <f>+MINVU_Mes_Corriente!EF190*MINVU_Mes_Constante!$EC$1</f>
        <v>73139421.916303709</v>
      </c>
      <c r="EG190" s="8">
        <f>+MINVU_Mes_Corriente!EG190*MINVU_Mes_Constante!$EC$1</f>
        <v>97521681.58909294</v>
      </c>
      <c r="EH190" s="8">
        <f>+MINVU_Mes_Corriente!EH190*MINVU_Mes_Constante!$EC$1</f>
        <v>113901174.87256198</v>
      </c>
      <c r="EI190" s="8">
        <f>+MINVU_Mes_Corriente!EI190*MINVU_Mes_Constante!$EC$1</f>
        <v>133580244.64021961</v>
      </c>
      <c r="EJ190" s="8">
        <f>+MINVU_Mes_Corriente!EJ190*MINVU_Mes_Constante!$EC$1</f>
        <v>155251530.13122511</v>
      </c>
      <c r="EK190" s="8">
        <f>+MINVU_Mes_Corriente!EK190*MINVU_Mes_Constante!$EC$1</f>
        <v>170577569.56996775</v>
      </c>
      <c r="EL190" s="8">
        <f>+MINVU_Mes_Corriente!EL190*MINVU_Mes_Constante!$EC$1</f>
        <v>188491387.93713307</v>
      </c>
      <c r="EM190" s="8">
        <f>+MINVU_Mes_Corriente!EM190*MINVU_Mes_Constante!$EC$1</f>
        <v>210515162.61541367</v>
      </c>
      <c r="EN190" s="8">
        <f>+MINVU_Mes_Corriente!EN190*MINVU_Mes_Constante!$EC$1</f>
        <v>257772903.59704593</v>
      </c>
      <c r="EO190" s="9">
        <f t="shared" ref="EO190:EO207" si="162">EN190</f>
        <v>257772903.59704593</v>
      </c>
      <c r="EP190" s="8">
        <f>+MINVU_Mes_Corriente!EP190*MINVU_Mes_Constante!$EP$1</f>
        <v>17206044</v>
      </c>
      <c r="EQ190" s="8">
        <f>+MINVU_Mes_Corriente!EQ190*MINVU_Mes_Constante!$EP$1</f>
        <v>44796320</v>
      </c>
      <c r="ER190" s="8">
        <f>+MINVU_Mes_Corriente!ER190*MINVU_Mes_Constante!$EP$1</f>
        <v>62780942</v>
      </c>
      <c r="ES190" s="8">
        <f>+MINVU_Mes_Corriente!ES190*MINVU_Mes_Constante!$EP$1</f>
        <v>80794825</v>
      </c>
      <c r="ET190" s="8">
        <f>+MINVU_Mes_Corriente!ET190*MINVU_Mes_Constante!$EP$1</f>
        <v>110179131</v>
      </c>
      <c r="EU190" s="8">
        <f>+MINVU_Mes_Corriente!EU190*MINVU_Mes_Constante!$EP$1</f>
        <v>130265406</v>
      </c>
      <c r="EV190" s="8">
        <f>+MINVU_Mes_Corriente!EV190*MINVU_Mes_Constante!$EP$1</f>
        <v>150808728</v>
      </c>
      <c r="EW190" s="8">
        <f>+MINVU_Mes_Corriente!EW190*MINVU_Mes_Constante!$EP$1</f>
        <v>168968552</v>
      </c>
      <c r="EX190" s="8">
        <f>+MINVU_Mes_Corriente!EX190*MINVU_Mes_Constante!$EP$1</f>
        <v>196714744</v>
      </c>
      <c r="EY190" s="8">
        <f>+MINVU_Mes_Corriente!EY190*MINVU_Mes_Constante!$EP$1</f>
        <v>224987711</v>
      </c>
      <c r="EZ190" s="8">
        <f>+MINVU_Mes_Corriente!EZ190*MINVU_Mes_Constante!$EP$1</f>
        <v>249256474</v>
      </c>
      <c r="FA190" s="8">
        <f>+MINVU_Mes_Corriente!FA190*MINVU_Mes_Constante!$EP$1</f>
        <v>273789362</v>
      </c>
      <c r="FB190" s="9">
        <f t="shared" ref="FB190:FB207" si="163">FA190</f>
        <v>273789362</v>
      </c>
      <c r="FC190" s="8">
        <f>+MINVU_Mes_Corriente!FC190*MINVU_Mes_Constante!$FC$1</f>
        <v>18176422</v>
      </c>
      <c r="FD190" s="8">
        <f>+MINVU_Mes_Corriente!FD190*MINVU_Mes_Constante!$FC$1</f>
        <v>52371832</v>
      </c>
      <c r="FE190" s="8">
        <f>+MINVU_Mes_Corriente!FE190*MINVU_Mes_Constante!$FC$1</f>
        <v>71824798</v>
      </c>
      <c r="FF190" s="8">
        <f>+MINVU_Mes_Corriente!FF190*MINVU_Mes_Constante!$FC$1</f>
        <v>100096546</v>
      </c>
      <c r="FG190" s="8">
        <f>+MINVU_Mes_Corriente!FG190*MINVU_Mes_Constante!$FC$1</f>
        <v>126038083</v>
      </c>
      <c r="FH190" s="8">
        <f>+MINVU_Mes_Corriente!FH190*MINVU_Mes_Constante!$FC$1</f>
        <v>155743479</v>
      </c>
      <c r="FI190" s="8">
        <f>+MINVU_Mes_Corriente!FI190*MINVU_Mes_Constante!$FC$1</f>
        <v>180238546</v>
      </c>
      <c r="FJ190" s="8"/>
      <c r="FK190" s="8"/>
      <c r="FL190" s="8"/>
      <c r="FM190" s="8"/>
      <c r="FN190" s="8"/>
      <c r="FO190" s="9">
        <f t="shared" ref="FO190:FO207" si="164">FI190</f>
        <v>180238546</v>
      </c>
    </row>
    <row r="191" spans="2:171" ht="14.25" customHeight="1" x14ac:dyDescent="0.3">
      <c r="B191" s="7" t="s">
        <v>44</v>
      </c>
      <c r="C191" s="8">
        <f>+MINVU_Mes_Corriente!C191*MINVU_Mes_Constante!$C$1</f>
        <v>0</v>
      </c>
      <c r="D191" s="8">
        <f>+MINVU_Mes_Corriente!D191*MINVU_Mes_Constante!$C$1</f>
        <v>0</v>
      </c>
      <c r="E191" s="8">
        <f>+MINVU_Mes_Corriente!E191*MINVU_Mes_Constante!$C$1</f>
        <v>0</v>
      </c>
      <c r="F191" s="8">
        <f>+MINVU_Mes_Corriente!F191*MINVU_Mes_Constante!$C$1</f>
        <v>0</v>
      </c>
      <c r="G191" s="8">
        <f>+MINVU_Mes_Corriente!G191*MINVU_Mes_Constante!$C$1</f>
        <v>0</v>
      </c>
      <c r="H191" s="8">
        <f>+MINVU_Mes_Corriente!H191*MINVU_Mes_Constante!$C$1</f>
        <v>0</v>
      </c>
      <c r="I191" s="8">
        <f>+MINVU_Mes_Corriente!I191*MINVU_Mes_Constante!$C$1</f>
        <v>0</v>
      </c>
      <c r="J191" s="8">
        <f>+MINVU_Mes_Corriente!J191*MINVU_Mes_Constante!$C$1</f>
        <v>0</v>
      </c>
      <c r="K191" s="8">
        <f>+MINVU_Mes_Corriente!K191*MINVU_Mes_Constante!$C$1</f>
        <v>0</v>
      </c>
      <c r="L191" s="8">
        <f>+MINVU_Mes_Corriente!L191*MINVU_Mes_Constante!$C$1</f>
        <v>0</v>
      </c>
      <c r="M191" s="8">
        <f>+MINVU_Mes_Corriente!M191*MINVU_Mes_Constante!$C$1</f>
        <v>0</v>
      </c>
      <c r="N191" s="8">
        <f>+MINVU_Mes_Corriente!N191*MINVU_Mes_Constante!$C$1</f>
        <v>0</v>
      </c>
      <c r="O191" s="9">
        <f t="shared" si="152"/>
        <v>0</v>
      </c>
      <c r="P191" s="8">
        <f>+MINVU_Mes_Corriente!P191*MINVU_Mes_Constante!$P$1</f>
        <v>0</v>
      </c>
      <c r="Q191" s="8">
        <f>+MINVU_Mes_Corriente!Q191*MINVU_Mes_Constante!$P$1</f>
        <v>0</v>
      </c>
      <c r="R191" s="8">
        <f>+MINVU_Mes_Corriente!R191*MINVU_Mes_Constante!$P$1</f>
        <v>0</v>
      </c>
      <c r="S191" s="8">
        <f>+MINVU_Mes_Corriente!S191*MINVU_Mes_Constante!$P$1</f>
        <v>0</v>
      </c>
      <c r="T191" s="8">
        <f>+MINVU_Mes_Corriente!T191*MINVU_Mes_Constante!$P$1</f>
        <v>0</v>
      </c>
      <c r="U191" s="8">
        <f>+MINVU_Mes_Corriente!U191*MINVU_Mes_Constante!$P$1</f>
        <v>0</v>
      </c>
      <c r="V191" s="8">
        <f>+MINVU_Mes_Corriente!V191*MINVU_Mes_Constante!$P$1</f>
        <v>0</v>
      </c>
      <c r="W191" s="8">
        <f>+MINVU_Mes_Corriente!W191*MINVU_Mes_Constante!$P$1</f>
        <v>0</v>
      </c>
      <c r="X191" s="8">
        <f>+MINVU_Mes_Corriente!X191*MINVU_Mes_Constante!$P$1</f>
        <v>0</v>
      </c>
      <c r="Y191" s="8">
        <f>+MINVU_Mes_Corriente!Y191*MINVU_Mes_Constante!$P$1</f>
        <v>0</v>
      </c>
      <c r="Z191" s="8">
        <f>+MINVU_Mes_Corriente!Z191*MINVU_Mes_Constante!$P$1</f>
        <v>0</v>
      </c>
      <c r="AA191" s="8">
        <f>+MINVU_Mes_Corriente!AA191*MINVU_Mes_Constante!$P$1</f>
        <v>0</v>
      </c>
      <c r="AB191" s="9">
        <f t="shared" si="153"/>
        <v>0</v>
      </c>
      <c r="AC191" s="8">
        <f>+MINVU_Mes_Corriente!AC191*MINVU_Mes_Constante!$AC$1</f>
        <v>0</v>
      </c>
      <c r="AD191" s="8">
        <f>+MINVU_Mes_Corriente!AD191*MINVU_Mes_Constante!$AC$1</f>
        <v>0</v>
      </c>
      <c r="AE191" s="8">
        <f>+MINVU_Mes_Corriente!AE191*MINVU_Mes_Constante!$AC$1</f>
        <v>0</v>
      </c>
      <c r="AF191" s="8">
        <f>+MINVU_Mes_Corriente!AF191*MINVU_Mes_Constante!$AC$1</f>
        <v>0</v>
      </c>
      <c r="AG191" s="8">
        <f>+MINVU_Mes_Corriente!AG191*MINVU_Mes_Constante!$AC$1</f>
        <v>0</v>
      </c>
      <c r="AH191" s="8">
        <f>+MINVU_Mes_Corriente!AH191*MINVU_Mes_Constante!$AC$1</f>
        <v>0</v>
      </c>
      <c r="AI191" s="8">
        <f>+MINVU_Mes_Corriente!AI191*MINVU_Mes_Constante!$AC$1</f>
        <v>0</v>
      </c>
      <c r="AJ191" s="8">
        <f>+MINVU_Mes_Corriente!AJ191*MINVU_Mes_Constante!$AC$1</f>
        <v>0</v>
      </c>
      <c r="AK191" s="8">
        <f>+MINVU_Mes_Corriente!AK191*MINVU_Mes_Constante!$AC$1</f>
        <v>0</v>
      </c>
      <c r="AL191" s="8">
        <f>+MINVU_Mes_Corriente!AL191*MINVU_Mes_Constante!$AC$1</f>
        <v>0</v>
      </c>
      <c r="AM191" s="8">
        <f>+MINVU_Mes_Corriente!AM191*MINVU_Mes_Constante!$AC$1</f>
        <v>0</v>
      </c>
      <c r="AN191" s="8">
        <f>+MINVU_Mes_Corriente!AN191*MINVU_Mes_Constante!$AC$1</f>
        <v>0</v>
      </c>
      <c r="AO191" s="9">
        <f t="shared" si="154"/>
        <v>0</v>
      </c>
      <c r="AP191" s="8">
        <f>+MINVU_Mes_Corriente!AP191*MINVU_Mes_Constante!$AP$1</f>
        <v>0</v>
      </c>
      <c r="AQ191" s="8">
        <f>+MINVU_Mes_Corriente!AQ191*MINVU_Mes_Constante!$AP$1</f>
        <v>0</v>
      </c>
      <c r="AR191" s="8">
        <f>+MINVU_Mes_Corriente!AR191*MINVU_Mes_Constante!$AP$1</f>
        <v>0</v>
      </c>
      <c r="AS191" s="8">
        <f>+MINVU_Mes_Corriente!AS191*MINVU_Mes_Constante!$AP$1</f>
        <v>0</v>
      </c>
      <c r="AT191" s="8">
        <f>+MINVU_Mes_Corriente!AT191*MINVU_Mes_Constante!$AP$1</f>
        <v>0</v>
      </c>
      <c r="AU191" s="8">
        <f>+MINVU_Mes_Corriente!AU191*MINVU_Mes_Constante!$AP$1</f>
        <v>0</v>
      </c>
      <c r="AV191" s="8">
        <f>+MINVU_Mes_Corriente!AV191*MINVU_Mes_Constante!$AP$1</f>
        <v>0</v>
      </c>
      <c r="AW191" s="8">
        <f>+MINVU_Mes_Corriente!AW191*MINVU_Mes_Constante!$AP$1</f>
        <v>0</v>
      </c>
      <c r="AX191" s="8">
        <f>+MINVU_Mes_Corriente!AX191*MINVU_Mes_Constante!$AP$1</f>
        <v>0</v>
      </c>
      <c r="AY191" s="8">
        <f>+MINVU_Mes_Corriente!AY191*MINVU_Mes_Constante!$AP$1</f>
        <v>0</v>
      </c>
      <c r="AZ191" s="8">
        <f>+MINVU_Mes_Corriente!AZ191*MINVU_Mes_Constante!$AP$1</f>
        <v>0</v>
      </c>
      <c r="BA191" s="8">
        <f>+MINVU_Mes_Corriente!BA191*MINVU_Mes_Constante!$AP$1</f>
        <v>0</v>
      </c>
      <c r="BB191" s="9">
        <f t="shared" si="155"/>
        <v>0</v>
      </c>
      <c r="BC191" s="8">
        <f>+MINVU_Mes_Corriente!BC191*MINVU_Mes_Constante!$BC$1</f>
        <v>0</v>
      </c>
      <c r="BD191" s="8">
        <f>+MINVU_Mes_Corriente!BD191*MINVU_Mes_Constante!$BC$1</f>
        <v>0</v>
      </c>
      <c r="BE191" s="8">
        <f>+MINVU_Mes_Corriente!BE191*MINVU_Mes_Constante!$BC$1</f>
        <v>0</v>
      </c>
      <c r="BF191" s="8">
        <f>+MINVU_Mes_Corriente!BF191*MINVU_Mes_Constante!$BC$1</f>
        <v>0</v>
      </c>
      <c r="BG191" s="8">
        <f>+MINVU_Mes_Corriente!BG191*MINVU_Mes_Constante!$BC$1</f>
        <v>0</v>
      </c>
      <c r="BH191" s="8">
        <f>+MINVU_Mes_Corriente!BH191*MINVU_Mes_Constante!$BC$1</f>
        <v>0</v>
      </c>
      <c r="BI191" s="8">
        <f>+MINVU_Mes_Corriente!BI191*MINVU_Mes_Constante!$BC$1</f>
        <v>0</v>
      </c>
      <c r="BJ191" s="8">
        <f>+MINVU_Mes_Corriente!BJ191*MINVU_Mes_Constante!$BC$1</f>
        <v>0</v>
      </c>
      <c r="BK191" s="8">
        <f>+MINVU_Mes_Corriente!BK191*MINVU_Mes_Constante!$BC$1</f>
        <v>0</v>
      </c>
      <c r="BL191" s="8">
        <f>+MINVU_Mes_Corriente!BL191*MINVU_Mes_Constante!$BC$1</f>
        <v>0</v>
      </c>
      <c r="BM191" s="8">
        <f>+MINVU_Mes_Corriente!BM191*MINVU_Mes_Constante!$BC$1</f>
        <v>0</v>
      </c>
      <c r="BN191" s="8">
        <f>+MINVU_Mes_Corriente!BN191*MINVU_Mes_Constante!$BC$1</f>
        <v>0</v>
      </c>
      <c r="BO191" s="9">
        <f t="shared" si="156"/>
        <v>0</v>
      </c>
      <c r="BP191" s="8">
        <f>+MINVU_Mes_Corriente!BP191*MINVU_Mes_Constante!$BP$1</f>
        <v>0</v>
      </c>
      <c r="BQ191" s="8">
        <f>+MINVU_Mes_Corriente!BQ191*MINVU_Mes_Constante!$BP$1</f>
        <v>0</v>
      </c>
      <c r="BR191" s="8">
        <f>+MINVU_Mes_Corriente!BR191*MINVU_Mes_Constante!$BP$1</f>
        <v>0</v>
      </c>
      <c r="BS191" s="8">
        <f>+MINVU_Mes_Corriente!BS191*MINVU_Mes_Constante!$BP$1</f>
        <v>0</v>
      </c>
      <c r="BT191" s="8">
        <f>+MINVU_Mes_Corriente!BT191*MINVU_Mes_Constante!$BP$1</f>
        <v>0</v>
      </c>
      <c r="BU191" s="8">
        <f>+MINVU_Mes_Corriente!BU191*MINVU_Mes_Constante!$BP$1</f>
        <v>0</v>
      </c>
      <c r="BV191" s="8">
        <f>+MINVU_Mes_Corriente!BV191*MINVU_Mes_Constante!$BP$1</f>
        <v>0</v>
      </c>
      <c r="BW191" s="8">
        <f>+MINVU_Mes_Corriente!BW191*MINVU_Mes_Constante!$BP$1</f>
        <v>0</v>
      </c>
      <c r="BX191" s="8">
        <f>+MINVU_Mes_Corriente!BX191*MINVU_Mes_Constante!$BP$1</f>
        <v>0</v>
      </c>
      <c r="BY191" s="8">
        <f>+MINVU_Mes_Corriente!BY191*MINVU_Mes_Constante!$BP$1</f>
        <v>0</v>
      </c>
      <c r="BZ191" s="8">
        <f>+MINVU_Mes_Corriente!BZ191*MINVU_Mes_Constante!$BP$1</f>
        <v>0</v>
      </c>
      <c r="CA191" s="8">
        <f>+MINVU_Mes_Corriente!CA191*MINVU_Mes_Constante!$BP$1</f>
        <v>0</v>
      </c>
      <c r="CB191" s="9">
        <f t="shared" si="157"/>
        <v>0</v>
      </c>
      <c r="CC191" s="8">
        <f>+MINVU_Mes_Corriente!CC191*MINVU_Mes_Constante!$CC$1</f>
        <v>0</v>
      </c>
      <c r="CD191" s="8">
        <f>+MINVU_Mes_Corriente!CD191*MINVU_Mes_Constante!$CC$1</f>
        <v>0</v>
      </c>
      <c r="CE191" s="8">
        <f>+MINVU_Mes_Corriente!CE191*MINVU_Mes_Constante!$CC$1</f>
        <v>0</v>
      </c>
      <c r="CF191" s="8">
        <f>+MINVU_Mes_Corriente!CF191*MINVU_Mes_Constante!$CC$1</f>
        <v>0</v>
      </c>
      <c r="CG191" s="8">
        <f>+MINVU_Mes_Corriente!CG191*MINVU_Mes_Constante!$CC$1</f>
        <v>0</v>
      </c>
      <c r="CH191" s="8">
        <f>+MINVU_Mes_Corriente!CH191*MINVU_Mes_Constante!$CC$1</f>
        <v>0</v>
      </c>
      <c r="CI191" s="8">
        <f>+MINVU_Mes_Corriente!CI191*MINVU_Mes_Constante!$CC$1</f>
        <v>0</v>
      </c>
      <c r="CJ191" s="8">
        <f>+MINVU_Mes_Corriente!CJ191*MINVU_Mes_Constante!$CC$1</f>
        <v>0</v>
      </c>
      <c r="CK191" s="8">
        <f>+MINVU_Mes_Corriente!CK191*MINVU_Mes_Constante!$CC$1</f>
        <v>0</v>
      </c>
      <c r="CL191" s="8">
        <f>+MINVU_Mes_Corriente!CL191*MINVU_Mes_Constante!$CC$1</f>
        <v>0</v>
      </c>
      <c r="CM191" s="8">
        <f>+MINVU_Mes_Corriente!CM191*MINVU_Mes_Constante!$CC$1</f>
        <v>0</v>
      </c>
      <c r="CN191" s="8">
        <f>+MINVU_Mes_Corriente!CN191*MINVU_Mes_Constante!$CC$1</f>
        <v>0</v>
      </c>
      <c r="CO191" s="9">
        <f t="shared" si="158"/>
        <v>0</v>
      </c>
      <c r="CP191" s="8">
        <f>+MINVU_Mes_Corriente!CP191*MINVU_Mes_Constante!$CP$1</f>
        <v>0</v>
      </c>
      <c r="CQ191" s="8">
        <f>+MINVU_Mes_Corriente!CQ191*MINVU_Mes_Constante!$CP$1</f>
        <v>0</v>
      </c>
      <c r="CR191" s="8">
        <f>+MINVU_Mes_Corriente!CR191*MINVU_Mes_Constante!$CP$1</f>
        <v>0</v>
      </c>
      <c r="CS191" s="8">
        <f>+MINVU_Mes_Corriente!CS191*MINVU_Mes_Constante!$CP$1</f>
        <v>0</v>
      </c>
      <c r="CT191" s="8">
        <f>+MINVU_Mes_Corriente!CT191*MINVU_Mes_Constante!$CP$1</f>
        <v>0</v>
      </c>
      <c r="CU191" s="8">
        <f>+MINVU_Mes_Corriente!CU191*MINVU_Mes_Constante!$CP$1</f>
        <v>0</v>
      </c>
      <c r="CV191" s="8">
        <f>+MINVU_Mes_Corriente!CV191*MINVU_Mes_Constante!$CP$1</f>
        <v>0</v>
      </c>
      <c r="CW191" s="8">
        <f>+MINVU_Mes_Corriente!CW191*MINVU_Mes_Constante!$CP$1</f>
        <v>0</v>
      </c>
      <c r="CX191" s="8">
        <f>+MINVU_Mes_Corriente!CX191*MINVU_Mes_Constante!$CP$1</f>
        <v>0</v>
      </c>
      <c r="CY191" s="8">
        <f>+MINVU_Mes_Corriente!CY191*MINVU_Mes_Constante!$CP$1</f>
        <v>0</v>
      </c>
      <c r="CZ191" s="8">
        <f>+MINVU_Mes_Corriente!CZ191*MINVU_Mes_Constante!$CP$1</f>
        <v>0</v>
      </c>
      <c r="DA191" s="8">
        <f>+MINVU_Mes_Corriente!DA191*MINVU_Mes_Constante!$CP$1</f>
        <v>0</v>
      </c>
      <c r="DB191" s="9">
        <f t="shared" si="159"/>
        <v>0</v>
      </c>
      <c r="DC191" s="8">
        <f>+MINVU_Mes_Corriente!DC191*MINVU_Mes_Constante!$DC$1</f>
        <v>0</v>
      </c>
      <c r="DD191" s="8">
        <f>+MINVU_Mes_Corriente!DD191*MINVU_Mes_Constante!$DC$1</f>
        <v>0</v>
      </c>
      <c r="DE191" s="8">
        <f>+MINVU_Mes_Corriente!DE191*MINVU_Mes_Constante!$DC$1</f>
        <v>0</v>
      </c>
      <c r="DF191" s="8">
        <f>+MINVU_Mes_Corriente!DF191*MINVU_Mes_Constante!$DC$1</f>
        <v>0</v>
      </c>
      <c r="DG191" s="8">
        <f>+MINVU_Mes_Corriente!DG191*MINVU_Mes_Constante!$DC$1</f>
        <v>0</v>
      </c>
      <c r="DH191" s="8">
        <f>+MINVU_Mes_Corriente!DH191*MINVU_Mes_Constante!$DC$1</f>
        <v>0</v>
      </c>
      <c r="DI191" s="8">
        <f>+MINVU_Mes_Corriente!DI191*MINVU_Mes_Constante!$DC$1</f>
        <v>0</v>
      </c>
      <c r="DJ191" s="8">
        <f>+MINVU_Mes_Corriente!DJ191*MINVU_Mes_Constante!$DC$1</f>
        <v>0</v>
      </c>
      <c r="DK191" s="8">
        <f>+MINVU_Mes_Corriente!DK191*MINVU_Mes_Constante!$DC$1</f>
        <v>0</v>
      </c>
      <c r="DL191" s="8">
        <f>+MINVU_Mes_Corriente!DL191*MINVU_Mes_Constante!$DC$1</f>
        <v>0</v>
      </c>
      <c r="DM191" s="8">
        <f>+MINVU_Mes_Corriente!DM191*MINVU_Mes_Constante!$DC$1</f>
        <v>0</v>
      </c>
      <c r="DN191" s="8">
        <f>+MINVU_Mes_Corriente!DN191*MINVU_Mes_Constante!$DC$1</f>
        <v>0</v>
      </c>
      <c r="DO191" s="9">
        <f t="shared" si="160"/>
        <v>0</v>
      </c>
      <c r="DP191" s="8">
        <f>+MINVU_Mes_Corriente!DP191*MINVU_Mes_Constante!$DP$1</f>
        <v>0</v>
      </c>
      <c r="DQ191" s="8">
        <f>+MINVU_Mes_Corriente!DQ191*MINVU_Mes_Constante!$DP$1</f>
        <v>0</v>
      </c>
      <c r="DR191" s="8">
        <f>+MINVU_Mes_Corriente!DR191*MINVU_Mes_Constante!$DP$1</f>
        <v>0</v>
      </c>
      <c r="DS191" s="8">
        <f>+MINVU_Mes_Corriente!DS191*MINVU_Mes_Constante!$DP$1</f>
        <v>0</v>
      </c>
      <c r="DT191" s="8">
        <f>+MINVU_Mes_Corriente!DT191*MINVU_Mes_Constante!$DP$1</f>
        <v>0</v>
      </c>
      <c r="DU191" s="8">
        <f>+MINVU_Mes_Corriente!DU191*MINVU_Mes_Constante!$DP$1</f>
        <v>0</v>
      </c>
      <c r="DV191" s="8">
        <f>+MINVU_Mes_Corriente!DV191*MINVU_Mes_Constante!$DP$1</f>
        <v>0</v>
      </c>
      <c r="DW191" s="8">
        <f>+MINVU_Mes_Corriente!DW191*MINVU_Mes_Constante!$DP$1</f>
        <v>0</v>
      </c>
      <c r="DX191" s="8">
        <f>+MINVU_Mes_Corriente!DX191*MINVU_Mes_Constante!$DP$1</f>
        <v>0</v>
      </c>
      <c r="DY191" s="8">
        <f>+MINVU_Mes_Corriente!DY191*MINVU_Mes_Constante!$DP$1</f>
        <v>0</v>
      </c>
      <c r="DZ191" s="8">
        <f>+MINVU_Mes_Corriente!DZ191*MINVU_Mes_Constante!$DP$1</f>
        <v>0</v>
      </c>
      <c r="EA191" s="8">
        <f>+MINVU_Mes_Corriente!EA191*MINVU_Mes_Constante!$DP$1</f>
        <v>0</v>
      </c>
      <c r="EB191" s="9">
        <f t="shared" si="161"/>
        <v>0</v>
      </c>
      <c r="EC191" s="8">
        <f>+MINVU_Mes_Corriente!EC191*MINVU_Mes_Constante!$EC$1</f>
        <v>0</v>
      </c>
      <c r="ED191" s="8">
        <f>+MINVU_Mes_Corriente!ED191*MINVU_Mes_Constante!$EC$1</f>
        <v>0</v>
      </c>
      <c r="EE191" s="8">
        <f>+MINVU_Mes_Corriente!EE191*MINVU_Mes_Constante!$EC$1</f>
        <v>0</v>
      </c>
      <c r="EF191" s="8">
        <f>+MINVU_Mes_Corriente!EF191*MINVU_Mes_Constante!$EC$1</f>
        <v>0</v>
      </c>
      <c r="EG191" s="8">
        <f>+MINVU_Mes_Corriente!EG191*MINVU_Mes_Constante!$EC$1</f>
        <v>0</v>
      </c>
      <c r="EH191" s="8">
        <f>+MINVU_Mes_Corriente!EH191*MINVU_Mes_Constante!$EC$1</f>
        <v>0</v>
      </c>
      <c r="EI191" s="8">
        <f>+MINVU_Mes_Corriente!EI191*MINVU_Mes_Constante!$EC$1</f>
        <v>0</v>
      </c>
      <c r="EJ191" s="8">
        <f>+MINVU_Mes_Corriente!EJ191*MINVU_Mes_Constante!$EC$1</f>
        <v>0</v>
      </c>
      <c r="EK191" s="8">
        <f>+MINVU_Mes_Corriente!EK191*MINVU_Mes_Constante!$EC$1</f>
        <v>0</v>
      </c>
      <c r="EL191" s="8">
        <f>+MINVU_Mes_Corriente!EL191*MINVU_Mes_Constante!$EC$1</f>
        <v>0</v>
      </c>
      <c r="EM191" s="8">
        <f>+MINVU_Mes_Corriente!EM191*MINVU_Mes_Constante!$EC$1</f>
        <v>0</v>
      </c>
      <c r="EN191" s="8">
        <f>+MINVU_Mes_Corriente!EN191*MINVU_Mes_Constante!$EC$1</f>
        <v>0</v>
      </c>
      <c r="EO191" s="9">
        <f t="shared" si="162"/>
        <v>0</v>
      </c>
      <c r="EP191" s="8">
        <f>+MINVU_Mes_Corriente!EP191*MINVU_Mes_Constante!$EP$1</f>
        <v>0</v>
      </c>
      <c r="EQ191" s="8">
        <f>+MINVU_Mes_Corriente!EQ191*MINVU_Mes_Constante!$EP$1</f>
        <v>0</v>
      </c>
      <c r="ER191" s="8">
        <f>+MINVU_Mes_Corriente!ER191*MINVU_Mes_Constante!$EP$1</f>
        <v>0</v>
      </c>
      <c r="ES191" s="8">
        <f>+MINVU_Mes_Corriente!ES191*MINVU_Mes_Constante!$EP$1</f>
        <v>0</v>
      </c>
      <c r="ET191" s="8">
        <f>+MINVU_Mes_Corriente!ET191*MINVU_Mes_Constante!$EP$1</f>
        <v>0</v>
      </c>
      <c r="EU191" s="8">
        <f>+MINVU_Mes_Corriente!EU191*MINVU_Mes_Constante!$EP$1</f>
        <v>0</v>
      </c>
      <c r="EV191" s="8">
        <f>+MINVU_Mes_Corriente!EV191*MINVU_Mes_Constante!$EP$1</f>
        <v>0</v>
      </c>
      <c r="EW191" s="8">
        <f>+MINVU_Mes_Corriente!EW191*MINVU_Mes_Constante!$EP$1</f>
        <v>0</v>
      </c>
      <c r="EX191" s="8">
        <f>+MINVU_Mes_Corriente!EX191*MINVU_Mes_Constante!$EP$1</f>
        <v>0</v>
      </c>
      <c r="EY191" s="8">
        <f>+MINVU_Mes_Corriente!EY191*MINVU_Mes_Constante!$EP$1</f>
        <v>0</v>
      </c>
      <c r="EZ191" s="8">
        <f>+MINVU_Mes_Corriente!EZ191*MINVU_Mes_Constante!$EP$1</f>
        <v>0</v>
      </c>
      <c r="FA191" s="8">
        <f>+MINVU_Mes_Corriente!FA191*MINVU_Mes_Constante!$EP$1</f>
        <v>0</v>
      </c>
      <c r="FB191" s="9">
        <f t="shared" si="163"/>
        <v>0</v>
      </c>
      <c r="FC191" s="8">
        <f>+MINVU_Mes_Corriente!FC191*MINVU_Mes_Constante!$FC$1</f>
        <v>0</v>
      </c>
      <c r="FD191" s="8">
        <f>+MINVU_Mes_Corriente!FD191*MINVU_Mes_Constante!$FC$1</f>
        <v>0</v>
      </c>
      <c r="FE191" s="8">
        <f>+MINVU_Mes_Corriente!FE191*MINVU_Mes_Constante!$FC$1</f>
        <v>0</v>
      </c>
      <c r="FF191" s="8">
        <f>+MINVU_Mes_Corriente!FF191*MINVU_Mes_Constante!$FC$1</f>
        <v>0</v>
      </c>
      <c r="FG191" s="8">
        <f>+MINVU_Mes_Corriente!FG191*MINVU_Mes_Constante!$FC$1</f>
        <v>0</v>
      </c>
      <c r="FH191" s="8">
        <f>+MINVU_Mes_Corriente!FH191*MINVU_Mes_Constante!$FC$1</f>
        <v>0</v>
      </c>
      <c r="FI191" s="8">
        <f>+MINVU_Mes_Corriente!FI191*MINVU_Mes_Constante!$FC$1</f>
        <v>0</v>
      </c>
      <c r="FJ191" s="8"/>
      <c r="FK191" s="8"/>
      <c r="FL191" s="8"/>
      <c r="FM191" s="8"/>
      <c r="FN191" s="8"/>
      <c r="FO191" s="9">
        <f t="shared" si="164"/>
        <v>0</v>
      </c>
    </row>
    <row r="192" spans="2:171" ht="14.25" customHeight="1" x14ac:dyDescent="0.3">
      <c r="B192" s="7" t="s">
        <v>45</v>
      </c>
      <c r="C192" s="8">
        <f>+MINVU_Mes_Corriente!C192*MINVU_Mes_Constante!$C$1</f>
        <v>2037740.3188491773</v>
      </c>
      <c r="D192" s="8">
        <f>+MINVU_Mes_Corriente!D192*MINVU_Mes_Constante!$C$1</f>
        <v>2212499.6067032483</v>
      </c>
      <c r="E192" s="8">
        <f>+MINVU_Mes_Corriente!E192*MINVU_Mes_Constante!$C$1</f>
        <v>4352600.4879133925</v>
      </c>
      <c r="F192" s="8">
        <f>+MINVU_Mes_Corriente!F192*MINVU_Mes_Constante!$C$1</f>
        <v>4696572.6157496674</v>
      </c>
      <c r="G192" s="8">
        <f>+MINVU_Mes_Corriente!G192*MINVU_Mes_Constante!$C$1</f>
        <v>5368515.9445350738</v>
      </c>
      <c r="H192" s="8">
        <f>+MINVU_Mes_Corriente!H192*MINVU_Mes_Constante!$C$1</f>
        <v>6059689.5518315304</v>
      </c>
      <c r="I192" s="8">
        <f>+MINVU_Mes_Corriente!I192*MINVU_Mes_Constante!$C$1</f>
        <v>7788536.6356221279</v>
      </c>
      <c r="J192" s="8">
        <f>+MINVU_Mes_Corriente!J192*MINVU_Mes_Constante!$C$1</f>
        <v>8810500.8476939071</v>
      </c>
      <c r="K192" s="8">
        <f>+MINVU_Mes_Corriente!K192*MINVU_Mes_Constante!$C$1</f>
        <v>9724374.9503188506</v>
      </c>
      <c r="L192" s="8">
        <f>+MINVU_Mes_Corriente!L192*MINVU_Mes_Constante!$C$1</f>
        <v>10939317.632211184</v>
      </c>
      <c r="M192" s="8">
        <f>+MINVU_Mes_Corriente!M192*MINVU_Mes_Constante!$C$1</f>
        <v>13578378.454693759</v>
      </c>
      <c r="N192" s="8">
        <f>+MINVU_Mes_Corriente!N192*MINVU_Mes_Constante!$C$1</f>
        <v>14964421.680854222</v>
      </c>
      <c r="O192" s="9">
        <f t="shared" si="152"/>
        <v>14964421.680854222</v>
      </c>
      <c r="P192" s="8">
        <f>+MINVU_Mes_Corriente!P192*MINVU_Mes_Constante!$P$1</f>
        <v>997291.25557607575</v>
      </c>
      <c r="Q192" s="8">
        <f>+MINVU_Mes_Corriente!Q192*MINVU_Mes_Constante!$P$1</f>
        <v>2681906.9185963906</v>
      </c>
      <c r="R192" s="8">
        <f>+MINVU_Mes_Corriente!R192*MINVU_Mes_Constante!$P$1</f>
        <v>5426082.2582753208</v>
      </c>
      <c r="S192" s="8">
        <f>+MINVU_Mes_Corriente!S192*MINVU_Mes_Constante!$P$1</f>
        <v>7178132.0943315784</v>
      </c>
      <c r="T192" s="8">
        <f>+MINVU_Mes_Corriente!T192*MINVU_Mes_Constante!$P$1</f>
        <v>8619265.130274184</v>
      </c>
      <c r="U192" s="8">
        <f>+MINVU_Mes_Corriente!U192*MINVU_Mes_Constante!$P$1</f>
        <v>13189692.110811191</v>
      </c>
      <c r="V192" s="8">
        <f>+MINVU_Mes_Corriente!V192*MINVU_Mes_Constante!$P$1</f>
        <v>14576584.75124307</v>
      </c>
      <c r="W192" s="8">
        <f>+MINVU_Mes_Corriente!W192*MINVU_Mes_Constante!$P$1</f>
        <v>17176791.142775957</v>
      </c>
      <c r="X192" s="8">
        <f>+MINVU_Mes_Corriente!X192*MINVU_Mes_Constante!$P$1</f>
        <v>19588185.264668271</v>
      </c>
      <c r="Y192" s="8">
        <f>+MINVU_Mes_Corriente!Y192*MINVU_Mes_Constante!$P$1</f>
        <v>28555738.181844</v>
      </c>
      <c r="Z192" s="8">
        <f>+MINVU_Mes_Corriente!Z192*MINVU_Mes_Constante!$P$1</f>
        <v>31221073.715868719</v>
      </c>
      <c r="AA192" s="8">
        <f>+MINVU_Mes_Corriente!AA192*MINVU_Mes_Constante!$P$1</f>
        <v>34289755.446512274</v>
      </c>
      <c r="AB192" s="9">
        <f t="shared" si="153"/>
        <v>34289755.446512274</v>
      </c>
      <c r="AC192" s="8">
        <f>+MINVU_Mes_Corriente!AC192*MINVU_Mes_Constante!$AC$1</f>
        <v>2388240.1145386635</v>
      </c>
      <c r="AD192" s="8">
        <f>+MINVU_Mes_Corriente!AD192*MINVU_Mes_Constante!$AC$1</f>
        <v>8481561.0394245405</v>
      </c>
      <c r="AE192" s="8">
        <f>+MINVU_Mes_Corriente!AE192*MINVU_Mes_Constante!$AC$1</f>
        <v>13546521.524138885</v>
      </c>
      <c r="AF192" s="8">
        <f>+MINVU_Mes_Corriente!AF192*MINVU_Mes_Constante!$AC$1</f>
        <v>16959207.520818923</v>
      </c>
      <c r="AG192" s="8">
        <f>+MINVU_Mes_Corriente!AG192*MINVU_Mes_Constante!$AC$1</f>
        <v>20081712.922949232</v>
      </c>
      <c r="AH192" s="8">
        <f>+MINVU_Mes_Corriente!AH192*MINVU_Mes_Constante!$AC$1</f>
        <v>23117532.780190896</v>
      </c>
      <c r="AI192" s="8">
        <f>+MINVU_Mes_Corriente!AI192*MINVU_Mes_Constante!$AC$1</f>
        <v>28644736.066122562</v>
      </c>
      <c r="AJ192" s="8">
        <f>+MINVU_Mes_Corriente!AJ192*MINVU_Mes_Constante!$AC$1</f>
        <v>30192828.899709504</v>
      </c>
      <c r="AK192" s="8">
        <f>+MINVU_Mes_Corriente!AK192*MINVU_Mes_Constante!$AC$1</f>
        <v>36001708.062802598</v>
      </c>
      <c r="AL192" s="8">
        <f>+MINVU_Mes_Corriente!AL192*MINVU_Mes_Constante!$AC$1</f>
        <v>41387124.243187159</v>
      </c>
      <c r="AM192" s="8">
        <f>+MINVU_Mes_Corriente!AM192*MINVU_Mes_Constante!$AC$1</f>
        <v>46824433.255775347</v>
      </c>
      <c r="AN192" s="8">
        <f>+MINVU_Mes_Corriente!AN192*MINVU_Mes_Constante!$AC$1</f>
        <v>54294531.445289806</v>
      </c>
      <c r="AO192" s="9">
        <f t="shared" si="154"/>
        <v>54294531.445289806</v>
      </c>
      <c r="AP192" s="8">
        <f>+MINVU_Mes_Corriente!AP192*MINVU_Mes_Constante!$AP$1</f>
        <v>1611164.5418639253</v>
      </c>
      <c r="AQ192" s="8">
        <f>+MINVU_Mes_Corriente!AQ192*MINVU_Mes_Constante!$AP$1</f>
        <v>3544865.5495739211</v>
      </c>
      <c r="AR192" s="8">
        <f>+MINVU_Mes_Corriente!AR192*MINVU_Mes_Constante!$AP$1</f>
        <v>8141049.351819288</v>
      </c>
      <c r="AS192" s="8">
        <f>+MINVU_Mes_Corriente!AS192*MINVU_Mes_Constante!$AP$1</f>
        <v>10682283.547409711</v>
      </c>
      <c r="AT192" s="8">
        <f>+MINVU_Mes_Corriente!AT192*MINVU_Mes_Constante!$AP$1</f>
        <v>15946403.15433518</v>
      </c>
      <c r="AU192" s="8">
        <f>+MINVU_Mes_Corriente!AU192*MINVU_Mes_Constante!$AP$1</f>
        <v>18281837.501690786</v>
      </c>
      <c r="AV192" s="8">
        <f>+MINVU_Mes_Corriente!AV192*MINVU_Mes_Constante!$AP$1</f>
        <v>20707815.919924252</v>
      </c>
      <c r="AW192" s="8">
        <f>+MINVU_Mes_Corriente!AW192*MINVU_Mes_Constante!$AP$1</f>
        <v>22321710.11443257</v>
      </c>
      <c r="AX192" s="8">
        <f>+MINVU_Mes_Corriente!AX192*MINVU_Mes_Constante!$AP$1</f>
        <v>23185446.400919788</v>
      </c>
      <c r="AY192" s="8">
        <f>+MINVU_Mes_Corriente!AY192*MINVU_Mes_Constante!$AP$1</f>
        <v>24430204.953875285</v>
      </c>
      <c r="AZ192" s="8">
        <f>+MINVU_Mes_Corriente!AZ192*MINVU_Mes_Constante!$AP$1</f>
        <v>28135276.137427293</v>
      </c>
      <c r="BA192" s="8">
        <f>+MINVU_Mes_Corriente!BA192*MINVU_Mes_Constante!$AP$1</f>
        <v>29887207.698633842</v>
      </c>
      <c r="BB192" s="9">
        <f t="shared" si="155"/>
        <v>29887207.698633842</v>
      </c>
      <c r="BC192" s="8">
        <f>+MINVU_Mes_Corriente!BC192*MINVU_Mes_Constante!$BC$1</f>
        <v>620145.23618620611</v>
      </c>
      <c r="BD192" s="8">
        <f>+MINVU_Mes_Corriente!BD192*MINVU_Mes_Constante!$BC$1</f>
        <v>1118984.9283924571</v>
      </c>
      <c r="BE192" s="8">
        <f>+MINVU_Mes_Corriente!BE192*MINVU_Mes_Constante!$BC$1</f>
        <v>1604888.6285111438</v>
      </c>
      <c r="BF192" s="8">
        <f>+MINVU_Mes_Corriente!BF192*MINVU_Mes_Constante!$BC$1</f>
        <v>2606661.4806804699</v>
      </c>
      <c r="BG192" s="8">
        <f>+MINVU_Mes_Corriente!BG192*MINVU_Mes_Constante!$BC$1</f>
        <v>3442799.4579981547</v>
      </c>
      <c r="BH192" s="8">
        <f>+MINVU_Mes_Corriente!BH192*MINVU_Mes_Constante!$BC$1</f>
        <v>10099744.843993146</v>
      </c>
      <c r="BI192" s="8">
        <f>+MINVU_Mes_Corriente!BI192*MINVU_Mes_Constante!$BC$1</f>
        <v>10660642.141368855</v>
      </c>
      <c r="BJ192" s="8">
        <f>+MINVU_Mes_Corriente!BJ192*MINVU_Mes_Constante!$BC$1</f>
        <v>12294304.635104842</v>
      </c>
      <c r="BK192" s="8">
        <f>+MINVU_Mes_Corriente!BK192*MINVU_Mes_Constante!$BC$1</f>
        <v>13851142.205459584</v>
      </c>
      <c r="BL192" s="8">
        <f>+MINVU_Mes_Corriente!BL192*MINVU_Mes_Constante!$BC$1</f>
        <v>14316356.675194517</v>
      </c>
      <c r="BM192" s="8">
        <f>+MINVU_Mes_Corriente!BM192*MINVU_Mes_Constante!$BC$1</f>
        <v>15914538.125807732</v>
      </c>
      <c r="BN192" s="8">
        <f>+MINVU_Mes_Corriente!BN192*MINVU_Mes_Constante!$BC$1</f>
        <v>16378834.771198738</v>
      </c>
      <c r="BO192" s="9">
        <f t="shared" si="156"/>
        <v>16378834.771198738</v>
      </c>
      <c r="BP192" s="8">
        <f>+MINVU_Mes_Corriente!BP192*MINVU_Mes_Constante!$BP$1</f>
        <v>7285533.7436619727</v>
      </c>
      <c r="BQ192" s="8">
        <f>+MINVU_Mes_Corriente!BQ192*MINVU_Mes_Constante!$BP$1</f>
        <v>7890270.3564660698</v>
      </c>
      <c r="BR192" s="8">
        <f>+MINVU_Mes_Corriente!BR192*MINVU_Mes_Constante!$BP$1</f>
        <v>8480314.9267605636</v>
      </c>
      <c r="BS192" s="8">
        <f>+MINVU_Mes_Corriente!BS192*MINVU_Mes_Constante!$BP$1</f>
        <v>9830886.0407170299</v>
      </c>
      <c r="BT192" s="8">
        <f>+MINVU_Mes_Corriente!BT192*MINVU_Mes_Constante!$BP$1</f>
        <v>10737643.314468632</v>
      </c>
      <c r="BU192" s="8">
        <f>+MINVU_Mes_Corriente!BU192*MINVU_Mes_Constante!$BP$1</f>
        <v>12440796.8681178</v>
      </c>
      <c r="BV192" s="8">
        <f>+MINVU_Mes_Corriente!BV192*MINVU_Mes_Constante!$BP$1</f>
        <v>12778846.748527531</v>
      </c>
      <c r="BW192" s="8">
        <f>+MINVU_Mes_Corriente!BW192*MINVU_Mes_Constante!$BP$1</f>
        <v>12778846.748527531</v>
      </c>
      <c r="BX192" s="8">
        <f>+MINVU_Mes_Corriente!BX192*MINVU_Mes_Constante!$BP$1</f>
        <v>14943923.882458389</v>
      </c>
      <c r="BY192" s="8">
        <f>+MINVU_Mes_Corriente!BY192*MINVU_Mes_Constante!$BP$1</f>
        <v>27079854.5731114</v>
      </c>
      <c r="BZ192" s="8">
        <f>+MINVU_Mes_Corriente!BZ192*MINVU_Mes_Constante!$BP$1</f>
        <v>31052117.288604356</v>
      </c>
      <c r="CA192" s="8">
        <f>+MINVU_Mes_Corriente!CA192*MINVU_Mes_Constante!$BP$1</f>
        <v>37697398.62407171</v>
      </c>
      <c r="CB192" s="9">
        <f t="shared" si="157"/>
        <v>37697398.62407171</v>
      </c>
      <c r="CC192" s="8">
        <f>+MINVU_Mes_Corriente!CC192*MINVU_Mes_Constante!$CC$1</f>
        <v>203730.57292055205</v>
      </c>
      <c r="CD192" s="8">
        <f>+MINVU_Mes_Corriente!CD192*MINVU_Mes_Constante!$CC$1</f>
        <v>7744497.6859380836</v>
      </c>
      <c r="CE192" s="8">
        <f>+MINVU_Mes_Corriente!CE192*MINVU_Mes_Constante!$CC$1</f>
        <v>11074024.681835137</v>
      </c>
      <c r="CF192" s="8">
        <f>+MINVU_Mes_Corriente!CF192*MINVU_Mes_Constante!$CC$1</f>
        <v>28644096.346885495</v>
      </c>
      <c r="CG192" s="8">
        <f>+MINVU_Mes_Corriente!CG192*MINVU_Mes_Constante!$CC$1</f>
        <v>42426879.245057821</v>
      </c>
      <c r="CH192" s="8">
        <f>+MINVU_Mes_Corriente!CH192*MINVU_Mes_Constante!$CC$1</f>
        <v>43243085.27042149</v>
      </c>
      <c r="CI192" s="8">
        <f>+MINVU_Mes_Corriente!CI192*MINVU_Mes_Constante!$CC$1</f>
        <v>44109881.27042149</v>
      </c>
      <c r="CJ192" s="8">
        <f>+MINVU_Mes_Corriente!CJ192*MINVU_Mes_Constante!$CC$1</f>
        <v>45043790.052219324</v>
      </c>
      <c r="CK192" s="8">
        <f>+MINVU_Mes_Corriente!CK192*MINVU_Mes_Constante!$CC$1</f>
        <v>46682069.241327867</v>
      </c>
      <c r="CL192" s="8">
        <f>+MINVU_Mes_Corriente!CL192*MINVU_Mes_Constante!$CC$1</f>
        <v>62903285.928384937</v>
      </c>
      <c r="CM192" s="8">
        <f>+MINVU_Mes_Corriente!CM192*MINVU_Mes_Constante!$CC$1</f>
        <v>70658657.993286088</v>
      </c>
      <c r="CN192" s="8">
        <f>+MINVU_Mes_Corriente!CN192*MINVU_Mes_Constante!$CC$1</f>
        <v>76277936.607236117</v>
      </c>
      <c r="CO192" s="9">
        <f t="shared" si="158"/>
        <v>76277936.607236117</v>
      </c>
      <c r="CP192" s="8">
        <f>+MINVU_Mes_Corriente!CP192*MINVU_Mes_Constante!$CP$1</f>
        <v>4102091.916473317</v>
      </c>
      <c r="CQ192" s="8">
        <f>+MINVU_Mes_Corriente!CQ192*MINVU_Mes_Constante!$CP$1</f>
        <v>4873478.9241299294</v>
      </c>
      <c r="CR192" s="8">
        <f>+MINVU_Mes_Corriente!CR192*MINVU_Mes_Constante!$CP$1</f>
        <v>5329422.6786542917</v>
      </c>
      <c r="CS192" s="8">
        <f>+MINVU_Mes_Corriente!CS192*MINVU_Mes_Constante!$CP$1</f>
        <v>8007583.011368908</v>
      </c>
      <c r="CT192" s="8">
        <f>+MINVU_Mes_Corriente!CT192*MINVU_Mes_Constante!$CP$1</f>
        <v>9443737.2654292323</v>
      </c>
      <c r="CU192" s="8">
        <f>+MINVU_Mes_Corriente!CU192*MINVU_Mes_Constante!$CP$1</f>
        <v>12922564.257772619</v>
      </c>
      <c r="CV192" s="8">
        <f>+MINVU_Mes_Corriente!CV192*MINVU_Mes_Constante!$CP$1</f>
        <v>15138696.752436193</v>
      </c>
      <c r="CW192" s="8">
        <f>+MINVU_Mes_Corriente!CW192*MINVU_Mes_Constante!$CP$1</f>
        <v>16717799.083990715</v>
      </c>
      <c r="CX192" s="8">
        <f>+MINVU_Mes_Corriente!CX192*MINVU_Mes_Constante!$CP$1</f>
        <v>30022215.634106722</v>
      </c>
      <c r="CY192" s="8">
        <f>+MINVU_Mes_Corriente!CY192*MINVU_Mes_Constante!$CP$1</f>
        <v>30900612.798375864</v>
      </c>
      <c r="CZ192" s="8">
        <f>+MINVU_Mes_Corriente!CZ192*MINVU_Mes_Constante!$CP$1</f>
        <v>32976920.378422268</v>
      </c>
      <c r="DA192" s="8">
        <f>+MINVU_Mes_Corriente!DA192*MINVU_Mes_Constante!$CP$1</f>
        <v>39907872.841531314</v>
      </c>
      <c r="DB192" s="9">
        <f t="shared" si="159"/>
        <v>39907872.841531314</v>
      </c>
      <c r="DC192" s="8">
        <f>+MINVU_Mes_Corriente!DC192*MINVU_Mes_Constante!$DC$1</f>
        <v>48461.716078592763</v>
      </c>
      <c r="DD192" s="8">
        <f>+MINVU_Mes_Corriente!DD192*MINVU_Mes_Constante!$DC$1</f>
        <v>3248557.9732537819</v>
      </c>
      <c r="DE192" s="8">
        <f>+MINVU_Mes_Corriente!DE192*MINVU_Mes_Constante!$DC$1</f>
        <v>3828258.6462298133</v>
      </c>
      <c r="DF192" s="8">
        <f>+MINVU_Mes_Corriente!DF192*MINVU_Mes_Constante!$DC$1</f>
        <v>4780647.0786956102</v>
      </c>
      <c r="DG192" s="8">
        <f>+MINVU_Mes_Corriente!DG192*MINVU_Mes_Constante!$DC$1</f>
        <v>5680140.9029935217</v>
      </c>
      <c r="DH192" s="8">
        <f>+MINVU_Mes_Corriente!DH192*MINVU_Mes_Constante!$DC$1</f>
        <v>17279777.526591923</v>
      </c>
      <c r="DI192" s="8">
        <f>+MINVU_Mes_Corriente!DI192*MINVU_Mes_Constante!$DC$1</f>
        <v>18334667.596955054</v>
      </c>
      <c r="DJ192" s="8">
        <f>+MINVU_Mes_Corriente!DJ192*MINVU_Mes_Constante!$DC$1</f>
        <v>19853908.733463645</v>
      </c>
      <c r="DK192" s="8">
        <f>+MINVU_Mes_Corriente!DK192*MINVU_Mes_Constante!$DC$1</f>
        <v>21226796.993519194</v>
      </c>
      <c r="DL192" s="8">
        <f>+MINVU_Mes_Corriente!DL192*MINVU_Mes_Constante!$DC$1</f>
        <v>26698965.122518271</v>
      </c>
      <c r="DM192" s="8">
        <f>+MINVU_Mes_Corriente!DM192*MINVU_Mes_Constante!$DC$1</f>
        <v>28924127.464869883</v>
      </c>
      <c r="DN192" s="8">
        <f>+MINVU_Mes_Corriente!DN192*MINVU_Mes_Constante!$DC$1</f>
        <v>43923243.829235695</v>
      </c>
      <c r="DO192" s="9">
        <f t="shared" si="160"/>
        <v>43923243.829235695</v>
      </c>
      <c r="DP192" s="8">
        <f>+MINVU_Mes_Corriente!DP192*MINVU_Mes_Constante!$DP$1</f>
        <v>88036.266627078396</v>
      </c>
      <c r="DQ192" s="8">
        <f>+MINVU_Mes_Corriente!DQ192*MINVU_Mes_Constante!$DP$1</f>
        <v>659437.73515439441</v>
      </c>
      <c r="DR192" s="8">
        <f>+MINVU_Mes_Corriente!DR192*MINVU_Mes_Constante!$DP$1</f>
        <v>2196358.4910926367</v>
      </c>
      <c r="DS192" s="8">
        <f>+MINVU_Mes_Corriente!DS192*MINVU_Mes_Constante!$DP$1</f>
        <v>9243498.7286223285</v>
      </c>
      <c r="DT192" s="8">
        <f>+MINVU_Mes_Corriente!DT192*MINVU_Mes_Constante!$DP$1</f>
        <v>11489689.252375297</v>
      </c>
      <c r="DU192" s="8">
        <f>+MINVU_Mes_Corriente!DU192*MINVU_Mes_Constante!$DP$1</f>
        <v>16286059.43230404</v>
      </c>
      <c r="DV192" s="8">
        <f>+MINVU_Mes_Corriente!DV192*MINVU_Mes_Constante!$DP$1</f>
        <v>20766166.031472687</v>
      </c>
      <c r="DW192" s="8">
        <f>+MINVU_Mes_Corriente!DW192*MINVU_Mes_Constante!$DP$1</f>
        <v>27217385.100356296</v>
      </c>
      <c r="DX192" s="8">
        <f>+MINVU_Mes_Corriente!DX192*MINVU_Mes_Constante!$DP$1</f>
        <v>37008317.087885991</v>
      </c>
      <c r="DY192" s="8">
        <f>+MINVU_Mes_Corriente!DY192*MINVU_Mes_Constante!$DP$1</f>
        <v>50076379.717339672</v>
      </c>
      <c r="DZ192" s="8">
        <f>+MINVU_Mes_Corriente!DZ192*MINVU_Mes_Constante!$DP$1</f>
        <v>59547602.930522569</v>
      </c>
      <c r="EA192" s="8">
        <f>+MINVU_Mes_Corriente!EA192*MINVU_Mes_Constante!$DP$1</f>
        <v>84232324.145486951</v>
      </c>
      <c r="EB192" s="9">
        <f t="shared" si="161"/>
        <v>84232324.145486951</v>
      </c>
      <c r="EC192" s="8">
        <f>+MINVU_Mes_Corriente!EC192*MINVU_Mes_Constante!$EC$1</f>
        <v>3265878.8464305992</v>
      </c>
      <c r="ED192" s="8">
        <f>+MINVU_Mes_Corriente!ED192*MINVU_Mes_Constante!$EC$1</f>
        <v>11866046.681878429</v>
      </c>
      <c r="EE192" s="8">
        <f>+MINVU_Mes_Corriente!EE192*MINVU_Mes_Constante!$EC$1</f>
        <v>19409854.86555576</v>
      </c>
      <c r="EF192" s="8">
        <f>+MINVU_Mes_Corriente!EF192*MINVU_Mes_Constante!$EC$1</f>
        <v>25249140.843590222</v>
      </c>
      <c r="EG192" s="8">
        <f>+MINVU_Mes_Corriente!EG192*MINVU_Mes_Constante!$EC$1</f>
        <v>35766623.062109441</v>
      </c>
      <c r="EH192" s="8">
        <f>+MINVU_Mes_Corriente!EH192*MINVU_Mes_Constante!$EC$1</f>
        <v>45016136.877295956</v>
      </c>
      <c r="EI192" s="8">
        <f>+MINVU_Mes_Corriente!EI192*MINVU_Mes_Constante!$EC$1</f>
        <v>49614157.049801156</v>
      </c>
      <c r="EJ192" s="8">
        <f>+MINVU_Mes_Corriente!EJ192*MINVU_Mes_Constante!$EC$1</f>
        <v>50167546.225904167</v>
      </c>
      <c r="EK192" s="8">
        <f>+MINVU_Mes_Corriente!EK192*MINVU_Mes_Constante!$EC$1</f>
        <v>55666545.544215091</v>
      </c>
      <c r="EL192" s="8">
        <f>+MINVU_Mes_Corriente!EL192*MINVU_Mes_Constante!$EC$1</f>
        <v>70939637.020071939</v>
      </c>
      <c r="EM192" s="8">
        <f>+MINVU_Mes_Corriente!EM192*MINVU_Mes_Constante!$EC$1</f>
        <v>75983488.060594559</v>
      </c>
      <c r="EN192" s="8">
        <f>+MINVU_Mes_Corriente!EN192*MINVU_Mes_Constante!$EC$1</f>
        <v>86063358.220980853</v>
      </c>
      <c r="EO192" s="9">
        <f t="shared" si="162"/>
        <v>86063358.220980853</v>
      </c>
      <c r="EP192" s="8">
        <f>+MINVU_Mes_Corriente!EP192*MINVU_Mes_Constante!$EP$1</f>
        <v>5162619</v>
      </c>
      <c r="EQ192" s="8">
        <f>+MINVU_Mes_Corriente!EQ192*MINVU_Mes_Constante!$EP$1</f>
        <v>6212706</v>
      </c>
      <c r="ER192" s="8">
        <f>+MINVU_Mes_Corriente!ER192*MINVU_Mes_Constante!$EP$1</f>
        <v>12203409</v>
      </c>
      <c r="ES192" s="8">
        <f>+MINVU_Mes_Corriente!ES192*MINVU_Mes_Constante!$EP$1</f>
        <v>18101994</v>
      </c>
      <c r="ET192" s="8">
        <f>+MINVU_Mes_Corriente!ET192*MINVU_Mes_Constante!$EP$1</f>
        <v>22718642</v>
      </c>
      <c r="EU192" s="8">
        <f>+MINVU_Mes_Corriente!EU192*MINVU_Mes_Constante!$EP$1</f>
        <v>40341151</v>
      </c>
      <c r="EV192" s="8">
        <f>+MINVU_Mes_Corriente!EV192*MINVU_Mes_Constante!$EP$1</f>
        <v>42422120</v>
      </c>
      <c r="EW192" s="8">
        <f>+MINVU_Mes_Corriente!EW192*MINVU_Mes_Constante!$EP$1</f>
        <v>44141816</v>
      </c>
      <c r="EX192" s="8">
        <f>+MINVU_Mes_Corriente!EX192*MINVU_Mes_Constante!$EP$1</f>
        <v>49674585</v>
      </c>
      <c r="EY192" s="8">
        <f>+MINVU_Mes_Corriente!EY192*MINVU_Mes_Constante!$EP$1</f>
        <v>55503834</v>
      </c>
      <c r="EZ192" s="8">
        <f>+MINVU_Mes_Corriente!EZ192*MINVU_Mes_Constante!$EP$1</f>
        <v>58241570</v>
      </c>
      <c r="FA192" s="8">
        <f>+MINVU_Mes_Corriente!FA192*MINVU_Mes_Constante!$EP$1</f>
        <v>98735963</v>
      </c>
      <c r="FB192" s="9">
        <f t="shared" si="163"/>
        <v>98735963</v>
      </c>
      <c r="FC192" s="8">
        <f>+MINVU_Mes_Corriente!FC192*MINVU_Mes_Constante!$FC$1</f>
        <v>117347</v>
      </c>
      <c r="FD192" s="8">
        <f>+MINVU_Mes_Corriente!FD192*MINVU_Mes_Constante!$FC$1</f>
        <v>1914497</v>
      </c>
      <c r="FE192" s="8">
        <f>+MINVU_Mes_Corriente!FE192*MINVU_Mes_Constante!$FC$1</f>
        <v>14349883</v>
      </c>
      <c r="FF192" s="8">
        <f>+MINVU_Mes_Corriente!FF192*MINVU_Mes_Constante!$FC$1</f>
        <v>23436434</v>
      </c>
      <c r="FG192" s="8">
        <f>+MINVU_Mes_Corriente!FG192*MINVU_Mes_Constante!$FC$1</f>
        <v>30895355</v>
      </c>
      <c r="FH192" s="8">
        <f>+MINVU_Mes_Corriente!FH192*MINVU_Mes_Constante!$FC$1</f>
        <v>38095824</v>
      </c>
      <c r="FI192" s="8">
        <f>+MINVU_Mes_Corriente!FI192*MINVU_Mes_Constante!$FC$1</f>
        <v>64490069</v>
      </c>
      <c r="FJ192" s="8"/>
      <c r="FK192" s="8"/>
      <c r="FL192" s="8"/>
      <c r="FM192" s="8"/>
      <c r="FN192" s="8"/>
      <c r="FO192" s="9">
        <f t="shared" si="164"/>
        <v>64490069</v>
      </c>
    </row>
    <row r="193" spans="2:171" ht="14.25" customHeight="1" x14ac:dyDescent="0.3">
      <c r="B193" s="7" t="s">
        <v>46</v>
      </c>
      <c r="C193" s="8">
        <f>+MINVU_Mes_Corriente!C193*MINVU_Mes_Constante!$C$1</f>
        <v>1894581.0387068074</v>
      </c>
      <c r="D193" s="8">
        <f>+MINVU_Mes_Corriente!D193*MINVU_Mes_Constante!$C$1</f>
        <v>4263017.9822037676</v>
      </c>
      <c r="E193" s="8">
        <f>+MINVU_Mes_Corriente!E193*MINVU_Mes_Constante!$C$1</f>
        <v>5596795.2946759611</v>
      </c>
      <c r="F193" s="8">
        <f>+MINVU_Mes_Corriente!F193*MINVU_Mes_Constante!$C$1</f>
        <v>7514411.1867121467</v>
      </c>
      <c r="G193" s="8">
        <f>+MINVU_Mes_Corriente!G193*MINVU_Mes_Constante!$C$1</f>
        <v>9524273.4349696003</v>
      </c>
      <c r="H193" s="8">
        <f>+MINVU_Mes_Corriente!H193*MINVU_Mes_Constante!$C$1</f>
        <v>11640615.167729499</v>
      </c>
      <c r="I193" s="8">
        <f>+MINVU_Mes_Corriente!I193*MINVU_Mes_Constante!$C$1</f>
        <v>13888660.327154089</v>
      </c>
      <c r="J193" s="8">
        <f>+MINVU_Mes_Corriente!J193*MINVU_Mes_Constante!$C$1</f>
        <v>17539125.560136441</v>
      </c>
      <c r="K193" s="8">
        <f>+MINVU_Mes_Corriente!K193*MINVU_Mes_Constante!$C$1</f>
        <v>20876097.392851848</v>
      </c>
      <c r="L193" s="8">
        <f>+MINVU_Mes_Corriente!L193*MINVU_Mes_Constante!$C$1</f>
        <v>24344212.012160763</v>
      </c>
      <c r="M193" s="8">
        <f>+MINVU_Mes_Corriente!M193*MINVU_Mes_Constante!$C$1</f>
        <v>27668272.919768654</v>
      </c>
      <c r="N193" s="8">
        <f>+MINVU_Mes_Corriente!N193*MINVU_Mes_Constante!$C$1</f>
        <v>29892335.322853334</v>
      </c>
      <c r="O193" s="9">
        <f t="shared" si="152"/>
        <v>29892335.322853334</v>
      </c>
      <c r="P193" s="8">
        <f>+MINVU_Mes_Corriente!P193*MINVU_Mes_Constante!$P$1</f>
        <v>3972270.7782355435</v>
      </c>
      <c r="Q193" s="8">
        <f>+MINVU_Mes_Corriente!Q193*MINVU_Mes_Constante!$P$1</f>
        <v>7048227.7130274158</v>
      </c>
      <c r="R193" s="8">
        <f>+MINVU_Mes_Corriente!R193*MINVU_Mes_Constante!$P$1</f>
        <v>12209260.95070322</v>
      </c>
      <c r="S193" s="8">
        <f>+MINVU_Mes_Corriente!S193*MINVU_Mes_Constante!$P$1</f>
        <v>16328598.886489552</v>
      </c>
      <c r="T193" s="8">
        <f>+MINVU_Mes_Corriente!T193*MINVU_Mes_Constante!$P$1</f>
        <v>20980277.805654205</v>
      </c>
      <c r="U193" s="8">
        <f>+MINVU_Mes_Corriente!U193*MINVU_Mes_Constante!$P$1</f>
        <v>25157027.300184675</v>
      </c>
      <c r="V193" s="8">
        <f>+MINVU_Mes_Corriente!V193*MINVU_Mes_Constante!$P$1</f>
        <v>29928426.556613144</v>
      </c>
      <c r="W193" s="8">
        <f>+MINVU_Mes_Corriente!W193*MINVU_Mes_Constante!$P$1</f>
        <v>36639691.400483012</v>
      </c>
      <c r="X193" s="8">
        <f>+MINVU_Mes_Corriente!X193*MINVU_Mes_Constante!$P$1</f>
        <v>40959596.485580325</v>
      </c>
      <c r="Y193" s="8">
        <f>+MINVU_Mes_Corriente!Y193*MINVU_Mes_Constante!$P$1</f>
        <v>47194567.512998991</v>
      </c>
      <c r="Z193" s="8">
        <f>+MINVU_Mes_Corriente!Z193*MINVU_Mes_Constante!$P$1</f>
        <v>48423128.614291787</v>
      </c>
      <c r="AA193" s="8">
        <f>+MINVU_Mes_Corriente!AA193*MINVU_Mes_Constante!$P$1</f>
        <v>59442565.394516245</v>
      </c>
      <c r="AB193" s="9">
        <f t="shared" si="153"/>
        <v>59442565.394516245</v>
      </c>
      <c r="AC193" s="8">
        <f>+MINVU_Mes_Corriente!AC193*MINVU_Mes_Constante!$AC$1</f>
        <v>6959295.2203624286</v>
      </c>
      <c r="AD193" s="8">
        <f>+MINVU_Mes_Corriente!AD193*MINVU_Mes_Constante!$AC$1</f>
        <v>12450697.681560382</v>
      </c>
      <c r="AE193" s="8">
        <f>+MINVU_Mes_Corriente!AE193*MINVU_Mes_Constante!$AC$1</f>
        <v>17237862.084659014</v>
      </c>
      <c r="AF193" s="8">
        <f>+MINVU_Mes_Corriente!AF193*MINVU_Mes_Constante!$AC$1</f>
        <v>28225012.317609627</v>
      </c>
      <c r="AG193" s="8">
        <f>+MINVU_Mes_Corriente!AG193*MINVU_Mes_Constante!$AC$1</f>
        <v>33847174.619726107</v>
      </c>
      <c r="AH193" s="8">
        <f>+MINVU_Mes_Corriente!AH193*MINVU_Mes_Constante!$AC$1</f>
        <v>41677019.180799559</v>
      </c>
      <c r="AI193" s="8">
        <f>+MINVU_Mes_Corriente!AI193*MINVU_Mes_Constante!$AC$1</f>
        <v>47450729.289528288</v>
      </c>
      <c r="AJ193" s="8">
        <f>+MINVU_Mes_Corriente!AJ193*MINVU_Mes_Constante!$AC$1</f>
        <v>52361451.653617375</v>
      </c>
      <c r="AK193" s="8">
        <f>+MINVU_Mes_Corriente!AK193*MINVU_Mes_Constante!$AC$1</f>
        <v>60420887.310278043</v>
      </c>
      <c r="AL193" s="8">
        <f>+MINVU_Mes_Corriente!AL193*MINVU_Mes_Constante!$AC$1</f>
        <v>69227504.784617513</v>
      </c>
      <c r="AM193" s="8">
        <f>+MINVU_Mes_Corriente!AM193*MINVU_Mes_Constante!$AC$1</f>
        <v>77852371.899017841</v>
      </c>
      <c r="AN193" s="8">
        <f>+MINVU_Mes_Corriente!AN193*MINVU_Mes_Constante!$AC$1</f>
        <v>83399367.129893482</v>
      </c>
      <c r="AO193" s="9">
        <f t="shared" si="154"/>
        <v>83399367.129893482</v>
      </c>
      <c r="AP193" s="8">
        <f>+MINVU_Mes_Corriente!AP193*MINVU_Mes_Constante!$AP$1</f>
        <v>7265553.5384823475</v>
      </c>
      <c r="AQ193" s="8">
        <f>+MINVU_Mes_Corriente!AQ193*MINVU_Mes_Constante!$AP$1</f>
        <v>11599421.711889625</v>
      </c>
      <c r="AR193" s="8">
        <f>+MINVU_Mes_Corriente!AR193*MINVU_Mes_Constante!$AP$1</f>
        <v>17905062.675233327</v>
      </c>
      <c r="AS193" s="8">
        <f>+MINVU_Mes_Corriente!AS193*MINVU_Mes_Constante!$AP$1</f>
        <v>24006244.231570404</v>
      </c>
      <c r="AT193" s="8">
        <f>+MINVU_Mes_Corriente!AT193*MINVU_Mes_Constante!$AP$1</f>
        <v>29708365.941295817</v>
      </c>
      <c r="AU193" s="8">
        <f>+MINVU_Mes_Corriente!AU193*MINVU_Mes_Constante!$AP$1</f>
        <v>34849309.787907481</v>
      </c>
      <c r="AV193" s="8">
        <f>+MINVU_Mes_Corriente!AV193*MINVU_Mes_Constante!$AP$1</f>
        <v>39968360.25375355</v>
      </c>
      <c r="AW193" s="8">
        <f>+MINVU_Mes_Corriente!AW193*MINVU_Mes_Constante!$AP$1</f>
        <v>46456413.543351814</v>
      </c>
      <c r="AX193" s="8">
        <f>+MINVU_Mes_Corriente!AX193*MINVU_Mes_Constante!$AP$1</f>
        <v>55759159.906397939</v>
      </c>
      <c r="AY193" s="8">
        <f>+MINVU_Mes_Corriente!AY193*MINVU_Mes_Constante!$AP$1</f>
        <v>59711849.157581493</v>
      </c>
      <c r="AZ193" s="8">
        <f>+MINVU_Mes_Corriente!AZ193*MINVU_Mes_Constante!$AP$1</f>
        <v>63170554.041661024</v>
      </c>
      <c r="BA193" s="8">
        <f>+MINVU_Mes_Corriente!BA193*MINVU_Mes_Constante!$AP$1</f>
        <v>65025550.311105095</v>
      </c>
      <c r="BB193" s="9">
        <f t="shared" si="155"/>
        <v>65025550.311105095</v>
      </c>
      <c r="BC193" s="8">
        <f>+MINVU_Mes_Corriente!BC193*MINVU_Mes_Constante!$BC$1</f>
        <v>5343031.5690360032</v>
      </c>
      <c r="BD193" s="8">
        <f>+MINVU_Mes_Corriente!BD193*MINVU_Mes_Constante!$BC$1</f>
        <v>8471724.7366477661</v>
      </c>
      <c r="BE193" s="8">
        <f>+MINVU_Mes_Corriente!BE193*MINVU_Mes_Constante!$BC$1</f>
        <v>13568561.812475277</v>
      </c>
      <c r="BF193" s="8">
        <f>+MINVU_Mes_Corriente!BF193*MINVU_Mes_Constante!$BC$1</f>
        <v>16631315.712778587</v>
      </c>
      <c r="BG193" s="8">
        <f>+MINVU_Mes_Corriente!BG193*MINVU_Mes_Constante!$BC$1</f>
        <v>20681724.972438354</v>
      </c>
      <c r="BH193" s="8">
        <f>+MINVU_Mes_Corriente!BH193*MINVU_Mes_Constante!$BC$1</f>
        <v>24136294.771198738</v>
      </c>
      <c r="BI193" s="8">
        <f>+MINVU_Mes_Corriente!BI193*MINVU_Mes_Constante!$BC$1</f>
        <v>29725747.047606494</v>
      </c>
      <c r="BJ193" s="8">
        <f>+MINVU_Mes_Corriente!BJ193*MINVU_Mes_Constante!$BC$1</f>
        <v>33609365.867071092</v>
      </c>
      <c r="BK193" s="8">
        <f>+MINVU_Mes_Corriente!BK193*MINVU_Mes_Constante!$BC$1</f>
        <v>36379408.726097859</v>
      </c>
      <c r="BL193" s="8">
        <f>+MINVU_Mes_Corriente!BL193*MINVU_Mes_Constante!$BC$1</f>
        <v>39920411.066332594</v>
      </c>
      <c r="BM193" s="8">
        <f>+MINVU_Mes_Corriente!BM193*MINVU_Mes_Constante!$BC$1</f>
        <v>56784080.423579074</v>
      </c>
      <c r="BN193" s="8">
        <f>+MINVU_Mes_Corriente!BN193*MINVU_Mes_Constante!$BC$1</f>
        <v>57362517.243307412</v>
      </c>
      <c r="BO193" s="9">
        <f t="shared" si="156"/>
        <v>57362517.243307412</v>
      </c>
      <c r="BP193" s="8">
        <f>+MINVU_Mes_Corriente!BP193*MINVU_Mes_Constante!$BP$1</f>
        <v>6324472.4312419984</v>
      </c>
      <c r="BQ193" s="8">
        <f>+MINVU_Mes_Corriente!BQ193*MINVU_Mes_Constante!$BP$1</f>
        <v>10697670.382586429</v>
      </c>
      <c r="BR193" s="8">
        <f>+MINVU_Mes_Corriente!BR193*MINVU_Mes_Constante!$BP$1</f>
        <v>14828520.980281692</v>
      </c>
      <c r="BS193" s="8">
        <f>+MINVU_Mes_Corriente!BS193*MINVU_Mes_Constante!$BP$1</f>
        <v>17963509.346734956</v>
      </c>
      <c r="BT193" s="8">
        <f>+MINVU_Mes_Corriente!BT193*MINVU_Mes_Constante!$BP$1</f>
        <v>22645588.535723433</v>
      </c>
      <c r="BU193" s="8">
        <f>+MINVU_Mes_Corriente!BU193*MINVU_Mes_Constante!$BP$1</f>
        <v>26314101.456338029</v>
      </c>
      <c r="BV193" s="8">
        <f>+MINVU_Mes_Corriente!BV193*MINVU_Mes_Constante!$BP$1</f>
        <v>30162805.241485279</v>
      </c>
      <c r="BW193" s="8">
        <f>+MINVU_Mes_Corriente!BW193*MINVU_Mes_Constante!$BP$1</f>
        <v>34961322.574647889</v>
      </c>
      <c r="BX193" s="8">
        <f>+MINVU_Mes_Corriente!BX193*MINVU_Mes_Constante!$BP$1</f>
        <v>37996046.354673497</v>
      </c>
      <c r="BY193" s="8">
        <f>+MINVU_Mes_Corriente!BY193*MINVU_Mes_Constante!$BP$1</f>
        <v>41417894.68271447</v>
      </c>
      <c r="BZ193" s="8">
        <f>+MINVU_Mes_Corriente!BZ193*MINVU_Mes_Constante!$BP$1</f>
        <v>45280438.534186944</v>
      </c>
      <c r="CA193" s="8">
        <f>+MINVU_Mes_Corriente!CA193*MINVU_Mes_Constante!$BP$1</f>
        <v>47677332.93188221</v>
      </c>
      <c r="CB193" s="9">
        <f t="shared" si="157"/>
        <v>47677332.93188221</v>
      </c>
      <c r="CC193" s="8">
        <f>+MINVU_Mes_Corriente!CC193*MINVU_Mes_Constante!$CC$1</f>
        <v>2020357.72771354</v>
      </c>
      <c r="CD193" s="8">
        <f>+MINVU_Mes_Corriente!CD193*MINVU_Mes_Constante!$CC$1</f>
        <v>5658449.4718388664</v>
      </c>
      <c r="CE193" s="8">
        <f>+MINVU_Mes_Corriente!CE193*MINVU_Mes_Constante!$CC$1</f>
        <v>7362909.5471838871</v>
      </c>
      <c r="CF193" s="8">
        <f>+MINVU_Mes_Corriente!CF193*MINVU_Mes_Constante!$CC$1</f>
        <v>9604885.895561358</v>
      </c>
      <c r="CG193" s="8">
        <f>+MINVU_Mes_Corriente!CG193*MINVU_Mes_Constante!$CC$1</f>
        <v>11324589.119731445</v>
      </c>
      <c r="CH193" s="8">
        <f>+MINVU_Mes_Corriente!CH193*MINVU_Mes_Constante!$CC$1</f>
        <v>12385965.184632601</v>
      </c>
      <c r="CI193" s="8">
        <f>+MINVU_Mes_Corriente!CI193*MINVU_Mes_Constante!$CC$1</f>
        <v>13327136.231256995</v>
      </c>
      <c r="CJ193" s="8">
        <f>+MINVU_Mes_Corriente!CJ193*MINVU_Mes_Constante!$CC$1</f>
        <v>16213639.262215592</v>
      </c>
      <c r="CK193" s="8">
        <f>+MINVU_Mes_Corriente!CK193*MINVU_Mes_Constante!$CC$1</f>
        <v>18844642.612458039</v>
      </c>
      <c r="CL193" s="8">
        <f>+MINVU_Mes_Corriente!CL193*MINVU_Mes_Constante!$CC$1</f>
        <v>28729588.934725851</v>
      </c>
      <c r="CM193" s="8">
        <f>+MINVU_Mes_Corriente!CM193*MINVU_Mes_Constante!$CC$1</f>
        <v>43782571.293547191</v>
      </c>
      <c r="CN193" s="8">
        <f>+MINVU_Mes_Corriente!CN193*MINVU_Mes_Constante!$CC$1</f>
        <v>52427156.472957857</v>
      </c>
      <c r="CO193" s="9">
        <f t="shared" si="158"/>
        <v>52427156.472957857</v>
      </c>
      <c r="CP193" s="8">
        <f>+MINVU_Mes_Corriente!CP193*MINVU_Mes_Constante!$CP$1</f>
        <v>2809679.2058004634</v>
      </c>
      <c r="CQ193" s="8">
        <f>+MINVU_Mes_Corriente!CQ193*MINVU_Mes_Constante!$CP$1</f>
        <v>6332947.8932714602</v>
      </c>
      <c r="CR193" s="8">
        <f>+MINVU_Mes_Corriente!CR193*MINVU_Mes_Constante!$CP$1</f>
        <v>9822149.5155452415</v>
      </c>
      <c r="CS193" s="8">
        <f>+MINVU_Mes_Corriente!CS193*MINVU_Mes_Constante!$CP$1</f>
        <v>12135750.295823663</v>
      </c>
      <c r="CT193" s="8">
        <f>+MINVU_Mes_Corriente!CT193*MINVU_Mes_Constante!$CP$1</f>
        <v>16451796.614617165</v>
      </c>
      <c r="CU193" s="8">
        <f>+MINVU_Mes_Corriente!CU193*MINVU_Mes_Constante!$CP$1</f>
        <v>21120304.032250576</v>
      </c>
      <c r="CV193" s="8">
        <f>+MINVU_Mes_Corriente!CV193*MINVU_Mes_Constante!$CP$1</f>
        <v>26161682.11392111</v>
      </c>
      <c r="CW193" s="8">
        <f>+MINVU_Mes_Corriente!CW193*MINVU_Mes_Constante!$CP$1</f>
        <v>30157615.645475633</v>
      </c>
      <c r="CX193" s="8">
        <f>+MINVU_Mes_Corriente!CX193*MINVU_Mes_Constante!$CP$1</f>
        <v>32756677.822273776</v>
      </c>
      <c r="CY193" s="8">
        <f>+MINVU_Mes_Corriente!CY193*MINVU_Mes_Constante!$CP$1</f>
        <v>38682611.935266815</v>
      </c>
      <c r="CZ193" s="8">
        <f>+MINVU_Mes_Corriente!CZ193*MINVU_Mes_Constante!$CP$1</f>
        <v>43460087.823897906</v>
      </c>
      <c r="DA193" s="8">
        <f>+MINVU_Mes_Corriente!DA193*MINVU_Mes_Constante!$CP$1</f>
        <v>49859419.406032473</v>
      </c>
      <c r="DB193" s="9">
        <f t="shared" si="159"/>
        <v>49859419.406032473</v>
      </c>
      <c r="DC193" s="8">
        <f>+MINVU_Mes_Corriente!DC193*MINVU_Mes_Constante!$DC$1</f>
        <v>6173886.8542331066</v>
      </c>
      <c r="DD193" s="8">
        <f>+MINVU_Mes_Corriente!DD193*MINVU_Mes_Constante!$DC$1</f>
        <v>10421990.060281869</v>
      </c>
      <c r="DE193" s="8">
        <f>+MINVU_Mes_Corriente!DE193*MINVU_Mes_Constante!$DC$1</f>
        <v>18512741.952474035</v>
      </c>
      <c r="DF193" s="8">
        <f>+MINVU_Mes_Corriente!DF193*MINVU_Mes_Constante!$DC$1</f>
        <v>25703520.090114199</v>
      </c>
      <c r="DG193" s="8">
        <f>+MINVU_Mes_Corriente!DG193*MINVU_Mes_Constante!$DC$1</f>
        <v>33008004.60734494</v>
      </c>
      <c r="DH193" s="8">
        <f>+MINVU_Mes_Corriente!DH193*MINVU_Mes_Constante!$DC$1</f>
        <v>40141086.586359449</v>
      </c>
      <c r="DI193" s="8">
        <f>+MINVU_Mes_Corriente!DI193*MINVU_Mes_Constante!$DC$1</f>
        <v>45994786.903816499</v>
      </c>
      <c r="DJ193" s="8">
        <f>+MINVU_Mes_Corriente!DJ193*MINVU_Mes_Constante!$DC$1</f>
        <v>57270708.885094151</v>
      </c>
      <c r="DK193" s="8">
        <f>+MINVU_Mes_Corriente!DK193*MINVU_Mes_Constante!$DC$1</f>
        <v>65546979.10955666</v>
      </c>
      <c r="DL193" s="8">
        <f>+MINVU_Mes_Corriente!DL193*MINVU_Mes_Constante!$DC$1</f>
        <v>81223054.518670961</v>
      </c>
      <c r="DM193" s="8">
        <f>+MINVU_Mes_Corriente!DM193*MINVU_Mes_Constante!$DC$1</f>
        <v>88395621.157699868</v>
      </c>
      <c r="DN193" s="8">
        <f>+MINVU_Mes_Corriente!DN193*MINVU_Mes_Constante!$DC$1</f>
        <v>94958565.102150023</v>
      </c>
      <c r="DO193" s="9">
        <f t="shared" si="160"/>
        <v>94958565.102150023</v>
      </c>
      <c r="DP193" s="8">
        <f>+MINVU_Mes_Corriente!DP193*MINVU_Mes_Constante!$DP$1</f>
        <v>7284419.5653206659</v>
      </c>
      <c r="DQ193" s="8">
        <f>+MINVU_Mes_Corriente!DQ193*MINVU_Mes_Constante!$DP$1</f>
        <v>18687353.955463186</v>
      </c>
      <c r="DR193" s="8">
        <f>+MINVU_Mes_Corriente!DR193*MINVU_Mes_Constante!$DP$1</f>
        <v>33098475.454275537</v>
      </c>
      <c r="DS193" s="8">
        <f>+MINVU_Mes_Corriente!DS193*MINVU_Mes_Constante!$DP$1</f>
        <v>41037722.942992881</v>
      </c>
      <c r="DT193" s="8">
        <f>+MINVU_Mes_Corriente!DT193*MINVU_Mes_Constante!$DP$1</f>
        <v>50712035.235748224</v>
      </c>
      <c r="DU193" s="8">
        <f>+MINVU_Mes_Corriente!DU193*MINVU_Mes_Constante!$DP$1</f>
        <v>58901974.084916867</v>
      </c>
      <c r="DV193" s="8">
        <f>+MINVU_Mes_Corriente!DV193*MINVU_Mes_Constante!$DP$1</f>
        <v>65767785.327790983</v>
      </c>
      <c r="DW193" s="8">
        <f>+MINVU_Mes_Corriente!DW193*MINVU_Mes_Constante!$DP$1</f>
        <v>72462552.333135396</v>
      </c>
      <c r="DX193" s="8">
        <f>+MINVU_Mes_Corriente!DX193*MINVU_Mes_Constante!$DP$1</f>
        <v>77284506.265439436</v>
      </c>
      <c r="DY193" s="8">
        <f>+MINVU_Mes_Corriente!DY193*MINVU_Mes_Constante!$DP$1</f>
        <v>84882656.880641341</v>
      </c>
      <c r="DZ193" s="8">
        <f>+MINVU_Mes_Corriente!DZ193*MINVU_Mes_Constante!$DP$1</f>
        <v>91938572.305225655</v>
      </c>
      <c r="EA193" s="8">
        <f>+MINVU_Mes_Corriente!EA193*MINVU_Mes_Constante!$DP$1</f>
        <v>98722405.026128277</v>
      </c>
      <c r="EB193" s="9">
        <f t="shared" si="161"/>
        <v>98722405.026128277</v>
      </c>
      <c r="EC193" s="8">
        <f>+MINVU_Mes_Corriente!EC193*MINVU_Mes_Constante!$EC$1</f>
        <v>5477612.8267373582</v>
      </c>
      <c r="ED193" s="8">
        <f>+MINVU_Mes_Corriente!ED193*MINVU_Mes_Constante!$EC$1</f>
        <v>11652552.10395758</v>
      </c>
      <c r="EE193" s="8">
        <f>+MINVU_Mes_Corriente!EE193*MINVU_Mes_Constante!$EC$1</f>
        <v>18151726.275894713</v>
      </c>
      <c r="EF193" s="8">
        <f>+MINVU_Mes_Corriente!EF193*MINVU_Mes_Constante!$EC$1</f>
        <v>24500793.635106981</v>
      </c>
      <c r="EG193" s="8">
        <f>+MINVU_Mes_Corriente!EG193*MINVU_Mes_Constante!$EC$1</f>
        <v>30701222.084832408</v>
      </c>
      <c r="EH193" s="8">
        <f>+MINVU_Mes_Corriente!EH193*MINVU_Mes_Constante!$EC$1</f>
        <v>36374027.767089553</v>
      </c>
      <c r="EI193" s="8">
        <f>+MINVU_Mes_Corriente!EI193*MINVU_Mes_Constante!$EC$1</f>
        <v>42640049.457489096</v>
      </c>
      <c r="EJ193" s="8">
        <f>+MINVU_Mes_Corriente!EJ193*MINVU_Mes_Constante!$EC$1</f>
        <v>51355558.901912503</v>
      </c>
      <c r="EK193" s="8">
        <f>+MINVU_Mes_Corriente!EK193*MINVU_Mes_Constante!$EC$1</f>
        <v>60288315.95663698</v>
      </c>
      <c r="EL193" s="8">
        <f>+MINVU_Mes_Corriente!EL193*MINVU_Mes_Constante!$EC$1</f>
        <v>71134590.914599478</v>
      </c>
      <c r="EM193" s="8">
        <f>+MINVU_Mes_Corriente!EM193*MINVU_Mes_Constante!$EC$1</f>
        <v>78059341.165688291</v>
      </c>
      <c r="EN193" s="8">
        <f>+MINVU_Mes_Corriente!EN193*MINVU_Mes_Constante!$EC$1</f>
        <v>84482280.574323013</v>
      </c>
      <c r="EO193" s="9">
        <f t="shared" si="162"/>
        <v>84482280.574323013</v>
      </c>
      <c r="EP193" s="8">
        <f>+MINVU_Mes_Corriente!EP193*MINVU_Mes_Constante!$EP$1</f>
        <v>12319058</v>
      </c>
      <c r="EQ193" s="8">
        <f>+MINVU_Mes_Corriente!EQ193*MINVU_Mes_Constante!$EP$1</f>
        <v>20516169</v>
      </c>
      <c r="ER193" s="8">
        <f>+MINVU_Mes_Corriente!ER193*MINVU_Mes_Constante!$EP$1</f>
        <v>36684583</v>
      </c>
      <c r="ES193" s="8">
        <f>+MINVU_Mes_Corriente!ES193*MINVU_Mes_Constante!$EP$1</f>
        <v>45010537</v>
      </c>
      <c r="ET193" s="8">
        <f>+MINVU_Mes_Corriente!ET193*MINVU_Mes_Constante!$EP$1</f>
        <v>51810760</v>
      </c>
      <c r="EU193" s="8">
        <f>+MINVU_Mes_Corriente!EU193*MINVU_Mes_Constante!$EP$1</f>
        <v>59658272</v>
      </c>
      <c r="EV193" s="8">
        <f>+MINVU_Mes_Corriente!EV193*MINVU_Mes_Constante!$EP$1</f>
        <v>71471953</v>
      </c>
      <c r="EW193" s="8">
        <f>+MINVU_Mes_Corriente!EW193*MINVU_Mes_Constante!$EP$1</f>
        <v>79470080</v>
      </c>
      <c r="EX193" s="8">
        <f>+MINVU_Mes_Corriente!EX193*MINVU_Mes_Constante!$EP$1</f>
        <v>88938746</v>
      </c>
      <c r="EY193" s="8">
        <f>+MINVU_Mes_Corriente!EY193*MINVU_Mes_Constante!$EP$1</f>
        <v>96130776</v>
      </c>
      <c r="EZ193" s="8">
        <f>+MINVU_Mes_Corriente!EZ193*MINVU_Mes_Constante!$EP$1</f>
        <v>102149147</v>
      </c>
      <c r="FA193" s="8">
        <f>+MINVU_Mes_Corriente!FA193*MINVU_Mes_Constante!$EP$1</f>
        <v>117116960</v>
      </c>
      <c r="FB193" s="9">
        <f t="shared" si="163"/>
        <v>117116960</v>
      </c>
      <c r="FC193" s="8">
        <f>+MINVU_Mes_Corriente!FC193*MINVU_Mes_Constante!$FC$1</f>
        <v>6813264</v>
      </c>
      <c r="FD193" s="8">
        <f>+MINVU_Mes_Corriente!FD193*MINVU_Mes_Constante!$FC$1</f>
        <v>13968911</v>
      </c>
      <c r="FE193" s="8">
        <f>+MINVU_Mes_Corriente!FE193*MINVU_Mes_Constante!$FC$1</f>
        <v>21429580</v>
      </c>
      <c r="FF193" s="8">
        <f>+MINVU_Mes_Corriente!FF193*MINVU_Mes_Constante!$FC$1</f>
        <v>26740171</v>
      </c>
      <c r="FG193" s="8">
        <f>+MINVU_Mes_Corriente!FG193*MINVU_Mes_Constante!$FC$1</f>
        <v>33046571</v>
      </c>
      <c r="FH193" s="8">
        <f>+MINVU_Mes_Corriente!FH193*MINVU_Mes_Constante!$FC$1</f>
        <v>38579551</v>
      </c>
      <c r="FI193" s="8">
        <f>+MINVU_Mes_Corriente!FI193*MINVU_Mes_Constante!$FC$1</f>
        <v>44698490</v>
      </c>
      <c r="FJ193" s="8"/>
      <c r="FK193" s="8"/>
      <c r="FL193" s="8"/>
      <c r="FM193" s="8"/>
      <c r="FN193" s="8"/>
      <c r="FO193" s="9">
        <f t="shared" si="164"/>
        <v>44698490</v>
      </c>
    </row>
    <row r="194" spans="2:171" ht="14.25" customHeight="1" x14ac:dyDescent="0.3">
      <c r="B194" s="7" t="s">
        <v>47</v>
      </c>
      <c r="C194" s="8">
        <f>+MINVU_Mes_Corriente!C194*MINVU_Mes_Constante!$C$1</f>
        <v>1075458.3488061696</v>
      </c>
      <c r="D194" s="8">
        <f>+MINVU_Mes_Corriente!D194*MINVU_Mes_Constante!$C$1</f>
        <v>2270007.343022394</v>
      </c>
      <c r="E194" s="8">
        <f>+MINVU_Mes_Corriente!E194*MINVU_Mes_Constante!$C$1</f>
        <v>3552442.3396114493</v>
      </c>
      <c r="F194" s="8">
        <f>+MINVU_Mes_Corriente!F194*MINVU_Mes_Constante!$C$1</f>
        <v>4743444.3941865647</v>
      </c>
      <c r="G194" s="8">
        <f>+MINVU_Mes_Corriente!G194*MINVU_Mes_Constante!$C$1</f>
        <v>7025489.2952691689</v>
      </c>
      <c r="H194" s="8">
        <f>+MINVU_Mes_Corriente!H194*MINVU_Mes_Constante!$C$1</f>
        <v>8561322.2616046276</v>
      </c>
      <c r="I194" s="8">
        <f>+MINVU_Mes_Corriente!I194*MINVU_Mes_Constante!$C$1</f>
        <v>9982245.0778585207</v>
      </c>
      <c r="J194" s="8">
        <f>+MINVU_Mes_Corriente!J194*MINVU_Mes_Constante!$C$1</f>
        <v>13411508.636511941</v>
      </c>
      <c r="K194" s="8">
        <f>+MINVU_Mes_Corriente!K194*MINVU_Mes_Constante!$C$1</f>
        <v>14898071.710811215</v>
      </c>
      <c r="L194" s="8">
        <f>+MINVU_Mes_Corriente!L194*MINVU_Mes_Constante!$C$1</f>
        <v>19990012.241732169</v>
      </c>
      <c r="M194" s="8">
        <f>+MINVU_Mes_Corriente!M194*MINVU_Mes_Constante!$C$1</f>
        <v>23440231.74847991</v>
      </c>
      <c r="N194" s="8">
        <f>+MINVU_Mes_Corriente!N194*MINVU_Mes_Constante!$C$1</f>
        <v>27595389.710514612</v>
      </c>
      <c r="O194" s="9">
        <f t="shared" si="152"/>
        <v>27595389.710514612</v>
      </c>
      <c r="P194" s="8">
        <f>+MINVU_Mes_Corriente!P194*MINVU_Mes_Constante!$P$1</f>
        <v>1724465.5277738308</v>
      </c>
      <c r="Q194" s="8">
        <f>+MINVU_Mes_Corriente!Q194*MINVU_Mes_Constante!$P$1</f>
        <v>3733554.9853672381</v>
      </c>
      <c r="R194" s="8">
        <f>+MINVU_Mes_Corriente!R194*MINVU_Mes_Constante!$P$1</f>
        <v>5925982.0710328147</v>
      </c>
      <c r="S194" s="8">
        <f>+MINVU_Mes_Corriente!S194*MINVU_Mes_Constante!$P$1</f>
        <v>8377379.726381585</v>
      </c>
      <c r="T194" s="8">
        <f>+MINVU_Mes_Corriente!T194*MINVU_Mes_Constante!$P$1</f>
        <v>10348734.980252873</v>
      </c>
      <c r="U194" s="8">
        <f>+MINVU_Mes_Corriente!U194*MINVU_Mes_Constante!$P$1</f>
        <v>13002860.460008519</v>
      </c>
      <c r="V194" s="8">
        <f>+MINVU_Mes_Corriente!V194*MINVU_Mes_Constante!$P$1</f>
        <v>17909359.341667842</v>
      </c>
      <c r="W194" s="8">
        <f>+MINVU_Mes_Corriente!W194*MINVU_Mes_Constante!$P$1</f>
        <v>21311756.719988625</v>
      </c>
      <c r="X194" s="8">
        <f>+MINVU_Mes_Corriente!X194*MINVU_Mes_Constante!$P$1</f>
        <v>25486261.720130689</v>
      </c>
      <c r="Y194" s="8">
        <f>+MINVU_Mes_Corriente!Y194*MINVU_Mes_Constante!$P$1</f>
        <v>27729477.08822275</v>
      </c>
      <c r="Z194" s="8">
        <f>+MINVU_Mes_Corriente!Z194*MINVU_Mes_Constante!$P$1</f>
        <v>31469726.751527194</v>
      </c>
      <c r="AA194" s="8">
        <f>+MINVU_Mes_Corriente!AA194*MINVU_Mes_Constante!$P$1</f>
        <v>35623899.364398338</v>
      </c>
      <c r="AB194" s="9">
        <f t="shared" si="153"/>
        <v>35623899.364398338</v>
      </c>
      <c r="AC194" s="8">
        <f>+MINVU_Mes_Corriente!AC194*MINVU_Mes_Constante!$AC$1</f>
        <v>2286751.7969290358</v>
      </c>
      <c r="AD194" s="8">
        <f>+MINVU_Mes_Corriente!AD194*MINVU_Mes_Constante!$AC$1</f>
        <v>4951287.1606031265</v>
      </c>
      <c r="AE194" s="8">
        <f>+MINVU_Mes_Corriente!AE194*MINVU_Mes_Constante!$AC$1</f>
        <v>8528271.2386222165</v>
      </c>
      <c r="AF194" s="8">
        <f>+MINVU_Mes_Corriente!AF194*MINVU_Mes_Constante!$AC$1</f>
        <v>11816410.810623877</v>
      </c>
      <c r="AG194" s="8">
        <f>+MINVU_Mes_Corriente!AG194*MINVU_Mes_Constante!$AC$1</f>
        <v>14869746.425785033</v>
      </c>
      <c r="AH194" s="8">
        <f>+MINVU_Mes_Corriente!AH194*MINVU_Mes_Constante!$AC$1</f>
        <v>19184375.309448056</v>
      </c>
      <c r="AI194" s="8">
        <f>+MINVU_Mes_Corriente!AI194*MINVU_Mes_Constante!$AC$1</f>
        <v>21484441.137916725</v>
      </c>
      <c r="AJ194" s="8">
        <f>+MINVU_Mes_Corriente!AJ194*MINVU_Mes_Constante!$AC$1</f>
        <v>23585662.53257712</v>
      </c>
      <c r="AK194" s="8">
        <f>+MINVU_Mes_Corriente!AK194*MINVU_Mes_Constante!$AC$1</f>
        <v>25947372.825840365</v>
      </c>
      <c r="AL194" s="8">
        <f>+MINVU_Mes_Corriente!AL194*MINVU_Mes_Constante!$AC$1</f>
        <v>28371785.572554987</v>
      </c>
      <c r="AM194" s="8">
        <f>+MINVU_Mes_Corriente!AM194*MINVU_Mes_Constante!$AC$1</f>
        <v>29751227.457186334</v>
      </c>
      <c r="AN194" s="8">
        <f>+MINVU_Mes_Corriente!AN194*MINVU_Mes_Constante!$AC$1</f>
        <v>40192588.547516942</v>
      </c>
      <c r="AO194" s="9">
        <f t="shared" si="154"/>
        <v>40192588.547516942</v>
      </c>
      <c r="AP194" s="8">
        <f>+MINVU_Mes_Corriente!AP194*MINVU_Mes_Constante!$AP$1</f>
        <v>1362080.4128229406</v>
      </c>
      <c r="AQ194" s="8">
        <f>+MINVU_Mes_Corriente!AQ194*MINVU_Mes_Constante!$AP$1</f>
        <v>4161509.8953063707</v>
      </c>
      <c r="AR194" s="8">
        <f>+MINVU_Mes_Corriente!AR194*MINVU_Mes_Constante!$AP$1</f>
        <v>6586091.7127012033</v>
      </c>
      <c r="AS194" s="8">
        <f>+MINVU_Mes_Corriente!AS194*MINVU_Mes_Constante!$AP$1</f>
        <v>9805073.3880697954</v>
      </c>
      <c r="AT194" s="8">
        <f>+MINVU_Mes_Corriente!AT194*MINVU_Mes_Constante!$AP$1</f>
        <v>13361475.303936156</v>
      </c>
      <c r="AU194" s="8">
        <f>+MINVU_Mes_Corriente!AU194*MINVU_Mes_Constante!$AP$1</f>
        <v>18446413.24009198</v>
      </c>
      <c r="AV194" s="8">
        <f>+MINVU_Mes_Corriente!AV194*MINVU_Mes_Constante!$AP$1</f>
        <v>25117746.374137696</v>
      </c>
      <c r="AW194" s="8">
        <f>+MINVU_Mes_Corriente!AW194*MINVU_Mes_Constante!$AP$1</f>
        <v>29388333.011767887</v>
      </c>
      <c r="AX194" s="8">
        <f>+MINVU_Mes_Corriente!AX194*MINVU_Mes_Constante!$AP$1</f>
        <v>32956176.709319625</v>
      </c>
      <c r="AY194" s="8">
        <f>+MINVU_Mes_Corriente!AY194*MINVU_Mes_Constante!$AP$1</f>
        <v>36728300.989855267</v>
      </c>
      <c r="AZ194" s="8">
        <f>+MINVU_Mes_Corriente!AZ194*MINVU_Mes_Constante!$AP$1</f>
        <v>40215381.256053023</v>
      </c>
      <c r="BA194" s="8">
        <f>+MINVU_Mes_Corriente!BA194*MINVU_Mes_Constante!$AP$1</f>
        <v>44199926.307317734</v>
      </c>
      <c r="BB194" s="9">
        <f t="shared" si="155"/>
        <v>44199926.307317734</v>
      </c>
      <c r="BC194" s="8">
        <f>+MINVU_Mes_Corriente!BC194*MINVU_Mes_Constante!$BC$1</f>
        <v>957757.62758802611</v>
      </c>
      <c r="BD194" s="8">
        <f>+MINVU_Mes_Corriente!BD194*MINVU_Mes_Constante!$BC$1</f>
        <v>4236531.6452591335</v>
      </c>
      <c r="BE194" s="8">
        <f>+MINVU_Mes_Corriente!BE194*MINVU_Mes_Constante!$BC$1</f>
        <v>7101320.7764736926</v>
      </c>
      <c r="BF194" s="8">
        <f>+MINVU_Mes_Corriente!BF194*MINVU_Mes_Constante!$BC$1</f>
        <v>10052532.363180801</v>
      </c>
      <c r="BG194" s="8">
        <f>+MINVU_Mes_Corriente!BG194*MINVU_Mes_Constante!$BC$1</f>
        <v>11935775.358301466</v>
      </c>
      <c r="BH194" s="8">
        <f>+MINVU_Mes_Corriente!BH194*MINVU_Mes_Constante!$BC$1</f>
        <v>13905906.204932088</v>
      </c>
      <c r="BI194" s="8">
        <f>+MINVU_Mes_Corriente!BI194*MINVU_Mes_Constante!$BC$1</f>
        <v>15592123.868126076</v>
      </c>
      <c r="BJ194" s="8">
        <f>+MINVU_Mes_Corriente!BJ194*MINVU_Mes_Constante!$BC$1</f>
        <v>18378295.652907826</v>
      </c>
      <c r="BK194" s="8">
        <f>+MINVU_Mes_Corriente!BK194*MINVU_Mes_Constante!$BC$1</f>
        <v>20234859.785309248</v>
      </c>
      <c r="BL194" s="8">
        <f>+MINVU_Mes_Corriente!BL194*MINVU_Mes_Constante!$BC$1</f>
        <v>27028586.933931168</v>
      </c>
      <c r="BM194" s="8">
        <f>+MINVU_Mes_Corriente!BM194*MINVU_Mes_Constante!$BC$1</f>
        <v>27949890.941579856</v>
      </c>
      <c r="BN194" s="8">
        <f>+MINVU_Mes_Corriente!BN194*MINVU_Mes_Constante!$BC$1</f>
        <v>31678531.446393255</v>
      </c>
      <c r="BO194" s="9">
        <f t="shared" si="156"/>
        <v>31678531.446393255</v>
      </c>
      <c r="BP194" s="8">
        <f>+MINVU_Mes_Corriente!BP194*MINVU_Mes_Constante!$BP$1</f>
        <v>934174.39897567232</v>
      </c>
      <c r="BQ194" s="8">
        <f>+MINVU_Mes_Corriente!BQ194*MINVU_Mes_Constante!$BP$1</f>
        <v>3536057.9039692706</v>
      </c>
      <c r="BR194" s="8">
        <f>+MINVU_Mes_Corriente!BR194*MINVU_Mes_Constante!$BP$1</f>
        <v>4659145.780793855</v>
      </c>
      <c r="BS194" s="8">
        <f>+MINVU_Mes_Corriente!BS194*MINVU_Mes_Constante!$BP$1</f>
        <v>6146196.7644046098</v>
      </c>
      <c r="BT194" s="8">
        <f>+MINVU_Mes_Corriente!BT194*MINVU_Mes_Constante!$BP$1</f>
        <v>11486958.467093471</v>
      </c>
      <c r="BU194" s="8">
        <f>+MINVU_Mes_Corriente!BU194*MINVU_Mes_Constante!$BP$1</f>
        <v>15193033.884507043</v>
      </c>
      <c r="BV194" s="8">
        <f>+MINVU_Mes_Corriente!BV194*MINVU_Mes_Constante!$BP$1</f>
        <v>19786139.619718313</v>
      </c>
      <c r="BW194" s="8">
        <f>+MINVU_Mes_Corriente!BW194*MINVU_Mes_Constante!$BP$1</f>
        <v>24519875.985403333</v>
      </c>
      <c r="BX194" s="8">
        <f>+MINVU_Mes_Corriente!BX194*MINVU_Mes_Constante!$BP$1</f>
        <v>30977354.629705511</v>
      </c>
      <c r="BY194" s="8">
        <f>+MINVU_Mes_Corriente!BY194*MINVU_Mes_Constante!$BP$1</f>
        <v>34036963.38898848</v>
      </c>
      <c r="BZ194" s="8">
        <f>+MINVU_Mes_Corriente!BZ194*MINVU_Mes_Constante!$BP$1</f>
        <v>44371195.280665815</v>
      </c>
      <c r="CA194" s="8">
        <f>+MINVU_Mes_Corriente!CA194*MINVU_Mes_Constante!$BP$1</f>
        <v>50339660.579769529</v>
      </c>
      <c r="CB194" s="9">
        <f t="shared" si="157"/>
        <v>50339660.579769529</v>
      </c>
      <c r="CC194" s="8">
        <f>+MINVU_Mes_Corriente!CC194*MINVU_Mes_Constante!$CC$1</f>
        <v>3284767.4815367404</v>
      </c>
      <c r="CD194" s="8">
        <f>+MINVU_Mes_Corriente!CD194*MINVU_Mes_Constante!$CC$1</f>
        <v>6315831.1510630371</v>
      </c>
      <c r="CE194" s="8">
        <f>+MINVU_Mes_Corriente!CE194*MINVU_Mes_Constante!$CC$1</f>
        <v>10788023.760537114</v>
      </c>
      <c r="CF194" s="8">
        <f>+MINVU_Mes_Corriente!CF194*MINVU_Mes_Constante!$CC$1</f>
        <v>14350612.945915705</v>
      </c>
      <c r="CG194" s="8">
        <f>+MINVU_Mes_Corriente!CG194*MINVU_Mes_Constante!$CC$1</f>
        <v>18227218.332711678</v>
      </c>
      <c r="CH194" s="8">
        <f>+MINVU_Mes_Corriente!CH194*MINVU_Mes_Constante!$CC$1</f>
        <v>20283330.420738533</v>
      </c>
      <c r="CI194" s="8">
        <f>+MINVU_Mes_Corriente!CI194*MINVU_Mes_Constante!$CC$1</f>
        <v>21018769.9000373</v>
      </c>
      <c r="CJ194" s="8">
        <f>+MINVU_Mes_Corriente!CJ194*MINVU_Mes_Constante!$CC$1</f>
        <v>21880920.006713916</v>
      </c>
      <c r="CK194" s="8">
        <f>+MINVU_Mes_Corriente!CK194*MINVU_Mes_Constante!$CC$1</f>
        <v>25700500.449086163</v>
      </c>
      <c r="CL194" s="8">
        <f>+MINVU_Mes_Corriente!CL194*MINVU_Mes_Constante!$CC$1</f>
        <v>34910570.994405076</v>
      </c>
      <c r="CM194" s="8">
        <f>+MINVU_Mes_Corriente!CM194*MINVU_Mes_Constante!$CC$1</f>
        <v>48809827.253263712</v>
      </c>
      <c r="CN194" s="8">
        <f>+MINVU_Mes_Corriente!CN194*MINVU_Mes_Constante!$CC$1</f>
        <v>63179723.373368151</v>
      </c>
      <c r="CO194" s="9">
        <f t="shared" si="158"/>
        <v>63179723.373368151</v>
      </c>
      <c r="CP194" s="8">
        <f>+MINVU_Mes_Corriente!CP194*MINVU_Mes_Constante!$CP$1</f>
        <v>1004842.1651972156</v>
      </c>
      <c r="CQ194" s="8">
        <f>+MINVU_Mes_Corriente!CQ194*MINVU_Mes_Constante!$CP$1</f>
        <v>4687654.5354988389</v>
      </c>
      <c r="CR194" s="8">
        <f>+MINVU_Mes_Corriente!CR194*MINVU_Mes_Constante!$CP$1</f>
        <v>8314816.5542923417</v>
      </c>
      <c r="CS194" s="8">
        <f>+MINVU_Mes_Corriente!CS194*MINVU_Mes_Constante!$CP$1</f>
        <v>12500327.593503477</v>
      </c>
      <c r="CT194" s="8">
        <f>+MINVU_Mes_Corriente!CT194*MINVU_Mes_Constante!$CP$1</f>
        <v>14252248.317633407</v>
      </c>
      <c r="CU194" s="8">
        <f>+MINVU_Mes_Corriente!CU194*MINVU_Mes_Constante!$CP$1</f>
        <v>36569285.24199535</v>
      </c>
      <c r="CV194" s="8">
        <f>+MINVU_Mes_Corriente!CV194*MINVU_Mes_Constante!$CP$1</f>
        <v>40759948.739443146</v>
      </c>
      <c r="CW194" s="8">
        <f>+MINVU_Mes_Corriente!CW194*MINVU_Mes_Constante!$CP$1</f>
        <v>44568649.670533635</v>
      </c>
      <c r="CX194" s="8">
        <f>+MINVU_Mes_Corriente!CX194*MINVU_Mes_Constante!$CP$1</f>
        <v>47416085.684686765</v>
      </c>
      <c r="CY194" s="8">
        <f>+MINVU_Mes_Corriente!CY194*MINVU_Mes_Constante!$CP$1</f>
        <v>49485778.091415301</v>
      </c>
      <c r="CZ194" s="8">
        <f>+MINVU_Mes_Corriente!CZ194*MINVU_Mes_Constante!$CP$1</f>
        <v>54950029.131090477</v>
      </c>
      <c r="DA194" s="8">
        <f>+MINVU_Mes_Corriente!DA194*MINVU_Mes_Constante!$CP$1</f>
        <v>60164029.1401392</v>
      </c>
      <c r="DB194" s="9">
        <f t="shared" si="159"/>
        <v>60164029.1401392</v>
      </c>
      <c r="DC194" s="8">
        <f>+MINVU_Mes_Corriente!DC194*MINVU_Mes_Constante!$DC$1</f>
        <v>6398217.7193704378</v>
      </c>
      <c r="DD194" s="8">
        <f>+MINVU_Mes_Corriente!DD194*MINVU_Mes_Constante!$DC$1</f>
        <v>10949555.920995787</v>
      </c>
      <c r="DE194" s="8">
        <f>+MINVU_Mes_Corriente!DE194*MINVU_Mes_Constante!$DC$1</f>
        <v>21801697.239995897</v>
      </c>
      <c r="DF194" s="8">
        <f>+MINVU_Mes_Corriente!DF194*MINVU_Mes_Constante!$DC$1</f>
        <v>28808962.18722355</v>
      </c>
      <c r="DG194" s="8">
        <f>+MINVU_Mes_Corriente!DG194*MINVU_Mes_Constante!$DC$1</f>
        <v>38004008.866989009</v>
      </c>
      <c r="DH194" s="8">
        <f>+MINVU_Mes_Corriente!DH194*MINVU_Mes_Constante!$DC$1</f>
        <v>40468585.596749328</v>
      </c>
      <c r="DI194" s="8">
        <f>+MINVU_Mes_Corriente!DI194*MINVU_Mes_Constante!$DC$1</f>
        <v>43291522.98775848</v>
      </c>
      <c r="DJ194" s="8">
        <f>+MINVU_Mes_Corriente!DJ194*MINVU_Mes_Constante!$DC$1</f>
        <v>45245736.040736571</v>
      </c>
      <c r="DK194" s="8">
        <f>+MINVU_Mes_Corriente!DK194*MINVU_Mes_Constante!$DC$1</f>
        <v>50005399.939306676</v>
      </c>
      <c r="DL194" s="8">
        <f>+MINVU_Mes_Corriente!DL194*MINVU_Mes_Constante!$DC$1</f>
        <v>52160434.018722378</v>
      </c>
      <c r="DM194" s="8">
        <f>+MINVU_Mes_Corriente!DM194*MINVU_Mes_Constante!$DC$1</f>
        <v>52967269.833144762</v>
      </c>
      <c r="DN194" s="8">
        <f>+MINVU_Mes_Corriente!DN194*MINVU_Mes_Constante!$DC$1</f>
        <v>65640432.882008053</v>
      </c>
      <c r="DO194" s="9">
        <f t="shared" si="160"/>
        <v>65640432.882008053</v>
      </c>
      <c r="DP194" s="8">
        <f>+MINVU_Mes_Corriente!DP194*MINVU_Mes_Constante!$DP$1</f>
        <v>297046.84026128269</v>
      </c>
      <c r="DQ194" s="8">
        <f>+MINVU_Mes_Corriente!DQ194*MINVU_Mes_Constante!$DP$1</f>
        <v>10877472.080166271</v>
      </c>
      <c r="DR194" s="8">
        <f>+MINVU_Mes_Corriente!DR194*MINVU_Mes_Constante!$DP$1</f>
        <v>21236929.134798102</v>
      </c>
      <c r="DS194" s="8">
        <f>+MINVU_Mes_Corriente!DS194*MINVU_Mes_Constante!$DP$1</f>
        <v>27909011.497624706</v>
      </c>
      <c r="DT194" s="8">
        <f>+MINVU_Mes_Corriente!DT194*MINVU_Mes_Constante!$DP$1</f>
        <v>33097024.277315918</v>
      </c>
      <c r="DU194" s="8">
        <f>+MINVU_Mes_Corriente!DU194*MINVU_Mes_Constante!$DP$1</f>
        <v>42158051.02019003</v>
      </c>
      <c r="DV194" s="8">
        <f>+MINVU_Mes_Corriente!DV194*MINVU_Mes_Constante!$DP$1</f>
        <v>44295075.621733971</v>
      </c>
      <c r="DW194" s="8">
        <f>+MINVU_Mes_Corriente!DW194*MINVU_Mes_Constante!$DP$1</f>
        <v>45145442.611638956</v>
      </c>
      <c r="DX194" s="8">
        <f>+MINVU_Mes_Corriente!DX194*MINVU_Mes_Constante!$DP$1</f>
        <v>45601517.684679337</v>
      </c>
      <c r="DY194" s="8">
        <f>+MINVU_Mes_Corriente!DY194*MINVU_Mes_Constante!$DP$1</f>
        <v>46819713.698337294</v>
      </c>
      <c r="DZ194" s="8">
        <f>+MINVU_Mes_Corriente!DZ194*MINVU_Mes_Constante!$DP$1</f>
        <v>53193446.189429931</v>
      </c>
      <c r="EA194" s="8">
        <f>+MINVU_Mes_Corriente!EA194*MINVU_Mes_Constante!$DP$1</f>
        <v>94414619.743467942</v>
      </c>
      <c r="EB194" s="9">
        <f t="shared" si="161"/>
        <v>94414619.743467942</v>
      </c>
      <c r="EC194" s="8">
        <f>+MINVU_Mes_Corriente!EC194*MINVU_Mes_Constante!$EC$1</f>
        <v>303527.01098276832</v>
      </c>
      <c r="ED194" s="8">
        <f>+MINVU_Mes_Corriente!ED194*MINVU_Mes_Constante!$EC$1</f>
        <v>4620369.7492899057</v>
      </c>
      <c r="EE194" s="8">
        <f>+MINVU_Mes_Corriente!EE194*MINVU_Mes_Constante!$EC$1</f>
        <v>6685006.1702329079</v>
      </c>
      <c r="EF194" s="8">
        <f>+MINVU_Mes_Corriente!EF194*MINVU_Mes_Constante!$EC$1</f>
        <v>10304619.697595149</v>
      </c>
      <c r="EG194" s="8">
        <f>+MINVU_Mes_Corriente!EG194*MINVU_Mes_Constante!$EC$1</f>
        <v>15618951.823139552</v>
      </c>
      <c r="EH194" s="8">
        <f>+MINVU_Mes_Corriente!EH194*MINVU_Mes_Constante!$EC$1</f>
        <v>17009696.522249568</v>
      </c>
      <c r="EI194" s="8">
        <f>+MINVU_Mes_Corriente!EI194*MINVU_Mes_Constante!$EC$1</f>
        <v>23904543.546487398</v>
      </c>
      <c r="EJ194" s="8">
        <f>+MINVU_Mes_Corriente!EJ194*MINVU_Mes_Constante!$EC$1</f>
        <v>43714612.557659522</v>
      </c>
      <c r="EK194" s="8">
        <f>+MINVU_Mes_Corriente!EK194*MINVU_Mes_Constante!$EC$1</f>
        <v>47414589.390835054</v>
      </c>
      <c r="EL194" s="8">
        <f>+MINVU_Mes_Corriente!EL194*MINVU_Mes_Constante!$EC$1</f>
        <v>53471801.587010019</v>
      </c>
      <c r="EM194" s="8">
        <f>+MINVU_Mes_Corriente!EM194*MINVU_Mes_Constante!$EC$1</f>
        <v>56605087.082181387</v>
      </c>
      <c r="EN194" s="8">
        <f>+MINVU_Mes_Corriente!EN194*MINVU_Mes_Constante!$EC$1</f>
        <v>75587651.763113022</v>
      </c>
      <c r="EO194" s="9">
        <f t="shared" si="162"/>
        <v>75587651.763113022</v>
      </c>
      <c r="EP194" s="8">
        <f>+MINVU_Mes_Corriente!EP194*MINVU_Mes_Constante!$EP$1</f>
        <v>6005967</v>
      </c>
      <c r="EQ194" s="8">
        <f>+MINVU_Mes_Corriente!EQ194*MINVU_Mes_Constante!$EP$1</f>
        <v>11187082</v>
      </c>
      <c r="ER194" s="8">
        <f>+MINVU_Mes_Corriente!ER194*MINVU_Mes_Constante!$EP$1</f>
        <v>16850474</v>
      </c>
      <c r="ES194" s="8">
        <f>+MINVU_Mes_Corriente!ES194*MINVU_Mes_Constante!$EP$1</f>
        <v>23089117</v>
      </c>
      <c r="ET194" s="8">
        <f>+MINVU_Mes_Corriente!ET194*MINVU_Mes_Constante!$EP$1</f>
        <v>30108570</v>
      </c>
      <c r="EU194" s="8">
        <f>+MINVU_Mes_Corriente!EU194*MINVU_Mes_Constante!$EP$1</f>
        <v>35644617</v>
      </c>
      <c r="EV194" s="8">
        <f>+MINVU_Mes_Corriente!EV194*MINVU_Mes_Constante!$EP$1</f>
        <v>53191551</v>
      </c>
      <c r="EW194" s="8">
        <f>+MINVU_Mes_Corriente!EW194*MINVU_Mes_Constante!$EP$1</f>
        <v>60979411</v>
      </c>
      <c r="EX194" s="8">
        <f>+MINVU_Mes_Corriente!EX194*MINVU_Mes_Constante!$EP$1</f>
        <v>63768787</v>
      </c>
      <c r="EY194" s="8">
        <f>+MINVU_Mes_Corriente!EY194*MINVU_Mes_Constante!$EP$1</f>
        <v>68323098</v>
      </c>
      <c r="EZ194" s="8">
        <f>+MINVU_Mes_Corriente!EZ194*MINVU_Mes_Constante!$EP$1</f>
        <v>69299722</v>
      </c>
      <c r="FA194" s="8">
        <f>+MINVU_Mes_Corriente!FA194*MINVU_Mes_Constante!$EP$1</f>
        <v>78918879</v>
      </c>
      <c r="FB194" s="9">
        <f t="shared" si="163"/>
        <v>78918879</v>
      </c>
      <c r="FC194" s="8">
        <f>+MINVU_Mes_Corriente!FC194*MINVU_Mes_Constante!$FC$1</f>
        <v>5018975</v>
      </c>
      <c r="FD194" s="8">
        <f>+MINVU_Mes_Corriente!FD194*MINVU_Mes_Constante!$FC$1</f>
        <v>9676031</v>
      </c>
      <c r="FE194" s="8">
        <f>+MINVU_Mes_Corriente!FE194*MINVU_Mes_Constante!$FC$1</f>
        <v>14474533</v>
      </c>
      <c r="FF194" s="8">
        <f>+MINVU_Mes_Corriente!FF194*MINVU_Mes_Constante!$FC$1</f>
        <v>20193632</v>
      </c>
      <c r="FG194" s="8">
        <f>+MINVU_Mes_Corriente!FG194*MINVU_Mes_Constante!$FC$1</f>
        <v>26395450</v>
      </c>
      <c r="FH194" s="8">
        <f>+MINVU_Mes_Corriente!FH194*MINVU_Mes_Constante!$FC$1</f>
        <v>33105338</v>
      </c>
      <c r="FI194" s="8">
        <f>+MINVU_Mes_Corriente!FI194*MINVU_Mes_Constante!$FC$1</f>
        <v>43663125</v>
      </c>
      <c r="FJ194" s="8"/>
      <c r="FK194" s="8"/>
      <c r="FL194" s="8"/>
      <c r="FM194" s="8"/>
      <c r="FN194" s="8"/>
      <c r="FO194" s="9">
        <f t="shared" si="164"/>
        <v>43663125</v>
      </c>
    </row>
    <row r="195" spans="2:171" ht="14.25" customHeight="1" x14ac:dyDescent="0.3">
      <c r="B195" s="7" t="s">
        <v>48</v>
      </c>
      <c r="C195" s="8">
        <f>+MINVU_Mes_Corriente!C195*MINVU_Mes_Constante!$C$1</f>
        <v>1012618.0504226607</v>
      </c>
      <c r="D195" s="8">
        <f>+MINVU_Mes_Corriente!D195*MINVU_Mes_Constante!$C$1</f>
        <v>1591976.3704582532</v>
      </c>
      <c r="E195" s="8">
        <f>+MINVU_Mes_Corriente!E195*MINVU_Mes_Constante!$C$1</f>
        <v>3039809.9101290233</v>
      </c>
      <c r="F195" s="8">
        <f>+MINVU_Mes_Corriente!F195*MINVU_Mes_Constante!$C$1</f>
        <v>4169734.6038855114</v>
      </c>
      <c r="G195" s="8">
        <f>+MINVU_Mes_Corriente!G195*MINVU_Mes_Constante!$C$1</f>
        <v>5410239.8804686349</v>
      </c>
      <c r="H195" s="8">
        <f>+MINVU_Mes_Corriente!H195*MINVU_Mes_Constante!$C$1</f>
        <v>6685081.9308912959</v>
      </c>
      <c r="I195" s="8">
        <f>+MINVU_Mes_Corriente!I195*MINVU_Mes_Constante!$C$1</f>
        <v>7943584.4018982658</v>
      </c>
      <c r="J195" s="8">
        <f>+MINVU_Mes_Corriente!J195*MINVU_Mes_Constante!$C$1</f>
        <v>11028436.718671216</v>
      </c>
      <c r="K195" s="8">
        <f>+MINVU_Mes_Corriente!K195*MINVU_Mes_Constante!$C$1</f>
        <v>13295049.434672996</v>
      </c>
      <c r="L195" s="8">
        <f>+MINVU_Mes_Corriente!L195*MINVU_Mes_Constante!$C$1</f>
        <v>14220854.152454399</v>
      </c>
      <c r="M195" s="8">
        <f>+MINVU_Mes_Corriente!M195*MINVU_Mes_Constante!$C$1</f>
        <v>17454073.544713039</v>
      </c>
      <c r="N195" s="8">
        <f>+MINVU_Mes_Corriente!N195*MINVU_Mes_Constante!$C$1</f>
        <v>19135018.309357855</v>
      </c>
      <c r="O195" s="9">
        <f t="shared" si="152"/>
        <v>19135018.309357855</v>
      </c>
      <c r="P195" s="8">
        <f>+MINVU_Mes_Corriente!P195*MINVU_Mes_Constante!$P$1</f>
        <v>1291192.7393095605</v>
      </c>
      <c r="Q195" s="8">
        <f>+MINVU_Mes_Corriente!Q195*MINVU_Mes_Constante!$P$1</f>
        <v>3108598.3403892587</v>
      </c>
      <c r="R195" s="8">
        <f>+MINVU_Mes_Corriente!R195*MINVU_Mes_Constante!$P$1</f>
        <v>4103641.9971586857</v>
      </c>
      <c r="S195" s="8">
        <f>+MINVU_Mes_Corriente!S195*MINVU_Mes_Constante!$P$1</f>
        <v>4897542.635033384</v>
      </c>
      <c r="T195" s="8">
        <f>+MINVU_Mes_Corriente!T195*MINVU_Mes_Constante!$P$1</f>
        <v>5741174.500923424</v>
      </c>
      <c r="U195" s="8">
        <f>+MINVU_Mes_Corriente!U195*MINVU_Mes_Constante!$P$1</f>
        <v>6712388.6432731897</v>
      </c>
      <c r="V195" s="8">
        <f>+MINVU_Mes_Corriente!V195*MINVU_Mes_Constante!$P$1</f>
        <v>8489998.7069185935</v>
      </c>
      <c r="W195" s="8">
        <f>+MINVU_Mes_Corriente!W195*MINVU_Mes_Constante!$P$1</f>
        <v>10324813.885495095</v>
      </c>
      <c r="X195" s="8">
        <f>+MINVU_Mes_Corriente!X195*MINVU_Mes_Constante!$P$1</f>
        <v>12924866.608325042</v>
      </c>
      <c r="Y195" s="8">
        <f>+MINVU_Mes_Corriente!Y195*MINVU_Mes_Constante!$P$1</f>
        <v>15359739.445375757</v>
      </c>
      <c r="Z195" s="8">
        <f>+MINVU_Mes_Corriente!Z195*MINVU_Mes_Constante!$P$1</f>
        <v>17372090.094331574</v>
      </c>
      <c r="AA195" s="8">
        <f>+MINVU_Mes_Corriente!AA195*MINVU_Mes_Constante!$P$1</f>
        <v>24177766.505753648</v>
      </c>
      <c r="AB195" s="9">
        <f t="shared" si="153"/>
        <v>24177766.505753648</v>
      </c>
      <c r="AC195" s="8">
        <f>+MINVU_Mes_Corriente!AC195*MINVU_Mes_Constante!$AC$1</f>
        <v>1877361.5747682943</v>
      </c>
      <c r="AD195" s="8">
        <f>+MINVU_Mes_Corriente!AD195*MINVU_Mes_Constante!$AC$1</f>
        <v>10690109.337667728</v>
      </c>
      <c r="AE195" s="8">
        <f>+MINVU_Mes_Corriente!AE195*MINVU_Mes_Constante!$AC$1</f>
        <v>17810351.838151887</v>
      </c>
      <c r="AF195" s="8">
        <f>+MINVU_Mes_Corriente!AF195*MINVU_Mes_Constante!$AC$1</f>
        <v>21312655.519712269</v>
      </c>
      <c r="AG195" s="8">
        <f>+MINVU_Mes_Corriente!AG195*MINVU_Mes_Constante!$AC$1</f>
        <v>25049019.543228664</v>
      </c>
      <c r="AH195" s="8">
        <f>+MINVU_Mes_Corriente!AH195*MINVU_Mes_Constante!$AC$1</f>
        <v>29893209.534928758</v>
      </c>
      <c r="AI195" s="8">
        <f>+MINVU_Mes_Corriente!AI195*MINVU_Mes_Constante!$AC$1</f>
        <v>34193599.402683638</v>
      </c>
      <c r="AJ195" s="8">
        <f>+MINVU_Mes_Corriente!AJ195*MINVU_Mes_Constante!$AC$1</f>
        <v>38508273.628717661</v>
      </c>
      <c r="AK195" s="8">
        <f>+MINVU_Mes_Corriente!AK195*MINVU_Mes_Constante!$AC$1</f>
        <v>42200239.91395767</v>
      </c>
      <c r="AL195" s="8">
        <f>+MINVU_Mes_Corriente!AL195*MINVU_Mes_Constante!$AC$1</f>
        <v>46138507.469912849</v>
      </c>
      <c r="AM195" s="8">
        <f>+MINVU_Mes_Corriente!AM195*MINVU_Mes_Constante!$AC$1</f>
        <v>49285961.755982846</v>
      </c>
      <c r="AN195" s="8">
        <f>+MINVU_Mes_Corriente!AN195*MINVU_Mes_Constante!$AC$1</f>
        <v>55874055.610457875</v>
      </c>
      <c r="AO195" s="9">
        <f t="shared" si="154"/>
        <v>55874055.610457875</v>
      </c>
      <c r="AP195" s="8">
        <f>+MINVU_Mes_Corriente!AP195*MINVU_Mes_Constante!$AP$1</f>
        <v>3342951.0596510209</v>
      </c>
      <c r="AQ195" s="8">
        <f>+MINVU_Mes_Corriente!AQ195*MINVU_Mes_Constante!$AP$1</f>
        <v>7210432.8808332197</v>
      </c>
      <c r="AR195" s="8">
        <f>+MINVU_Mes_Corriente!AR195*MINVU_Mes_Constante!$AP$1</f>
        <v>12093586.380900851</v>
      </c>
      <c r="AS195" s="8">
        <f>+MINVU_Mes_Corriente!AS195*MINVU_Mes_Constante!$AP$1</f>
        <v>16883053.827674825</v>
      </c>
      <c r="AT195" s="8">
        <f>+MINVU_Mes_Corriente!AT195*MINVU_Mes_Constante!$AP$1</f>
        <v>24803503.796023265</v>
      </c>
      <c r="AU195" s="8">
        <f>+MINVU_Mes_Corriente!AU195*MINVU_Mes_Constante!$AP$1</f>
        <v>29306614.867036384</v>
      </c>
      <c r="AV195" s="8">
        <f>+MINVU_Mes_Corriente!AV195*MINVU_Mes_Constante!$AP$1</f>
        <v>37921188.753144868</v>
      </c>
      <c r="AW195" s="8">
        <f>+MINVU_Mes_Corriente!AW195*MINVU_Mes_Constante!$AP$1</f>
        <v>41333080.16826728</v>
      </c>
      <c r="AX195" s="8">
        <f>+MINVU_Mes_Corriente!AX195*MINVU_Mes_Constante!$AP$1</f>
        <v>44036733.868794806</v>
      </c>
      <c r="AY195" s="8">
        <f>+MINVU_Mes_Corriente!AY195*MINVU_Mes_Constante!$AP$1</f>
        <v>46418137.813066408</v>
      </c>
      <c r="AZ195" s="8">
        <f>+MINVU_Mes_Corriente!AZ195*MINVU_Mes_Constante!$AP$1</f>
        <v>49309100.071148381</v>
      </c>
      <c r="BA195" s="8">
        <f>+MINVU_Mes_Corriente!BA195*MINVU_Mes_Constante!$AP$1</f>
        <v>55455702.9292574</v>
      </c>
      <c r="BB195" s="9">
        <f t="shared" si="155"/>
        <v>55455702.9292574</v>
      </c>
      <c r="BC195" s="8">
        <f>+MINVU_Mes_Corriente!BC195*MINVU_Mes_Constante!$BC$1</f>
        <v>3061619.9477779251</v>
      </c>
      <c r="BD195" s="8">
        <f>+MINVU_Mes_Corriente!BD195*MINVU_Mes_Constante!$BC$1</f>
        <v>7181236.3328497978</v>
      </c>
      <c r="BE195" s="8">
        <f>+MINVU_Mes_Corriente!BE195*MINVU_Mes_Constante!$BC$1</f>
        <v>10031701.92905183</v>
      </c>
      <c r="BF195" s="8">
        <f>+MINVU_Mes_Corriente!BF195*MINVU_Mes_Constante!$BC$1</f>
        <v>12972375.10563102</v>
      </c>
      <c r="BG195" s="8">
        <f>+MINVU_Mes_Corriente!BG195*MINVU_Mes_Constante!$BC$1</f>
        <v>15962295.24963735</v>
      </c>
      <c r="BH195" s="8">
        <f>+MINVU_Mes_Corriente!BH195*MINVU_Mes_Constante!$BC$1</f>
        <v>18078485.521297645</v>
      </c>
      <c r="BI195" s="8">
        <f>+MINVU_Mes_Corriente!BI195*MINVU_Mes_Constante!$BC$1</f>
        <v>20756201.302914418</v>
      </c>
      <c r="BJ195" s="8">
        <f>+MINVU_Mes_Corriente!BJ195*MINVU_Mes_Constante!$BC$1</f>
        <v>24068695.639456686</v>
      </c>
      <c r="BK195" s="8">
        <f>+MINVU_Mes_Corriente!BK195*MINVU_Mes_Constante!$BC$1</f>
        <v>26196357.994988799</v>
      </c>
      <c r="BL195" s="8">
        <f>+MINVU_Mes_Corriente!BL195*MINVU_Mes_Constante!$BC$1</f>
        <v>27470790.956613485</v>
      </c>
      <c r="BM195" s="8">
        <f>+MINVU_Mes_Corriente!BM195*MINVU_Mes_Constante!$BC$1</f>
        <v>28274975.102729797</v>
      </c>
      <c r="BN195" s="8">
        <f>+MINVU_Mes_Corriente!BN195*MINVU_Mes_Constante!$BC$1</f>
        <v>31479117.177634191</v>
      </c>
      <c r="BO195" s="9">
        <f t="shared" si="156"/>
        <v>31479117.177634191</v>
      </c>
      <c r="BP195" s="8">
        <f>+MINVU_Mes_Corriente!BP195*MINVU_Mes_Constante!$BP$1</f>
        <v>5493080.7749039698</v>
      </c>
      <c r="BQ195" s="8">
        <f>+MINVU_Mes_Corriente!BQ195*MINVU_Mes_Constante!$BP$1</f>
        <v>10123728.02227913</v>
      </c>
      <c r="BR195" s="8">
        <f>+MINVU_Mes_Corriente!BR195*MINVU_Mes_Constante!$BP$1</f>
        <v>13281743.528297057</v>
      </c>
      <c r="BS195" s="8">
        <f>+MINVU_Mes_Corriente!BS195*MINVU_Mes_Constante!$BP$1</f>
        <v>15579626.821766967</v>
      </c>
      <c r="BT195" s="8">
        <f>+MINVU_Mes_Corriente!BT195*MINVU_Mes_Constante!$BP$1</f>
        <v>17481148.130857877</v>
      </c>
      <c r="BU195" s="8">
        <f>+MINVU_Mes_Corriente!BU195*MINVU_Mes_Constante!$BP$1</f>
        <v>19961792.207170296</v>
      </c>
      <c r="BV195" s="8">
        <f>+MINVU_Mes_Corriente!BV195*MINVU_Mes_Constante!$BP$1</f>
        <v>22908222.435595393</v>
      </c>
      <c r="BW195" s="8">
        <f>+MINVU_Mes_Corriente!BW195*MINVU_Mes_Constante!$BP$1</f>
        <v>24230752.481177978</v>
      </c>
      <c r="BX195" s="8">
        <f>+MINVU_Mes_Corriente!BX195*MINVU_Mes_Constante!$BP$1</f>
        <v>24545737.4496799</v>
      </c>
      <c r="BY195" s="8">
        <f>+MINVU_Mes_Corriente!BY195*MINVU_Mes_Constante!$BP$1</f>
        <v>27110983.180793855</v>
      </c>
      <c r="BZ195" s="8">
        <f>+MINVU_Mes_Corriente!BZ195*MINVU_Mes_Constante!$BP$1</f>
        <v>27327990.888092194</v>
      </c>
      <c r="CA195" s="8">
        <f>+MINVU_Mes_Corriente!CA195*MINVU_Mes_Constante!$BP$1</f>
        <v>44509004.177208714</v>
      </c>
      <c r="CB195" s="9">
        <f t="shared" si="157"/>
        <v>44509004.177208714</v>
      </c>
      <c r="CC195" s="8">
        <f>+MINVU_Mes_Corriente!CC195*MINVU_Mes_Constante!$CC$1</f>
        <v>1810962.4252144725</v>
      </c>
      <c r="CD195" s="8">
        <f>+MINVU_Mes_Corriente!CD195*MINVU_Mes_Constante!$CC$1</f>
        <v>6439349.4248414775</v>
      </c>
      <c r="CE195" s="8">
        <f>+MINVU_Mes_Corriente!CE195*MINVU_Mes_Constante!$CC$1</f>
        <v>10034120.251398733</v>
      </c>
      <c r="CF195" s="8">
        <f>+MINVU_Mes_Corriente!CF195*MINVU_Mes_Constante!$CC$1</f>
        <v>13368116.542334951</v>
      </c>
      <c r="CG195" s="8">
        <f>+MINVU_Mes_Corriente!CG195*MINVU_Mes_Constante!$CC$1</f>
        <v>15069096.273032451</v>
      </c>
      <c r="CH195" s="8">
        <f>+MINVU_Mes_Corriente!CH195*MINVU_Mes_Constante!$CC$1</f>
        <v>18052665.87168967</v>
      </c>
      <c r="CI195" s="8">
        <f>+MINVU_Mes_Corriente!CI195*MINVU_Mes_Constante!$CC$1</f>
        <v>19544953.976128314</v>
      </c>
      <c r="CJ195" s="8">
        <f>+MINVU_Mes_Corriente!CJ195*MINVU_Mes_Constante!$CC$1</f>
        <v>22665725.49869452</v>
      </c>
      <c r="CK195" s="8">
        <f>+MINVU_Mes_Corriente!CK195*MINVU_Mes_Constante!$CC$1</f>
        <v>24443109.797836632</v>
      </c>
      <c r="CL195" s="8">
        <f>+MINVU_Mes_Corriente!CL195*MINVU_Mes_Constante!$CC$1</f>
        <v>28075635.979112275</v>
      </c>
      <c r="CM195" s="8">
        <f>+MINVU_Mes_Corriente!CM195*MINVU_Mes_Constante!$CC$1</f>
        <v>30875952.255128685</v>
      </c>
      <c r="CN195" s="8">
        <f>+MINVU_Mes_Corriente!CN195*MINVU_Mes_Constante!$CC$1</f>
        <v>45259109.547929883</v>
      </c>
      <c r="CO195" s="9">
        <f t="shared" si="158"/>
        <v>45259109.547929883</v>
      </c>
      <c r="CP195" s="8">
        <f>+MINVU_Mes_Corriente!CP195*MINVU_Mes_Constante!$CP$1</f>
        <v>1143798.8303944313</v>
      </c>
      <c r="CQ195" s="8">
        <f>+MINVU_Mes_Corriente!CQ195*MINVU_Mes_Constante!$CP$1</f>
        <v>3553671.3598607881</v>
      </c>
      <c r="CR195" s="8">
        <f>+MINVU_Mes_Corriente!CR195*MINVU_Mes_Constante!$CP$1</f>
        <v>7239163.2619489543</v>
      </c>
      <c r="CS195" s="8">
        <f>+MINVU_Mes_Corriente!CS195*MINVU_Mes_Constante!$CP$1</f>
        <v>8536960.3865429219</v>
      </c>
      <c r="CT195" s="8">
        <f>+MINVU_Mes_Corriente!CT195*MINVU_Mes_Constante!$CP$1</f>
        <v>10715924.200928072</v>
      </c>
      <c r="CU195" s="8">
        <f>+MINVU_Mes_Corriente!CU195*MINVU_Mes_Constante!$CP$1</f>
        <v>12108243.900696054</v>
      </c>
      <c r="CV195" s="8">
        <f>+MINVU_Mes_Corriente!CV195*MINVU_Mes_Constante!$CP$1</f>
        <v>14799368.401392108</v>
      </c>
      <c r="CW195" s="8">
        <f>+MINVU_Mes_Corriente!CW195*MINVU_Mes_Constante!$CP$1</f>
        <v>16259473.664269138</v>
      </c>
      <c r="CX195" s="8">
        <f>+MINVU_Mes_Corriente!CX195*MINVU_Mes_Constante!$CP$1</f>
        <v>18147906.012528997</v>
      </c>
      <c r="CY195" s="8">
        <f>+MINVU_Mes_Corriente!CY195*MINVU_Mes_Constante!$CP$1</f>
        <v>21314289.965429232</v>
      </c>
      <c r="CZ195" s="8">
        <f>+MINVU_Mes_Corriente!CZ195*MINVU_Mes_Constante!$CP$1</f>
        <v>22845418.030858465</v>
      </c>
      <c r="DA195" s="8">
        <f>+MINVU_Mes_Corriente!DA195*MINVU_Mes_Constante!$CP$1</f>
        <v>42065300.267749414</v>
      </c>
      <c r="DB195" s="9">
        <f t="shared" si="159"/>
        <v>42065300.267749414</v>
      </c>
      <c r="DC195" s="8">
        <f>+MINVU_Mes_Corriente!DC195*MINVU_Mes_Constante!$DC$1</f>
        <v>1885188.5172307384</v>
      </c>
      <c r="DD195" s="8">
        <f>+MINVU_Mes_Corriente!DD195*MINVU_Mes_Constante!$DC$1</f>
        <v>4365717.5891369218</v>
      </c>
      <c r="DE195" s="8">
        <f>+MINVU_Mes_Corriente!DE195*MINVU_Mes_Constante!$DC$1</f>
        <v>7691565.6885094158</v>
      </c>
      <c r="DF195" s="8">
        <f>+MINVU_Mes_Corriente!DF195*MINVU_Mes_Constante!$DC$1</f>
        <v>10154289.010801362</v>
      </c>
      <c r="DG195" s="8">
        <f>+MINVU_Mes_Corriente!DG195*MINVU_Mes_Constante!$DC$1</f>
        <v>14417135.179714028</v>
      </c>
      <c r="DH195" s="8">
        <f>+MINVU_Mes_Corriente!DH195*MINVU_Mes_Constante!$DC$1</f>
        <v>19953400.41065735</v>
      </c>
      <c r="DI195" s="8">
        <f>+MINVU_Mes_Corriente!DI195*MINVU_Mes_Constante!$DC$1</f>
        <v>24755429.674724836</v>
      </c>
      <c r="DJ195" s="8">
        <f>+MINVU_Mes_Corriente!DJ195*MINVU_Mes_Constante!$DC$1</f>
        <v>27138672.275897555</v>
      </c>
      <c r="DK195" s="8">
        <f>+MINVU_Mes_Corriente!DK195*MINVU_Mes_Constante!$DC$1</f>
        <v>30934462.010698501</v>
      </c>
      <c r="DL195" s="8">
        <f>+MINVU_Mes_Corriente!DL195*MINVU_Mes_Constante!$DC$1</f>
        <v>33574752.783252768</v>
      </c>
      <c r="DM195" s="8">
        <f>+MINVU_Mes_Corriente!DM195*MINVU_Mes_Constante!$DC$1</f>
        <v>37159333.8677091</v>
      </c>
      <c r="DN195" s="8">
        <f>+MINVU_Mes_Corriente!DN195*MINVU_Mes_Constante!$DC$1</f>
        <v>42861375.100915566</v>
      </c>
      <c r="DO195" s="9">
        <f t="shared" si="160"/>
        <v>42861375.100915566</v>
      </c>
      <c r="DP195" s="8">
        <f>+MINVU_Mes_Corriente!DP195*MINVU_Mes_Constante!$DP$1</f>
        <v>1545206.0896674586</v>
      </c>
      <c r="DQ195" s="8">
        <f>+MINVU_Mes_Corriente!DQ195*MINVU_Mes_Constante!$DP$1</f>
        <v>2279355.6484560571</v>
      </c>
      <c r="DR195" s="8">
        <f>+MINVU_Mes_Corriente!DR195*MINVU_Mes_Constante!$DP$1</f>
        <v>7943831.3479809985</v>
      </c>
      <c r="DS195" s="8">
        <f>+MINVU_Mes_Corriente!DS195*MINVU_Mes_Constante!$DP$1</f>
        <v>13971383.520783849</v>
      </c>
      <c r="DT195" s="8">
        <f>+MINVU_Mes_Corriente!DT195*MINVU_Mes_Constante!$DP$1</f>
        <v>24984046.467933495</v>
      </c>
      <c r="DU195" s="8">
        <f>+MINVU_Mes_Corriente!DU195*MINVU_Mes_Constante!$DP$1</f>
        <v>32841238.658551071</v>
      </c>
      <c r="DV195" s="8">
        <f>+MINVU_Mes_Corriente!DV195*MINVU_Mes_Constante!$DP$1</f>
        <v>35190400.027909741</v>
      </c>
      <c r="DW195" s="8">
        <f>+MINVU_Mes_Corriente!DW195*MINVU_Mes_Constante!$DP$1</f>
        <v>36875928.00890737</v>
      </c>
      <c r="DX195" s="8">
        <f>+MINVU_Mes_Corriente!DX195*MINVU_Mes_Constante!$DP$1</f>
        <v>38368694.921615206</v>
      </c>
      <c r="DY195" s="8">
        <f>+MINVU_Mes_Corriente!DY195*MINVU_Mes_Constante!$DP$1</f>
        <v>40070189.093230404</v>
      </c>
      <c r="DZ195" s="8">
        <f>+MINVU_Mes_Corriente!DZ195*MINVU_Mes_Constante!$DP$1</f>
        <v>42909958.573040381</v>
      </c>
      <c r="EA195" s="8">
        <f>+MINVU_Mes_Corriente!EA195*MINVU_Mes_Constante!$DP$1</f>
        <v>47344595.32125891</v>
      </c>
      <c r="EB195" s="9">
        <f t="shared" si="161"/>
        <v>47344595.32125891</v>
      </c>
      <c r="EC195" s="8">
        <f>+MINVU_Mes_Corriente!EC195*MINVU_Mes_Constante!$EC$1</f>
        <v>1353889.8797576213</v>
      </c>
      <c r="ED195" s="8">
        <f>+MINVU_Mes_Corriente!ED195*MINVU_Mes_Constante!$EC$1</f>
        <v>2386491.0159060778</v>
      </c>
      <c r="EE195" s="8">
        <f>+MINVU_Mes_Corriente!EE195*MINVU_Mes_Constante!$EC$1</f>
        <v>7159525.8053398952</v>
      </c>
      <c r="EF195" s="8">
        <f>+MINVU_Mes_Corriente!EF195*MINVU_Mes_Constante!$EC$1</f>
        <v>16592287.529823892</v>
      </c>
      <c r="EG195" s="8">
        <f>+MINVU_Mes_Corriente!EG195*MINVU_Mes_Constante!$EC$1</f>
        <v>24641037.875970453</v>
      </c>
      <c r="EH195" s="8">
        <f>+MINVU_Mes_Corriente!EH195*MINVU_Mes_Constante!$EC$1</f>
        <v>31991268.001136139</v>
      </c>
      <c r="EI195" s="8">
        <f>+MINVU_Mes_Corriente!EI195*MINVU_Mes_Constante!$EC$1</f>
        <v>33306330.340276454</v>
      </c>
      <c r="EJ195" s="8">
        <f>+MINVU_Mes_Corriente!EJ195*MINVU_Mes_Constante!$EC$1</f>
        <v>37739692.941109627</v>
      </c>
      <c r="EK195" s="8">
        <f>+MINVU_Mes_Corriente!EK195*MINVU_Mes_Constante!$EC$1</f>
        <v>42663333.154516175</v>
      </c>
      <c r="EL195" s="8">
        <f>+MINVU_Mes_Corriente!EL195*MINVU_Mes_Constante!$EC$1</f>
        <v>45389033.953985974</v>
      </c>
      <c r="EM195" s="8">
        <f>+MINVU_Mes_Corriente!EM195*MINVU_Mes_Constante!$EC$1</f>
        <v>46864263.260177985</v>
      </c>
      <c r="EN195" s="8">
        <f>+MINVU_Mes_Corriente!EN195*MINVU_Mes_Constante!$EC$1</f>
        <v>52007660.691535674</v>
      </c>
      <c r="EO195" s="9">
        <f t="shared" si="162"/>
        <v>52007660.691535674</v>
      </c>
      <c r="EP195" s="8">
        <f>+MINVU_Mes_Corriente!EP195*MINVU_Mes_Constante!$EP$1</f>
        <v>756294</v>
      </c>
      <c r="EQ195" s="8">
        <f>+MINVU_Mes_Corriente!EQ195*MINVU_Mes_Constante!$EP$1</f>
        <v>4738608</v>
      </c>
      <c r="ER195" s="8">
        <f>+MINVU_Mes_Corriente!ER195*MINVU_Mes_Constante!$EP$1</f>
        <v>15047025</v>
      </c>
      <c r="ES195" s="8">
        <f>+MINVU_Mes_Corriente!ES195*MINVU_Mes_Constante!$EP$1</f>
        <v>26160432</v>
      </c>
      <c r="ET195" s="8">
        <f>+MINVU_Mes_Corriente!ET195*MINVU_Mes_Constante!$EP$1</f>
        <v>31980009</v>
      </c>
      <c r="EU195" s="8">
        <f>+MINVU_Mes_Corriente!EU195*MINVU_Mes_Constante!$EP$1</f>
        <v>35163871</v>
      </c>
      <c r="EV195" s="8">
        <f>+MINVU_Mes_Corriente!EV195*MINVU_Mes_Constante!$EP$1</f>
        <v>50130104</v>
      </c>
      <c r="EW195" s="8">
        <f>+MINVU_Mes_Corriente!EW195*MINVU_Mes_Constante!$EP$1</f>
        <v>57095810</v>
      </c>
      <c r="EX195" s="8">
        <f>+MINVU_Mes_Corriente!EX195*MINVU_Mes_Constante!$EP$1</f>
        <v>71098134</v>
      </c>
      <c r="EY195" s="8">
        <f>+MINVU_Mes_Corriente!EY195*MINVU_Mes_Constante!$EP$1</f>
        <v>74656845</v>
      </c>
      <c r="EZ195" s="8">
        <f>+MINVU_Mes_Corriente!EZ195*MINVU_Mes_Constante!$EP$1</f>
        <v>77301290</v>
      </c>
      <c r="FA195" s="8">
        <f>+MINVU_Mes_Corriente!FA195*MINVU_Mes_Constante!$EP$1</f>
        <v>92078446</v>
      </c>
      <c r="FB195" s="9">
        <f t="shared" si="163"/>
        <v>92078446</v>
      </c>
      <c r="FC195" s="8">
        <f>+MINVU_Mes_Corriente!FC195*MINVU_Mes_Constante!$FC$1</f>
        <v>4816591</v>
      </c>
      <c r="FD195" s="8">
        <f>+MINVU_Mes_Corriente!FD195*MINVU_Mes_Constante!$FC$1</f>
        <v>13740877</v>
      </c>
      <c r="FE195" s="8">
        <f>+MINVU_Mes_Corriente!FE195*MINVU_Mes_Constante!$FC$1</f>
        <v>21760819</v>
      </c>
      <c r="FF195" s="8">
        <f>+MINVU_Mes_Corriente!FF195*MINVU_Mes_Constante!$FC$1</f>
        <v>29949204</v>
      </c>
      <c r="FG195" s="8">
        <f>+MINVU_Mes_Corriente!FG195*MINVU_Mes_Constante!$FC$1</f>
        <v>32343149</v>
      </c>
      <c r="FH195" s="8">
        <f>+MINVU_Mes_Corriente!FH195*MINVU_Mes_Constante!$FC$1</f>
        <v>42735045</v>
      </c>
      <c r="FI195" s="8">
        <f>+MINVU_Mes_Corriente!FI195*MINVU_Mes_Constante!$FC$1</f>
        <v>48871138</v>
      </c>
      <c r="FJ195" s="8"/>
      <c r="FK195" s="8"/>
      <c r="FL195" s="8"/>
      <c r="FM195" s="8"/>
      <c r="FN195" s="8"/>
      <c r="FO195" s="9">
        <f t="shared" si="164"/>
        <v>48871138</v>
      </c>
    </row>
    <row r="196" spans="2:171" ht="14.25" customHeight="1" x14ac:dyDescent="0.3">
      <c r="B196" s="7" t="s">
        <v>49</v>
      </c>
      <c r="C196" s="8">
        <f>+MINVU_Mes_Corriente!C196*MINVU_Mes_Constante!$C$1</f>
        <v>4384109.7561916066</v>
      </c>
      <c r="D196" s="8">
        <f>+MINVU_Mes_Corriente!D196*MINVU_Mes_Constante!$C$1</f>
        <v>7380786.0284739742</v>
      </c>
      <c r="E196" s="8">
        <f>+MINVU_Mes_Corriente!E196*MINVU_Mes_Constante!$C$1</f>
        <v>10509468.732314995</v>
      </c>
      <c r="F196" s="8">
        <f>+MINVU_Mes_Corriente!F196*MINVU_Mes_Constante!$C$1</f>
        <v>14185843.31425182</v>
      </c>
      <c r="G196" s="8">
        <f>+MINVU_Mes_Corriente!G196*MINVU_Mes_Constante!$C$1</f>
        <v>17709895.553611156</v>
      </c>
      <c r="H196" s="8">
        <f>+MINVU_Mes_Corriente!H196*MINVU_Mes_Constante!$C$1</f>
        <v>21642801.856443722</v>
      </c>
      <c r="I196" s="8">
        <f>+MINVU_Mes_Corriente!I196*MINVU_Mes_Constante!$C$1</f>
        <v>25844432.991546795</v>
      </c>
      <c r="J196" s="8">
        <f>+MINVU_Mes_Corriente!J196*MINVU_Mes_Constante!$C$1</f>
        <v>29158753.993178114</v>
      </c>
      <c r="K196" s="8">
        <f>+MINVU_Mes_Corriente!K196*MINVU_Mes_Constante!$C$1</f>
        <v>33272153.991991699</v>
      </c>
      <c r="L196" s="8">
        <f>+MINVU_Mes_Corriente!L196*MINVU_Mes_Constante!$C$1</f>
        <v>38199587.170695543</v>
      </c>
      <c r="M196" s="8">
        <f>+MINVU_Mes_Corriente!M196*MINVU_Mes_Constante!$C$1</f>
        <v>42425970.726976126</v>
      </c>
      <c r="N196" s="8">
        <f>+MINVU_Mes_Corriente!N196*MINVU_Mes_Constante!$C$1</f>
        <v>48271887.895595439</v>
      </c>
      <c r="O196" s="9">
        <f t="shared" si="152"/>
        <v>48271887.895595439</v>
      </c>
      <c r="P196" s="8">
        <f>+MINVU_Mes_Corriente!P196*MINVU_Mes_Constante!$P$1</f>
        <v>5163113.1978974268</v>
      </c>
      <c r="Q196" s="8">
        <f>+MINVU_Mes_Corriente!Q196*MINVU_Mes_Constante!$P$1</f>
        <v>9673865.4987924378</v>
      </c>
      <c r="R196" s="8">
        <f>+MINVU_Mes_Corriente!R196*MINVU_Mes_Constante!$P$1</f>
        <v>13870762.667708477</v>
      </c>
      <c r="S196" s="8">
        <f>+MINVU_Mes_Corriente!S196*MINVU_Mes_Constante!$P$1</f>
        <v>19447485.268930238</v>
      </c>
      <c r="T196" s="8">
        <f>+MINVU_Mes_Corriente!T196*MINVU_Mes_Constante!$P$1</f>
        <v>24647856.142349757</v>
      </c>
      <c r="U196" s="8">
        <f>+MINVU_Mes_Corriente!U196*MINVU_Mes_Constante!$P$1</f>
        <v>28588600.001136515</v>
      </c>
      <c r="V196" s="8">
        <f>+MINVU_Mes_Corriente!V196*MINVU_Mes_Constante!$P$1</f>
        <v>33639472.957522362</v>
      </c>
      <c r="W196" s="8">
        <f>+MINVU_Mes_Corriente!W196*MINVU_Mes_Constante!$P$1</f>
        <v>38931537.480323896</v>
      </c>
      <c r="X196" s="8">
        <f>+MINVU_Mes_Corriente!X196*MINVU_Mes_Constante!$P$1</f>
        <v>41937171.580906361</v>
      </c>
      <c r="Y196" s="8">
        <f>+MINVU_Mes_Corriente!Y196*MINVU_Mes_Constante!$P$1</f>
        <v>45651160.970308267</v>
      </c>
      <c r="Z196" s="8">
        <f>+MINVU_Mes_Corriente!Z196*MINVU_Mes_Constante!$P$1</f>
        <v>50441152.587583445</v>
      </c>
      <c r="AA196" s="8">
        <f>+MINVU_Mes_Corriente!AA196*MINVU_Mes_Constante!$P$1</f>
        <v>59033086.419661865</v>
      </c>
      <c r="AB196" s="9">
        <f t="shared" si="153"/>
        <v>59033086.419661865</v>
      </c>
      <c r="AC196" s="8">
        <f>+MINVU_Mes_Corriente!AC196*MINVU_Mes_Constante!$AC$1</f>
        <v>5506350.329506156</v>
      </c>
      <c r="AD196" s="8">
        <f>+MINVU_Mes_Corriente!AD196*MINVU_Mes_Constante!$AC$1</f>
        <v>11508489.257711994</v>
      </c>
      <c r="AE196" s="8">
        <f>+MINVU_Mes_Corriente!AE196*MINVU_Mes_Constante!$AC$1</f>
        <v>17220473.285378337</v>
      </c>
      <c r="AF196" s="8">
        <f>+MINVU_Mes_Corriente!AF196*MINVU_Mes_Constante!$AC$1</f>
        <v>24609224.238483883</v>
      </c>
      <c r="AG196" s="8">
        <f>+MINVU_Mes_Corriente!AG196*MINVU_Mes_Constante!$AC$1</f>
        <v>30548225.426476691</v>
      </c>
      <c r="AH196" s="8">
        <f>+MINVU_Mes_Corriente!AH196*MINVU_Mes_Constante!$AC$1</f>
        <v>36808422.902199477</v>
      </c>
      <c r="AI196" s="8">
        <f>+MINVU_Mes_Corriente!AI196*MINVU_Mes_Constante!$AC$1</f>
        <v>42922593.760686122</v>
      </c>
      <c r="AJ196" s="8">
        <f>+MINVU_Mes_Corriente!AJ196*MINVU_Mes_Constante!$AC$1</f>
        <v>49048553.635634251</v>
      </c>
      <c r="AK196" s="8">
        <f>+MINVU_Mes_Corriente!AK196*MINVU_Mes_Constante!$AC$1</f>
        <v>55497778.921842575</v>
      </c>
      <c r="AL196" s="8">
        <f>+MINVU_Mes_Corriente!AL196*MINVU_Mes_Constante!$AC$1</f>
        <v>63096904.873703137</v>
      </c>
      <c r="AM196" s="8">
        <f>+MINVU_Mes_Corriente!AM196*MINVU_Mes_Constante!$AC$1</f>
        <v>71243896.648775756</v>
      </c>
      <c r="AN196" s="8">
        <f>+MINVU_Mes_Corriente!AN196*MINVU_Mes_Constante!$AC$1</f>
        <v>81799216.720154926</v>
      </c>
      <c r="AO196" s="9">
        <f t="shared" si="154"/>
        <v>81799216.720154926</v>
      </c>
      <c r="AP196" s="8">
        <f>+MINVU_Mes_Corriente!AP196*MINVU_Mes_Constante!$AP$1</f>
        <v>4926975.730826457</v>
      </c>
      <c r="AQ196" s="8">
        <f>+MINVU_Mes_Corriente!AQ196*MINVU_Mes_Constante!$AP$1</f>
        <v>11456726.053293655</v>
      </c>
      <c r="AR196" s="8">
        <f>+MINVU_Mes_Corriente!AR196*MINVU_Mes_Constante!$AP$1</f>
        <v>20871308.368997701</v>
      </c>
      <c r="AS196" s="8">
        <f>+MINVU_Mes_Corriente!AS196*MINVU_Mes_Constante!$AP$1</f>
        <v>27727310.558907073</v>
      </c>
      <c r="AT196" s="8">
        <f>+MINVU_Mes_Corriente!AT196*MINVU_Mes_Constante!$AP$1</f>
        <v>34721792.002975784</v>
      </c>
      <c r="AU196" s="8">
        <f>+MINVU_Mes_Corriente!AU196*MINVU_Mes_Constante!$AP$1</f>
        <v>43610309.513052888</v>
      </c>
      <c r="AV196" s="8">
        <f>+MINVU_Mes_Corriente!AV196*MINVU_Mes_Constante!$AP$1</f>
        <v>51746316.323008247</v>
      </c>
      <c r="AW196" s="8">
        <f>+MINVU_Mes_Corriente!AW196*MINVU_Mes_Constante!$AP$1</f>
        <v>63529391.784120113</v>
      </c>
      <c r="AX196" s="8">
        <f>+MINVU_Mes_Corriente!AX196*MINVU_Mes_Constante!$AP$1</f>
        <v>72641386.118760988</v>
      </c>
      <c r="AY196" s="8">
        <f>+MINVU_Mes_Corriente!AY196*MINVU_Mes_Constante!$AP$1</f>
        <v>82355671.585012838</v>
      </c>
      <c r="AZ196" s="8">
        <f>+MINVU_Mes_Corriente!AZ196*MINVU_Mes_Constante!$AP$1</f>
        <v>92570590.4206682</v>
      </c>
      <c r="BA196" s="8">
        <f>+MINVU_Mes_Corriente!BA196*MINVU_Mes_Constante!$AP$1</f>
        <v>96381345.123765722</v>
      </c>
      <c r="BB196" s="9">
        <f t="shared" si="155"/>
        <v>96381345.123765722</v>
      </c>
      <c r="BC196" s="8">
        <f>+MINVU_Mes_Corriente!BC196*MINVU_Mes_Constante!$BC$1</f>
        <v>11776409.641566666</v>
      </c>
      <c r="BD196" s="8">
        <f>+MINVU_Mes_Corriente!BD196*MINVU_Mes_Constante!$BC$1</f>
        <v>19330857.559013586</v>
      </c>
      <c r="BE196" s="8">
        <f>+MINVU_Mes_Corriente!BE196*MINVU_Mes_Constante!$BC$1</f>
        <v>31455468.432018999</v>
      </c>
      <c r="BF196" s="8">
        <f>+MINVU_Mes_Corriente!BF196*MINVU_Mes_Constante!$BC$1</f>
        <v>42928406.730581574</v>
      </c>
      <c r="BG196" s="8">
        <f>+MINVU_Mes_Corriente!BG196*MINVU_Mes_Constante!$BC$1</f>
        <v>48689016.677304506</v>
      </c>
      <c r="BH196" s="8">
        <f>+MINVU_Mes_Corriente!BH196*MINVU_Mes_Constante!$BC$1</f>
        <v>60329568.144006342</v>
      </c>
      <c r="BI196" s="8">
        <f>+MINVU_Mes_Corriente!BI196*MINVU_Mes_Constante!$BC$1</f>
        <v>69131385.452195719</v>
      </c>
      <c r="BJ196" s="8">
        <f>+MINVU_Mes_Corriente!BJ196*MINVU_Mes_Constante!$BC$1</f>
        <v>78909884.571541622</v>
      </c>
      <c r="BK196" s="8">
        <f>+MINVU_Mes_Corriente!BK196*MINVU_Mes_Constante!$BC$1</f>
        <v>88660897.949624181</v>
      </c>
      <c r="BL196" s="8">
        <f>+MINVU_Mes_Corriente!BL196*MINVU_Mes_Constante!$BC$1</f>
        <v>96145229.562442333</v>
      </c>
      <c r="BM196" s="8">
        <f>+MINVU_Mes_Corriente!BM196*MINVU_Mes_Constante!$BC$1</f>
        <v>106886019.23776872</v>
      </c>
      <c r="BN196" s="8">
        <f>+MINVU_Mes_Corriente!BN196*MINVU_Mes_Constante!$BC$1</f>
        <v>111779561.82355271</v>
      </c>
      <c r="BO196" s="9">
        <f t="shared" si="156"/>
        <v>111779561.82355271</v>
      </c>
      <c r="BP196" s="8">
        <f>+MINVU_Mes_Corriente!BP196*MINVU_Mes_Constante!$BP$1</f>
        <v>4168014.3864276572</v>
      </c>
      <c r="BQ196" s="8">
        <f>+MINVU_Mes_Corriente!BQ196*MINVU_Mes_Constante!$BP$1</f>
        <v>8026105.2983354684</v>
      </c>
      <c r="BR196" s="8">
        <f>+MINVU_Mes_Corriente!BR196*MINVU_Mes_Constante!$BP$1</f>
        <v>13293665.598975673</v>
      </c>
      <c r="BS196" s="8">
        <f>+MINVU_Mes_Corriente!BS196*MINVU_Mes_Constante!$BP$1</f>
        <v>19741980.952624843</v>
      </c>
      <c r="BT196" s="8">
        <f>+MINVU_Mes_Corriente!BT196*MINVU_Mes_Constante!$BP$1</f>
        <v>26095231.712419976</v>
      </c>
      <c r="BU196" s="8">
        <f>+MINVU_Mes_Corriente!BU196*MINVU_Mes_Constante!$BP$1</f>
        <v>32531318.619718313</v>
      </c>
      <c r="BV196" s="8">
        <f>+MINVU_Mes_Corriente!BV196*MINVU_Mes_Constante!$BP$1</f>
        <v>41768727.003841236</v>
      </c>
      <c r="BW196" s="8">
        <f>+MINVU_Mes_Corriente!BW196*MINVU_Mes_Constante!$BP$1</f>
        <v>49273056.345710635</v>
      </c>
      <c r="BX196" s="8">
        <f>+MINVU_Mes_Corriente!BX196*MINVU_Mes_Constante!$BP$1</f>
        <v>53928468.260435343</v>
      </c>
      <c r="BY196" s="8">
        <f>+MINVU_Mes_Corriente!BY196*MINVU_Mes_Constante!$BP$1</f>
        <v>72050762.744942397</v>
      </c>
      <c r="BZ196" s="8">
        <f>+MINVU_Mes_Corriente!BZ196*MINVU_Mes_Constante!$BP$1</f>
        <v>85560536.50985916</v>
      </c>
      <c r="CA196" s="8">
        <f>+MINVU_Mes_Corriente!CA196*MINVU_Mes_Constante!$BP$1</f>
        <v>90235517.296286821</v>
      </c>
      <c r="CB196" s="9">
        <f t="shared" si="157"/>
        <v>90235517.296286821</v>
      </c>
      <c r="CC196" s="8">
        <f>+MINVU_Mes_Corriente!CC196*MINVU_Mes_Constante!$CC$1</f>
        <v>2118602.0701230885</v>
      </c>
      <c r="CD196" s="8">
        <f>+MINVU_Mes_Corriente!CD196*MINVU_Mes_Constante!$CC$1</f>
        <v>4532480.5468108915</v>
      </c>
      <c r="CE196" s="8">
        <f>+MINVU_Mes_Corriente!CE196*MINVU_Mes_Constante!$CC$1</f>
        <v>11806377.766505037</v>
      </c>
      <c r="CF196" s="8">
        <f>+MINVU_Mes_Corriente!CF196*MINVU_Mes_Constante!$CC$1</f>
        <v>15736306.325997764</v>
      </c>
      <c r="CG196" s="8">
        <f>+MINVU_Mes_Corriente!CG196*MINVU_Mes_Constante!$CC$1</f>
        <v>19425464.860126819</v>
      </c>
      <c r="CH196" s="8">
        <f>+MINVU_Mes_Corriente!CH196*MINVU_Mes_Constante!$CC$1</f>
        <v>27519973.553151812</v>
      </c>
      <c r="CI196" s="8">
        <f>+MINVU_Mes_Corriente!CI196*MINVU_Mes_Constante!$CC$1</f>
        <v>31987387.141365167</v>
      </c>
      <c r="CJ196" s="8">
        <f>+MINVU_Mes_Corriente!CJ196*MINVU_Mes_Constante!$CC$1</f>
        <v>39716056.187243566</v>
      </c>
      <c r="CK196" s="8">
        <f>+MINVU_Mes_Corriente!CK196*MINVU_Mes_Constante!$CC$1</f>
        <v>44223541.284595303</v>
      </c>
      <c r="CL196" s="8">
        <f>+MINVU_Mes_Corriente!CL196*MINVU_Mes_Constante!$CC$1</f>
        <v>49708595.693397991</v>
      </c>
      <c r="CM196" s="8">
        <f>+MINVU_Mes_Corriente!CM196*MINVU_Mes_Constante!$CC$1</f>
        <v>59580192.543826938</v>
      </c>
      <c r="CN196" s="8">
        <f>+MINVU_Mes_Corriente!CN196*MINVU_Mes_Constante!$CC$1</f>
        <v>64348677.679224178</v>
      </c>
      <c r="CO196" s="9">
        <f t="shared" si="158"/>
        <v>64348677.679224178</v>
      </c>
      <c r="CP196" s="8">
        <f>+MINVU_Mes_Corriente!CP196*MINVU_Mes_Constante!$CP$1</f>
        <v>3610388.9610208808</v>
      </c>
      <c r="CQ196" s="8">
        <f>+MINVU_Mes_Corriente!CQ196*MINVU_Mes_Constante!$CP$1</f>
        <v>7508624.7863109037</v>
      </c>
      <c r="CR196" s="8">
        <f>+MINVU_Mes_Corriente!CR196*MINVU_Mes_Constante!$CP$1</f>
        <v>10097015.734106727</v>
      </c>
      <c r="CS196" s="8">
        <f>+MINVU_Mes_Corriente!CS196*MINVU_Mes_Constante!$CP$1</f>
        <v>12189770.619953593</v>
      </c>
      <c r="CT196" s="8">
        <f>+MINVU_Mes_Corriente!CT196*MINVU_Mes_Constante!$CP$1</f>
        <v>17558345.643619485</v>
      </c>
      <c r="CU196" s="8">
        <f>+MINVU_Mes_Corriente!CU196*MINVU_Mes_Constante!$CP$1</f>
        <v>22866640.074709971</v>
      </c>
      <c r="CV196" s="8">
        <f>+MINVU_Mes_Corriente!CV196*MINVU_Mes_Constante!$CP$1</f>
        <v>28376304.995359622</v>
      </c>
      <c r="CW196" s="8">
        <f>+MINVU_Mes_Corriente!CW196*MINVU_Mes_Constante!$CP$1</f>
        <v>40099688.784918785</v>
      </c>
      <c r="CX196" s="8">
        <f>+MINVU_Mes_Corriente!CX196*MINVU_Mes_Constante!$CP$1</f>
        <v>62322710.141067274</v>
      </c>
      <c r="CY196" s="8">
        <f>+MINVU_Mes_Corriente!CY196*MINVU_Mes_Constante!$CP$1</f>
        <v>65432512.117169358</v>
      </c>
      <c r="CZ196" s="8">
        <f>+MINVU_Mes_Corriente!CZ196*MINVU_Mes_Constante!$CP$1</f>
        <v>68371158.683526665</v>
      </c>
      <c r="DA196" s="8">
        <f>+MINVU_Mes_Corriente!DA196*MINVU_Mes_Constante!$CP$1</f>
        <v>85031465.713225037</v>
      </c>
      <c r="DB196" s="9">
        <f t="shared" si="159"/>
        <v>85031465.713225037</v>
      </c>
      <c r="DC196" s="8">
        <f>+MINVU_Mes_Corriente!DC196*MINVU_Mes_Constante!$DC$1</f>
        <v>2868857.8370538023</v>
      </c>
      <c r="DD196" s="8">
        <f>+MINVU_Mes_Corriente!DD196*MINVU_Mes_Constante!$DC$1</f>
        <v>7296334.6945787501</v>
      </c>
      <c r="DE196" s="8">
        <f>+MINVU_Mes_Corriente!DE196*MINVU_Mes_Constante!$DC$1</f>
        <v>13587615.636045681</v>
      </c>
      <c r="DF196" s="8">
        <f>+MINVU_Mes_Corriente!DF196*MINVU_Mes_Constante!$DC$1</f>
        <v>17244750.485752504</v>
      </c>
      <c r="DG196" s="8">
        <f>+MINVU_Mes_Corriente!DG196*MINVU_Mes_Constante!$DC$1</f>
        <v>25006432.073654987</v>
      </c>
      <c r="DH196" s="8">
        <f>+MINVU_Mes_Corriente!DH196*MINVU_Mes_Constante!$DC$1</f>
        <v>36022736.514556132</v>
      </c>
      <c r="DI196" s="8">
        <f>+MINVU_Mes_Corriente!DI196*MINVU_Mes_Constante!$DC$1</f>
        <v>42905187.000925854</v>
      </c>
      <c r="DJ196" s="8">
        <f>+MINVU_Mes_Corriente!DJ196*MINVU_Mes_Constante!$DC$1</f>
        <v>47418210.583273351</v>
      </c>
      <c r="DK196" s="8">
        <f>+MINVU_Mes_Corriente!DK196*MINVU_Mes_Constante!$DC$1</f>
        <v>52368937.301100738</v>
      </c>
      <c r="DL196" s="8">
        <f>+MINVU_Mes_Corriente!DL196*MINVU_Mes_Constante!$DC$1</f>
        <v>62562140.001028731</v>
      </c>
      <c r="DM196" s="8">
        <f>+MINVU_Mes_Corriente!DM196*MINVU_Mes_Constante!$DC$1</f>
        <v>69269784.603024408</v>
      </c>
      <c r="DN196" s="8">
        <f>+MINVU_Mes_Corriente!DN196*MINVU_Mes_Constante!$DC$1</f>
        <v>82283586.860405341</v>
      </c>
      <c r="DO196" s="9">
        <f t="shared" si="160"/>
        <v>82283586.860405341</v>
      </c>
      <c r="DP196" s="8">
        <f>+MINVU_Mes_Corriente!DP196*MINVU_Mes_Constante!$DP$1</f>
        <v>10922686.73159145</v>
      </c>
      <c r="DQ196" s="8">
        <f>+MINVU_Mes_Corriente!DQ196*MINVU_Mes_Constante!$DP$1</f>
        <v>17375181.798099764</v>
      </c>
      <c r="DR196" s="8">
        <f>+MINVU_Mes_Corriente!DR196*MINVU_Mes_Constante!$DP$1</f>
        <v>26381515.822446559</v>
      </c>
      <c r="DS196" s="8">
        <f>+MINVU_Mes_Corriente!DS196*MINVU_Mes_Constante!$DP$1</f>
        <v>32752361.098574825</v>
      </c>
      <c r="DT196" s="8">
        <f>+MINVU_Mes_Corriente!DT196*MINVU_Mes_Constante!$DP$1</f>
        <v>36345575.816508316</v>
      </c>
      <c r="DU196" s="8">
        <f>+MINVU_Mes_Corriente!DU196*MINVU_Mes_Constante!$DP$1</f>
        <v>43405033.756532073</v>
      </c>
      <c r="DV196" s="8">
        <f>+MINVU_Mes_Corriente!DV196*MINVU_Mes_Constante!$DP$1</f>
        <v>49514875.88123516</v>
      </c>
      <c r="DW196" s="8">
        <f>+MINVU_Mes_Corriente!DW196*MINVU_Mes_Constante!$DP$1</f>
        <v>56945426.371140145</v>
      </c>
      <c r="DX196" s="8">
        <f>+MINVU_Mes_Corriente!DX196*MINVU_Mes_Constante!$DP$1</f>
        <v>60097809.862232782</v>
      </c>
      <c r="DY196" s="8">
        <f>+MINVU_Mes_Corriente!DY196*MINVU_Mes_Constante!$DP$1</f>
        <v>78153554.725653216</v>
      </c>
      <c r="DZ196" s="8">
        <f>+MINVU_Mes_Corriente!DZ196*MINVU_Mes_Constante!$DP$1</f>
        <v>86515432.092042759</v>
      </c>
      <c r="EA196" s="8">
        <f>+MINVU_Mes_Corriente!EA196*MINVU_Mes_Constante!$DP$1</f>
        <v>102831572.62767223</v>
      </c>
      <c r="EB196" s="9">
        <f t="shared" si="161"/>
        <v>102831572.62767223</v>
      </c>
      <c r="EC196" s="8">
        <f>+MINVU_Mes_Corriente!EC196*MINVU_Mes_Constante!$EC$1</f>
        <v>5393969.2382124579</v>
      </c>
      <c r="ED196" s="8">
        <f>+MINVU_Mes_Corriente!ED196*MINVU_Mes_Constante!$EC$1</f>
        <v>11623124.730164738</v>
      </c>
      <c r="EE196" s="8">
        <f>+MINVU_Mes_Corriente!EE196*MINVU_Mes_Constante!$EC$1</f>
        <v>17487709.539481152</v>
      </c>
      <c r="EF196" s="8">
        <f>+MINVU_Mes_Corriente!EF196*MINVU_Mes_Constante!$EC$1</f>
        <v>24560310.439121369</v>
      </c>
      <c r="EG196" s="8">
        <f>+MINVU_Mes_Corriente!EG196*MINVU_Mes_Constante!$EC$1</f>
        <v>31534779.05907971</v>
      </c>
      <c r="EH196" s="8">
        <f>+MINVU_Mes_Corriente!EH196*MINVU_Mes_Constante!$EC$1</f>
        <v>40860691.082749464</v>
      </c>
      <c r="EI196" s="8">
        <f>+MINVU_Mes_Corriente!EI196*MINVU_Mes_Constante!$EC$1</f>
        <v>48930557.92558226</v>
      </c>
      <c r="EJ196" s="8">
        <f>+MINVU_Mes_Corriente!EJ196*MINVU_Mes_Constante!$EC$1</f>
        <v>58842129.203938626</v>
      </c>
      <c r="EK196" s="8">
        <f>+MINVU_Mes_Corriente!EK196*MINVU_Mes_Constante!$EC$1</f>
        <v>66956546.237644367</v>
      </c>
      <c r="EL196" s="8">
        <f>+MINVU_Mes_Corriente!EL196*MINVU_Mes_Constante!$EC$1</f>
        <v>78283792.777504236</v>
      </c>
      <c r="EM196" s="8">
        <f>+MINVU_Mes_Corriente!EM196*MINVU_Mes_Constante!$EC$1</f>
        <v>84812423.288202971</v>
      </c>
      <c r="EN196" s="8">
        <f>+MINVU_Mes_Corriente!EN196*MINVU_Mes_Constante!$EC$1</f>
        <v>110661646.90645708</v>
      </c>
      <c r="EO196" s="9">
        <f t="shared" si="162"/>
        <v>110661646.90645708</v>
      </c>
      <c r="EP196" s="8">
        <f>+MINVU_Mes_Corriente!EP196*MINVU_Mes_Constante!$EP$1</f>
        <v>7447418</v>
      </c>
      <c r="EQ196" s="8">
        <f>+MINVU_Mes_Corriente!EQ196*MINVU_Mes_Constante!$EP$1</f>
        <v>23994446</v>
      </c>
      <c r="ER196" s="8">
        <f>+MINVU_Mes_Corriente!ER196*MINVU_Mes_Constante!$EP$1</f>
        <v>29971017</v>
      </c>
      <c r="ES196" s="8">
        <f>+MINVU_Mes_Corriente!ES196*MINVU_Mes_Constante!$EP$1</f>
        <v>35520045</v>
      </c>
      <c r="ET196" s="8">
        <f>+MINVU_Mes_Corriente!ET196*MINVU_Mes_Constante!$EP$1</f>
        <v>42604873</v>
      </c>
      <c r="EU196" s="8">
        <f>+MINVU_Mes_Corriente!EU196*MINVU_Mes_Constante!$EP$1</f>
        <v>50293712</v>
      </c>
      <c r="EV196" s="8">
        <f>+MINVU_Mes_Corriente!EV196*MINVU_Mes_Constante!$EP$1</f>
        <v>60108224</v>
      </c>
      <c r="EW196" s="8">
        <f>+MINVU_Mes_Corriente!EW196*MINVU_Mes_Constante!$EP$1</f>
        <v>67603966</v>
      </c>
      <c r="EX196" s="8">
        <f>+MINVU_Mes_Corriente!EX196*MINVU_Mes_Constante!$EP$1</f>
        <v>75529454</v>
      </c>
      <c r="EY196" s="8">
        <f>+MINVU_Mes_Corriente!EY196*MINVU_Mes_Constante!$EP$1</f>
        <v>96186537</v>
      </c>
      <c r="EZ196" s="8">
        <f>+MINVU_Mes_Corriente!EZ196*MINVU_Mes_Constante!$EP$1</f>
        <v>110595441</v>
      </c>
      <c r="FA196" s="8">
        <f>+MINVU_Mes_Corriente!FA196*MINVU_Mes_Constante!$EP$1</f>
        <v>121561430</v>
      </c>
      <c r="FB196" s="9">
        <f t="shared" si="163"/>
        <v>121561430</v>
      </c>
      <c r="FC196" s="8">
        <f>+MINVU_Mes_Corriente!FC196*MINVU_Mes_Constante!$FC$1</f>
        <v>4876896</v>
      </c>
      <c r="FD196" s="8">
        <f>+MINVU_Mes_Corriente!FD196*MINVU_Mes_Constante!$FC$1</f>
        <v>21687378</v>
      </c>
      <c r="FE196" s="8">
        <f>+MINVU_Mes_Corriente!FE196*MINVU_Mes_Constante!$FC$1</f>
        <v>34301743</v>
      </c>
      <c r="FF196" s="8">
        <f>+MINVU_Mes_Corriente!FF196*MINVU_Mes_Constante!$FC$1</f>
        <v>42309988</v>
      </c>
      <c r="FG196" s="8">
        <f>+MINVU_Mes_Corriente!FG196*MINVU_Mes_Constante!$FC$1</f>
        <v>54922374</v>
      </c>
      <c r="FH196" s="8">
        <f>+MINVU_Mes_Corriente!FH196*MINVU_Mes_Constante!$FC$1</f>
        <v>64126737</v>
      </c>
      <c r="FI196" s="8">
        <f>+MINVU_Mes_Corriente!FI196*MINVU_Mes_Constante!$FC$1</f>
        <v>87205139</v>
      </c>
      <c r="FJ196" s="8"/>
      <c r="FK196" s="8"/>
      <c r="FL196" s="8"/>
      <c r="FM196" s="8"/>
      <c r="FN196" s="8"/>
      <c r="FO196" s="9">
        <f t="shared" si="164"/>
        <v>87205139</v>
      </c>
    </row>
    <row r="197" spans="2:171" ht="14.25" customHeight="1" x14ac:dyDescent="0.3">
      <c r="B197" s="7" t="s">
        <v>50</v>
      </c>
      <c r="C197" s="8">
        <f>+MINVU_Mes_Corriente!C197*MINVU_Mes_Constante!$C$1</f>
        <v>8287738.0086015137</v>
      </c>
      <c r="D197" s="8">
        <f>+MINVU_Mes_Corriente!D197*MINVU_Mes_Constante!$C$1</f>
        <v>19160692.707993478</v>
      </c>
      <c r="E197" s="8">
        <f>+MINVU_Mes_Corriente!E197*MINVU_Mes_Constante!$C$1</f>
        <v>30790895.52573039</v>
      </c>
      <c r="F197" s="8">
        <f>+MINVU_Mes_Corriente!F197*MINVU_Mes_Constante!$C$1</f>
        <v>43139430.587275699</v>
      </c>
      <c r="G197" s="8">
        <f>+MINVU_Mes_Corriente!G197*MINVU_Mes_Constante!$C$1</f>
        <v>52563556.853922598</v>
      </c>
      <c r="H197" s="8">
        <f>+MINVU_Mes_Corriente!H197*MINVU_Mes_Constante!$C$1</f>
        <v>62946048.711849332</v>
      </c>
      <c r="I197" s="8">
        <f>+MINVU_Mes_Corriente!I197*MINVU_Mes_Constante!$C$1</f>
        <v>71020351.369420156</v>
      </c>
      <c r="J197" s="8">
        <f>+MINVU_Mes_Corriente!J197*MINVU_Mes_Constante!$C$1</f>
        <v>81859729.237728029</v>
      </c>
      <c r="K197" s="8">
        <f>+MINVU_Mes_Corriente!K197*MINVU_Mes_Constante!$C$1</f>
        <v>92127954.223342746</v>
      </c>
      <c r="L197" s="8">
        <f>+MINVU_Mes_Corriente!L197*MINVU_Mes_Constante!$C$1</f>
        <v>105972806.84828714</v>
      </c>
      <c r="M197" s="8">
        <f>+MINVU_Mes_Corriente!M197*MINVU_Mes_Constante!$C$1</f>
        <v>121031775.77814031</v>
      </c>
      <c r="N197" s="8">
        <f>+MINVU_Mes_Corriente!N197*MINVU_Mes_Constante!$C$1</f>
        <v>137301646.24440163</v>
      </c>
      <c r="O197" s="9">
        <f t="shared" si="152"/>
        <v>137301646.24440163</v>
      </c>
      <c r="P197" s="8">
        <f>+MINVU_Mes_Corriente!P197*MINVU_Mes_Constante!$P$1</f>
        <v>8515501.5027702767</v>
      </c>
      <c r="Q197" s="8">
        <f>+MINVU_Mes_Corriente!Q197*MINVU_Mes_Constante!$P$1</f>
        <v>17581858.739309553</v>
      </c>
      <c r="R197" s="8">
        <f>+MINVU_Mes_Corriente!R197*MINVU_Mes_Constante!$P$1</f>
        <v>28459980.848984219</v>
      </c>
      <c r="S197" s="8">
        <f>+MINVU_Mes_Corriente!S197*MINVU_Mes_Constante!$P$1</f>
        <v>42942307.701378018</v>
      </c>
      <c r="T197" s="8">
        <f>+MINVU_Mes_Corriente!T197*MINVU_Mes_Constante!$P$1</f>
        <v>56421932.297201283</v>
      </c>
      <c r="U197" s="8">
        <f>+MINVU_Mes_Corriente!U197*MINVU_Mes_Constante!$P$1</f>
        <v>72900390.765449613</v>
      </c>
      <c r="V197" s="8">
        <f>+MINVU_Mes_Corriente!V197*MINVU_Mes_Constante!$P$1</f>
        <v>86607041.467253834</v>
      </c>
      <c r="W197" s="8">
        <f>+MINVU_Mes_Corriente!W197*MINVU_Mes_Constante!$P$1</f>
        <v>98699343.460718811</v>
      </c>
      <c r="X197" s="8">
        <f>+MINVU_Mes_Corriente!X197*MINVU_Mes_Constante!$P$1</f>
        <v>109965207.40872279</v>
      </c>
      <c r="Y197" s="8">
        <f>+MINVU_Mes_Corriente!Y197*MINVU_Mes_Constante!$P$1</f>
        <v>123924770.40801245</v>
      </c>
      <c r="Z197" s="8">
        <f>+MINVU_Mes_Corriente!Z197*MINVU_Mes_Constante!$P$1</f>
        <v>140930149.54538992</v>
      </c>
      <c r="AA197" s="8">
        <f>+MINVU_Mes_Corriente!AA197*MINVU_Mes_Constante!$P$1</f>
        <v>156230420.75493672</v>
      </c>
      <c r="AB197" s="9">
        <f t="shared" si="153"/>
        <v>156230420.75493672</v>
      </c>
      <c r="AC197" s="8">
        <f>+MINVU_Mes_Corriente!AC197*MINVU_Mes_Constante!$AC$1</f>
        <v>10554417.758196155</v>
      </c>
      <c r="AD197" s="8">
        <f>+MINVU_Mes_Corriente!AD197*MINVU_Mes_Constante!$AC$1</f>
        <v>21533702.601189654</v>
      </c>
      <c r="AE197" s="8">
        <f>+MINVU_Mes_Corriente!AE197*MINVU_Mes_Constante!$AC$1</f>
        <v>34600296.288006641</v>
      </c>
      <c r="AF197" s="8">
        <f>+MINVU_Mes_Corriente!AF197*MINVU_Mes_Constante!$AC$1</f>
        <v>48102379.265735231</v>
      </c>
      <c r="AG197" s="8">
        <f>+MINVU_Mes_Corriente!AG197*MINVU_Mes_Constante!$AC$1</f>
        <v>66299298.99930834</v>
      </c>
      <c r="AH197" s="8">
        <f>+MINVU_Mes_Corriente!AH197*MINVU_Mes_Constante!$AC$1</f>
        <v>80556060.400055334</v>
      </c>
      <c r="AI197" s="8">
        <f>+MINVU_Mes_Corriente!AI197*MINVU_Mes_Constante!$AC$1</f>
        <v>96258298.803153962</v>
      </c>
      <c r="AJ197" s="8">
        <f>+MINVU_Mes_Corriente!AJ197*MINVU_Mes_Constante!$AC$1</f>
        <v>108037998.91879928</v>
      </c>
      <c r="AK197" s="8">
        <f>+MINVU_Mes_Corriente!AK197*MINVU_Mes_Constante!$AC$1</f>
        <v>123197764.21801078</v>
      </c>
      <c r="AL197" s="8">
        <f>+MINVU_Mes_Corriente!AL197*MINVU_Mes_Constante!$AC$1</f>
        <v>138775549.90399778</v>
      </c>
      <c r="AM197" s="8">
        <f>+MINVU_Mes_Corriente!AM197*MINVU_Mes_Constante!$AC$1</f>
        <v>151008778.01715314</v>
      </c>
      <c r="AN197" s="8">
        <f>+MINVU_Mes_Corriente!AN197*MINVU_Mes_Constante!$AC$1</f>
        <v>168411798.17678794</v>
      </c>
      <c r="AO197" s="9">
        <f t="shared" si="154"/>
        <v>168411798.17678794</v>
      </c>
      <c r="AP197" s="8">
        <f>+MINVU_Mes_Corriente!AP197*MINVU_Mes_Constante!$AP$1</f>
        <v>12252878.682267008</v>
      </c>
      <c r="AQ197" s="8">
        <f>+MINVU_Mes_Corriente!AQ197*MINVU_Mes_Constante!$AP$1</f>
        <v>27159502.905992154</v>
      </c>
      <c r="AR197" s="8">
        <f>+MINVU_Mes_Corriente!AR197*MINVU_Mes_Constante!$AP$1</f>
        <v>42597253.689706475</v>
      </c>
      <c r="AS197" s="8">
        <f>+MINVU_Mes_Corriente!AS197*MINVU_Mes_Constante!$AP$1</f>
        <v>57520317.900446363</v>
      </c>
      <c r="AT197" s="8">
        <f>+MINVU_Mes_Corriente!AT197*MINVU_Mes_Constante!$AP$1</f>
        <v>68886873.787636951</v>
      </c>
      <c r="AU197" s="8">
        <f>+MINVU_Mes_Corriente!AU197*MINVU_Mes_Constante!$AP$1</f>
        <v>82034401.666170701</v>
      </c>
      <c r="AV197" s="8">
        <f>+MINVU_Mes_Corriente!AV197*MINVU_Mes_Constante!$AP$1</f>
        <v>94378819.035574183</v>
      </c>
      <c r="AW197" s="8">
        <f>+MINVU_Mes_Corriente!AW197*MINVU_Mes_Constante!$AP$1</f>
        <v>107209911.15541728</v>
      </c>
      <c r="AX197" s="8">
        <f>+MINVU_Mes_Corriente!AX197*MINVU_Mes_Constante!$AP$1</f>
        <v>119903101.87393479</v>
      </c>
      <c r="AY197" s="8">
        <f>+MINVU_Mes_Corriente!AY197*MINVU_Mes_Constante!$AP$1</f>
        <v>132529515.85986744</v>
      </c>
      <c r="AZ197" s="8">
        <f>+MINVU_Mes_Corriente!AZ197*MINVU_Mes_Constante!$AP$1</f>
        <v>140729835.76897064</v>
      </c>
      <c r="BA197" s="8">
        <f>+MINVU_Mes_Corriente!BA197*MINVU_Mes_Constante!$AP$1</f>
        <v>152723738.8413364</v>
      </c>
      <c r="BB197" s="9">
        <f t="shared" si="155"/>
        <v>152723738.8413364</v>
      </c>
      <c r="BC197" s="8">
        <f>+MINVU_Mes_Corriente!BC197*MINVU_Mes_Constante!$BC$1</f>
        <v>17594443.405248586</v>
      </c>
      <c r="BD197" s="8">
        <f>+MINVU_Mes_Corriente!BD197*MINVU_Mes_Constante!$BC$1</f>
        <v>28190650.531451941</v>
      </c>
      <c r="BE197" s="8">
        <f>+MINVU_Mes_Corriente!BE197*MINVU_Mes_Constante!$BC$1</f>
        <v>42654739.463800617</v>
      </c>
      <c r="BF197" s="8">
        <f>+MINVU_Mes_Corriente!BF197*MINVU_Mes_Constante!$BC$1</f>
        <v>57604573.602268249</v>
      </c>
      <c r="BG197" s="8">
        <f>+MINVU_Mes_Corriente!BG197*MINVU_Mes_Constante!$BC$1</f>
        <v>73674496.363708317</v>
      </c>
      <c r="BH197" s="8">
        <f>+MINVU_Mes_Corriente!BH197*MINVU_Mes_Constante!$BC$1</f>
        <v>91500398.642753556</v>
      </c>
      <c r="BI197" s="8">
        <f>+MINVU_Mes_Corriente!BI197*MINVU_Mes_Constante!$BC$1</f>
        <v>107454590.52644075</v>
      </c>
      <c r="BJ197" s="8">
        <f>+MINVU_Mes_Corriente!BJ197*MINVU_Mes_Constante!$BC$1</f>
        <v>122384101.41157857</v>
      </c>
      <c r="BK197" s="8">
        <f>+MINVU_Mes_Corriente!BK197*MINVU_Mes_Constante!$BC$1</f>
        <v>132040643.72069106</v>
      </c>
      <c r="BL197" s="8">
        <f>+MINVU_Mes_Corriente!BL197*MINVU_Mes_Constante!$BC$1</f>
        <v>144152478.53646317</v>
      </c>
      <c r="BM197" s="8">
        <f>+MINVU_Mes_Corriente!BM197*MINVU_Mes_Constante!$BC$1</f>
        <v>158006741.63286301</v>
      </c>
      <c r="BN197" s="8">
        <f>+MINVU_Mes_Corriente!BN197*MINVU_Mes_Constante!$BC$1</f>
        <v>167946396.01028621</v>
      </c>
      <c r="BO197" s="9">
        <f t="shared" si="156"/>
        <v>167946396.01028621</v>
      </c>
      <c r="BP197" s="8">
        <f>+MINVU_Mes_Corriente!BP197*MINVU_Mes_Constante!$BP$1</f>
        <v>11212514.414596673</v>
      </c>
      <c r="BQ197" s="8">
        <f>+MINVU_Mes_Corriente!BQ197*MINVU_Mes_Constante!$BP$1</f>
        <v>20642140.657106277</v>
      </c>
      <c r="BR197" s="8">
        <f>+MINVU_Mes_Corriente!BR197*MINVU_Mes_Constante!$BP$1</f>
        <v>35657520.019974396</v>
      </c>
      <c r="BS197" s="8">
        <f>+MINVU_Mes_Corriente!BS197*MINVU_Mes_Constante!$BP$1</f>
        <v>51245986.969014093</v>
      </c>
      <c r="BT197" s="8">
        <f>+MINVU_Mes_Corriente!BT197*MINVU_Mes_Constante!$BP$1</f>
        <v>66030834.726760574</v>
      </c>
      <c r="BU197" s="8">
        <f>+MINVU_Mes_Corriente!BU197*MINVU_Mes_Constante!$BP$1</f>
        <v>79658771.572855324</v>
      </c>
      <c r="BV197" s="8">
        <f>+MINVU_Mes_Corriente!BV197*MINVU_Mes_Constante!$BP$1</f>
        <v>96951656.749551862</v>
      </c>
      <c r="BW197" s="8">
        <f>+MINVU_Mes_Corriente!BW197*MINVU_Mes_Constante!$BP$1</f>
        <v>103795974.55083227</v>
      </c>
      <c r="BX197" s="8">
        <f>+MINVU_Mes_Corriente!BX197*MINVU_Mes_Constante!$BP$1</f>
        <v>113558060.36696544</v>
      </c>
      <c r="BY197" s="8">
        <f>+MINVU_Mes_Corriente!BY197*MINVU_Mes_Constante!$BP$1</f>
        <v>119209495.39513445</v>
      </c>
      <c r="BZ197" s="8">
        <f>+MINVU_Mes_Corriente!BZ197*MINVU_Mes_Constante!$BP$1</f>
        <v>152818979.38386685</v>
      </c>
      <c r="CA197" s="8">
        <f>+MINVU_Mes_Corriente!CA197*MINVU_Mes_Constante!$BP$1</f>
        <v>182933198.20025611</v>
      </c>
      <c r="CB197" s="9">
        <f t="shared" si="157"/>
        <v>182933198.20025611</v>
      </c>
      <c r="CC197" s="8">
        <f>+MINVU_Mes_Corriente!CC197*MINVU_Mes_Constante!$CC$1</f>
        <v>15109760.065647148</v>
      </c>
      <c r="CD197" s="8">
        <f>+MINVU_Mes_Corriente!CD197*MINVU_Mes_Constante!$CC$1</f>
        <v>25474985.798582621</v>
      </c>
      <c r="CE197" s="8">
        <f>+MINVU_Mes_Corriente!CE197*MINVU_Mes_Constante!$CC$1</f>
        <v>39931538.696754947</v>
      </c>
      <c r="CF197" s="8">
        <f>+MINVU_Mes_Corriente!CF197*MINVU_Mes_Constante!$CC$1</f>
        <v>52970764.028347634</v>
      </c>
      <c r="CG197" s="8">
        <f>+MINVU_Mes_Corriente!CG197*MINVU_Mes_Constante!$CC$1</f>
        <v>65789351.538978003</v>
      </c>
      <c r="CH197" s="8">
        <f>+MINVU_Mes_Corriente!CH197*MINVU_Mes_Constante!$CC$1</f>
        <v>80782608.358075351</v>
      </c>
      <c r="CI197" s="8">
        <f>+MINVU_Mes_Corriente!CI197*MINVU_Mes_Constante!$CC$1</f>
        <v>90471601.224170089</v>
      </c>
      <c r="CJ197" s="8">
        <f>+MINVU_Mes_Corriente!CJ197*MINVU_Mes_Constante!$CC$1</f>
        <v>102130300.71316674</v>
      </c>
      <c r="CK197" s="8">
        <f>+MINVU_Mes_Corriente!CK197*MINVU_Mes_Constante!$CC$1</f>
        <v>114689883.74636331</v>
      </c>
      <c r="CL197" s="8">
        <f>+MINVU_Mes_Corriente!CL197*MINVU_Mes_Constante!$CC$1</f>
        <v>138559668.57292056</v>
      </c>
      <c r="CM197" s="8">
        <f>+MINVU_Mes_Corriente!CM197*MINVU_Mes_Constante!$CC$1</f>
        <v>174041528.22454309</v>
      </c>
      <c r="CN197" s="8">
        <f>+MINVU_Mes_Corriente!CN197*MINVU_Mes_Constante!$CC$1</f>
        <v>182244552.48787767</v>
      </c>
      <c r="CO197" s="9">
        <f t="shared" si="158"/>
        <v>182244552.48787767</v>
      </c>
      <c r="CP197" s="8">
        <f>+MINVU_Mes_Corriente!CP197*MINVU_Mes_Constante!$CP$1</f>
        <v>8050837.0426914133</v>
      </c>
      <c r="CQ197" s="8">
        <f>+MINVU_Mes_Corriente!CQ197*MINVU_Mes_Constante!$CP$1</f>
        <v>20923672.790255215</v>
      </c>
      <c r="CR197" s="8">
        <f>+MINVU_Mes_Corriente!CR197*MINVU_Mes_Constante!$CP$1</f>
        <v>35777554.580046393</v>
      </c>
      <c r="CS197" s="8">
        <f>+MINVU_Mes_Corriente!CS197*MINVU_Mes_Constante!$CP$1</f>
        <v>52284124.424129918</v>
      </c>
      <c r="CT197" s="8">
        <f>+MINVU_Mes_Corriente!CT197*MINVU_Mes_Constante!$CP$1</f>
        <v>64832252.633874699</v>
      </c>
      <c r="CU197" s="8">
        <f>+MINVU_Mes_Corriente!CU197*MINVU_Mes_Constante!$CP$1</f>
        <v>82634455.950348005</v>
      </c>
      <c r="CV197" s="8">
        <f>+MINVU_Mes_Corriente!CV197*MINVU_Mes_Constante!$CP$1</f>
        <v>95772944.332482576</v>
      </c>
      <c r="CW197" s="8">
        <f>+MINVU_Mes_Corriente!CW197*MINVU_Mes_Constante!$CP$1</f>
        <v>98526867.982830599</v>
      </c>
      <c r="CX197" s="8">
        <f>+MINVU_Mes_Corriente!CX197*MINVU_Mes_Constante!$CP$1</f>
        <v>111767258.42645009</v>
      </c>
      <c r="CY197" s="8">
        <f>+MINVU_Mes_Corriente!CY197*MINVU_Mes_Constante!$CP$1</f>
        <v>129560647.42691413</v>
      </c>
      <c r="CZ197" s="8">
        <f>+MINVU_Mes_Corriente!CZ197*MINVU_Mes_Constante!$CP$1</f>
        <v>154063327.98236656</v>
      </c>
      <c r="DA197" s="8">
        <f>+MINVU_Mes_Corriente!DA197*MINVU_Mes_Constante!$CP$1</f>
        <v>171300480.91392109</v>
      </c>
      <c r="DB197" s="9">
        <f t="shared" si="159"/>
        <v>171300480.91392109</v>
      </c>
      <c r="DC197" s="8">
        <f>+MINVU_Mes_Corriente!DC197*MINVU_Mes_Constante!$DC$1</f>
        <v>9358865.8703837097</v>
      </c>
      <c r="DD197" s="8">
        <f>+MINVU_Mes_Corriente!DD197*MINVU_Mes_Constante!$DC$1</f>
        <v>18457773.640983447</v>
      </c>
      <c r="DE197" s="8">
        <f>+MINVU_Mes_Corriente!DE197*MINVU_Mes_Constante!$DC$1</f>
        <v>29449349.87223538</v>
      </c>
      <c r="DF197" s="8">
        <f>+MINVU_Mes_Corriente!DF197*MINVU_Mes_Constante!$DC$1</f>
        <v>40358418.562287852</v>
      </c>
      <c r="DG197" s="8">
        <f>+MINVU_Mes_Corriente!DG197*MINVU_Mes_Constante!$DC$1</f>
        <v>58709249.805575587</v>
      </c>
      <c r="DH197" s="8">
        <f>+MINVU_Mes_Corriente!DH197*MINVU_Mes_Constante!$DC$1</f>
        <v>80641577.991358951</v>
      </c>
      <c r="DI197" s="8">
        <f>+MINVU_Mes_Corriente!DI197*MINVU_Mes_Constante!$DC$1</f>
        <v>96244012.7674108</v>
      </c>
      <c r="DJ197" s="8">
        <f>+MINVU_Mes_Corriente!DJ197*MINVU_Mes_Constante!$DC$1</f>
        <v>120819602.34790665</v>
      </c>
      <c r="DK197" s="8">
        <f>+MINVU_Mes_Corriente!DK197*MINVU_Mes_Constante!$DC$1</f>
        <v>145701681.90762275</v>
      </c>
      <c r="DL197" s="8">
        <f>+MINVU_Mes_Corriente!DL197*MINVU_Mes_Constante!$DC$1</f>
        <v>166063528.81555402</v>
      </c>
      <c r="DM197" s="8">
        <f>+MINVU_Mes_Corriente!DM197*MINVU_Mes_Constante!$DC$1</f>
        <v>186518393.40006182</v>
      </c>
      <c r="DN197" s="8">
        <f>+MINVU_Mes_Corriente!DN197*MINVU_Mes_Constante!$DC$1</f>
        <v>209643328.03600463</v>
      </c>
      <c r="DO197" s="9">
        <f t="shared" si="160"/>
        <v>209643328.03600463</v>
      </c>
      <c r="DP197" s="8">
        <f>+MINVU_Mes_Corriente!DP197*MINVU_Mes_Constante!$DP$1</f>
        <v>8628368.3889548704</v>
      </c>
      <c r="DQ197" s="8">
        <f>+MINVU_Mes_Corriente!DQ197*MINVU_Mes_Constante!$DP$1</f>
        <v>18650377.058194775</v>
      </c>
      <c r="DR197" s="8">
        <f>+MINVU_Mes_Corriente!DR197*MINVU_Mes_Constante!$DP$1</f>
        <v>42756657.190617584</v>
      </c>
      <c r="DS197" s="8">
        <f>+MINVU_Mes_Corriente!DS197*MINVU_Mes_Constante!$DP$1</f>
        <v>64565816.111045137</v>
      </c>
      <c r="DT197" s="8">
        <f>+MINVU_Mes_Corriente!DT197*MINVU_Mes_Constante!$DP$1</f>
        <v>84266006.15736343</v>
      </c>
      <c r="DU197" s="8">
        <f>+MINVU_Mes_Corriente!DU197*MINVU_Mes_Constante!$DP$1</f>
        <v>106021394.75415678</v>
      </c>
      <c r="DV197" s="8">
        <f>+MINVU_Mes_Corriente!DV197*MINVU_Mes_Constante!$DP$1</f>
        <v>123767509.06175773</v>
      </c>
      <c r="DW197" s="8">
        <f>+MINVU_Mes_Corriente!DW197*MINVU_Mes_Constante!$DP$1</f>
        <v>142789683.71258909</v>
      </c>
      <c r="DX197" s="8">
        <f>+MINVU_Mes_Corriente!DX197*MINVU_Mes_Constante!$DP$1</f>
        <v>162999108.19061759</v>
      </c>
      <c r="DY197" s="8">
        <f>+MINVU_Mes_Corriente!DY197*MINVU_Mes_Constante!$DP$1</f>
        <v>178515413.40498814</v>
      </c>
      <c r="DZ197" s="8">
        <f>+MINVU_Mes_Corriente!DZ197*MINVU_Mes_Constante!$DP$1</f>
        <v>191929722.31532067</v>
      </c>
      <c r="EA197" s="8">
        <f>+MINVU_Mes_Corriente!EA197*MINVU_Mes_Constante!$DP$1</f>
        <v>209922082.53741094</v>
      </c>
      <c r="EB197" s="9">
        <f t="shared" si="161"/>
        <v>209922082.53741094</v>
      </c>
      <c r="EC197" s="8">
        <f>+MINVU_Mes_Corriente!EC197*MINVU_Mes_Constante!$EC$1</f>
        <v>13123682.867070626</v>
      </c>
      <c r="ED197" s="8">
        <f>+MINVU_Mes_Corriente!ED197*MINVU_Mes_Constante!$EC$1</f>
        <v>25391330.90967619</v>
      </c>
      <c r="EE197" s="8">
        <f>+MINVU_Mes_Corriente!EE197*MINVU_Mes_Constante!$EC$1</f>
        <v>50766889.359401613</v>
      </c>
      <c r="EF197" s="8">
        <f>+MINVU_Mes_Corriente!EF197*MINVU_Mes_Constante!$EC$1</f>
        <v>73756643.67676574</v>
      </c>
      <c r="EG197" s="8">
        <f>+MINVU_Mes_Corriente!EG197*MINVU_Mes_Constante!$EC$1</f>
        <v>97370700.654989555</v>
      </c>
      <c r="EH197" s="8">
        <f>+MINVU_Mes_Corriente!EH197*MINVU_Mes_Constante!$EC$1</f>
        <v>115229892.12554437</v>
      </c>
      <c r="EI197" s="8">
        <f>+MINVU_Mes_Corriente!EI197*MINVU_Mes_Constante!$EC$1</f>
        <v>133834501.20488539</v>
      </c>
      <c r="EJ197" s="8">
        <f>+MINVU_Mes_Corriente!EJ197*MINVU_Mes_Constante!$EC$1</f>
        <v>140239720.25942051</v>
      </c>
      <c r="EK197" s="8">
        <f>+MINVU_Mes_Corriente!EK197*MINVU_Mes_Constante!$EC$1</f>
        <v>160167267.04601395</v>
      </c>
      <c r="EL197" s="8">
        <f>+MINVU_Mes_Corriente!EL197*MINVU_Mes_Constante!$EC$1</f>
        <v>186454254.78848696</v>
      </c>
      <c r="EM197" s="8">
        <f>+MINVU_Mes_Corriente!EM197*MINVU_Mes_Constante!$EC$1</f>
        <v>211811679.09884486</v>
      </c>
      <c r="EN197" s="8">
        <f>+MINVU_Mes_Corriente!EN197*MINVU_Mes_Constante!$EC$1</f>
        <v>233787372.96345383</v>
      </c>
      <c r="EO197" s="9">
        <f t="shared" si="162"/>
        <v>233787372.96345383</v>
      </c>
      <c r="EP197" s="8">
        <f>+MINVU_Mes_Corriente!EP197*MINVU_Mes_Constante!$EP$1</f>
        <v>22106404</v>
      </c>
      <c r="EQ197" s="8">
        <f>+MINVU_Mes_Corriente!EQ197*MINVU_Mes_Constante!$EP$1</f>
        <v>36262241</v>
      </c>
      <c r="ER197" s="8">
        <f>+MINVU_Mes_Corriente!ER197*MINVU_Mes_Constante!$EP$1</f>
        <v>54408810</v>
      </c>
      <c r="ES197" s="8">
        <f>+MINVU_Mes_Corriente!ES197*MINVU_Mes_Constante!$EP$1</f>
        <v>79334204</v>
      </c>
      <c r="ET197" s="8">
        <f>+MINVU_Mes_Corriente!ET197*MINVU_Mes_Constante!$EP$1</f>
        <v>111134038</v>
      </c>
      <c r="EU197" s="8">
        <f>+MINVU_Mes_Corriente!EU197*MINVU_Mes_Constante!$EP$1</f>
        <v>134827300</v>
      </c>
      <c r="EV197" s="8">
        <f>+MINVU_Mes_Corriente!EV197*MINVU_Mes_Constante!$EP$1</f>
        <v>162124111</v>
      </c>
      <c r="EW197" s="8">
        <f>+MINVU_Mes_Corriente!EW197*MINVU_Mes_Constante!$EP$1</f>
        <v>188041199</v>
      </c>
      <c r="EX197" s="8">
        <f>+MINVU_Mes_Corriente!EX197*MINVU_Mes_Constante!$EP$1</f>
        <v>212529317</v>
      </c>
      <c r="EY197" s="8">
        <f>+MINVU_Mes_Corriente!EY197*MINVU_Mes_Constante!$EP$1</f>
        <v>239220849</v>
      </c>
      <c r="EZ197" s="8">
        <f>+MINVU_Mes_Corriente!EZ197*MINVU_Mes_Constante!$EP$1</f>
        <v>258245155</v>
      </c>
      <c r="FA197" s="8">
        <f>+MINVU_Mes_Corriente!FA197*MINVU_Mes_Constante!$EP$1</f>
        <v>287372330</v>
      </c>
      <c r="FB197" s="9">
        <f t="shared" si="163"/>
        <v>287372330</v>
      </c>
      <c r="FC197" s="8">
        <f>+MINVU_Mes_Corriente!FC197*MINVU_Mes_Constante!$FC$1</f>
        <v>4835902</v>
      </c>
      <c r="FD197" s="8">
        <f>+MINVU_Mes_Corriente!FD197*MINVU_Mes_Constante!$FC$1</f>
        <v>18553383</v>
      </c>
      <c r="FE197" s="8">
        <f>+MINVU_Mes_Corriente!FE197*MINVU_Mes_Constante!$FC$1</f>
        <v>38606044</v>
      </c>
      <c r="FF197" s="8">
        <f>+MINVU_Mes_Corriente!FF197*MINVU_Mes_Constante!$FC$1</f>
        <v>59545523</v>
      </c>
      <c r="FG197" s="8">
        <f>+MINVU_Mes_Corriente!FG197*MINVU_Mes_Constante!$FC$1</f>
        <v>74303371</v>
      </c>
      <c r="FH197" s="8">
        <f>+MINVU_Mes_Corriente!FH197*MINVU_Mes_Constante!$FC$1</f>
        <v>90892187</v>
      </c>
      <c r="FI197" s="8">
        <f>+MINVU_Mes_Corriente!FI197*MINVU_Mes_Constante!$FC$1</f>
        <v>110960565</v>
      </c>
      <c r="FJ197" s="8"/>
      <c r="FK197" s="8"/>
      <c r="FL197" s="8"/>
      <c r="FM197" s="8"/>
      <c r="FN197" s="8"/>
      <c r="FO197" s="9">
        <f t="shared" si="164"/>
        <v>110960565</v>
      </c>
    </row>
    <row r="198" spans="2:171" ht="14.25" customHeight="1" x14ac:dyDescent="0.3">
      <c r="B198" s="7" t="s">
        <v>51</v>
      </c>
      <c r="C198" s="8">
        <f>+MINVU_Mes_Corriente!C198*MINVU_Mes_Constante!$C$1</f>
        <v>31763427.811063331</v>
      </c>
      <c r="D198" s="8">
        <f>+MINVU_Mes_Corriente!D198*MINVU_Mes_Constante!$C$1</f>
        <v>62062408.66439271</v>
      </c>
      <c r="E198" s="8">
        <f>+MINVU_Mes_Corriente!E198*MINVU_Mes_Constante!$C$1</f>
        <v>107026526.62138516</v>
      </c>
      <c r="F198" s="8">
        <f>+MINVU_Mes_Corriente!F198*MINVU_Mes_Constante!$C$1</f>
        <v>142459489.52958626</v>
      </c>
      <c r="G198" s="8">
        <f>+MINVU_Mes_Corriente!G198*MINVU_Mes_Constante!$C$1</f>
        <v>175854216.29274806</v>
      </c>
      <c r="H198" s="8">
        <f>+MINVU_Mes_Corriente!H198*MINVU_Mes_Constante!$C$1</f>
        <v>215048845.60966933</v>
      </c>
      <c r="I198" s="8">
        <f>+MINVU_Mes_Corriente!I198*MINVU_Mes_Constante!$C$1</f>
        <v>253387442.35177225</v>
      </c>
      <c r="J198" s="8">
        <f>+MINVU_Mes_Corriente!J198*MINVU_Mes_Constante!$C$1</f>
        <v>284035329.28963375</v>
      </c>
      <c r="K198" s="8">
        <f>+MINVU_Mes_Corriente!K198*MINVU_Mes_Constante!$C$1</f>
        <v>314269723.11048502</v>
      </c>
      <c r="L198" s="8">
        <f>+MINVU_Mes_Corriente!L198*MINVU_Mes_Constante!$C$1</f>
        <v>347574157.65593952</v>
      </c>
      <c r="M198" s="8">
        <f>+MINVU_Mes_Corriente!M198*MINVU_Mes_Constante!$C$1</f>
        <v>385214323.25641412</v>
      </c>
      <c r="N198" s="8">
        <f>+MINVU_Mes_Corriente!N198*MINVU_Mes_Constante!$C$1</f>
        <v>424403679.96411097</v>
      </c>
      <c r="O198" s="9">
        <f t="shared" si="152"/>
        <v>424403679.96411097</v>
      </c>
      <c r="P198" s="8">
        <f>+MINVU_Mes_Corriente!P198*MINVU_Mes_Constante!$P$1</f>
        <v>24123732.554055966</v>
      </c>
      <c r="Q198" s="8">
        <f>+MINVU_Mes_Corriente!Q198*MINVU_Mes_Constante!$P$1</f>
        <v>48993540.630771399</v>
      </c>
      <c r="R198" s="8">
        <f>+MINVU_Mes_Corriente!R198*MINVU_Mes_Constante!$P$1</f>
        <v>87420281.07856226</v>
      </c>
      <c r="S198" s="8">
        <f>+MINVU_Mes_Corriente!S198*MINVU_Mes_Constante!$P$1</f>
        <v>118071853.92470516</v>
      </c>
      <c r="T198" s="8">
        <f>+MINVU_Mes_Corriente!T198*MINVU_Mes_Constante!$P$1</f>
        <v>150105162.97258127</v>
      </c>
      <c r="U198" s="8">
        <f>+MINVU_Mes_Corriente!U198*MINVU_Mes_Constante!$P$1</f>
        <v>187171818.9836624</v>
      </c>
      <c r="V198" s="8">
        <f>+MINVU_Mes_Corriente!V198*MINVU_Mes_Constante!$P$1</f>
        <v>233444378.93564418</v>
      </c>
      <c r="W198" s="8">
        <f>+MINVU_Mes_Corriente!W198*MINVU_Mes_Constante!$P$1</f>
        <v>263005903.61358139</v>
      </c>
      <c r="X198" s="8">
        <f>+MINVU_Mes_Corriente!X198*MINVU_Mes_Constante!$P$1</f>
        <v>290988176.58360553</v>
      </c>
      <c r="Y198" s="8">
        <f>+MINVU_Mes_Corriente!Y198*MINVU_Mes_Constante!$P$1</f>
        <v>324730016.18042326</v>
      </c>
      <c r="Z198" s="8">
        <f>+MINVU_Mes_Corriente!Z198*MINVU_Mes_Constante!$P$1</f>
        <v>359658257.32660878</v>
      </c>
      <c r="AA198" s="8">
        <f>+MINVU_Mes_Corriente!AA198*MINVU_Mes_Constante!$P$1</f>
        <v>397281731.10669112</v>
      </c>
      <c r="AB198" s="9">
        <f t="shared" si="153"/>
        <v>397281731.10669112</v>
      </c>
      <c r="AC198" s="8">
        <f>+MINVU_Mes_Corriente!AC198*MINVU_Mes_Constante!$AC$1</f>
        <v>20057607.407110251</v>
      </c>
      <c r="AD198" s="8">
        <f>+MINVU_Mes_Corriente!AD198*MINVU_Mes_Constante!$AC$1</f>
        <v>46123573.204315946</v>
      </c>
      <c r="AE198" s="8">
        <f>+MINVU_Mes_Corriente!AE198*MINVU_Mes_Constante!$AC$1</f>
        <v>73488504.223267391</v>
      </c>
      <c r="AF198" s="8">
        <f>+MINVU_Mes_Corriente!AF198*MINVU_Mes_Constante!$AC$1</f>
        <v>101741773.90648776</v>
      </c>
      <c r="AG198" s="8">
        <f>+MINVU_Mes_Corriente!AG198*MINVU_Mes_Constante!$AC$1</f>
        <v>128837644.80730392</v>
      </c>
      <c r="AH198" s="8">
        <f>+MINVU_Mes_Corriente!AH198*MINVU_Mes_Constante!$AC$1</f>
        <v>158945027.52026561</v>
      </c>
      <c r="AI198" s="8">
        <f>+MINVU_Mes_Corriente!AI198*MINVU_Mes_Constante!$AC$1</f>
        <v>192704952.83829021</v>
      </c>
      <c r="AJ198" s="8">
        <f>+MINVU_Mes_Corriente!AJ198*MINVU_Mes_Constante!$AC$1</f>
        <v>224246611.47655278</v>
      </c>
      <c r="AK198" s="8">
        <f>+MINVU_Mes_Corriente!AK198*MINVU_Mes_Constante!$AC$1</f>
        <v>257504232.49716419</v>
      </c>
      <c r="AL198" s="8">
        <f>+MINVU_Mes_Corriente!AL198*MINVU_Mes_Constante!$AC$1</f>
        <v>287320783.19684601</v>
      </c>
      <c r="AM198" s="8">
        <f>+MINVU_Mes_Corriente!AM198*MINVU_Mes_Constante!$AC$1</f>
        <v>315803384.01272649</v>
      </c>
      <c r="AN198" s="8">
        <f>+MINVU_Mes_Corriente!AN198*MINVU_Mes_Constante!$AC$1</f>
        <v>356525712.01493984</v>
      </c>
      <c r="AO198" s="9">
        <f t="shared" si="154"/>
        <v>356525712.01493984</v>
      </c>
      <c r="AP198" s="8">
        <f>+MINVU_Mes_Corriente!AP198*MINVU_Mes_Constante!$AP$1</f>
        <v>30525670.05302313</v>
      </c>
      <c r="AQ198" s="8">
        <f>+MINVU_Mes_Corriente!AQ198*MINVU_Mes_Constante!$AP$1</f>
        <v>60759966.312457725</v>
      </c>
      <c r="AR198" s="8">
        <f>+MINVU_Mes_Corriente!AR198*MINVU_Mes_Constante!$AP$1</f>
        <v>96737023.149195179</v>
      </c>
      <c r="AS198" s="8">
        <f>+MINVU_Mes_Corriente!AS198*MINVU_Mes_Constante!$AP$1</f>
        <v>137512893.57419181</v>
      </c>
      <c r="AT198" s="8">
        <f>+MINVU_Mes_Corriente!AT198*MINVU_Mes_Constante!$AP$1</f>
        <v>168305333.59989178</v>
      </c>
      <c r="AU198" s="8">
        <f>+MINVU_Mes_Corriente!AU198*MINVU_Mes_Constante!$AP$1</f>
        <v>197980979.17868254</v>
      </c>
      <c r="AV198" s="8">
        <f>+MINVU_Mes_Corriente!AV198*MINVU_Mes_Constante!$AP$1</f>
        <v>229561365.14080885</v>
      </c>
      <c r="AW198" s="8">
        <f>+MINVU_Mes_Corriente!AW198*MINVU_Mes_Constante!$AP$1</f>
        <v>263116859.47815499</v>
      </c>
      <c r="AX198" s="8">
        <f>+MINVU_Mes_Corriente!AX198*MINVU_Mes_Constante!$AP$1</f>
        <v>291987253.09319627</v>
      </c>
      <c r="AY198" s="8">
        <f>+MINVU_Mes_Corriente!AY198*MINVU_Mes_Constante!$AP$1</f>
        <v>327547691.33775192</v>
      </c>
      <c r="AZ198" s="8">
        <f>+MINVU_Mes_Corriente!AZ198*MINVU_Mes_Constante!$AP$1</f>
        <v>334877340.72636276</v>
      </c>
      <c r="BA198" s="8">
        <f>+MINVU_Mes_Corriente!BA198*MINVU_Mes_Constante!$AP$1</f>
        <v>367335239.81414849</v>
      </c>
      <c r="BB198" s="9">
        <f t="shared" si="155"/>
        <v>367335239.81414849</v>
      </c>
      <c r="BC198" s="8">
        <f>+MINVU_Mes_Corriente!BC198*MINVU_Mes_Constante!$BC$1</f>
        <v>56310207.858894907</v>
      </c>
      <c r="BD198" s="8">
        <f>+MINVU_Mes_Corriente!BD198*MINVU_Mes_Constante!$BC$1</f>
        <v>84646296.807068467</v>
      </c>
      <c r="BE198" s="8">
        <f>+MINVU_Mes_Corriente!BE198*MINVU_Mes_Constante!$BC$1</f>
        <v>117058362.97876833</v>
      </c>
      <c r="BF198" s="8">
        <f>+MINVU_Mes_Corriente!BF198*MINVU_Mes_Constante!$BC$1</f>
        <v>152920808.94421735</v>
      </c>
      <c r="BG198" s="8">
        <f>+MINVU_Mes_Corriente!BG198*MINVU_Mes_Constante!$BC$1</f>
        <v>197387356.71660298</v>
      </c>
      <c r="BH198" s="8">
        <f>+MINVU_Mes_Corriente!BH198*MINVU_Mes_Constante!$BC$1</f>
        <v>236119535.38520381</v>
      </c>
      <c r="BI198" s="8">
        <f>+MINVU_Mes_Corriente!BI198*MINVU_Mes_Constante!$BC$1</f>
        <v>284855097.4276672</v>
      </c>
      <c r="BJ198" s="8">
        <f>+MINVU_Mes_Corriente!BJ198*MINVU_Mes_Constante!$BC$1</f>
        <v>322136589.16180938</v>
      </c>
      <c r="BK198" s="8">
        <f>+MINVU_Mes_Corriente!BK198*MINVU_Mes_Constante!$BC$1</f>
        <v>344521474.80601352</v>
      </c>
      <c r="BL198" s="8">
        <f>+MINVU_Mes_Corriente!BL198*MINVU_Mes_Constante!$BC$1</f>
        <v>371422459.66161162</v>
      </c>
      <c r="BM198" s="8">
        <f>+MINVU_Mes_Corriente!BM198*MINVU_Mes_Constante!$BC$1</f>
        <v>402851494.17618364</v>
      </c>
      <c r="BN198" s="8">
        <f>+MINVU_Mes_Corriente!BN198*MINVU_Mes_Constante!$BC$1</f>
        <v>414780732.37742329</v>
      </c>
      <c r="BO198" s="9">
        <f t="shared" si="156"/>
        <v>414780732.37742329</v>
      </c>
      <c r="BP198" s="8">
        <f>+MINVU_Mes_Corriente!BP198*MINVU_Mes_Constante!$BP$1</f>
        <v>54285635.143405899</v>
      </c>
      <c r="BQ198" s="8">
        <f>+MINVU_Mes_Corriente!BQ198*MINVU_Mes_Constante!$BP$1</f>
        <v>86724445.097823307</v>
      </c>
      <c r="BR198" s="8">
        <f>+MINVU_Mes_Corriente!BR198*MINVU_Mes_Constante!$BP$1</f>
        <v>116233476.83124201</v>
      </c>
      <c r="BS198" s="8">
        <f>+MINVU_Mes_Corriente!BS198*MINVU_Mes_Constante!$BP$1</f>
        <v>149262963.69295776</v>
      </c>
      <c r="BT198" s="8">
        <f>+MINVU_Mes_Corriente!BT198*MINVU_Mes_Constante!$BP$1</f>
        <v>180346087.87836111</v>
      </c>
      <c r="BU198" s="8">
        <f>+MINVU_Mes_Corriente!BU198*MINVU_Mes_Constante!$BP$1</f>
        <v>210303817.27605635</v>
      </c>
      <c r="BV198" s="8">
        <f>+MINVU_Mes_Corriente!BV198*MINVU_Mes_Constante!$BP$1</f>
        <v>241476832.64327788</v>
      </c>
      <c r="BW198" s="8">
        <f>+MINVU_Mes_Corriente!BW198*MINVU_Mes_Constante!$BP$1</f>
        <v>276379995.60230476</v>
      </c>
      <c r="BX198" s="8">
        <f>+MINVU_Mes_Corriente!BX198*MINVU_Mes_Constante!$BP$1</f>
        <v>301783689.85736239</v>
      </c>
      <c r="BY198" s="8">
        <f>+MINVU_Mes_Corriente!BY198*MINVU_Mes_Constante!$BP$1</f>
        <v>364002268.31216395</v>
      </c>
      <c r="BZ198" s="8">
        <f>+MINVU_Mes_Corriente!BZ198*MINVU_Mes_Constante!$BP$1</f>
        <v>429654021.20204872</v>
      </c>
      <c r="CA198" s="8">
        <f>+MINVU_Mes_Corriente!CA198*MINVU_Mes_Constante!$BP$1</f>
        <v>475006350.29807943</v>
      </c>
      <c r="CB198" s="9">
        <f t="shared" si="157"/>
        <v>475006350.29807943</v>
      </c>
      <c r="CC198" s="8">
        <f>+MINVU_Mes_Corriente!CC198*MINVU_Mes_Constante!$CC$1</f>
        <v>14333523.665796345</v>
      </c>
      <c r="CD198" s="8">
        <f>+MINVU_Mes_Corriente!CD198*MINVU_Mes_Constante!$CC$1</f>
        <v>49159232.392390907</v>
      </c>
      <c r="CE198" s="8">
        <f>+MINVU_Mes_Corriente!CE198*MINVU_Mes_Constante!$CC$1</f>
        <v>77653570.677359208</v>
      </c>
      <c r="CF198" s="8">
        <f>+MINVU_Mes_Corriente!CF198*MINVU_Mes_Constante!$CC$1</f>
        <v>99018613.134651259</v>
      </c>
      <c r="CG198" s="8">
        <f>+MINVU_Mes_Corriente!CG198*MINVU_Mes_Constante!$CC$1</f>
        <v>115686344.99888103</v>
      </c>
      <c r="CH198" s="8">
        <f>+MINVU_Mes_Corriente!CH198*MINVU_Mes_Constante!$CC$1</f>
        <v>163792811.17195079</v>
      </c>
      <c r="CI198" s="8">
        <f>+MINVU_Mes_Corriente!CI198*MINVU_Mes_Constante!$CC$1</f>
        <v>209586024.57068262</v>
      </c>
      <c r="CJ198" s="8">
        <f>+MINVU_Mes_Corriente!CJ198*MINVU_Mes_Constante!$CC$1</f>
        <v>249227883.66803434</v>
      </c>
      <c r="CK198" s="8">
        <f>+MINVU_Mes_Corriente!CK198*MINVU_Mes_Constante!$CC$1</f>
        <v>292398415.57105559</v>
      </c>
      <c r="CL198" s="8">
        <f>+MINVU_Mes_Corriente!CL198*MINVU_Mes_Constante!$CC$1</f>
        <v>354875577.99030215</v>
      </c>
      <c r="CM198" s="8">
        <f>+MINVU_Mes_Corriente!CM198*MINVU_Mes_Constante!$CC$1</f>
        <v>380079727.22640806</v>
      </c>
      <c r="CN198" s="8">
        <f>+MINVU_Mes_Corriente!CN198*MINVU_Mes_Constante!$CC$1</f>
        <v>412977102.23274899</v>
      </c>
      <c r="CO198" s="9">
        <f t="shared" si="158"/>
        <v>412977102.23274899</v>
      </c>
      <c r="CP198" s="8">
        <f>+MINVU_Mes_Corriente!CP198*MINVU_Mes_Constante!$CP$1</f>
        <v>11845059.122505799</v>
      </c>
      <c r="CQ198" s="8">
        <f>+MINVU_Mes_Corriente!CQ198*MINVU_Mes_Constante!$CP$1</f>
        <v>24857339.529466353</v>
      </c>
      <c r="CR198" s="8">
        <f>+MINVU_Mes_Corriente!CR198*MINVU_Mes_Constante!$CP$1</f>
        <v>44198155.601624124</v>
      </c>
      <c r="CS198" s="8">
        <f>+MINVU_Mes_Corriente!CS198*MINVU_Mes_Constante!$CP$1</f>
        <v>100159041.26798142</v>
      </c>
      <c r="CT198" s="8">
        <f>+MINVU_Mes_Corriente!CT198*MINVU_Mes_Constante!$CP$1</f>
        <v>159900276.03619486</v>
      </c>
      <c r="CU198" s="8">
        <f>+MINVU_Mes_Corriente!CU198*MINVU_Mes_Constante!$CP$1</f>
        <v>208637112.31809741</v>
      </c>
      <c r="CV198" s="8">
        <f>+MINVU_Mes_Corriente!CV198*MINVU_Mes_Constante!$CP$1</f>
        <v>256742798.45011595</v>
      </c>
      <c r="CW198" s="8">
        <f>+MINVU_Mes_Corriente!CW198*MINVU_Mes_Constante!$CP$1</f>
        <v>296531892.23596281</v>
      </c>
      <c r="CX198" s="8">
        <f>+MINVU_Mes_Corriente!CX198*MINVU_Mes_Constante!$CP$1</f>
        <v>348498006.68422264</v>
      </c>
      <c r="CY198" s="8">
        <f>+MINVU_Mes_Corriente!CY198*MINVU_Mes_Constante!$CP$1</f>
        <v>377808217.2334106</v>
      </c>
      <c r="CZ198" s="8">
        <f>+MINVU_Mes_Corriente!CZ198*MINVU_Mes_Constante!$CP$1</f>
        <v>401109169.61067277</v>
      </c>
      <c r="DA198" s="8">
        <f>+MINVU_Mes_Corriente!DA198*MINVU_Mes_Constante!$CP$1</f>
        <v>467430603.08909506</v>
      </c>
      <c r="DB198" s="9">
        <f t="shared" si="159"/>
        <v>467430603.08909506</v>
      </c>
      <c r="DC198" s="8">
        <f>+MINVU_Mes_Corriente!DC198*MINVU_Mes_Constante!$DC$1</f>
        <v>5980825.636868638</v>
      </c>
      <c r="DD198" s="8">
        <f>+MINVU_Mes_Corriente!DD198*MINVU_Mes_Constante!$DC$1</f>
        <v>36005680.4452217</v>
      </c>
      <c r="DE198" s="8">
        <f>+MINVU_Mes_Corriente!DE198*MINVU_Mes_Constante!$DC$1</f>
        <v>59906262.172821753</v>
      </c>
      <c r="DF198" s="8">
        <f>+MINVU_Mes_Corriente!DF198*MINVU_Mes_Constante!$DC$1</f>
        <v>124085730.03950217</v>
      </c>
      <c r="DG198" s="8">
        <f>+MINVU_Mes_Corriente!DG198*MINVU_Mes_Constante!$DC$1</f>
        <v>162899339.65867716</v>
      </c>
      <c r="DH198" s="8">
        <f>+MINVU_Mes_Corriente!DH198*MINVU_Mes_Constante!$DC$1</f>
        <v>219101287.70229411</v>
      </c>
      <c r="DI198" s="8">
        <f>+MINVU_Mes_Corriente!DI198*MINVU_Mes_Constante!$DC$1</f>
        <v>279077092.5557043</v>
      </c>
      <c r="DJ198" s="8">
        <f>+MINVU_Mes_Corriente!DJ198*MINVU_Mes_Constante!$DC$1</f>
        <v>342150470.67318195</v>
      </c>
      <c r="DK198" s="8">
        <f>+MINVU_Mes_Corriente!DK198*MINVU_Mes_Constante!$DC$1</f>
        <v>382395613.33196193</v>
      </c>
      <c r="DL198" s="8">
        <f>+MINVU_Mes_Corriente!DL198*MINVU_Mes_Constante!$DC$1</f>
        <v>418198316.99845713</v>
      </c>
      <c r="DM198" s="8">
        <f>+MINVU_Mes_Corriente!DM198*MINVU_Mes_Constante!$DC$1</f>
        <v>444330736.2575869</v>
      </c>
      <c r="DN198" s="8">
        <f>+MINVU_Mes_Corriente!DN198*MINVU_Mes_Constante!$DC$1</f>
        <v>582796225.36282301</v>
      </c>
      <c r="DO198" s="9">
        <f t="shared" si="160"/>
        <v>582796225.36282301</v>
      </c>
      <c r="DP198" s="8">
        <f>+MINVU_Mes_Corriente!DP198*MINVU_Mes_Constante!$DP$1</f>
        <v>25451792.59382423</v>
      </c>
      <c r="DQ198" s="8">
        <f>+MINVU_Mes_Corriente!DQ198*MINVU_Mes_Constante!$DP$1</f>
        <v>63354745.138361052</v>
      </c>
      <c r="DR198" s="8">
        <f>+MINVU_Mes_Corriente!DR198*MINVU_Mes_Constante!$DP$1</f>
        <v>117479979.94239905</v>
      </c>
      <c r="DS198" s="8">
        <f>+MINVU_Mes_Corriente!DS198*MINVU_Mes_Constante!$DP$1</f>
        <v>169461216.49346796</v>
      </c>
      <c r="DT198" s="8">
        <f>+MINVU_Mes_Corriente!DT198*MINVU_Mes_Constante!$DP$1</f>
        <v>240660658.77790976</v>
      </c>
      <c r="DU198" s="8">
        <f>+MINVU_Mes_Corriente!DU198*MINVU_Mes_Constante!$DP$1</f>
        <v>299388747.9085511</v>
      </c>
      <c r="DV198" s="8">
        <f>+MINVU_Mes_Corriente!DV198*MINVU_Mes_Constante!$DP$1</f>
        <v>341892079.56057012</v>
      </c>
      <c r="DW198" s="8">
        <f>+MINVU_Mes_Corriente!DW198*MINVU_Mes_Constante!$DP$1</f>
        <v>375644925.52553445</v>
      </c>
      <c r="DX198" s="8">
        <f>+MINVU_Mes_Corriente!DX198*MINVU_Mes_Constante!$DP$1</f>
        <v>417050240.67577201</v>
      </c>
      <c r="DY198" s="8">
        <f>+MINVU_Mes_Corriente!DY198*MINVU_Mes_Constante!$DP$1</f>
        <v>436783001.1021378</v>
      </c>
      <c r="DZ198" s="8">
        <f>+MINVU_Mes_Corriente!DZ198*MINVU_Mes_Constante!$DP$1</f>
        <v>454592463.28503567</v>
      </c>
      <c r="EA198" s="8">
        <f>+MINVU_Mes_Corriente!EA198*MINVU_Mes_Constante!$DP$1</f>
        <v>516146008.01365799</v>
      </c>
      <c r="EB198" s="9">
        <f t="shared" si="161"/>
        <v>516146008.01365799</v>
      </c>
      <c r="EC198" s="8">
        <f>+MINVU_Mes_Corriente!EC198*MINVU_Mes_Constante!$EC$1</f>
        <v>14412192.605567124</v>
      </c>
      <c r="ED198" s="8">
        <f>+MINVU_Mes_Corriente!ED198*MINVU_Mes_Constante!$EC$1</f>
        <v>72116602.663889393</v>
      </c>
      <c r="EE198" s="8">
        <f>+MINVU_Mes_Corriente!EE198*MINVU_Mes_Constante!$EC$1</f>
        <v>171537056.91819724</v>
      </c>
      <c r="EF198" s="8">
        <f>+MINVU_Mes_Corriente!EF198*MINVU_Mes_Constante!$EC$1</f>
        <v>195776751.01476988</v>
      </c>
      <c r="EG198" s="8">
        <f>+MINVU_Mes_Corriente!EG198*MINVU_Mes_Constante!$EC$1</f>
        <v>220746285.77371702</v>
      </c>
      <c r="EH198" s="8">
        <f>+MINVU_Mes_Corriente!EH198*MINVU_Mes_Constante!$EC$1</f>
        <v>247544440.04355228</v>
      </c>
      <c r="EI198" s="8">
        <f>+MINVU_Mes_Corriente!EI198*MINVU_Mes_Constante!$EC$1</f>
        <v>280100502.17723906</v>
      </c>
      <c r="EJ198" s="8">
        <f>+MINVU_Mes_Corriente!EJ198*MINVU_Mes_Constante!$EC$1</f>
        <v>325889359.24976319</v>
      </c>
      <c r="EK198" s="8">
        <f>+MINVU_Mes_Corriente!EK198*MINVU_Mes_Constante!$EC$1</f>
        <v>353160651.11191052</v>
      </c>
      <c r="EL198" s="8">
        <f>+MINVU_Mes_Corriente!EL198*MINVU_Mes_Constante!$EC$1</f>
        <v>386110491.99583399</v>
      </c>
      <c r="EM198" s="8">
        <f>+MINVU_Mes_Corriente!EM198*MINVU_Mes_Constante!$EC$1</f>
        <v>455921312.46032935</v>
      </c>
      <c r="EN198" s="8">
        <f>+MINVU_Mes_Corriente!EN198*MINVU_Mes_Constante!$EC$1</f>
        <v>554246416.07706857</v>
      </c>
      <c r="EO198" s="9">
        <f t="shared" si="162"/>
        <v>554246416.07706857</v>
      </c>
      <c r="EP198" s="8">
        <f>+MINVU_Mes_Corriente!EP198*MINVU_Mes_Constante!$EP$1</f>
        <v>33709746</v>
      </c>
      <c r="EQ198" s="8">
        <f>+MINVU_Mes_Corriente!EQ198*MINVU_Mes_Constante!$EP$1</f>
        <v>69484470</v>
      </c>
      <c r="ER198" s="8">
        <f>+MINVU_Mes_Corriente!ER198*MINVU_Mes_Constante!$EP$1</f>
        <v>103309466</v>
      </c>
      <c r="ES198" s="8">
        <f>+MINVU_Mes_Corriente!ES198*MINVU_Mes_Constante!$EP$1</f>
        <v>130144586</v>
      </c>
      <c r="ET198" s="8">
        <f>+MINVU_Mes_Corriente!ET198*MINVU_Mes_Constante!$EP$1</f>
        <v>170634351</v>
      </c>
      <c r="EU198" s="8">
        <f>+MINVU_Mes_Corriente!EU198*MINVU_Mes_Constante!$EP$1</f>
        <v>193140413</v>
      </c>
      <c r="EV198" s="8">
        <f>+MINVU_Mes_Corriente!EV198*MINVU_Mes_Constante!$EP$1</f>
        <v>232936581</v>
      </c>
      <c r="EW198" s="8">
        <f>+MINVU_Mes_Corriente!EW198*MINVU_Mes_Constante!$EP$1</f>
        <v>244416829</v>
      </c>
      <c r="EX198" s="8">
        <f>+MINVU_Mes_Corriente!EX198*MINVU_Mes_Constante!$EP$1</f>
        <v>252509558</v>
      </c>
      <c r="EY198" s="8">
        <f>+MINVU_Mes_Corriente!EY198*MINVU_Mes_Constante!$EP$1</f>
        <v>429677080</v>
      </c>
      <c r="EZ198" s="8">
        <f>+MINVU_Mes_Corriente!EZ198*MINVU_Mes_Constante!$EP$1</f>
        <v>441369162</v>
      </c>
      <c r="FA198" s="8">
        <f>+MINVU_Mes_Corriente!FA198*MINVU_Mes_Constante!$EP$1</f>
        <v>523505059</v>
      </c>
      <c r="FB198" s="9">
        <f t="shared" si="163"/>
        <v>523505059</v>
      </c>
      <c r="FC198" s="8">
        <f>+MINVU_Mes_Corriente!FC198*MINVU_Mes_Constante!$FC$1</f>
        <v>22797644</v>
      </c>
      <c r="FD198" s="8">
        <f>+MINVU_Mes_Corriente!FD198*MINVU_Mes_Constante!$FC$1</f>
        <v>55194134</v>
      </c>
      <c r="FE198" s="8">
        <f>+MINVU_Mes_Corriente!FE198*MINVU_Mes_Constante!$FC$1</f>
        <v>104351099</v>
      </c>
      <c r="FF198" s="8">
        <f>+MINVU_Mes_Corriente!FF198*MINVU_Mes_Constante!$FC$1</f>
        <v>231507617</v>
      </c>
      <c r="FG198" s="8">
        <f>+MINVU_Mes_Corriente!FG198*MINVU_Mes_Constante!$FC$1</f>
        <v>359592895</v>
      </c>
      <c r="FH198" s="8">
        <f>+MINVU_Mes_Corriente!FH198*MINVU_Mes_Constante!$FC$1</f>
        <v>406681052</v>
      </c>
      <c r="FI198" s="8">
        <f>+MINVU_Mes_Corriente!FI198*MINVU_Mes_Constante!$FC$1</f>
        <v>458549946</v>
      </c>
      <c r="FJ198" s="8"/>
      <c r="FK198" s="8"/>
      <c r="FL198" s="8"/>
      <c r="FM198" s="8"/>
      <c r="FN198" s="8"/>
      <c r="FO198" s="9">
        <f t="shared" si="164"/>
        <v>458549946</v>
      </c>
    </row>
    <row r="199" spans="2:171" ht="14.25" customHeight="1" x14ac:dyDescent="0.3">
      <c r="B199" s="7" t="s">
        <v>52</v>
      </c>
      <c r="C199" s="8">
        <f>+MINVU_Mes_Corriente!C199*MINVU_Mes_Constante!$C$1</f>
        <v>13642297.904196948</v>
      </c>
      <c r="D199" s="8">
        <f>+MINVU_Mes_Corriente!D199*MINVU_Mes_Constante!$C$1</f>
        <v>25493128.793415397</v>
      </c>
      <c r="E199" s="8">
        <f>+MINVU_Mes_Corriente!E199*MINVU_Mes_Constante!$C$1</f>
        <v>34664119.586534187</v>
      </c>
      <c r="F199" s="8">
        <f>+MINVU_Mes_Corriente!F199*MINVU_Mes_Constante!$C$1</f>
        <v>48649691.24899897</v>
      </c>
      <c r="G199" s="8">
        <f>+MINVU_Mes_Corriente!G199*MINVU_Mes_Constante!$C$1</f>
        <v>58898587.114934012</v>
      </c>
      <c r="H199" s="8">
        <f>+MINVU_Mes_Corriente!H199*MINVU_Mes_Constante!$C$1</f>
        <v>69450868.656384408</v>
      </c>
      <c r="I199" s="8">
        <f>+MINVU_Mes_Corriente!I199*MINVU_Mes_Constante!$C$1</f>
        <v>79425639.073409468</v>
      </c>
      <c r="J199" s="8">
        <f>+MINVU_Mes_Corriente!J199*MINVU_Mes_Constante!$C$1</f>
        <v>91115362.098472506</v>
      </c>
      <c r="K199" s="8">
        <f>+MINVU_Mes_Corriente!K199*MINVU_Mes_Constante!$C$1</f>
        <v>101632128.87379506</v>
      </c>
      <c r="L199" s="8">
        <f>+MINVU_Mes_Corriente!L199*MINVU_Mes_Constante!$C$1</f>
        <v>112652810.61159723</v>
      </c>
      <c r="M199" s="8">
        <f>+MINVU_Mes_Corriente!M199*MINVU_Mes_Constante!$C$1</f>
        <v>122662697.1893816</v>
      </c>
      <c r="N199" s="8">
        <f>+MINVU_Mes_Corriente!N199*MINVU_Mes_Constante!$C$1</f>
        <v>139183343.90390036</v>
      </c>
      <c r="O199" s="9">
        <f t="shared" si="152"/>
        <v>139183343.90390036</v>
      </c>
      <c r="P199" s="8">
        <f>+MINVU_Mes_Corriente!P199*MINVU_Mes_Constante!$P$1</f>
        <v>4245849.1879528323</v>
      </c>
      <c r="Q199" s="8">
        <f>+MINVU_Mes_Corriente!Q199*MINVU_Mes_Constante!$P$1</f>
        <v>12529102.953260401</v>
      </c>
      <c r="R199" s="8">
        <f>+MINVU_Mes_Corriente!R199*MINVU_Mes_Constante!$P$1</f>
        <v>20657862.240375046</v>
      </c>
      <c r="S199" s="8">
        <f>+MINVU_Mes_Corriente!S199*MINVU_Mes_Constante!$P$1</f>
        <v>29457837.1086802</v>
      </c>
      <c r="T199" s="8">
        <f>+MINVU_Mes_Corriente!T199*MINVU_Mes_Constante!$P$1</f>
        <v>40083226.977127418</v>
      </c>
      <c r="U199" s="8">
        <f>+MINVU_Mes_Corriente!U199*MINVU_Mes_Constante!$P$1</f>
        <v>55512775.475493655</v>
      </c>
      <c r="V199" s="8">
        <f>+MINVU_Mes_Corriente!V199*MINVU_Mes_Constante!$P$1</f>
        <v>63373505.500497207</v>
      </c>
      <c r="W199" s="8">
        <f>+MINVU_Mes_Corriente!W199*MINVU_Mes_Constante!$P$1</f>
        <v>70418011.016053393</v>
      </c>
      <c r="X199" s="8">
        <f>+MINVU_Mes_Corriente!X199*MINVU_Mes_Constante!$P$1</f>
        <v>77325208.112800092</v>
      </c>
      <c r="Y199" s="8">
        <f>+MINVU_Mes_Corriente!Y199*MINVU_Mes_Constante!$P$1</f>
        <v>85832648.993607014</v>
      </c>
      <c r="Z199" s="8">
        <f>+MINVU_Mes_Corriente!Z199*MINVU_Mes_Constante!$P$1</f>
        <v>99762893.867026523</v>
      </c>
      <c r="AA199" s="8">
        <f>+MINVU_Mes_Corriente!AA199*MINVU_Mes_Constante!$P$1</f>
        <v>106620370.60122173</v>
      </c>
      <c r="AB199" s="9">
        <f t="shared" si="153"/>
        <v>106620370.60122173</v>
      </c>
      <c r="AC199" s="8">
        <f>+MINVU_Mes_Corriente!AC199*MINVU_Mes_Constante!$AC$1</f>
        <v>6115047.4776594276</v>
      </c>
      <c r="AD199" s="8">
        <f>+MINVU_Mes_Corriente!AD199*MINVU_Mes_Constante!$AC$1</f>
        <v>16239927.886844654</v>
      </c>
      <c r="AE199" s="8">
        <f>+MINVU_Mes_Corriente!AE199*MINVU_Mes_Constante!$AC$1</f>
        <v>26266472.784617513</v>
      </c>
      <c r="AF199" s="8">
        <f>+MINVU_Mes_Corriente!AF199*MINVU_Mes_Constante!$AC$1</f>
        <v>35611899.699266843</v>
      </c>
      <c r="AG199" s="8">
        <f>+MINVU_Mes_Corriente!AG199*MINVU_Mes_Constante!$AC$1</f>
        <v>43680707.624014385</v>
      </c>
      <c r="AH199" s="8">
        <f>+MINVU_Mes_Corriente!AH199*MINVU_Mes_Constante!$AC$1</f>
        <v>51006855.876884766</v>
      </c>
      <c r="AI199" s="8">
        <f>+MINVU_Mes_Corriente!AI199*MINVU_Mes_Constante!$AC$1</f>
        <v>60944505.544888645</v>
      </c>
      <c r="AJ199" s="8">
        <f>+MINVU_Mes_Corriente!AJ199*MINVU_Mes_Constante!$AC$1</f>
        <v>68884225.250795409</v>
      </c>
      <c r="AK199" s="8">
        <f>+MINVU_Mes_Corriente!AK199*MINVU_Mes_Constante!$AC$1</f>
        <v>78310884.534513757</v>
      </c>
      <c r="AL199" s="8">
        <f>+MINVU_Mes_Corriente!AL199*MINVU_Mes_Constante!$AC$1</f>
        <v>88473154.262830272</v>
      </c>
      <c r="AM199" s="8">
        <f>+MINVU_Mes_Corriente!AM199*MINVU_Mes_Constante!$AC$1</f>
        <v>100009063.56370175</v>
      </c>
      <c r="AN199" s="8">
        <f>+MINVU_Mes_Corriente!AN199*MINVU_Mes_Constante!$AC$1</f>
        <v>111935341.96209711</v>
      </c>
      <c r="AO199" s="9">
        <f t="shared" si="154"/>
        <v>111935341.96209711</v>
      </c>
      <c r="AP199" s="8">
        <f>+MINVU_Mes_Corriente!AP199*MINVU_Mes_Constante!$AP$1</f>
        <v>5677179.4532666029</v>
      </c>
      <c r="AQ199" s="8">
        <f>+MINVU_Mes_Corriente!AQ199*MINVU_Mes_Constante!$AP$1</f>
        <v>12862810.476667117</v>
      </c>
      <c r="AR199" s="8">
        <f>+MINVU_Mes_Corriente!AR199*MINVU_Mes_Constante!$AP$1</f>
        <v>20801642.372244012</v>
      </c>
      <c r="AS199" s="8">
        <f>+MINVU_Mes_Corriente!AS199*MINVU_Mes_Constante!$AP$1</f>
        <v>29365617.927228458</v>
      </c>
      <c r="AT199" s="8">
        <f>+MINVU_Mes_Corriente!AT199*MINVU_Mes_Constante!$AP$1</f>
        <v>41567512.550520763</v>
      </c>
      <c r="AU199" s="8">
        <f>+MINVU_Mes_Corriente!AU199*MINVU_Mes_Constante!$AP$1</f>
        <v>55429080.318138778</v>
      </c>
      <c r="AV199" s="8">
        <f>+MINVU_Mes_Corriente!AV199*MINVU_Mes_Constante!$AP$1</f>
        <v>66889666.6057081</v>
      </c>
      <c r="AW199" s="8">
        <f>+MINVU_Mes_Corriente!AW199*MINVU_Mes_Constante!$AP$1</f>
        <v>74642457.968618959</v>
      </c>
      <c r="AX199" s="8">
        <f>+MINVU_Mes_Corriente!AX199*MINVU_Mes_Constante!$AP$1</f>
        <v>86029763.353983492</v>
      </c>
      <c r="AY199" s="8">
        <f>+MINVU_Mes_Corriente!AY199*MINVU_Mes_Constante!$AP$1</f>
        <v>91366952.525632352</v>
      </c>
      <c r="AZ199" s="8">
        <f>+MINVU_Mes_Corriente!AZ199*MINVU_Mes_Constante!$AP$1</f>
        <v>106176852.16556202</v>
      </c>
      <c r="BA199" s="8">
        <f>+MINVU_Mes_Corriente!BA199*MINVU_Mes_Constante!$AP$1</f>
        <v>110137318.04490733</v>
      </c>
      <c r="BB199" s="9">
        <f t="shared" si="155"/>
        <v>110137318.04490733</v>
      </c>
      <c r="BC199" s="8">
        <f>+MINVU_Mes_Corriente!BC199*MINVU_Mes_Constante!$BC$1</f>
        <v>11348007.56455229</v>
      </c>
      <c r="BD199" s="8">
        <f>+MINVU_Mes_Corriente!BD199*MINVU_Mes_Constante!$BC$1</f>
        <v>27642986.042199664</v>
      </c>
      <c r="BE199" s="8">
        <f>+MINVU_Mes_Corriente!BE199*MINVU_Mes_Constante!$BC$1</f>
        <v>35540286.739021502</v>
      </c>
      <c r="BF199" s="8">
        <f>+MINVU_Mes_Corriente!BF199*MINVU_Mes_Constante!$BC$1</f>
        <v>43345846.786232375</v>
      </c>
      <c r="BG199" s="8">
        <f>+MINVU_Mes_Corriente!BG199*MINVU_Mes_Constante!$BC$1</f>
        <v>51922916.721086651</v>
      </c>
      <c r="BH199" s="8">
        <f>+MINVU_Mes_Corriente!BH199*MINVU_Mes_Constante!$BC$1</f>
        <v>57904262.702096812</v>
      </c>
      <c r="BI199" s="8">
        <f>+MINVU_Mes_Corriente!BI199*MINVU_Mes_Constante!$BC$1</f>
        <v>62973559.28418833</v>
      </c>
      <c r="BJ199" s="8">
        <f>+MINVU_Mes_Corriente!BJ199*MINVU_Mes_Constante!$BC$1</f>
        <v>72483203.590927094</v>
      </c>
      <c r="BK199" s="8">
        <f>+MINVU_Mes_Corriente!BK199*MINVU_Mes_Constante!$BC$1</f>
        <v>82434209.020440474</v>
      </c>
      <c r="BL199" s="8">
        <f>+MINVU_Mes_Corriente!BL199*MINVU_Mes_Constante!$BC$1</f>
        <v>88724220.625082448</v>
      </c>
      <c r="BM199" s="8">
        <f>+MINVU_Mes_Corriente!BM199*MINVU_Mes_Constante!$BC$1</f>
        <v>95629992.945536092</v>
      </c>
      <c r="BN199" s="8">
        <f>+MINVU_Mes_Corriente!BN199*MINVU_Mes_Constante!$BC$1</f>
        <v>98956632.151127547</v>
      </c>
      <c r="BO199" s="9">
        <f t="shared" si="156"/>
        <v>98956632.151127547</v>
      </c>
      <c r="BP199" s="8">
        <f>+MINVU_Mes_Corriente!BP199*MINVU_Mes_Constante!$BP$1</f>
        <v>16504514.820230475</v>
      </c>
      <c r="BQ199" s="8">
        <f>+MINVU_Mes_Corriente!BQ199*MINVU_Mes_Constante!$BP$1</f>
        <v>27506270.751856599</v>
      </c>
      <c r="BR199" s="8">
        <f>+MINVU_Mes_Corriente!BR199*MINVU_Mes_Constante!$BP$1</f>
        <v>33058039.955185663</v>
      </c>
      <c r="BS199" s="8">
        <f>+MINVU_Mes_Corriente!BS199*MINVU_Mes_Constante!$BP$1</f>
        <v>44939690.02970551</v>
      </c>
      <c r="BT199" s="8">
        <f>+MINVU_Mes_Corriente!BT199*MINVU_Mes_Constante!$BP$1</f>
        <v>54919799.20947504</v>
      </c>
      <c r="BU199" s="8">
        <f>+MINVU_Mes_Corriente!BU199*MINVU_Mes_Constante!$BP$1</f>
        <v>63210468.994110122</v>
      </c>
      <c r="BV199" s="8">
        <f>+MINVU_Mes_Corriente!BV199*MINVU_Mes_Constante!$BP$1</f>
        <v>76796842.272983357</v>
      </c>
      <c r="BW199" s="8">
        <f>+MINVU_Mes_Corriente!BW199*MINVU_Mes_Constante!$BP$1</f>
        <v>81288221.492189512</v>
      </c>
      <c r="BX199" s="8">
        <f>+MINVU_Mes_Corriente!BX199*MINVU_Mes_Constante!$BP$1</f>
        <v>89283441.604609489</v>
      </c>
      <c r="BY199" s="8">
        <f>+MINVU_Mes_Corriente!BY199*MINVU_Mes_Constante!$BP$1</f>
        <v>97996870.645582601</v>
      </c>
      <c r="BZ199" s="8">
        <f>+MINVU_Mes_Corriente!BZ199*MINVU_Mes_Constante!$BP$1</f>
        <v>107451559.53725994</v>
      </c>
      <c r="CA199" s="8">
        <f>+MINVU_Mes_Corriente!CA199*MINVU_Mes_Constante!$BP$1</f>
        <v>115673946.71830988</v>
      </c>
      <c r="CB199" s="9">
        <f t="shared" si="157"/>
        <v>115673946.71830988</v>
      </c>
      <c r="CC199" s="8">
        <f>+MINVU_Mes_Corriente!CC199*MINVU_Mes_Constante!$CC$1</f>
        <v>7697081.0466243941</v>
      </c>
      <c r="CD199" s="8">
        <f>+MINVU_Mes_Corriente!CD199*MINVU_Mes_Constante!$CC$1</f>
        <v>18090805.667288326</v>
      </c>
      <c r="CE199" s="8">
        <f>+MINVU_Mes_Corriente!CE199*MINVU_Mes_Constante!$CC$1</f>
        <v>23382596.347631484</v>
      </c>
      <c r="CF199" s="8">
        <f>+MINVU_Mes_Corriente!CF199*MINVU_Mes_Constante!$CC$1</f>
        <v>27620595.180156659</v>
      </c>
      <c r="CG199" s="8">
        <f>+MINVU_Mes_Corriente!CG199*MINVU_Mes_Constante!$CC$1</f>
        <v>31840333.750093251</v>
      </c>
      <c r="CH199" s="8">
        <f>+MINVU_Mes_Corriente!CH199*MINVU_Mes_Constante!$CC$1</f>
        <v>37060189.157030962</v>
      </c>
      <c r="CI199" s="8">
        <f>+MINVU_Mes_Corriente!CI199*MINVU_Mes_Constante!$CC$1</f>
        <v>41988226.766878031</v>
      </c>
      <c r="CJ199" s="8">
        <f>+MINVU_Mes_Corriente!CJ199*MINVU_Mes_Constante!$CC$1</f>
        <v>49433575.110033572</v>
      </c>
      <c r="CK199" s="8">
        <f>+MINVU_Mes_Corriente!CK199*MINVU_Mes_Constante!$CC$1</f>
        <v>60381936.528161138</v>
      </c>
      <c r="CL199" s="8">
        <f>+MINVU_Mes_Corriente!CL199*MINVU_Mes_Constante!$CC$1</f>
        <v>70866416.365535259</v>
      </c>
      <c r="CM199" s="8">
        <f>+MINVU_Mes_Corriente!CM199*MINVU_Mes_Constante!$CC$1</f>
        <v>72225946.030585602</v>
      </c>
      <c r="CN199" s="8">
        <f>+MINVU_Mes_Corriente!CN199*MINVU_Mes_Constante!$CC$1</f>
        <v>78631819.212980241</v>
      </c>
      <c r="CO199" s="9">
        <f t="shared" si="158"/>
        <v>78631819.212980241</v>
      </c>
      <c r="CP199" s="8">
        <f>+MINVU_Mes_Corriente!CP199*MINVU_Mes_Constante!$CP$1</f>
        <v>1913678.7598607885</v>
      </c>
      <c r="CQ199" s="8">
        <f>+MINVU_Mes_Corriente!CQ199*MINVU_Mes_Constante!$CP$1</f>
        <v>9992507.6568445452</v>
      </c>
      <c r="CR199" s="8">
        <f>+MINVU_Mes_Corriente!CR199*MINVU_Mes_Constante!$CP$1</f>
        <v>34778095.561252892</v>
      </c>
      <c r="CS199" s="8">
        <f>+MINVU_Mes_Corriente!CS199*MINVU_Mes_Constante!$CP$1</f>
        <v>36267098.95336426</v>
      </c>
      <c r="CT199" s="8">
        <f>+MINVU_Mes_Corriente!CT199*MINVU_Mes_Constante!$CP$1</f>
        <v>47822141.221809737</v>
      </c>
      <c r="CU199" s="8">
        <f>+MINVU_Mes_Corriente!CU199*MINVU_Mes_Constante!$CP$1</f>
        <v>65706357.984222725</v>
      </c>
      <c r="CV199" s="8">
        <f>+MINVU_Mes_Corriente!CV199*MINVU_Mes_Constante!$CP$1</f>
        <v>73880852.757076547</v>
      </c>
      <c r="CW199" s="8">
        <f>+MINVU_Mes_Corriente!CW199*MINVU_Mes_Constante!$CP$1</f>
        <v>76867078.124129921</v>
      </c>
      <c r="CX199" s="8">
        <f>+MINVU_Mes_Corriente!CX199*MINVU_Mes_Constante!$CP$1</f>
        <v>81056357.492575392</v>
      </c>
      <c r="CY199" s="8">
        <f>+MINVU_Mes_Corriente!CY199*MINVU_Mes_Constante!$CP$1</f>
        <v>110965306.50417632</v>
      </c>
      <c r="CZ199" s="8">
        <f>+MINVU_Mes_Corriente!CZ199*MINVU_Mes_Constante!$CP$1</f>
        <v>114721712.20232016</v>
      </c>
      <c r="DA199" s="8">
        <f>+MINVU_Mes_Corriente!DA199*MINVU_Mes_Constante!$CP$1</f>
        <v>148530939.00974476</v>
      </c>
      <c r="DB199" s="9">
        <f t="shared" si="159"/>
        <v>148530939.00974476</v>
      </c>
      <c r="DC199" s="8">
        <f>+MINVU_Mes_Corriente!DC199*MINVU_Mes_Constante!$DC$1</f>
        <v>5920945.6269931104</v>
      </c>
      <c r="DD199" s="8">
        <f>+MINVU_Mes_Corriente!DD199*MINVU_Mes_Constante!$DC$1</f>
        <v>18397616.013373118</v>
      </c>
      <c r="DE199" s="8">
        <f>+MINVU_Mes_Corriente!DE199*MINVU_Mes_Constante!$DC$1</f>
        <v>27686540.197922036</v>
      </c>
      <c r="DF199" s="8">
        <f>+MINVU_Mes_Corriente!DF199*MINVU_Mes_Constante!$DC$1</f>
        <v>36696229.271474145</v>
      </c>
      <c r="DG199" s="8">
        <f>+MINVU_Mes_Corriente!DG199*MINVU_Mes_Constante!$DC$1</f>
        <v>45065142.894352451</v>
      </c>
      <c r="DH199" s="8">
        <f>+MINVU_Mes_Corriente!DH199*MINVU_Mes_Constante!$DC$1</f>
        <v>52452142.820491746</v>
      </c>
      <c r="DI199" s="8">
        <f>+MINVU_Mes_Corriente!DI199*MINVU_Mes_Constante!$DC$1</f>
        <v>60487015.994856521</v>
      </c>
      <c r="DJ199" s="8">
        <f>+MINVU_Mes_Corriente!DJ199*MINVU_Mes_Constante!$DC$1</f>
        <v>66247505.314885333</v>
      </c>
      <c r="DK199" s="8">
        <f>+MINVU_Mes_Corriente!DK199*MINVU_Mes_Constante!$DC$1</f>
        <v>74756080.889620438</v>
      </c>
      <c r="DL199" s="8">
        <f>+MINVU_Mes_Corriente!DL199*MINVU_Mes_Constante!$DC$1</f>
        <v>80425589.145766929</v>
      </c>
      <c r="DM199" s="8">
        <f>+MINVU_Mes_Corriente!DM199*MINVU_Mes_Constante!$DC$1</f>
        <v>88951584.952371195</v>
      </c>
      <c r="DN199" s="8">
        <f>+MINVU_Mes_Corriente!DN199*MINVU_Mes_Constante!$DC$1</f>
        <v>110618237.46178383</v>
      </c>
      <c r="DO199" s="9">
        <f t="shared" si="160"/>
        <v>110618237.46178383</v>
      </c>
      <c r="DP199" s="8">
        <f>+MINVU_Mes_Corriente!DP199*MINVU_Mes_Constante!$DP$1</f>
        <v>4995301.4536817111</v>
      </c>
      <c r="DQ199" s="8">
        <f>+MINVU_Mes_Corriente!DQ199*MINVU_Mes_Constante!$DP$1</f>
        <v>14482143.74287411</v>
      </c>
      <c r="DR199" s="8">
        <f>+MINVU_Mes_Corriente!DR199*MINVU_Mes_Constante!$DP$1</f>
        <v>23484328.612232782</v>
      </c>
      <c r="DS199" s="8">
        <f>+MINVU_Mes_Corriente!DS199*MINVU_Mes_Constante!$DP$1</f>
        <v>30110583.195961997</v>
      </c>
      <c r="DT199" s="8">
        <f>+MINVU_Mes_Corriente!DT199*MINVU_Mes_Constante!$DP$1</f>
        <v>41907450.493467934</v>
      </c>
      <c r="DU199" s="8">
        <f>+MINVU_Mes_Corriente!DU199*MINVU_Mes_Constante!$DP$1</f>
        <v>50818266.363420434</v>
      </c>
      <c r="DV199" s="8">
        <f>+MINVU_Mes_Corriente!DV199*MINVU_Mes_Constante!$DP$1</f>
        <v>61301586.021377675</v>
      </c>
      <c r="DW199" s="8">
        <f>+MINVU_Mes_Corriente!DW199*MINVU_Mes_Constante!$DP$1</f>
        <v>74357175.233372927</v>
      </c>
      <c r="DX199" s="8">
        <f>+MINVU_Mes_Corriente!DX199*MINVU_Mes_Constante!$DP$1</f>
        <v>87373136.068289801</v>
      </c>
      <c r="DY199" s="8">
        <f>+MINVU_Mes_Corriente!DY199*MINVU_Mes_Constante!$DP$1</f>
        <v>105885962.74524942</v>
      </c>
      <c r="DZ199" s="8">
        <f>+MINVU_Mes_Corriente!DZ199*MINVU_Mes_Constante!$DP$1</f>
        <v>109741726.95071261</v>
      </c>
      <c r="EA199" s="8">
        <f>+MINVU_Mes_Corriente!EA199*MINVU_Mes_Constante!$DP$1</f>
        <v>124832581.03503564</v>
      </c>
      <c r="EB199" s="9">
        <f t="shared" si="161"/>
        <v>124832581.03503564</v>
      </c>
      <c r="EC199" s="8">
        <f>+MINVU_Mes_Corriente!EC199*MINVU_Mes_Constante!$EC$1</f>
        <v>2148844.8263586434</v>
      </c>
      <c r="ED199" s="8">
        <f>+MINVU_Mes_Corriente!ED199*MINVU_Mes_Constante!$EC$1</f>
        <v>18370154.208672594</v>
      </c>
      <c r="EE199" s="8">
        <f>+MINVU_Mes_Corriente!EE199*MINVU_Mes_Constante!$EC$1</f>
        <v>34835888.617686033</v>
      </c>
      <c r="EF199" s="8">
        <f>+MINVU_Mes_Corriente!EF199*MINVU_Mes_Constante!$EC$1</f>
        <v>52230003.032948285</v>
      </c>
      <c r="EG199" s="8">
        <f>+MINVU_Mes_Corriente!EG199*MINVU_Mes_Constante!$EC$1</f>
        <v>66539925.50615412</v>
      </c>
      <c r="EH199" s="8">
        <f>+MINVU_Mes_Corriente!EH199*MINVU_Mes_Constante!$EC$1</f>
        <v>82099838.447263747</v>
      </c>
      <c r="EI199" s="8">
        <f>+MINVU_Mes_Corriente!EI199*MINVU_Mes_Constante!$EC$1</f>
        <v>96046478.144480184</v>
      </c>
      <c r="EJ199" s="8">
        <f>+MINVU_Mes_Corriente!EJ199*MINVU_Mes_Constante!$EC$1</f>
        <v>110991274.45767844</v>
      </c>
      <c r="EK199" s="8">
        <f>+MINVU_Mes_Corriente!EK199*MINVU_Mes_Constante!$EC$1</f>
        <v>127382495.4501041</v>
      </c>
      <c r="EL199" s="8">
        <f>+MINVU_Mes_Corriente!EL199*MINVU_Mes_Constante!$EC$1</f>
        <v>140993820.11759132</v>
      </c>
      <c r="EM199" s="8">
        <f>+MINVU_Mes_Corriente!EM199*MINVU_Mes_Constante!$EC$1</f>
        <v>154177936.32304484</v>
      </c>
      <c r="EN199" s="8">
        <f>+MINVU_Mes_Corriente!EN199*MINVU_Mes_Constante!$EC$1</f>
        <v>178800662.13198254</v>
      </c>
      <c r="EO199" s="9">
        <f t="shared" si="162"/>
        <v>178800662.13198254</v>
      </c>
      <c r="EP199" s="8">
        <f>+MINVU_Mes_Corriente!EP199*MINVU_Mes_Constante!$EP$1</f>
        <v>7470658</v>
      </c>
      <c r="EQ199" s="8">
        <f>+MINVU_Mes_Corriente!EQ199*MINVU_Mes_Constante!$EP$1</f>
        <v>22720400</v>
      </c>
      <c r="ER199" s="8">
        <f>+MINVU_Mes_Corriente!ER199*MINVU_Mes_Constante!$EP$1</f>
        <v>39708542</v>
      </c>
      <c r="ES199" s="8">
        <f>+MINVU_Mes_Corriente!ES199*MINVU_Mes_Constante!$EP$1</f>
        <v>44738825</v>
      </c>
      <c r="ET199" s="8">
        <f>+MINVU_Mes_Corriente!ET199*MINVU_Mes_Constante!$EP$1</f>
        <v>59192286</v>
      </c>
      <c r="EU199" s="8">
        <f>+MINVU_Mes_Corriente!EU199*MINVU_Mes_Constante!$EP$1</f>
        <v>71701052</v>
      </c>
      <c r="EV199" s="8">
        <f>+MINVU_Mes_Corriente!EV199*MINVU_Mes_Constante!$EP$1</f>
        <v>87762174</v>
      </c>
      <c r="EW199" s="8">
        <f>+MINVU_Mes_Corriente!EW199*MINVU_Mes_Constante!$EP$1</f>
        <v>99403113</v>
      </c>
      <c r="EX199" s="8">
        <f>+MINVU_Mes_Corriente!EX199*MINVU_Mes_Constante!$EP$1</f>
        <v>111336525</v>
      </c>
      <c r="EY199" s="8">
        <f>+MINVU_Mes_Corriente!EY199*MINVU_Mes_Constante!$EP$1</f>
        <v>123533240</v>
      </c>
      <c r="EZ199" s="8">
        <f>+MINVU_Mes_Corriente!EZ199*MINVU_Mes_Constante!$EP$1</f>
        <v>134927511</v>
      </c>
      <c r="FA199" s="8">
        <f>+MINVU_Mes_Corriente!FA199*MINVU_Mes_Constante!$EP$1</f>
        <v>162493297</v>
      </c>
      <c r="FB199" s="9">
        <f t="shared" si="163"/>
        <v>162493297</v>
      </c>
      <c r="FC199" s="8">
        <f>+MINVU_Mes_Corriente!FC199*MINVU_Mes_Constante!$FC$1</f>
        <v>496731</v>
      </c>
      <c r="FD199" s="8">
        <f>+MINVU_Mes_Corriente!FD199*MINVU_Mes_Constante!$FC$1</f>
        <v>14554000</v>
      </c>
      <c r="FE199" s="8">
        <f>+MINVU_Mes_Corriente!FE199*MINVU_Mes_Constante!$FC$1</f>
        <v>24028231</v>
      </c>
      <c r="FF199" s="8">
        <f>+MINVU_Mes_Corriente!FF199*MINVU_Mes_Constante!$FC$1</f>
        <v>42818307</v>
      </c>
      <c r="FG199" s="8">
        <f>+MINVU_Mes_Corriente!FG199*MINVU_Mes_Constante!$FC$1</f>
        <v>70937938</v>
      </c>
      <c r="FH199" s="8">
        <f>+MINVU_Mes_Corriente!FH199*MINVU_Mes_Constante!$FC$1</f>
        <v>85576238</v>
      </c>
      <c r="FI199" s="8">
        <f>+MINVU_Mes_Corriente!FI199*MINVU_Mes_Constante!$FC$1</f>
        <v>93401575</v>
      </c>
      <c r="FJ199" s="8"/>
      <c r="FK199" s="8"/>
      <c r="FL199" s="8"/>
      <c r="FM199" s="8"/>
      <c r="FN199" s="8"/>
      <c r="FO199" s="9">
        <f t="shared" si="164"/>
        <v>93401575</v>
      </c>
    </row>
    <row r="200" spans="2:171" ht="14.25" customHeight="1" x14ac:dyDescent="0.3">
      <c r="B200" s="7" t="s">
        <v>53</v>
      </c>
      <c r="C200" s="8">
        <f>+MINVU_Mes_Corriente!C200*MINVU_Mes_Constante!$C$1</f>
        <v>18725849.898561474</v>
      </c>
      <c r="D200" s="8">
        <f>+MINVU_Mes_Corriente!D200*MINVU_Mes_Constante!$C$1</f>
        <v>37023228.192199327</v>
      </c>
      <c r="E200" s="8">
        <f>+MINVU_Mes_Corriente!E200*MINVU_Mes_Constante!$C$1</f>
        <v>54674062.096692875</v>
      </c>
      <c r="F200" s="8">
        <f>+MINVU_Mes_Corriente!F200*MINVU_Mes_Constante!$C$1</f>
        <v>78507075.686489701</v>
      </c>
      <c r="G200" s="8">
        <f>+MINVU_Mes_Corriente!G200*MINVU_Mes_Constante!$C$1</f>
        <v>94301771.285481259</v>
      </c>
      <c r="H200" s="8">
        <f>+MINVU_Mes_Corriente!H200*MINVU_Mes_Constante!$C$1</f>
        <v>111745583.17247517</v>
      </c>
      <c r="I200" s="8">
        <f>+MINVU_Mes_Corriente!I200*MINVU_Mes_Constante!$C$1</f>
        <v>126162410.19605519</v>
      </c>
      <c r="J200" s="8">
        <f>+MINVU_Mes_Corriente!J200*MINVU_Mes_Constante!$C$1</f>
        <v>145255519.84991845</v>
      </c>
      <c r="K200" s="8">
        <f>+MINVU_Mes_Corriente!K200*MINVU_Mes_Constante!$C$1</f>
        <v>160697182.34050128</v>
      </c>
      <c r="L200" s="8">
        <f>+MINVU_Mes_Corriente!L200*MINVU_Mes_Constante!$C$1</f>
        <v>181889856.65401161</v>
      </c>
      <c r="M200" s="8">
        <f>+MINVU_Mes_Corriente!M200*MINVU_Mes_Constante!$C$1</f>
        <v>197536787.94661134</v>
      </c>
      <c r="N200" s="8">
        <f>+MINVU_Mes_Corriente!N200*MINVU_Mes_Constante!$C$1</f>
        <v>209508811.07133326</v>
      </c>
      <c r="O200" s="9">
        <f t="shared" si="152"/>
        <v>209508811.07133326</v>
      </c>
      <c r="P200" s="8">
        <f>+MINVU_Mes_Corriente!P200*MINVU_Mes_Constante!$P$1</f>
        <v>15478548.635885773</v>
      </c>
      <c r="Q200" s="8">
        <f>+MINVU_Mes_Corriente!Q200*MINVU_Mes_Constante!$P$1</f>
        <v>33199665.368660308</v>
      </c>
      <c r="R200" s="8">
        <f>+MINVU_Mes_Corriente!R200*MINVU_Mes_Constante!$P$1</f>
        <v>51749269.062935054</v>
      </c>
      <c r="S200" s="8">
        <f>+MINVU_Mes_Corriente!S200*MINVU_Mes_Constante!$P$1</f>
        <v>66857133.086517945</v>
      </c>
      <c r="T200" s="8">
        <f>+MINVU_Mes_Corriente!T200*MINVU_Mes_Constante!$P$1</f>
        <v>88282148.297201276</v>
      </c>
      <c r="U200" s="8">
        <f>+MINVU_Mes_Corriente!U200*MINVU_Mes_Constante!$P$1</f>
        <v>102320566.62423636</v>
      </c>
      <c r="V200" s="8">
        <f>+MINVU_Mes_Corriente!V200*MINVU_Mes_Constante!$P$1</f>
        <v>112711589.98977123</v>
      </c>
      <c r="W200" s="8">
        <f>+MINVU_Mes_Corriente!W200*MINVU_Mes_Constante!$P$1</f>
        <v>126679733.60107966</v>
      </c>
      <c r="X200" s="8">
        <f>+MINVU_Mes_Corriente!X200*MINVU_Mes_Constante!$P$1</f>
        <v>137123424.97428608</v>
      </c>
      <c r="Y200" s="8">
        <f>+MINVU_Mes_Corriente!Y200*MINVU_Mes_Constante!$P$1</f>
        <v>150957516.70152006</v>
      </c>
      <c r="Z200" s="8">
        <f>+MINVU_Mes_Corriente!Z200*MINVU_Mes_Constante!$P$1</f>
        <v>165184952.18979964</v>
      </c>
      <c r="AA200" s="8">
        <f>+MINVU_Mes_Corriente!AA200*MINVU_Mes_Constante!$P$1</f>
        <v>179723728.23128277</v>
      </c>
      <c r="AB200" s="9">
        <f t="shared" si="153"/>
        <v>179723728.23128277</v>
      </c>
      <c r="AC200" s="8">
        <f>+MINVU_Mes_Corriente!AC200*MINVU_Mes_Constante!$AC$1</f>
        <v>13845853.720569927</v>
      </c>
      <c r="AD200" s="8">
        <f>+MINVU_Mes_Corriente!AD200*MINVU_Mes_Constante!$AC$1</f>
        <v>25707909.184672844</v>
      </c>
      <c r="AE200" s="8">
        <f>+MINVU_Mes_Corriente!AE200*MINVU_Mes_Constante!$AC$1</f>
        <v>40535531.036381245</v>
      </c>
      <c r="AF200" s="8">
        <f>+MINVU_Mes_Corriente!AF200*MINVU_Mes_Constante!$AC$1</f>
        <v>56332590.917139299</v>
      </c>
      <c r="AG200" s="8">
        <f>+MINVU_Mes_Corriente!AG200*MINVU_Mes_Constante!$AC$1</f>
        <v>71574206.75307788</v>
      </c>
      <c r="AH200" s="8">
        <f>+MINVU_Mes_Corriente!AH200*MINVU_Mes_Constante!$AC$1</f>
        <v>85673175.19131276</v>
      </c>
      <c r="AI200" s="8">
        <f>+MINVU_Mes_Corriente!AI200*MINVU_Mes_Constante!$AC$1</f>
        <v>97173088.69525522</v>
      </c>
      <c r="AJ200" s="8">
        <f>+MINVU_Mes_Corriente!AJ200*MINVU_Mes_Constante!$AC$1</f>
        <v>111171501.35731083</v>
      </c>
      <c r="AK200" s="8">
        <f>+MINVU_Mes_Corriente!AK200*MINVU_Mes_Constante!$AC$1</f>
        <v>128335544.55056024</v>
      </c>
      <c r="AL200" s="8">
        <f>+MINVU_Mes_Corriente!AL200*MINVU_Mes_Constante!$AC$1</f>
        <v>142668113.8613916</v>
      </c>
      <c r="AM200" s="8">
        <f>+MINVU_Mes_Corriente!AM200*MINVU_Mes_Constante!$AC$1</f>
        <v>154353083.18411952</v>
      </c>
      <c r="AN200" s="8">
        <f>+MINVU_Mes_Corriente!AN200*MINVU_Mes_Constante!$AC$1</f>
        <v>181877933.72278324</v>
      </c>
      <c r="AO200" s="9">
        <f t="shared" si="154"/>
        <v>181877933.72278324</v>
      </c>
      <c r="AP200" s="8">
        <f>+MINVU_Mes_Corriente!AP200*MINVU_Mes_Constante!$AP$1</f>
        <v>14269787.542269714</v>
      </c>
      <c r="AQ200" s="8">
        <f>+MINVU_Mes_Corriente!AQ200*MINVU_Mes_Constante!$AP$1</f>
        <v>29629578.441498712</v>
      </c>
      <c r="AR200" s="8">
        <f>+MINVU_Mes_Corriente!AR200*MINVU_Mes_Constante!$AP$1</f>
        <v>43424298.538076557</v>
      </c>
      <c r="AS200" s="8">
        <f>+MINVU_Mes_Corriente!AS200*MINVU_Mes_Constante!$AP$1</f>
        <v>54105380.565399699</v>
      </c>
      <c r="AT200" s="8">
        <f>+MINVU_Mes_Corriente!AT200*MINVU_Mes_Constante!$AP$1</f>
        <v>67922665.002299473</v>
      </c>
      <c r="AU200" s="8">
        <f>+MINVU_Mes_Corriente!AU200*MINVU_Mes_Constante!$AP$1</f>
        <v>81619646.686324894</v>
      </c>
      <c r="AV200" s="8">
        <f>+MINVU_Mes_Corriente!AV200*MINVU_Mes_Constante!$AP$1</f>
        <v>95178301.338292971</v>
      </c>
      <c r="AW200" s="8">
        <f>+MINVU_Mes_Corriente!AW200*MINVU_Mes_Constante!$AP$1</f>
        <v>110239063.00229947</v>
      </c>
      <c r="AX200" s="8">
        <f>+MINVU_Mes_Corriente!AX200*MINVU_Mes_Constante!$AP$1</f>
        <v>124700221.80657378</v>
      </c>
      <c r="AY200" s="8">
        <f>+MINVU_Mes_Corriente!AY200*MINVU_Mes_Constante!$AP$1</f>
        <v>137533529.27526036</v>
      </c>
      <c r="AZ200" s="8">
        <f>+MINVU_Mes_Corriente!AZ200*MINVU_Mes_Constante!$AP$1</f>
        <v>148928992.58298388</v>
      </c>
      <c r="BA200" s="8">
        <f>+MINVU_Mes_Corriente!BA200*MINVU_Mes_Constante!$AP$1</f>
        <v>160662715.56959283</v>
      </c>
      <c r="BB200" s="9">
        <f t="shared" si="155"/>
        <v>160662715.56959283</v>
      </c>
      <c r="BC200" s="8">
        <f>+MINVU_Mes_Corriente!BC200*MINVU_Mes_Constante!$BC$1</f>
        <v>13325306.662534621</v>
      </c>
      <c r="BD200" s="8">
        <f>+MINVU_Mes_Corriente!BD200*MINVU_Mes_Constante!$BC$1</f>
        <v>24791166.042727157</v>
      </c>
      <c r="BE200" s="8">
        <f>+MINVU_Mes_Corriente!BE200*MINVU_Mes_Constante!$BC$1</f>
        <v>33555560.035869718</v>
      </c>
      <c r="BF200" s="8">
        <f>+MINVU_Mes_Corriente!BF200*MINVU_Mes_Constante!$BC$1</f>
        <v>42549385.620466843</v>
      </c>
      <c r="BG200" s="8">
        <f>+MINVU_Mes_Corriente!BG200*MINVU_Mes_Constante!$BC$1</f>
        <v>54258611.096399859</v>
      </c>
      <c r="BH200" s="8">
        <f>+MINVU_Mes_Corriente!BH200*MINVU_Mes_Constante!$BC$1</f>
        <v>69097777.519978911</v>
      </c>
      <c r="BI200" s="8">
        <f>+MINVU_Mes_Corriente!BI200*MINVU_Mes_Constante!$BC$1</f>
        <v>81161244.289595172</v>
      </c>
      <c r="BJ200" s="8">
        <f>+MINVU_Mes_Corriente!BJ200*MINVU_Mes_Constante!$BC$1</f>
        <v>93395991.202162758</v>
      </c>
      <c r="BK200" s="8">
        <f>+MINVU_Mes_Corriente!BK200*MINVU_Mes_Constante!$BC$1</f>
        <v>105018926.78122118</v>
      </c>
      <c r="BL200" s="8">
        <f>+MINVU_Mes_Corriente!BL200*MINVU_Mes_Constante!$BC$1</f>
        <v>115893107.88843468</v>
      </c>
      <c r="BM200" s="8">
        <f>+MINVU_Mes_Corriente!BM200*MINVU_Mes_Constante!$BC$1</f>
        <v>130321738.83133328</v>
      </c>
      <c r="BN200" s="8">
        <f>+MINVU_Mes_Corriente!BN200*MINVU_Mes_Constante!$BC$1</f>
        <v>137576597.06791511</v>
      </c>
      <c r="BO200" s="9">
        <f t="shared" si="156"/>
        <v>137576597.06791511</v>
      </c>
      <c r="BP200" s="8">
        <f>+MINVU_Mes_Corriente!BP200*MINVU_Mes_Constante!$BP$1</f>
        <v>11263253.863252241</v>
      </c>
      <c r="BQ200" s="8">
        <f>+MINVU_Mes_Corriente!BQ200*MINVU_Mes_Constante!$BP$1</f>
        <v>25562321.308578748</v>
      </c>
      <c r="BR200" s="8">
        <f>+MINVU_Mes_Corriente!BR200*MINVU_Mes_Constante!$BP$1</f>
        <v>41873052.816645332</v>
      </c>
      <c r="BS200" s="8">
        <f>+MINVU_Mes_Corriente!BS200*MINVU_Mes_Constante!$BP$1</f>
        <v>56101318.103201032</v>
      </c>
      <c r="BT200" s="8">
        <f>+MINVU_Mes_Corriente!BT200*MINVU_Mes_Constante!$BP$1</f>
        <v>72409220.882458389</v>
      </c>
      <c r="BU200" s="8">
        <f>+MINVU_Mes_Corriente!BU200*MINVU_Mes_Constante!$BP$1</f>
        <v>83238488.709603086</v>
      </c>
      <c r="BV200" s="8">
        <f>+MINVU_Mes_Corriente!BV200*MINVU_Mes_Constante!$BP$1</f>
        <v>94810265.672727287</v>
      </c>
      <c r="BW200" s="8">
        <f>+MINVU_Mes_Corriente!BW200*MINVU_Mes_Constante!$BP$1</f>
        <v>107767775.6043534</v>
      </c>
      <c r="BX200" s="8">
        <f>+MINVU_Mes_Corriente!BX200*MINVU_Mes_Constante!$BP$1</f>
        <v>115164851.07733676</v>
      </c>
      <c r="BY200" s="8">
        <f>+MINVU_Mes_Corriente!BY200*MINVU_Mes_Constante!$BP$1</f>
        <v>129644969.75723433</v>
      </c>
      <c r="BZ200" s="8">
        <f>+MINVU_Mes_Corriente!BZ200*MINVU_Mes_Constante!$BP$1</f>
        <v>155583442.0486556</v>
      </c>
      <c r="CA200" s="8">
        <f>+MINVU_Mes_Corriente!CA200*MINVU_Mes_Constante!$BP$1</f>
        <v>171032701.12548018</v>
      </c>
      <c r="CB200" s="9">
        <f t="shared" si="157"/>
        <v>171032701.12548018</v>
      </c>
      <c r="CC200" s="8">
        <f>+MINVU_Mes_Corriente!CC200*MINVU_Mes_Constante!$CC$1</f>
        <v>6844135.7859007837</v>
      </c>
      <c r="CD200" s="8">
        <f>+MINVU_Mes_Corriente!CD200*MINVU_Mes_Constante!$CC$1</f>
        <v>15034948.957105558</v>
      </c>
      <c r="CE200" s="8">
        <f>+MINVU_Mes_Corriente!CE200*MINVU_Mes_Constante!$CC$1</f>
        <v>32142221.724729583</v>
      </c>
      <c r="CF200" s="8">
        <f>+MINVU_Mes_Corriente!CF200*MINVU_Mes_Constante!$CC$1</f>
        <v>48074287.248787768</v>
      </c>
      <c r="CG200" s="8">
        <f>+MINVU_Mes_Corriente!CG200*MINVU_Mes_Constante!$CC$1</f>
        <v>63349373.194330476</v>
      </c>
      <c r="CH200" s="8">
        <f>+MINVU_Mes_Corriente!CH200*MINVU_Mes_Constante!$CC$1</f>
        <v>79443496.171577781</v>
      </c>
      <c r="CI200" s="8">
        <f>+MINVU_Mes_Corriente!CI200*MINVU_Mes_Constante!$CC$1</f>
        <v>91284890.660947412</v>
      </c>
      <c r="CJ200" s="8">
        <f>+MINVU_Mes_Corriente!CJ200*MINVU_Mes_Constante!$CC$1</f>
        <v>100580313.87392765</v>
      </c>
      <c r="CK200" s="8">
        <f>+MINVU_Mes_Corriente!CK200*MINVU_Mes_Constante!$CC$1</f>
        <v>114730682.02536368</v>
      </c>
      <c r="CL200" s="8">
        <f>+MINVU_Mes_Corriente!CL200*MINVU_Mes_Constante!$CC$1</f>
        <v>140906097.37262216</v>
      </c>
      <c r="CM200" s="8">
        <f>+MINVU_Mes_Corriente!CM200*MINVU_Mes_Constante!$CC$1</f>
        <v>162586369.12569937</v>
      </c>
      <c r="CN200" s="8">
        <f>+MINVU_Mes_Corriente!CN200*MINVU_Mes_Constante!$CC$1</f>
        <v>181583084.59604627</v>
      </c>
      <c r="CO200" s="9">
        <f t="shared" si="158"/>
        <v>181583084.59604627</v>
      </c>
      <c r="CP200" s="8">
        <f>+MINVU_Mes_Corriente!CP200*MINVU_Mes_Constante!$CP$1</f>
        <v>6221605.3621809734</v>
      </c>
      <c r="CQ200" s="8">
        <f>+MINVU_Mes_Corriente!CQ200*MINVU_Mes_Constante!$CP$1</f>
        <v>25241813.047795817</v>
      </c>
      <c r="CR200" s="8">
        <f>+MINVU_Mes_Corriente!CR200*MINVU_Mes_Constante!$CP$1</f>
        <v>46850379.993271455</v>
      </c>
      <c r="CS200" s="8">
        <f>+MINVU_Mes_Corriente!CS200*MINVU_Mes_Constante!$CP$1</f>
        <v>53750579.949187927</v>
      </c>
      <c r="CT200" s="8">
        <f>+MINVU_Mes_Corriente!CT200*MINVU_Mes_Constante!$CP$1</f>
        <v>67658019.170533627</v>
      </c>
      <c r="CU200" s="8">
        <f>+MINVU_Mes_Corriente!CU200*MINVU_Mes_Constante!$CP$1</f>
        <v>82245293.88515079</v>
      </c>
      <c r="CV200" s="8">
        <f>+MINVU_Mes_Corriente!CV200*MINVU_Mes_Constante!$CP$1</f>
        <v>91310626.50556843</v>
      </c>
      <c r="CW200" s="8">
        <f>+MINVU_Mes_Corriente!CW200*MINVU_Mes_Constante!$CP$1</f>
        <v>103737294.8603248</v>
      </c>
      <c r="CX200" s="8">
        <f>+MINVU_Mes_Corriente!CX200*MINVU_Mes_Constante!$CP$1</f>
        <v>124023549.62714614</v>
      </c>
      <c r="CY200" s="8">
        <f>+MINVU_Mes_Corriente!CY200*MINVU_Mes_Constante!$CP$1</f>
        <v>137562276.90904871</v>
      </c>
      <c r="CZ200" s="8">
        <f>+MINVU_Mes_Corriente!CZ200*MINVU_Mes_Constante!$CP$1</f>
        <v>153590166.2714617</v>
      </c>
      <c r="DA200" s="8">
        <f>+MINVU_Mes_Corriente!DA200*MINVU_Mes_Constante!$CP$1</f>
        <v>172410876.85823661</v>
      </c>
      <c r="DB200" s="9">
        <f t="shared" si="159"/>
        <v>172410876.85823661</v>
      </c>
      <c r="DC200" s="8">
        <f>+MINVU_Mes_Corriente!DC200*MINVU_Mes_Constante!$DC$1</f>
        <v>4370745.0552412327</v>
      </c>
      <c r="DD200" s="8">
        <f>+MINVU_Mes_Corriente!DD200*MINVU_Mes_Constante!$DC$1</f>
        <v>18546265.13692008</v>
      </c>
      <c r="DE200" s="8">
        <f>+MINVU_Mes_Corriente!DE200*MINVU_Mes_Constante!$DC$1</f>
        <v>38753964.516613536</v>
      </c>
      <c r="DF200" s="8">
        <f>+MINVU_Mes_Corriente!DF200*MINVU_Mes_Constante!$DC$1</f>
        <v>55677078.559201755</v>
      </c>
      <c r="DG200" s="8">
        <f>+MINVU_Mes_Corriente!DG200*MINVU_Mes_Constante!$DC$1</f>
        <v>65530295.070466034</v>
      </c>
      <c r="DH200" s="8">
        <f>+MINVU_Mes_Corriente!DH200*MINVU_Mes_Constante!$DC$1</f>
        <v>82035947.345129147</v>
      </c>
      <c r="DI200" s="8">
        <f>+MINVU_Mes_Corriente!DI200*MINVU_Mes_Constante!$DC$1</f>
        <v>96534200.853410184</v>
      </c>
      <c r="DJ200" s="8">
        <f>+MINVU_Mes_Corriente!DJ200*MINVU_Mes_Constante!$DC$1</f>
        <v>107951218.9575147</v>
      </c>
      <c r="DK200" s="8">
        <f>+MINVU_Mes_Corriente!DK200*MINVU_Mes_Constante!$DC$1</f>
        <v>132398443.49243911</v>
      </c>
      <c r="DL200" s="8">
        <f>+MINVU_Mes_Corriente!DL200*MINVU_Mes_Constante!$DC$1</f>
        <v>150176371.76339889</v>
      </c>
      <c r="DM200" s="8">
        <f>+MINVU_Mes_Corriente!DM200*MINVU_Mes_Constante!$DC$1</f>
        <v>169010470.29338554</v>
      </c>
      <c r="DN200" s="8">
        <f>+MINVU_Mes_Corriente!DN200*MINVU_Mes_Constante!$DC$1</f>
        <v>188322613.07519811</v>
      </c>
      <c r="DO200" s="9">
        <f t="shared" si="160"/>
        <v>188322613.07519811</v>
      </c>
      <c r="DP200" s="8">
        <f>+MINVU_Mes_Corriente!DP200*MINVU_Mes_Constante!$DP$1</f>
        <v>10463057.248218529</v>
      </c>
      <c r="DQ200" s="8">
        <f>+MINVU_Mes_Corriente!DQ200*MINVU_Mes_Constante!$DP$1</f>
        <v>42200236.799287416</v>
      </c>
      <c r="DR200" s="8">
        <f>+MINVU_Mes_Corriente!DR200*MINVU_Mes_Constante!$DP$1</f>
        <v>66065132.784441814</v>
      </c>
      <c r="DS200" s="8">
        <f>+MINVU_Mes_Corriente!DS200*MINVU_Mes_Constante!$DP$1</f>
        <v>85406031.096199527</v>
      </c>
      <c r="DT200" s="8">
        <f>+MINVU_Mes_Corriente!DT200*MINVU_Mes_Constante!$DP$1</f>
        <v>106929411.9655582</v>
      </c>
      <c r="DU200" s="8">
        <f>+MINVU_Mes_Corriente!DU200*MINVU_Mes_Constante!$DP$1</f>
        <v>128207905.10095014</v>
      </c>
      <c r="DV200" s="8">
        <f>+MINVU_Mes_Corriente!DV200*MINVU_Mes_Constante!$DP$1</f>
        <v>151796814.69477436</v>
      </c>
      <c r="DW200" s="8">
        <f>+MINVU_Mes_Corriente!DW200*MINVU_Mes_Constante!$DP$1</f>
        <v>168118094.90558195</v>
      </c>
      <c r="DX200" s="8">
        <f>+MINVU_Mes_Corriente!DX200*MINVU_Mes_Constante!$DP$1</f>
        <v>185383017.53266037</v>
      </c>
      <c r="DY200" s="8">
        <f>+MINVU_Mes_Corriente!DY200*MINVU_Mes_Constante!$DP$1</f>
        <v>202052262.29572448</v>
      </c>
      <c r="DZ200" s="8">
        <f>+MINVU_Mes_Corriente!DZ200*MINVU_Mes_Constante!$DP$1</f>
        <v>211898625.56650832</v>
      </c>
      <c r="EA200" s="8">
        <f>+MINVU_Mes_Corriente!EA200*MINVU_Mes_Constante!$DP$1</f>
        <v>236366861.88954872</v>
      </c>
      <c r="EB200" s="9">
        <f t="shared" si="161"/>
        <v>236366861.88954872</v>
      </c>
      <c r="EC200" s="8">
        <f>+MINVU_Mes_Corriente!EC200*MINVU_Mes_Constante!$EC$1</f>
        <v>10773759.089755725</v>
      </c>
      <c r="ED200" s="8">
        <f>+MINVU_Mes_Corriente!ED200*MINVU_Mes_Constante!$EC$1</f>
        <v>29428553.080855887</v>
      </c>
      <c r="EE200" s="8">
        <f>+MINVU_Mes_Corriente!EE200*MINVU_Mes_Constante!$EC$1</f>
        <v>53683612.058890343</v>
      </c>
      <c r="EF200" s="8">
        <f>+MINVU_Mes_Corriente!EF200*MINVU_Mes_Constante!$EC$1</f>
        <v>78410294.175156191</v>
      </c>
      <c r="EG200" s="8">
        <f>+MINVU_Mes_Corriente!EG200*MINVU_Mes_Constante!$EC$1</f>
        <v>105738148.4145048</v>
      </c>
      <c r="EH200" s="8">
        <f>+MINVU_Mes_Corriente!EH200*MINVU_Mes_Constante!$EC$1</f>
        <v>127256097.49876913</v>
      </c>
      <c r="EI200" s="8">
        <f>+MINVU_Mes_Corriente!EI200*MINVU_Mes_Constante!$EC$1</f>
        <v>140897542.630373</v>
      </c>
      <c r="EJ200" s="8">
        <f>+MINVU_Mes_Corriente!EJ200*MINVU_Mes_Constante!$EC$1</f>
        <v>159382332.94413933</v>
      </c>
      <c r="EK200" s="8">
        <f>+MINVU_Mes_Corriente!EK200*MINVU_Mes_Constante!$EC$1</f>
        <v>169049478.16133302</v>
      </c>
      <c r="EL200" s="8">
        <f>+MINVU_Mes_Corriente!EL200*MINVU_Mes_Constante!$EC$1</f>
        <v>180346453.20545346</v>
      </c>
      <c r="EM200" s="8">
        <f>+MINVU_Mes_Corriente!EM200*MINVU_Mes_Constante!$EC$1</f>
        <v>193189796.55349359</v>
      </c>
      <c r="EN200" s="8">
        <f>+MINVU_Mes_Corriente!EN200*MINVU_Mes_Constante!$EC$1</f>
        <v>220676915.70800978</v>
      </c>
      <c r="EO200" s="9">
        <f t="shared" si="162"/>
        <v>220676915.70800978</v>
      </c>
      <c r="EP200" s="8">
        <f>+MINVU_Mes_Corriente!EP200*MINVU_Mes_Constante!$EP$1</f>
        <v>10695159</v>
      </c>
      <c r="EQ200" s="8">
        <f>+MINVU_Mes_Corriente!EQ200*MINVU_Mes_Constante!$EP$1</f>
        <v>30123853</v>
      </c>
      <c r="ER200" s="8">
        <f>+MINVU_Mes_Corriente!ER200*MINVU_Mes_Constante!$EP$1</f>
        <v>45296845</v>
      </c>
      <c r="ES200" s="8">
        <f>+MINVU_Mes_Corriente!ES200*MINVU_Mes_Constante!$EP$1</f>
        <v>65184548</v>
      </c>
      <c r="ET200" s="8">
        <f>+MINVU_Mes_Corriente!ET200*MINVU_Mes_Constante!$EP$1</f>
        <v>96939362</v>
      </c>
      <c r="EU200" s="8">
        <f>+MINVU_Mes_Corriente!EU200*MINVU_Mes_Constante!$EP$1</f>
        <v>122396923</v>
      </c>
      <c r="EV200" s="8">
        <f>+MINVU_Mes_Corriente!EV200*MINVU_Mes_Constante!$EP$1</f>
        <v>137903047</v>
      </c>
      <c r="EW200" s="8">
        <f>+MINVU_Mes_Corriente!EW200*MINVU_Mes_Constante!$EP$1</f>
        <v>161882567</v>
      </c>
      <c r="EX200" s="8">
        <f>+MINVU_Mes_Corriente!EX200*MINVU_Mes_Constante!$EP$1</f>
        <v>202973225</v>
      </c>
      <c r="EY200" s="8">
        <f>+MINVU_Mes_Corriente!EY200*MINVU_Mes_Constante!$EP$1</f>
        <v>228456187</v>
      </c>
      <c r="EZ200" s="8">
        <f>+MINVU_Mes_Corriente!EZ200*MINVU_Mes_Constante!$EP$1</f>
        <v>238079058</v>
      </c>
      <c r="FA200" s="8">
        <f>+MINVU_Mes_Corriente!FA200*MINVU_Mes_Constante!$EP$1</f>
        <v>253423423</v>
      </c>
      <c r="FB200" s="9">
        <f t="shared" si="163"/>
        <v>253423423</v>
      </c>
      <c r="FC200" s="8">
        <f>+MINVU_Mes_Corriente!FC200*MINVU_Mes_Constante!$FC$1</f>
        <v>13535323</v>
      </c>
      <c r="FD200" s="8">
        <f>+MINVU_Mes_Corriente!FD200*MINVU_Mes_Constante!$FC$1</f>
        <v>42286424</v>
      </c>
      <c r="FE200" s="8">
        <f>+MINVU_Mes_Corriente!FE200*MINVU_Mes_Constante!$FC$1</f>
        <v>70763311</v>
      </c>
      <c r="FF200" s="8">
        <f>+MINVU_Mes_Corriente!FF200*MINVU_Mes_Constante!$FC$1</f>
        <v>97625029</v>
      </c>
      <c r="FG200" s="8">
        <f>+MINVU_Mes_Corriente!FG200*MINVU_Mes_Constante!$FC$1</f>
        <v>125291606</v>
      </c>
      <c r="FH200" s="8">
        <f>+MINVU_Mes_Corriente!FH200*MINVU_Mes_Constante!$FC$1</f>
        <v>139948649</v>
      </c>
      <c r="FI200" s="8">
        <f>+MINVU_Mes_Corriente!FI200*MINVU_Mes_Constante!$FC$1</f>
        <v>167840837</v>
      </c>
      <c r="FJ200" s="8"/>
      <c r="FK200" s="8"/>
      <c r="FL200" s="8"/>
      <c r="FM200" s="8"/>
      <c r="FN200" s="8"/>
      <c r="FO200" s="9">
        <f t="shared" si="164"/>
        <v>167840837</v>
      </c>
    </row>
    <row r="201" spans="2:171" ht="14.25" customHeight="1" x14ac:dyDescent="0.3">
      <c r="B201" s="7" t="s">
        <v>54</v>
      </c>
      <c r="C201" s="8">
        <f>+MINVU_Mes_Corriente!C201*MINVU_Mes_Constante!$C$1</f>
        <v>0</v>
      </c>
      <c r="D201" s="8">
        <f>+MINVU_Mes_Corriente!D201*MINVU_Mes_Constante!$C$1</f>
        <v>0</v>
      </c>
      <c r="E201" s="8">
        <f>+MINVU_Mes_Corriente!E201*MINVU_Mes_Constante!$C$1</f>
        <v>0</v>
      </c>
      <c r="F201" s="8">
        <f>+MINVU_Mes_Corriente!F201*MINVU_Mes_Constante!$C$1</f>
        <v>0</v>
      </c>
      <c r="G201" s="8">
        <f>+MINVU_Mes_Corriente!G201*MINVU_Mes_Constante!$C$1</f>
        <v>0</v>
      </c>
      <c r="H201" s="8">
        <f>+MINVU_Mes_Corriente!H201*MINVU_Mes_Constante!$C$1</f>
        <v>0</v>
      </c>
      <c r="I201" s="8">
        <f>+MINVU_Mes_Corriente!I201*MINVU_Mes_Constante!$C$1</f>
        <v>0</v>
      </c>
      <c r="J201" s="8">
        <f>+MINVU_Mes_Corriente!J201*MINVU_Mes_Constante!$C$1</f>
        <v>0</v>
      </c>
      <c r="K201" s="8">
        <f>+MINVU_Mes_Corriente!K201*MINVU_Mes_Constante!$C$1</f>
        <v>0</v>
      </c>
      <c r="L201" s="8">
        <f>+MINVU_Mes_Corriente!L201*MINVU_Mes_Constante!$C$1</f>
        <v>0</v>
      </c>
      <c r="M201" s="8">
        <f>+MINVU_Mes_Corriente!M201*MINVU_Mes_Constante!$C$1</f>
        <v>0</v>
      </c>
      <c r="N201" s="8">
        <f>+MINVU_Mes_Corriente!N201*MINVU_Mes_Constante!$C$1</f>
        <v>0</v>
      </c>
      <c r="O201" s="9">
        <f t="shared" si="152"/>
        <v>0</v>
      </c>
      <c r="P201" s="8">
        <f>+MINVU_Mes_Corriente!P201*MINVU_Mes_Constante!$P$1</f>
        <v>0</v>
      </c>
      <c r="Q201" s="8">
        <f>+MINVU_Mes_Corriente!Q201*MINVU_Mes_Constante!$P$1</f>
        <v>0</v>
      </c>
      <c r="R201" s="8">
        <f>+MINVU_Mes_Corriente!R201*MINVU_Mes_Constante!$P$1</f>
        <v>0</v>
      </c>
      <c r="S201" s="8">
        <f>+MINVU_Mes_Corriente!S201*MINVU_Mes_Constante!$P$1</f>
        <v>0</v>
      </c>
      <c r="T201" s="8">
        <f>+MINVU_Mes_Corriente!T201*MINVU_Mes_Constante!$P$1</f>
        <v>0</v>
      </c>
      <c r="U201" s="8">
        <f>+MINVU_Mes_Corriente!U201*MINVU_Mes_Constante!$P$1</f>
        <v>0</v>
      </c>
      <c r="V201" s="8">
        <f>+MINVU_Mes_Corriente!V201*MINVU_Mes_Constante!$P$1</f>
        <v>0</v>
      </c>
      <c r="W201" s="8">
        <f>+MINVU_Mes_Corriente!W201*MINVU_Mes_Constante!$P$1</f>
        <v>0</v>
      </c>
      <c r="X201" s="8">
        <f>+MINVU_Mes_Corriente!X201*MINVU_Mes_Constante!$P$1</f>
        <v>0</v>
      </c>
      <c r="Y201" s="8">
        <f>+MINVU_Mes_Corriente!Y201*MINVU_Mes_Constante!$P$1</f>
        <v>0</v>
      </c>
      <c r="Z201" s="8">
        <f>+MINVU_Mes_Corriente!Z201*MINVU_Mes_Constante!$P$1</f>
        <v>0</v>
      </c>
      <c r="AA201" s="8">
        <f>+MINVU_Mes_Corriente!AA201*MINVU_Mes_Constante!$P$1</f>
        <v>0</v>
      </c>
      <c r="AB201" s="9">
        <f t="shared" si="153"/>
        <v>0</v>
      </c>
      <c r="AC201" s="8">
        <f>+MINVU_Mes_Corriente!AC201*MINVU_Mes_Constante!$AC$1</f>
        <v>0</v>
      </c>
      <c r="AD201" s="8">
        <f>+MINVU_Mes_Corriente!AD201*MINVU_Mes_Constante!$AC$1</f>
        <v>0</v>
      </c>
      <c r="AE201" s="8">
        <f>+MINVU_Mes_Corriente!AE201*MINVU_Mes_Constante!$AC$1</f>
        <v>0</v>
      </c>
      <c r="AF201" s="8">
        <f>+MINVU_Mes_Corriente!AF201*MINVU_Mes_Constante!$AC$1</f>
        <v>0</v>
      </c>
      <c r="AG201" s="8">
        <f>+MINVU_Mes_Corriente!AG201*MINVU_Mes_Constante!$AC$1</f>
        <v>0</v>
      </c>
      <c r="AH201" s="8">
        <f>+MINVU_Mes_Corriente!AH201*MINVU_Mes_Constante!$AC$1</f>
        <v>0</v>
      </c>
      <c r="AI201" s="8">
        <f>+MINVU_Mes_Corriente!AI201*MINVU_Mes_Constante!$AC$1</f>
        <v>0</v>
      </c>
      <c r="AJ201" s="8">
        <f>+MINVU_Mes_Corriente!AJ201*MINVU_Mes_Constante!$AC$1</f>
        <v>0</v>
      </c>
      <c r="AK201" s="8">
        <f>+MINVU_Mes_Corriente!AK201*MINVU_Mes_Constante!$AC$1</f>
        <v>0</v>
      </c>
      <c r="AL201" s="8">
        <f>+MINVU_Mes_Corriente!AL201*MINVU_Mes_Constante!$AC$1</f>
        <v>0</v>
      </c>
      <c r="AM201" s="8">
        <f>+MINVU_Mes_Corriente!AM201*MINVU_Mes_Constante!$AC$1</f>
        <v>0</v>
      </c>
      <c r="AN201" s="8">
        <f>+MINVU_Mes_Corriente!AN201*MINVU_Mes_Constante!$AC$1</f>
        <v>0</v>
      </c>
      <c r="AO201" s="9">
        <f t="shared" si="154"/>
        <v>0</v>
      </c>
      <c r="AP201" s="8">
        <f>+MINVU_Mes_Corriente!AP201*MINVU_Mes_Constante!$AP$1</f>
        <v>0</v>
      </c>
      <c r="AQ201" s="8">
        <f>+MINVU_Mes_Corriente!AQ201*MINVU_Mes_Constante!$AP$1</f>
        <v>0</v>
      </c>
      <c r="AR201" s="8">
        <f>+MINVU_Mes_Corriente!AR201*MINVU_Mes_Constante!$AP$1</f>
        <v>0</v>
      </c>
      <c r="AS201" s="8">
        <f>+MINVU_Mes_Corriente!AS201*MINVU_Mes_Constante!$AP$1</f>
        <v>0</v>
      </c>
      <c r="AT201" s="8">
        <f>+MINVU_Mes_Corriente!AT201*MINVU_Mes_Constante!$AP$1</f>
        <v>0</v>
      </c>
      <c r="AU201" s="8">
        <f>+MINVU_Mes_Corriente!AU201*MINVU_Mes_Constante!$AP$1</f>
        <v>0</v>
      </c>
      <c r="AV201" s="8">
        <f>+MINVU_Mes_Corriente!AV201*MINVU_Mes_Constante!$AP$1</f>
        <v>0</v>
      </c>
      <c r="AW201" s="8">
        <f>+MINVU_Mes_Corriente!AW201*MINVU_Mes_Constante!$AP$1</f>
        <v>0</v>
      </c>
      <c r="AX201" s="8">
        <f>+MINVU_Mes_Corriente!AX201*MINVU_Mes_Constante!$AP$1</f>
        <v>0</v>
      </c>
      <c r="AY201" s="8">
        <f>+MINVU_Mes_Corriente!AY201*MINVU_Mes_Constante!$AP$1</f>
        <v>0</v>
      </c>
      <c r="AZ201" s="8">
        <f>+MINVU_Mes_Corriente!AZ201*MINVU_Mes_Constante!$AP$1</f>
        <v>0</v>
      </c>
      <c r="BA201" s="8">
        <f>+MINVU_Mes_Corriente!BA201*MINVU_Mes_Constante!$AP$1</f>
        <v>0</v>
      </c>
      <c r="BB201" s="9">
        <f t="shared" si="155"/>
        <v>0</v>
      </c>
      <c r="BC201" s="8">
        <f>+MINVU_Mes_Corriente!BC201*MINVU_Mes_Constante!$BC$1</f>
        <v>0</v>
      </c>
      <c r="BD201" s="8">
        <f>+MINVU_Mes_Corriente!BD201*MINVU_Mes_Constante!$BC$1</f>
        <v>0</v>
      </c>
      <c r="BE201" s="8">
        <f>+MINVU_Mes_Corriente!BE201*MINVU_Mes_Constante!$BC$1</f>
        <v>0</v>
      </c>
      <c r="BF201" s="8">
        <f>+MINVU_Mes_Corriente!BF201*MINVU_Mes_Constante!$BC$1</f>
        <v>0</v>
      </c>
      <c r="BG201" s="8">
        <f>+MINVU_Mes_Corriente!BG201*MINVU_Mes_Constante!$BC$1</f>
        <v>0</v>
      </c>
      <c r="BH201" s="8">
        <f>+MINVU_Mes_Corriente!BH201*MINVU_Mes_Constante!$BC$1</f>
        <v>0</v>
      </c>
      <c r="BI201" s="8">
        <f>+MINVU_Mes_Corriente!BI201*MINVU_Mes_Constante!$BC$1</f>
        <v>0</v>
      </c>
      <c r="BJ201" s="8">
        <f>+MINVU_Mes_Corriente!BJ201*MINVU_Mes_Constante!$BC$1</f>
        <v>0</v>
      </c>
      <c r="BK201" s="8">
        <f>+MINVU_Mes_Corriente!BK201*MINVU_Mes_Constante!$BC$1</f>
        <v>0</v>
      </c>
      <c r="BL201" s="8">
        <f>+MINVU_Mes_Corriente!BL201*MINVU_Mes_Constante!$BC$1</f>
        <v>0</v>
      </c>
      <c r="BM201" s="8">
        <f>+MINVU_Mes_Corriente!BM201*MINVU_Mes_Constante!$BC$1</f>
        <v>0</v>
      </c>
      <c r="BN201" s="8">
        <f>+MINVU_Mes_Corriente!BN201*MINVU_Mes_Constante!$BC$1</f>
        <v>0</v>
      </c>
      <c r="BO201" s="9">
        <f t="shared" si="156"/>
        <v>0</v>
      </c>
      <c r="BP201" s="8">
        <f>+MINVU_Mes_Corriente!BP201*MINVU_Mes_Constante!$BP$1</f>
        <v>0</v>
      </c>
      <c r="BQ201" s="8">
        <f>+MINVU_Mes_Corriente!BQ201*MINVU_Mes_Constante!$BP$1</f>
        <v>0</v>
      </c>
      <c r="BR201" s="8">
        <f>+MINVU_Mes_Corriente!BR201*MINVU_Mes_Constante!$BP$1</f>
        <v>0</v>
      </c>
      <c r="BS201" s="8">
        <f>+MINVU_Mes_Corriente!BS201*MINVU_Mes_Constante!$BP$1</f>
        <v>0</v>
      </c>
      <c r="BT201" s="8">
        <f>+MINVU_Mes_Corriente!BT201*MINVU_Mes_Constante!$BP$1</f>
        <v>5580.5139564660694</v>
      </c>
      <c r="BU201" s="8">
        <f>+MINVU_Mes_Corriente!BU201*MINVU_Mes_Constante!$BP$1</f>
        <v>8974.4289372599233</v>
      </c>
      <c r="BV201" s="8">
        <f>+MINVU_Mes_Corriente!BV201*MINVU_Mes_Constante!$BP$1</f>
        <v>91540.574135723436</v>
      </c>
      <c r="BW201" s="8">
        <f>+MINVU_Mes_Corriente!BW201*MINVU_Mes_Constante!$BP$1</f>
        <v>100296.7628681178</v>
      </c>
      <c r="BX201" s="8">
        <f>+MINVU_Mes_Corriente!BX201*MINVU_Mes_Constante!$BP$1</f>
        <v>129945.25428937262</v>
      </c>
      <c r="BY201" s="8">
        <f>+MINVU_Mes_Corriente!BY201*MINVU_Mes_Constante!$BP$1</f>
        <v>142610.18104993599</v>
      </c>
      <c r="BZ201" s="8">
        <f>+MINVU_Mes_Corriente!BZ201*MINVU_Mes_Constante!$BP$1</f>
        <v>478701.49551856599</v>
      </c>
      <c r="CA201" s="8">
        <f>+MINVU_Mes_Corriente!CA201*MINVU_Mes_Constante!$BP$1</f>
        <v>1287438.1398207429</v>
      </c>
      <c r="CB201" s="9">
        <f t="shared" si="157"/>
        <v>1287438.1398207429</v>
      </c>
      <c r="CC201" s="8">
        <f>+MINVU_Mes_Corriente!CC201*MINVU_Mes_Constante!$CC$1</f>
        <v>140155.19060052221</v>
      </c>
      <c r="CD201" s="8">
        <f>+MINVU_Mes_Corriente!CD201*MINVU_Mes_Constante!$CC$1</f>
        <v>451593.05706825817</v>
      </c>
      <c r="CE201" s="8">
        <f>+MINVU_Mes_Corriente!CE201*MINVU_Mes_Constante!$CC$1</f>
        <v>1230148.3282357331</v>
      </c>
      <c r="CF201" s="8">
        <f>+MINVU_Mes_Corriente!CF201*MINVU_Mes_Constante!$CC$1</f>
        <v>1783955.1137635212</v>
      </c>
      <c r="CG201" s="8">
        <f>+MINVU_Mes_Corriente!CG201*MINVU_Mes_Constante!$CC$1</f>
        <v>2461045.1615069006</v>
      </c>
      <c r="CH201" s="8">
        <f>+MINVU_Mes_Corriente!CH201*MINVU_Mes_Constante!$CC$1</f>
        <v>3756613.6449086163</v>
      </c>
      <c r="CI201" s="8">
        <f>+MINVU_Mes_Corriente!CI201*MINVU_Mes_Constante!$CC$1</f>
        <v>4968545.1809026487</v>
      </c>
      <c r="CJ201" s="8">
        <f>+MINVU_Mes_Corriente!CJ201*MINVU_Mes_Constante!$CC$1</f>
        <v>6746245.9985080203</v>
      </c>
      <c r="CK201" s="8">
        <f>+MINVU_Mes_Corriente!CK201*MINVU_Mes_Constante!$CC$1</f>
        <v>8827439.1182394642</v>
      </c>
      <c r="CL201" s="8">
        <f>+MINVU_Mes_Corriente!CL201*MINVU_Mes_Constante!$CC$1</f>
        <v>12373152.299888102</v>
      </c>
      <c r="CM201" s="8">
        <f>+MINVU_Mes_Corriente!CM201*MINVU_Mes_Constante!$CC$1</f>
        <v>12870899.99776203</v>
      </c>
      <c r="CN201" s="8">
        <f>+MINVU_Mes_Corriente!CN201*MINVU_Mes_Constante!$CC$1</f>
        <v>20170300.726594556</v>
      </c>
      <c r="CO201" s="9">
        <f t="shared" si="158"/>
        <v>20170300.726594556</v>
      </c>
      <c r="CP201" s="8">
        <f>+MINVU_Mes_Corriente!CP201*MINVU_Mes_Constante!$CP$1</f>
        <v>1410275.3512761018</v>
      </c>
      <c r="CQ201" s="8">
        <f>+MINVU_Mes_Corriente!CQ201*MINVU_Mes_Constante!$CP$1</f>
        <v>2307410.2252900228</v>
      </c>
      <c r="CR201" s="8">
        <f>+MINVU_Mes_Corriente!CR201*MINVU_Mes_Constante!$CP$1</f>
        <v>3913328.1549883983</v>
      </c>
      <c r="CS201" s="8">
        <f>+MINVU_Mes_Corriente!CS201*MINVU_Mes_Constante!$CP$1</f>
        <v>5665005.515777261</v>
      </c>
      <c r="CT201" s="8">
        <f>+MINVU_Mes_Corriente!CT201*MINVU_Mes_Constante!$CP$1</f>
        <v>8381281.3642691402</v>
      </c>
      <c r="CU201" s="8">
        <f>+MINVU_Mes_Corriente!CU201*MINVU_Mes_Constante!$CP$1</f>
        <v>14827962.326450113</v>
      </c>
      <c r="CV201" s="8">
        <f>+MINVU_Mes_Corriente!CV201*MINVU_Mes_Constante!$CP$1</f>
        <v>23604250.278654289</v>
      </c>
      <c r="CW201" s="8">
        <f>+MINVU_Mes_Corriente!CW201*MINVU_Mes_Constante!$CP$1</f>
        <v>29345267.545475632</v>
      </c>
      <c r="CX201" s="8">
        <f>+MINVU_Mes_Corriente!CX201*MINVU_Mes_Constante!$CP$1</f>
        <v>34282261.766589321</v>
      </c>
      <c r="CY201" s="8">
        <f>+MINVU_Mes_Corriente!CY201*MINVU_Mes_Constante!$CP$1</f>
        <v>40122063.002088159</v>
      </c>
      <c r="CZ201" s="8">
        <f>+MINVU_Mes_Corriente!CZ201*MINVU_Mes_Constante!$CP$1</f>
        <v>44135973.732946627</v>
      </c>
      <c r="DA201" s="8">
        <f>+MINVU_Mes_Corriente!DA201*MINVU_Mes_Constante!$CP$1</f>
        <v>60557110.369141519</v>
      </c>
      <c r="DB201" s="9">
        <f t="shared" si="159"/>
        <v>60557110.369141519</v>
      </c>
      <c r="DC201" s="8">
        <f>+MINVU_Mes_Corriente!DC201*MINVU_Mes_Constante!$DC$1</f>
        <v>1928459.7932311499</v>
      </c>
      <c r="DD201" s="8">
        <f>+MINVU_Mes_Corriente!DD201*MINVU_Mes_Constante!$DC$1</f>
        <v>8893828.0656311121</v>
      </c>
      <c r="DE201" s="8">
        <f>+MINVU_Mes_Corriente!DE201*MINVU_Mes_Constante!$DC$1</f>
        <v>15486088.218084566</v>
      </c>
      <c r="DF201" s="8">
        <f>+MINVU_Mes_Corriente!DF201*MINVU_Mes_Constante!$DC$1</f>
        <v>22314986.580598716</v>
      </c>
      <c r="DG201" s="8">
        <f>+MINVU_Mes_Corriente!DG201*MINVU_Mes_Constante!$DC$1</f>
        <v>31304634.35119845</v>
      </c>
      <c r="DH201" s="8">
        <f>+MINVU_Mes_Corriente!DH201*MINVU_Mes_Constante!$DC$1</f>
        <v>41471606.109042302</v>
      </c>
      <c r="DI201" s="8">
        <f>+MINVU_Mes_Corriente!DI201*MINVU_Mes_Constante!$DC$1</f>
        <v>50054587.732537828</v>
      </c>
      <c r="DJ201" s="8">
        <f>+MINVU_Mes_Corriente!DJ201*MINVU_Mes_Constante!$DC$1</f>
        <v>55895794.127970397</v>
      </c>
      <c r="DK201" s="8">
        <f>+MINVU_Mes_Corriente!DK201*MINVU_Mes_Constante!$DC$1</f>
        <v>66760631.681514278</v>
      </c>
      <c r="DL201" s="8">
        <f>+MINVU_Mes_Corriente!DL201*MINVU_Mes_Constante!$DC$1</f>
        <v>79464191.062442169</v>
      </c>
      <c r="DM201" s="8">
        <f>+MINVU_Mes_Corriente!DM201*MINVU_Mes_Constante!$DC$1</f>
        <v>86559718.218084604</v>
      </c>
      <c r="DN201" s="8">
        <f>+MINVU_Mes_Corriente!DN201*MINVU_Mes_Constante!$DC$1</f>
        <v>103462470.62956491</v>
      </c>
      <c r="DO201" s="9">
        <f t="shared" si="160"/>
        <v>103462470.62956491</v>
      </c>
      <c r="DP201" s="8">
        <f>+MINVU_Mes_Corriente!DP201*MINVU_Mes_Constante!$DP$1</f>
        <v>7454797.6888361052</v>
      </c>
      <c r="DQ201" s="8">
        <f>+MINVU_Mes_Corriente!DQ201*MINVU_Mes_Constante!$DP$1</f>
        <v>15601960.33966746</v>
      </c>
      <c r="DR201" s="8">
        <f>+MINVU_Mes_Corriente!DR201*MINVU_Mes_Constante!$DP$1</f>
        <v>29740214.071852736</v>
      </c>
      <c r="DS201" s="8">
        <f>+MINVU_Mes_Corriente!DS201*MINVU_Mes_Constante!$DP$1</f>
        <v>44856696.244061761</v>
      </c>
      <c r="DT201" s="8">
        <f>+MINVU_Mes_Corriente!DT201*MINVU_Mes_Constante!$DP$1</f>
        <v>60270508.57125891</v>
      </c>
      <c r="DU201" s="8">
        <f>+MINVU_Mes_Corriente!DU201*MINVU_Mes_Constante!$DP$1</f>
        <v>70740201.007125899</v>
      </c>
      <c r="DV201" s="8">
        <f>+MINVU_Mes_Corriente!DV201*MINVU_Mes_Constante!$DP$1</f>
        <v>80036078.356888369</v>
      </c>
      <c r="DW201" s="8">
        <f>+MINVU_Mes_Corriente!DW201*MINVU_Mes_Constante!$DP$1</f>
        <v>90762045.183491692</v>
      </c>
      <c r="DX201" s="8">
        <f>+MINVU_Mes_Corriente!DX201*MINVU_Mes_Constante!$DP$1</f>
        <v>104106050.95011878</v>
      </c>
      <c r="DY201" s="8">
        <f>+MINVU_Mes_Corriente!DY201*MINVU_Mes_Constante!$DP$1</f>
        <v>116241935.67755346</v>
      </c>
      <c r="DZ201" s="8">
        <f>+MINVU_Mes_Corriente!DZ201*MINVU_Mes_Constante!$DP$1</f>
        <v>124767567.87470309</v>
      </c>
      <c r="EA201" s="8">
        <f>+MINVU_Mes_Corriente!EA201*MINVU_Mes_Constante!$DP$1</f>
        <v>130231065.29750594</v>
      </c>
      <c r="EB201" s="9">
        <f t="shared" si="161"/>
        <v>130231065.29750594</v>
      </c>
      <c r="EC201" s="8">
        <f>+MINVU_Mes_Corriente!EC201*MINVU_Mes_Constante!$EC$1</f>
        <v>10329780.945275513</v>
      </c>
      <c r="ED201" s="8">
        <f>+MINVU_Mes_Corriente!ED201*MINVU_Mes_Constante!$EC$1</f>
        <v>34816291.747396313</v>
      </c>
      <c r="EE201" s="8">
        <f>+MINVU_Mes_Corriente!EE201*MINVU_Mes_Constante!$EC$1</f>
        <v>48598749.725998849</v>
      </c>
      <c r="EF201" s="8">
        <f>+MINVU_Mes_Corriente!EF201*MINVU_Mes_Constante!$EC$1</f>
        <v>59962532.470554799</v>
      </c>
      <c r="EG201" s="8">
        <f>+MINVU_Mes_Corriente!EG201*MINVU_Mes_Constante!$EC$1</f>
        <v>72522674.974436641</v>
      </c>
      <c r="EH201" s="8">
        <f>+MINVU_Mes_Corriente!EH201*MINVU_Mes_Constante!$EC$1</f>
        <v>81933600.215868175</v>
      </c>
      <c r="EI201" s="8">
        <f>+MINVU_Mes_Corriente!EI201*MINVU_Mes_Constante!$EC$1</f>
        <v>93657676.137852654</v>
      </c>
      <c r="EJ201" s="8">
        <f>+MINVU_Mes_Corriente!EJ201*MINVU_Mes_Constante!$EC$1</f>
        <v>105778626.9583412</v>
      </c>
      <c r="EK201" s="8">
        <f>+MINVU_Mes_Corriente!EK201*MINVU_Mes_Constante!$EC$1</f>
        <v>120064272.64987688</v>
      </c>
      <c r="EL201" s="8">
        <f>+MINVU_Mes_Corriente!EL201*MINVU_Mes_Constante!$EC$1</f>
        <v>130129436.88184051</v>
      </c>
      <c r="EM201" s="8">
        <f>+MINVU_Mes_Corriente!EM201*MINVU_Mes_Constante!$EC$1</f>
        <v>142283697.41639838</v>
      </c>
      <c r="EN201" s="8">
        <f>+MINVU_Mes_Corriente!EN201*MINVU_Mes_Constante!$EC$1</f>
        <v>159994975.13614839</v>
      </c>
      <c r="EO201" s="9">
        <f t="shared" si="162"/>
        <v>159994975.13614839</v>
      </c>
      <c r="EP201" s="8">
        <f>+MINVU_Mes_Corriente!EP201*MINVU_Mes_Constante!$EP$1</f>
        <v>28611159</v>
      </c>
      <c r="EQ201" s="8">
        <f>+MINVU_Mes_Corriente!EQ201*MINVU_Mes_Constante!$EP$1</f>
        <v>39909481</v>
      </c>
      <c r="ER201" s="8">
        <f>+MINVU_Mes_Corriente!ER201*MINVU_Mes_Constante!$EP$1</f>
        <v>52927964</v>
      </c>
      <c r="ES201" s="8">
        <f>+MINVU_Mes_Corriente!ES201*MINVU_Mes_Constante!$EP$1</f>
        <v>65192522</v>
      </c>
      <c r="ET201" s="8">
        <f>+MINVU_Mes_Corriente!ET201*MINVU_Mes_Constante!$EP$1</f>
        <v>86454377</v>
      </c>
      <c r="EU201" s="8">
        <f>+MINVU_Mes_Corriente!EU201*MINVU_Mes_Constante!$EP$1</f>
        <v>98598981</v>
      </c>
      <c r="EV201" s="8">
        <f>+MINVU_Mes_Corriente!EV201*MINVU_Mes_Constante!$EP$1</f>
        <v>113816542</v>
      </c>
      <c r="EW201" s="8">
        <f>+MINVU_Mes_Corriente!EW201*MINVU_Mes_Constante!$EP$1</f>
        <v>127509354</v>
      </c>
      <c r="EX201" s="8">
        <f>+MINVU_Mes_Corriente!EX201*MINVU_Mes_Constante!$EP$1</f>
        <v>140306559</v>
      </c>
      <c r="EY201" s="8">
        <f>+MINVU_Mes_Corriente!EY201*MINVU_Mes_Constante!$EP$1</f>
        <v>158756313</v>
      </c>
      <c r="EZ201" s="8">
        <f>+MINVU_Mes_Corriente!EZ201*MINVU_Mes_Constante!$EP$1</f>
        <v>175120543</v>
      </c>
      <c r="FA201" s="8">
        <f>+MINVU_Mes_Corriente!FA201*MINVU_Mes_Constante!$EP$1</f>
        <v>187900119</v>
      </c>
      <c r="FB201" s="9">
        <f t="shared" si="163"/>
        <v>187900119</v>
      </c>
      <c r="FC201" s="8">
        <f>+MINVU_Mes_Corriente!FC201*MINVU_Mes_Constante!$FC$1</f>
        <v>13224552</v>
      </c>
      <c r="FD201" s="8">
        <f>+MINVU_Mes_Corriente!FD201*MINVU_Mes_Constante!$FC$1</f>
        <v>24893159</v>
      </c>
      <c r="FE201" s="8">
        <f>+MINVU_Mes_Corriente!FE201*MINVU_Mes_Constante!$FC$1</f>
        <v>36493871</v>
      </c>
      <c r="FF201" s="8">
        <f>+MINVU_Mes_Corriente!FF201*MINVU_Mes_Constante!$FC$1</f>
        <v>46089523</v>
      </c>
      <c r="FG201" s="8">
        <f>+MINVU_Mes_Corriente!FG201*MINVU_Mes_Constante!$FC$1</f>
        <v>65213454</v>
      </c>
      <c r="FH201" s="8">
        <f>+MINVU_Mes_Corriente!FH201*MINVU_Mes_Constante!$FC$1</f>
        <v>80499873</v>
      </c>
      <c r="FI201" s="8">
        <f>+MINVU_Mes_Corriente!FI201*MINVU_Mes_Constante!$FC$1</f>
        <v>94107030</v>
      </c>
      <c r="FJ201" s="8"/>
      <c r="FK201" s="8"/>
      <c r="FL201" s="8"/>
      <c r="FM201" s="8"/>
      <c r="FN201" s="8"/>
      <c r="FO201" s="9">
        <f t="shared" si="164"/>
        <v>94107030</v>
      </c>
    </row>
    <row r="202" spans="2:171" ht="14.25" customHeight="1" x14ac:dyDescent="0.3">
      <c r="B202" s="7" t="s">
        <v>55</v>
      </c>
      <c r="C202" s="8">
        <f>+MINVU_Mes_Corriente!C202*MINVU_Mes_Constante!$C$1</f>
        <v>23232422.242325377</v>
      </c>
      <c r="D202" s="8">
        <f>+MINVU_Mes_Corriente!D202*MINVU_Mes_Constante!$C$1</f>
        <v>50778898.537149645</v>
      </c>
      <c r="E202" s="8">
        <f>+MINVU_Mes_Corriente!E202*MINVU_Mes_Constante!$C$1</f>
        <v>77531140.672401026</v>
      </c>
      <c r="F202" s="8">
        <f>+MINVU_Mes_Corriente!F202*MINVU_Mes_Constante!$C$1</f>
        <v>104978351.26768503</v>
      </c>
      <c r="G202" s="8">
        <f>+MINVU_Mes_Corriente!G202*MINVU_Mes_Constante!$C$1</f>
        <v>132116762.60803799</v>
      </c>
      <c r="H202" s="8">
        <f>+MINVU_Mes_Corriente!H202*MINVU_Mes_Constante!$C$1</f>
        <v>162818200.3947798</v>
      </c>
      <c r="I202" s="8">
        <f>+MINVU_Mes_Corriente!I202*MINVU_Mes_Constante!$C$1</f>
        <v>187847506.47219342</v>
      </c>
      <c r="J202" s="8">
        <f>+MINVU_Mes_Corriente!J202*MINVU_Mes_Constante!$C$1</f>
        <v>195362415.1054427</v>
      </c>
      <c r="K202" s="8">
        <f>+MINVU_Mes_Corriente!K202*MINVU_Mes_Constante!$C$1</f>
        <v>223266978.37105149</v>
      </c>
      <c r="L202" s="8">
        <f>+MINVU_Mes_Corriente!L202*MINVU_Mes_Constante!$C$1</f>
        <v>250912333.10247669</v>
      </c>
      <c r="M202" s="8">
        <f>+MINVU_Mes_Corriente!M202*MINVU_Mes_Constante!$C$1</f>
        <v>280414915.01260573</v>
      </c>
      <c r="N202" s="8">
        <f>+MINVU_Mes_Corriente!N202*MINVU_Mes_Constante!$C$1</f>
        <v>290062023.71496373</v>
      </c>
      <c r="O202" s="9">
        <f t="shared" si="152"/>
        <v>290062023.71496373</v>
      </c>
      <c r="P202" s="8">
        <f>+MINVU_Mes_Corriente!P202*MINVU_Mes_Constante!$P$1</f>
        <v>23383515.068617694</v>
      </c>
      <c r="Q202" s="8">
        <f>+MINVU_Mes_Corriente!Q202*MINVU_Mes_Constante!$P$1</f>
        <v>42932070.88222757</v>
      </c>
      <c r="R202" s="8">
        <f>+MINVU_Mes_Corriente!R202*MINVU_Mes_Constante!$P$1</f>
        <v>62607013.771274306</v>
      </c>
      <c r="S202" s="8">
        <f>+MINVU_Mes_Corriente!S202*MINVU_Mes_Constante!$P$1</f>
        <v>85338926.973149568</v>
      </c>
      <c r="T202" s="8">
        <f>+MINVU_Mes_Corriente!T202*MINVU_Mes_Constante!$P$1</f>
        <v>108400905.02685036</v>
      </c>
      <c r="U202" s="8">
        <f>+MINVU_Mes_Corriente!U202*MINVU_Mes_Constante!$P$1</f>
        <v>133183908.91291371</v>
      </c>
      <c r="V202" s="8">
        <f>+MINVU_Mes_Corriente!V202*MINVU_Mes_Constante!$P$1</f>
        <v>156181169.15953964</v>
      </c>
      <c r="W202" s="8">
        <f>+MINVU_Mes_Corriente!W202*MINVU_Mes_Constante!$P$1</f>
        <v>177705056.98678783</v>
      </c>
      <c r="X202" s="8">
        <f>+MINVU_Mes_Corriente!X202*MINVU_Mes_Constante!$P$1</f>
        <v>199550241.23653921</v>
      </c>
      <c r="Y202" s="8">
        <f>+MINVU_Mes_Corriente!Y202*MINVU_Mes_Constante!$P$1</f>
        <v>221834829.50078127</v>
      </c>
      <c r="Z202" s="8">
        <f>+MINVU_Mes_Corriente!Z202*MINVU_Mes_Constante!$P$1</f>
        <v>247394894.10796979</v>
      </c>
      <c r="AA202" s="8">
        <f>+MINVU_Mes_Corriente!AA202*MINVU_Mes_Constante!$P$1</f>
        <v>269658137.94459432</v>
      </c>
      <c r="AB202" s="9">
        <f t="shared" si="153"/>
        <v>269658137.94459432</v>
      </c>
      <c r="AC202" s="8">
        <f>+MINVU_Mes_Corriente!AC202*MINVU_Mes_Constante!$AC$1</f>
        <v>17649289.690690275</v>
      </c>
      <c r="AD202" s="8">
        <f>+MINVU_Mes_Corriente!AD202*MINVU_Mes_Constante!$AC$1</f>
        <v>39257769.418730117</v>
      </c>
      <c r="AE202" s="8">
        <f>+MINVU_Mes_Corriente!AE202*MINVU_Mes_Constante!$AC$1</f>
        <v>63931468.997371696</v>
      </c>
      <c r="AF202" s="8">
        <f>+MINVU_Mes_Corriente!AF202*MINVU_Mes_Constante!$AC$1</f>
        <v>89584574.36962235</v>
      </c>
      <c r="AG202" s="8">
        <f>+MINVU_Mes_Corriente!AG202*MINVU_Mes_Constante!$AC$1</f>
        <v>114919764.73039147</v>
      </c>
      <c r="AH202" s="8">
        <f>+MINVU_Mes_Corriente!AH202*MINVU_Mes_Constante!$AC$1</f>
        <v>139293219.21953243</v>
      </c>
      <c r="AI202" s="8">
        <f>+MINVU_Mes_Corriente!AI202*MINVU_Mes_Constante!$AC$1</f>
        <v>162068364.19919768</v>
      </c>
      <c r="AJ202" s="8">
        <f>+MINVU_Mes_Corriente!AJ202*MINVU_Mes_Constante!$AC$1</f>
        <v>185394884.50159082</v>
      </c>
      <c r="AK202" s="8">
        <f>+MINVU_Mes_Corriente!AK202*MINVU_Mes_Constante!$AC$1</f>
        <v>207671422.09849218</v>
      </c>
      <c r="AL202" s="8">
        <f>+MINVU_Mes_Corriente!AL202*MINVU_Mes_Constante!$AC$1</f>
        <v>230264292.25812697</v>
      </c>
      <c r="AM202" s="8">
        <f>+MINVU_Mes_Corriente!AM202*MINVU_Mes_Constante!$AC$1</f>
        <v>254285622.42827499</v>
      </c>
      <c r="AN202" s="8">
        <f>+MINVU_Mes_Corriente!AN202*MINVU_Mes_Constante!$AC$1</f>
        <v>283044532.09600222</v>
      </c>
      <c r="AO202" s="9">
        <f t="shared" si="154"/>
        <v>283044532.09600222</v>
      </c>
      <c r="AP202" s="8">
        <f>+MINVU_Mes_Corriente!AP202*MINVU_Mes_Constante!$AP$1</f>
        <v>21710661.039361555</v>
      </c>
      <c r="AQ202" s="8">
        <f>+MINVU_Mes_Corriente!AQ202*MINVU_Mes_Constante!$AP$1</f>
        <v>48467014.792371161</v>
      </c>
      <c r="AR202" s="8">
        <f>+MINVU_Mes_Corriente!AR202*MINVU_Mes_Constante!$AP$1</f>
        <v>77332528.432841867</v>
      </c>
      <c r="AS202" s="8">
        <f>+MINVU_Mes_Corriente!AS202*MINVU_Mes_Constante!$AP$1</f>
        <v>105593467.61017178</v>
      </c>
      <c r="AT202" s="8">
        <f>+MINVU_Mes_Corriente!AT202*MINVU_Mes_Constante!$AP$1</f>
        <v>136085502.49019343</v>
      </c>
      <c r="AU202" s="8">
        <f>+MINVU_Mes_Corriente!AU202*MINVU_Mes_Constante!$AP$1</f>
        <v>165275909.82226428</v>
      </c>
      <c r="AV202" s="8">
        <f>+MINVU_Mes_Corriente!AV202*MINVU_Mes_Constante!$AP$1</f>
        <v>192284198.54348707</v>
      </c>
      <c r="AW202" s="8">
        <f>+MINVU_Mes_Corriente!AW202*MINVU_Mes_Constante!$AP$1</f>
        <v>213581811.55958337</v>
      </c>
      <c r="AX202" s="8">
        <f>+MINVU_Mes_Corriente!AX202*MINVU_Mes_Constante!$AP$1</f>
        <v>230405510.59055862</v>
      </c>
      <c r="AY202" s="8">
        <f>+MINVU_Mes_Corriente!AY202*MINVU_Mes_Constante!$AP$1</f>
        <v>246830471.95374</v>
      </c>
      <c r="AZ202" s="8">
        <f>+MINVU_Mes_Corriente!AZ202*MINVU_Mes_Constante!$AP$1</f>
        <v>262951327.54849181</v>
      </c>
      <c r="BA202" s="8">
        <f>+MINVU_Mes_Corriente!BA202*MINVU_Mes_Constante!$AP$1</f>
        <v>274224154.52373868</v>
      </c>
      <c r="BB202" s="9">
        <f t="shared" si="155"/>
        <v>274224154.52373868</v>
      </c>
      <c r="BC202" s="8">
        <f>+MINVU_Mes_Corriente!BC202*MINVU_Mes_Constante!$BC$1</f>
        <v>55376820.845048144</v>
      </c>
      <c r="BD202" s="8">
        <f>+MINVU_Mes_Corriente!BD202*MINVU_Mes_Constante!$BC$1</f>
        <v>81573258.087036818</v>
      </c>
      <c r="BE202" s="8">
        <f>+MINVU_Mes_Corriente!BE202*MINVU_Mes_Constante!$BC$1</f>
        <v>110297042.08967429</v>
      </c>
      <c r="BF202" s="8">
        <f>+MINVU_Mes_Corriente!BF202*MINVU_Mes_Constante!$BC$1</f>
        <v>133738896.8418832</v>
      </c>
      <c r="BG202" s="8">
        <f>+MINVU_Mes_Corriente!BG202*MINVU_Mes_Constante!$BC$1</f>
        <v>158744561.45958069</v>
      </c>
      <c r="BH202" s="8">
        <f>+MINVU_Mes_Corriente!BH202*MINVU_Mes_Constante!$BC$1</f>
        <v>185179078.30199134</v>
      </c>
      <c r="BI202" s="8">
        <f>+MINVU_Mes_Corriente!BI202*MINVU_Mes_Constante!$BC$1</f>
        <v>213646449.27100098</v>
      </c>
      <c r="BJ202" s="8">
        <f>+MINVU_Mes_Corriente!BJ202*MINVU_Mes_Constante!$BC$1</f>
        <v>234318909.54872748</v>
      </c>
      <c r="BK202" s="8">
        <f>+MINVU_Mes_Corriente!BK202*MINVU_Mes_Constante!$BC$1</f>
        <v>249331959.73941717</v>
      </c>
      <c r="BL202" s="8">
        <f>+MINVU_Mes_Corriente!BL202*MINVU_Mes_Constante!$BC$1</f>
        <v>257377890.34577352</v>
      </c>
      <c r="BM202" s="8">
        <f>+MINVU_Mes_Corriente!BM202*MINVU_Mes_Constante!$BC$1</f>
        <v>270284813.19293165</v>
      </c>
      <c r="BN202" s="8">
        <f>+MINVU_Mes_Corriente!BN202*MINVU_Mes_Constante!$BC$1</f>
        <v>279602708.57708037</v>
      </c>
      <c r="BO202" s="9">
        <f t="shared" si="156"/>
        <v>279602708.57708037</v>
      </c>
      <c r="BP202" s="8">
        <f>+MINVU_Mes_Corriente!BP202*MINVU_Mes_Constante!$BP$1</f>
        <v>48776737.549551859</v>
      </c>
      <c r="BQ202" s="8">
        <f>+MINVU_Mes_Corriente!BQ202*MINVU_Mes_Constante!$BP$1</f>
        <v>88604222.128040984</v>
      </c>
      <c r="BR202" s="8">
        <f>+MINVU_Mes_Corriente!BR202*MINVU_Mes_Constante!$BP$1</f>
        <v>129444351.049936</v>
      </c>
      <c r="BS202" s="8">
        <f>+MINVU_Mes_Corriente!BS202*MINVU_Mes_Constante!$BP$1</f>
        <v>155625886.9705506</v>
      </c>
      <c r="BT202" s="8">
        <f>+MINVU_Mes_Corriente!BT202*MINVU_Mes_Constante!$BP$1</f>
        <v>182974486.16927019</v>
      </c>
      <c r="BU202" s="8">
        <f>+MINVU_Mes_Corriente!BU202*MINVU_Mes_Constante!$BP$1</f>
        <v>205331822.76261204</v>
      </c>
      <c r="BV202" s="8">
        <f>+MINVU_Mes_Corriente!BV202*MINVU_Mes_Constante!$BP$1</f>
        <v>234856440.4839949</v>
      </c>
      <c r="BW202" s="8">
        <f>+MINVU_Mes_Corriente!BW202*MINVU_Mes_Constante!$BP$1</f>
        <v>263131178.36542895</v>
      </c>
      <c r="BX202" s="8">
        <f>+MINVU_Mes_Corriente!BX202*MINVU_Mes_Constante!$BP$1</f>
        <v>296225815.52419978</v>
      </c>
      <c r="BY202" s="8">
        <f>+MINVU_Mes_Corriente!BY202*MINVU_Mes_Constante!$BP$1</f>
        <v>321959137.82612038</v>
      </c>
      <c r="BZ202" s="8">
        <f>+MINVU_Mes_Corriente!BZ202*MINVU_Mes_Constante!$BP$1</f>
        <v>336121004.92932141</v>
      </c>
      <c r="CA202" s="8">
        <f>+MINVU_Mes_Corriente!CA202*MINVU_Mes_Constante!$BP$1</f>
        <v>374089804.83380288</v>
      </c>
      <c r="CB202" s="9">
        <f t="shared" si="157"/>
        <v>374089804.83380288</v>
      </c>
      <c r="CC202" s="8">
        <f>+MINVU_Mes_Corriente!CC202*MINVU_Mes_Constante!$CC$1</f>
        <v>16694220.248414772</v>
      </c>
      <c r="CD202" s="8">
        <f>+MINVU_Mes_Corriente!CD202*MINVU_Mes_Constante!$CC$1</f>
        <v>40334139.314434916</v>
      </c>
      <c r="CE202" s="8">
        <f>+MINVU_Mes_Corriente!CE202*MINVU_Mes_Constante!$CC$1</f>
        <v>69657086.258112654</v>
      </c>
      <c r="CF202" s="8">
        <f>+MINVU_Mes_Corriente!CF202*MINVU_Mes_Constante!$CC$1</f>
        <v>94382872.854158908</v>
      </c>
      <c r="CG202" s="8">
        <f>+MINVU_Mes_Corriente!CG202*MINVU_Mes_Constante!$CC$1</f>
        <v>117612055.55538979</v>
      </c>
      <c r="CH202" s="8">
        <f>+MINVU_Mes_Corriente!CH202*MINVU_Mes_Constante!$CC$1</f>
        <v>149744853.72398362</v>
      </c>
      <c r="CI202" s="8">
        <f>+MINVU_Mes_Corriente!CI202*MINVU_Mes_Constante!$CC$1</f>
        <v>174467074.39313692</v>
      </c>
      <c r="CJ202" s="8">
        <f>+MINVU_Mes_Corriente!CJ202*MINVU_Mes_Constante!$CC$1</f>
        <v>198360316.90563226</v>
      </c>
      <c r="CK202" s="8">
        <f>+MINVU_Mes_Corriente!CK202*MINVU_Mes_Constante!$CC$1</f>
        <v>229725421.95598659</v>
      </c>
      <c r="CL202" s="8">
        <f>+MINVU_Mes_Corriente!CL202*MINVU_Mes_Constante!$CC$1</f>
        <v>261170390.18425962</v>
      </c>
      <c r="CM202" s="8">
        <f>+MINVU_Mes_Corriente!CM202*MINVU_Mes_Constante!$CC$1</f>
        <v>279032535.03468859</v>
      </c>
      <c r="CN202" s="8">
        <f>+MINVU_Mes_Corriente!CN202*MINVU_Mes_Constante!$CC$1</f>
        <v>327143380.84520704</v>
      </c>
      <c r="CO202" s="9">
        <f t="shared" si="158"/>
        <v>327143380.84520704</v>
      </c>
      <c r="CP202" s="8">
        <f>+MINVU_Mes_Corriente!CP202*MINVU_Mes_Constante!$CP$1</f>
        <v>5665455.4844547557</v>
      </c>
      <c r="CQ202" s="8">
        <f>+MINVU_Mes_Corriente!CQ202*MINVU_Mes_Constante!$CP$1</f>
        <v>23181537.027842224</v>
      </c>
      <c r="CR202" s="8">
        <f>+MINVU_Mes_Corriente!CR202*MINVU_Mes_Constante!$CP$1</f>
        <v>50005626.270765647</v>
      </c>
      <c r="CS202" s="8">
        <f>+MINVU_Mes_Corriente!CS202*MINVU_Mes_Constante!$CP$1</f>
        <v>85094342.181438491</v>
      </c>
      <c r="CT202" s="8">
        <f>+MINVU_Mes_Corriente!CT202*MINVU_Mes_Constante!$CP$1</f>
        <v>107787869.79953595</v>
      </c>
      <c r="CU202" s="8">
        <f>+MINVU_Mes_Corriente!CU202*MINVU_Mes_Constante!$CP$1</f>
        <v>134868609.76844546</v>
      </c>
      <c r="CV202" s="8">
        <f>+MINVU_Mes_Corriente!CV202*MINVU_Mes_Constante!$CP$1</f>
        <v>162229520.51624125</v>
      </c>
      <c r="CW202" s="8">
        <f>+MINVU_Mes_Corriente!CW202*MINVU_Mes_Constante!$CP$1</f>
        <v>192652087.85916469</v>
      </c>
      <c r="CX202" s="8">
        <f>+MINVU_Mes_Corriente!CX202*MINVU_Mes_Constante!$CP$1</f>
        <v>212075987.16194892</v>
      </c>
      <c r="CY202" s="8">
        <f>+MINVU_Mes_Corriente!CY202*MINVU_Mes_Constante!$CP$1</f>
        <v>237070697.69234332</v>
      </c>
      <c r="CZ202" s="8">
        <f>+MINVU_Mes_Corriente!CZ202*MINVU_Mes_Constante!$CP$1</f>
        <v>266867016.37517396</v>
      </c>
      <c r="DA202" s="8">
        <f>+MINVU_Mes_Corriente!DA202*MINVU_Mes_Constante!$CP$1</f>
        <v>311276854.98793495</v>
      </c>
      <c r="DB202" s="9">
        <f t="shared" si="159"/>
        <v>311276854.98793495</v>
      </c>
      <c r="DC202" s="8">
        <f>+MINVU_Mes_Corriente!DC202*MINVU_Mes_Constante!$DC$1</f>
        <v>5752027.0369303599</v>
      </c>
      <c r="DD202" s="8">
        <f>+MINVU_Mes_Corriente!DD202*MINVU_Mes_Constante!$DC$1</f>
        <v>19237169.134039719</v>
      </c>
      <c r="DE202" s="8">
        <f>+MINVU_Mes_Corriente!DE202*MINVU_Mes_Constante!$DC$1</f>
        <v>35832014.254706323</v>
      </c>
      <c r="DF202" s="8">
        <f>+MINVU_Mes_Corriente!DF202*MINVU_Mes_Constante!$DC$1</f>
        <v>54948407.310564786</v>
      </c>
      <c r="DG202" s="8">
        <f>+MINVU_Mes_Corriente!DG202*MINVU_Mes_Constante!$DC$1</f>
        <v>78449756.75218603</v>
      </c>
      <c r="DH202" s="8">
        <f>+MINVU_Mes_Corriente!DH202*MINVU_Mes_Constante!$DC$1</f>
        <v>99567430.868634954</v>
      </c>
      <c r="DI202" s="8">
        <f>+MINVU_Mes_Corriente!DI202*MINVU_Mes_Constante!$DC$1</f>
        <v>123382922.1985393</v>
      </c>
      <c r="DJ202" s="8">
        <f>+MINVU_Mes_Corriente!DJ202*MINVU_Mes_Constante!$DC$1</f>
        <v>145038783.58296478</v>
      </c>
      <c r="DK202" s="8">
        <f>+MINVU_Mes_Corriente!DK202*MINVU_Mes_Constante!$DC$1</f>
        <v>169977358.91369209</v>
      </c>
      <c r="DL202" s="8">
        <f>+MINVU_Mes_Corriente!DL202*MINVU_Mes_Constante!$DC$1</f>
        <v>195955812.72585136</v>
      </c>
      <c r="DM202" s="8">
        <f>+MINVU_Mes_Corriente!DM202*MINVU_Mes_Constante!$DC$1</f>
        <v>220140053.46486998</v>
      </c>
      <c r="DN202" s="8">
        <f>+MINVU_Mes_Corriente!DN202*MINVU_Mes_Constante!$DC$1</f>
        <v>253608090.89003202</v>
      </c>
      <c r="DO202" s="9">
        <f t="shared" si="160"/>
        <v>253608090.89003202</v>
      </c>
      <c r="DP202" s="8">
        <f>+MINVU_Mes_Corriente!DP202*MINVU_Mes_Constante!$DP$1</f>
        <v>17362428.30997625</v>
      </c>
      <c r="DQ202" s="8">
        <f>+MINVU_Mes_Corriente!DQ202*MINVU_Mes_Constante!$DP$1</f>
        <v>44576159.515439436</v>
      </c>
      <c r="DR202" s="8">
        <f>+MINVU_Mes_Corriente!DR202*MINVU_Mes_Constante!$DP$1</f>
        <v>68522025.119358674</v>
      </c>
      <c r="DS202" s="8">
        <f>+MINVU_Mes_Corriente!DS202*MINVU_Mes_Constante!$DP$1</f>
        <v>92640713.788004756</v>
      </c>
      <c r="DT202" s="8">
        <f>+MINVU_Mes_Corriente!DT202*MINVU_Mes_Constante!$DP$1</f>
        <v>119690709.6270784</v>
      </c>
      <c r="DU202" s="8">
        <f>+MINVU_Mes_Corriente!DU202*MINVU_Mes_Constante!$DP$1</f>
        <v>155725764.93349171</v>
      </c>
      <c r="DV202" s="8">
        <f>+MINVU_Mes_Corriente!DV202*MINVU_Mes_Constante!$DP$1</f>
        <v>187241357.76484561</v>
      </c>
      <c r="DW202" s="8">
        <f>+MINVU_Mes_Corriente!DW202*MINVU_Mes_Constante!$DP$1</f>
        <v>212749294.2541568</v>
      </c>
      <c r="DX202" s="8">
        <f>+MINVU_Mes_Corriente!DX202*MINVU_Mes_Constante!$DP$1</f>
        <v>229838452.53384802</v>
      </c>
      <c r="DY202" s="8">
        <f>+MINVU_Mes_Corriente!DY202*MINVU_Mes_Constante!$DP$1</f>
        <v>244483810.43052259</v>
      </c>
      <c r="DZ202" s="8">
        <f>+MINVU_Mes_Corriente!DZ202*MINVU_Mes_Constante!$DP$1</f>
        <v>260165659.03503564</v>
      </c>
      <c r="EA202" s="8">
        <f>+MINVU_Mes_Corriente!EA202*MINVU_Mes_Constante!$DP$1</f>
        <v>274941633.67161524</v>
      </c>
      <c r="EB202" s="9">
        <f t="shared" si="161"/>
        <v>274941633.67161524</v>
      </c>
      <c r="EC202" s="8">
        <f>+MINVU_Mes_Corriente!EC202*MINVU_Mes_Constante!$EC$1</f>
        <v>17380927.078772955</v>
      </c>
      <c r="ED202" s="8">
        <f>+MINVU_Mes_Corriente!ED202*MINVU_Mes_Constante!$EC$1</f>
        <v>40379841.567506142</v>
      </c>
      <c r="EE202" s="8">
        <f>+MINVU_Mes_Corriente!EE202*MINVU_Mes_Constante!$EC$1</f>
        <v>65758738.229880683</v>
      </c>
      <c r="EF202" s="8">
        <f>+MINVU_Mes_Corriente!EF202*MINVU_Mes_Constante!$EC$1</f>
        <v>86693925.590797171</v>
      </c>
      <c r="EG202" s="8">
        <f>+MINVU_Mes_Corriente!EG202*MINVU_Mes_Constante!$EC$1</f>
        <v>115336008.39197119</v>
      </c>
      <c r="EH202" s="8">
        <f>+MINVU_Mes_Corriente!EH202*MINVU_Mes_Constante!$EC$1</f>
        <v>148287406.14296529</v>
      </c>
      <c r="EI202" s="8">
        <f>+MINVU_Mes_Corriente!EI202*MINVU_Mes_Constante!$EC$1</f>
        <v>176516445.38629043</v>
      </c>
      <c r="EJ202" s="8">
        <f>+MINVU_Mes_Corriente!EJ202*MINVU_Mes_Constante!$EC$1</f>
        <v>197886951.40049228</v>
      </c>
      <c r="EK202" s="8">
        <f>+MINVU_Mes_Corriente!EK202*MINVU_Mes_Constante!$EC$1</f>
        <v>229241237.32569581</v>
      </c>
      <c r="EL202" s="8">
        <f>+MINVU_Mes_Corriente!EL202*MINVU_Mes_Constante!$EC$1</f>
        <v>252132940.05150533</v>
      </c>
      <c r="EM202" s="8">
        <f>+MINVU_Mes_Corriente!EM202*MINVU_Mes_Constante!$EC$1</f>
        <v>271508670.04601395</v>
      </c>
      <c r="EN202" s="8">
        <f>+MINVU_Mes_Corriente!EN202*MINVU_Mes_Constante!$EC$1</f>
        <v>314330968.12137842</v>
      </c>
      <c r="EO202" s="9">
        <f t="shared" si="162"/>
        <v>314330968.12137842</v>
      </c>
      <c r="EP202" s="8">
        <f>+MINVU_Mes_Corriente!EP202*MINVU_Mes_Constante!$EP$1</f>
        <v>15482508</v>
      </c>
      <c r="EQ202" s="8">
        <f>+MINVU_Mes_Corriente!EQ202*MINVU_Mes_Constante!$EP$1</f>
        <v>37606929</v>
      </c>
      <c r="ER202" s="8">
        <f>+MINVU_Mes_Corriente!ER202*MINVU_Mes_Constante!$EP$1</f>
        <v>63297120</v>
      </c>
      <c r="ES202" s="8">
        <f>+MINVU_Mes_Corriente!ES202*MINVU_Mes_Constante!$EP$1</f>
        <v>97215716</v>
      </c>
      <c r="ET202" s="8">
        <f>+MINVU_Mes_Corriente!ET202*MINVU_Mes_Constante!$EP$1</f>
        <v>131803517</v>
      </c>
      <c r="EU202" s="8">
        <f>+MINVU_Mes_Corriente!EU202*MINVU_Mes_Constante!$EP$1</f>
        <v>152713246</v>
      </c>
      <c r="EV202" s="8">
        <f>+MINVU_Mes_Corriente!EV202*MINVU_Mes_Constante!$EP$1</f>
        <v>179971380</v>
      </c>
      <c r="EW202" s="8">
        <f>+MINVU_Mes_Corriente!EW202*MINVU_Mes_Constante!$EP$1</f>
        <v>207004515</v>
      </c>
      <c r="EX202" s="8">
        <f>+MINVU_Mes_Corriente!EX202*MINVU_Mes_Constante!$EP$1</f>
        <v>231834310</v>
      </c>
      <c r="EY202" s="8">
        <f>+MINVU_Mes_Corriente!EY202*MINVU_Mes_Constante!$EP$1</f>
        <v>258252891</v>
      </c>
      <c r="EZ202" s="8">
        <f>+MINVU_Mes_Corriente!EZ202*MINVU_Mes_Constante!$EP$1</f>
        <v>294780887</v>
      </c>
      <c r="FA202" s="8">
        <f>+MINVU_Mes_Corriente!FA202*MINVU_Mes_Constante!$EP$1</f>
        <v>326807970</v>
      </c>
      <c r="FB202" s="9">
        <f t="shared" si="163"/>
        <v>326807970</v>
      </c>
      <c r="FC202" s="8">
        <f>+MINVU_Mes_Corriente!FC202*MINVU_Mes_Constante!$FC$1</f>
        <v>42099344</v>
      </c>
      <c r="FD202" s="8">
        <f>+MINVU_Mes_Corriente!FD202*MINVU_Mes_Constante!$FC$1</f>
        <v>72721281</v>
      </c>
      <c r="FE202" s="8">
        <f>+MINVU_Mes_Corriente!FE202*MINVU_Mes_Constante!$FC$1</f>
        <v>97228549</v>
      </c>
      <c r="FF202" s="8">
        <f>+MINVU_Mes_Corriente!FF202*MINVU_Mes_Constante!$FC$1</f>
        <v>117747058</v>
      </c>
      <c r="FG202" s="8">
        <f>+MINVU_Mes_Corriente!FG202*MINVU_Mes_Constante!$FC$1</f>
        <v>144931030</v>
      </c>
      <c r="FH202" s="8">
        <f>+MINVU_Mes_Corriente!FH202*MINVU_Mes_Constante!$FC$1</f>
        <v>167161554</v>
      </c>
      <c r="FI202" s="8">
        <f>+MINVU_Mes_Corriente!FI202*MINVU_Mes_Constante!$FC$1</f>
        <v>188004751</v>
      </c>
      <c r="FJ202" s="8"/>
      <c r="FK202" s="8"/>
      <c r="FL202" s="8"/>
      <c r="FM202" s="8"/>
      <c r="FN202" s="8"/>
      <c r="FO202" s="9">
        <f t="shared" si="164"/>
        <v>188004751</v>
      </c>
    </row>
    <row r="203" spans="2:171" ht="14.25" customHeight="1" x14ac:dyDescent="0.3">
      <c r="B203" s="7" t="s">
        <v>56</v>
      </c>
      <c r="C203" s="8">
        <f>+MINVU_Mes_Corriente!C203*MINVU_Mes_Constante!$C$1</f>
        <v>8487512.2138514034</v>
      </c>
      <c r="D203" s="8">
        <f>+MINVU_Mes_Corriente!D203*MINVU_Mes_Constante!$C$1</f>
        <v>17222939.143111378</v>
      </c>
      <c r="E203" s="8">
        <f>+MINVU_Mes_Corriente!E203*MINVU_Mes_Constante!$C$1</f>
        <v>25987955.229423109</v>
      </c>
      <c r="F203" s="8">
        <f>+MINVU_Mes_Corriente!F203*MINVU_Mes_Constante!$C$1</f>
        <v>40107080.754856892</v>
      </c>
      <c r="G203" s="8">
        <f>+MINVU_Mes_Corriente!G203*MINVU_Mes_Constante!$C$1</f>
        <v>53385716.07415098</v>
      </c>
      <c r="H203" s="8">
        <f>+MINVU_Mes_Corriente!H203*MINVU_Mes_Constante!$C$1</f>
        <v>64941616.258638598</v>
      </c>
      <c r="I203" s="8">
        <f>+MINVU_Mes_Corriente!I203*MINVU_Mes_Constante!$C$1</f>
        <v>76350839.38958922</v>
      </c>
      <c r="J203" s="8">
        <f>+MINVU_Mes_Corriente!J203*MINVU_Mes_Constante!$C$1</f>
        <v>86443002.328340515</v>
      </c>
      <c r="K203" s="8">
        <f>+MINVU_Mes_Corriente!K203*MINVU_Mes_Constante!$C$1</f>
        <v>101598469.40501262</v>
      </c>
      <c r="L203" s="8">
        <f>+MINVU_Mes_Corriente!L203*MINVU_Mes_Constante!$C$1</f>
        <v>112590109.663058</v>
      </c>
      <c r="M203" s="8">
        <f>+MINVU_Mes_Corriente!M203*MINVU_Mes_Constante!$C$1</f>
        <v>123021302.67121461</v>
      </c>
      <c r="N203" s="8">
        <f>+MINVU_Mes_Corriente!N203*MINVU_Mes_Constante!$C$1</f>
        <v>134113420.64837612</v>
      </c>
      <c r="O203" s="9">
        <f t="shared" si="152"/>
        <v>134113420.64837612</v>
      </c>
      <c r="P203" s="8">
        <f>+MINVU_Mes_Corriente!P203*MINVU_Mes_Constante!$P$1</f>
        <v>8150729.2550078109</v>
      </c>
      <c r="Q203" s="8">
        <f>+MINVU_Mes_Corriente!Q203*MINVU_Mes_Constante!$P$1</f>
        <v>17146400.440403461</v>
      </c>
      <c r="R203" s="8">
        <f>+MINVU_Mes_Corriente!R203*MINVU_Mes_Constante!$P$1</f>
        <v>29222230.390680484</v>
      </c>
      <c r="S203" s="8">
        <f>+MINVU_Mes_Corriente!S203*MINVU_Mes_Constante!$P$1</f>
        <v>42847241.101576909</v>
      </c>
      <c r="T203" s="8">
        <f>+MINVU_Mes_Corriente!T203*MINVU_Mes_Constante!$P$1</f>
        <v>54253430.962920852</v>
      </c>
      <c r="U203" s="8">
        <f>+MINVU_Mes_Corriente!U203*MINVU_Mes_Constante!$P$1</f>
        <v>67042789.715016313</v>
      </c>
      <c r="V203" s="8">
        <f>+MINVU_Mes_Corriente!V203*MINVU_Mes_Constante!$P$1</f>
        <v>76180714.657479733</v>
      </c>
      <c r="W203" s="8">
        <f>+MINVU_Mes_Corriente!W203*MINVU_Mes_Constante!$P$1</f>
        <v>86224791.34479326</v>
      </c>
      <c r="X203" s="8">
        <f>+MINVU_Mes_Corriente!X203*MINVU_Mes_Constante!$P$1</f>
        <v>97213691.514987886</v>
      </c>
      <c r="Y203" s="8">
        <f>+MINVU_Mes_Corriente!Y203*MINVU_Mes_Constante!$P$1</f>
        <v>112391113.13368373</v>
      </c>
      <c r="Z203" s="8">
        <f>+MINVU_Mes_Corriente!Z203*MINVU_Mes_Constante!$P$1</f>
        <v>125392287.89458725</v>
      </c>
      <c r="AA203" s="8">
        <f>+MINVU_Mes_Corriente!AA203*MINVU_Mes_Constante!$P$1</f>
        <v>136941754.41880944</v>
      </c>
      <c r="AB203" s="9">
        <f t="shared" si="153"/>
        <v>136941754.41880944</v>
      </c>
      <c r="AC203" s="8">
        <f>+MINVU_Mes_Corriente!AC203*MINVU_Mes_Constante!$AC$1</f>
        <v>12512045.909531055</v>
      </c>
      <c r="AD203" s="8">
        <f>+MINVU_Mes_Corriente!AD203*MINVU_Mes_Constante!$AC$1</f>
        <v>23748923.785032507</v>
      </c>
      <c r="AE203" s="8">
        <f>+MINVU_Mes_Corriente!AE203*MINVU_Mes_Constante!$AC$1</f>
        <v>37582235.805782266</v>
      </c>
      <c r="AF203" s="8">
        <f>+MINVU_Mes_Corriente!AF203*MINVU_Mes_Constante!$AC$1</f>
        <v>50758390.26366026</v>
      </c>
      <c r="AG203" s="8">
        <f>+MINVU_Mes_Corriente!AG203*MINVU_Mes_Constante!$AC$1</f>
        <v>62958172.332549453</v>
      </c>
      <c r="AH203" s="8">
        <f>+MINVU_Mes_Corriente!AH203*MINVU_Mes_Constante!$AC$1</f>
        <v>77289620.175404623</v>
      </c>
      <c r="AI203" s="8">
        <f>+MINVU_Mes_Corriente!AI203*MINVU_Mes_Constante!$AC$1</f>
        <v>91194063.796375707</v>
      </c>
      <c r="AJ203" s="8">
        <f>+MINVU_Mes_Corriente!AJ203*MINVU_Mes_Constante!$AC$1</f>
        <v>105527273.94605063</v>
      </c>
      <c r="AK203" s="8">
        <f>+MINVU_Mes_Corriente!AK203*MINVU_Mes_Constante!$AC$1</f>
        <v>120489629.14179002</v>
      </c>
      <c r="AL203" s="8">
        <f>+MINVU_Mes_Corriente!AL203*MINVU_Mes_Constante!$AC$1</f>
        <v>137055299.64476416</v>
      </c>
      <c r="AM203" s="8">
        <f>+MINVU_Mes_Corriente!AM203*MINVU_Mes_Constante!$AC$1</f>
        <v>151078435.99031678</v>
      </c>
      <c r="AN203" s="8">
        <f>+MINVU_Mes_Corriente!AN203*MINVU_Mes_Constante!$AC$1</f>
        <v>163649244.10125881</v>
      </c>
      <c r="AO203" s="9">
        <f t="shared" si="154"/>
        <v>163649244.10125881</v>
      </c>
      <c r="AP203" s="8">
        <f>+MINVU_Mes_Corriente!AP203*MINVU_Mes_Constante!$AP$1</f>
        <v>15565639.517651832</v>
      </c>
      <c r="AQ203" s="8">
        <f>+MINVU_Mes_Corriente!AQ203*MINVU_Mes_Constante!$AP$1</f>
        <v>29287227.978357904</v>
      </c>
      <c r="AR203" s="8">
        <f>+MINVU_Mes_Corriente!AR203*MINVU_Mes_Constante!$AP$1</f>
        <v>48585111.063708909</v>
      </c>
      <c r="AS203" s="8">
        <f>+MINVU_Mes_Corriente!AS203*MINVU_Mes_Constante!$AP$1</f>
        <v>68735485.212498307</v>
      </c>
      <c r="AT203" s="8">
        <f>+MINVU_Mes_Corriente!AT203*MINVU_Mes_Constante!$AP$1</f>
        <v>88554656.580819681</v>
      </c>
      <c r="AU203" s="8">
        <f>+MINVU_Mes_Corriente!AU203*MINVU_Mes_Constante!$AP$1</f>
        <v>104115751.60367915</v>
      </c>
      <c r="AV203" s="8">
        <f>+MINVU_Mes_Corriente!AV203*MINVU_Mes_Constante!$AP$1</f>
        <v>121187738.18395779</v>
      </c>
      <c r="AW203" s="8">
        <f>+MINVU_Mes_Corriente!AW203*MINVU_Mes_Constante!$AP$1</f>
        <v>136688819.27363721</v>
      </c>
      <c r="AX203" s="8">
        <f>+MINVU_Mes_Corriente!AX203*MINVU_Mes_Constante!$AP$1</f>
        <v>153006156.65494385</v>
      </c>
      <c r="AY203" s="8">
        <f>+MINVU_Mes_Corriente!AY203*MINVU_Mes_Constante!$AP$1</f>
        <v>168533844.09901258</v>
      </c>
      <c r="AZ203" s="8">
        <f>+MINVU_Mes_Corriente!AZ203*MINVU_Mes_Constante!$AP$1</f>
        <v>185483574.16312727</v>
      </c>
      <c r="BA203" s="8">
        <f>+MINVU_Mes_Corriente!BA203*MINVU_Mes_Constante!$AP$1</f>
        <v>189634403.3872582</v>
      </c>
      <c r="BB203" s="9">
        <f t="shared" si="155"/>
        <v>189634403.3872582</v>
      </c>
      <c r="BC203" s="8">
        <f>+MINVU_Mes_Corriente!BC203*MINVU_Mes_Constante!$BC$1</f>
        <v>18931596.765132539</v>
      </c>
      <c r="BD203" s="8">
        <f>+MINVU_Mes_Corriente!BD203*MINVU_Mes_Constante!$BC$1</f>
        <v>29037753.411842287</v>
      </c>
      <c r="BE203" s="8">
        <f>+MINVU_Mes_Corriente!BE203*MINVU_Mes_Constante!$BC$1</f>
        <v>44907764.809705935</v>
      </c>
      <c r="BF203" s="8">
        <f>+MINVU_Mes_Corriente!BF203*MINVU_Mes_Constante!$BC$1</f>
        <v>64285934.268495336</v>
      </c>
      <c r="BG203" s="8">
        <f>+MINVU_Mes_Corriente!BG203*MINVU_Mes_Constante!$BC$1</f>
        <v>88055324.075431913</v>
      </c>
      <c r="BH203" s="8">
        <f>+MINVU_Mes_Corriente!BH203*MINVU_Mes_Constante!$BC$1</f>
        <v>104198655.49413164</v>
      </c>
      <c r="BI203" s="8">
        <f>+MINVU_Mes_Corriente!BI203*MINVU_Mes_Constante!$BC$1</f>
        <v>120478904.11578535</v>
      </c>
      <c r="BJ203" s="8">
        <f>+MINVU_Mes_Corriente!BJ203*MINVU_Mes_Constante!$BC$1</f>
        <v>135435644.27007782</v>
      </c>
      <c r="BK203" s="8">
        <f>+MINVU_Mes_Corriente!BK203*MINVU_Mes_Constante!$BC$1</f>
        <v>149104522.69840437</v>
      </c>
      <c r="BL203" s="8">
        <f>+MINVU_Mes_Corriente!BL203*MINVU_Mes_Constante!$BC$1</f>
        <v>162858606.06013456</v>
      </c>
      <c r="BM203" s="8">
        <f>+MINVU_Mes_Corriente!BM203*MINVU_Mes_Constante!$BC$1</f>
        <v>177423247.90847954</v>
      </c>
      <c r="BN203" s="8">
        <f>+MINVU_Mes_Corriente!BN203*MINVU_Mes_Constante!$BC$1</f>
        <v>186650123.07028884</v>
      </c>
      <c r="BO203" s="9">
        <f t="shared" si="156"/>
        <v>186650123.07028884</v>
      </c>
      <c r="BP203" s="8">
        <f>+MINVU_Mes_Corriente!BP203*MINVU_Mes_Constante!$BP$1</f>
        <v>21520910.023559541</v>
      </c>
      <c r="BQ203" s="8">
        <f>+MINVU_Mes_Corriente!BQ203*MINVU_Mes_Constante!$BP$1</f>
        <v>37363482.716773368</v>
      </c>
      <c r="BR203" s="8">
        <f>+MINVU_Mes_Corriente!BR203*MINVU_Mes_Constante!$BP$1</f>
        <v>49465685.502944946</v>
      </c>
      <c r="BS203" s="8">
        <f>+MINVU_Mes_Corriente!BS203*MINVU_Mes_Constante!$BP$1</f>
        <v>62671100.918565951</v>
      </c>
      <c r="BT203" s="8">
        <f>+MINVU_Mes_Corriente!BT203*MINVU_Mes_Constante!$BP$1</f>
        <v>75556974.901920617</v>
      </c>
      <c r="BU203" s="8">
        <f>+MINVU_Mes_Corriente!BU203*MINVU_Mes_Constante!$BP$1</f>
        <v>89477371.809218958</v>
      </c>
      <c r="BV203" s="8">
        <f>+MINVU_Mes_Corriente!BV203*MINVU_Mes_Constante!$BP$1</f>
        <v>107065124.68425097</v>
      </c>
      <c r="BW203" s="8">
        <f>+MINVU_Mes_Corriente!BW203*MINVU_Mes_Constante!$BP$1</f>
        <v>132059720.68040974</v>
      </c>
      <c r="BX203" s="8">
        <f>+MINVU_Mes_Corriente!BX203*MINVU_Mes_Constante!$BP$1</f>
        <v>149441303.71267608</v>
      </c>
      <c r="BY203" s="8">
        <f>+MINVU_Mes_Corriente!BY203*MINVU_Mes_Constante!$BP$1</f>
        <v>167621066.71882203</v>
      </c>
      <c r="BZ203" s="8">
        <f>+MINVU_Mes_Corriente!BZ203*MINVU_Mes_Constante!$BP$1</f>
        <v>207253139.57746482</v>
      </c>
      <c r="CA203" s="8">
        <f>+MINVU_Mes_Corriente!CA203*MINVU_Mes_Constante!$BP$1</f>
        <v>223554002.71113959</v>
      </c>
      <c r="CB203" s="9">
        <f t="shared" si="157"/>
        <v>223554002.71113959</v>
      </c>
      <c r="CC203" s="8">
        <f>+MINVU_Mes_Corriente!CC203*MINVU_Mes_Constante!$CC$1</f>
        <v>7646565.786646774</v>
      </c>
      <c r="CD203" s="8">
        <f>+MINVU_Mes_Corriente!CD203*MINVU_Mes_Constante!$CC$1</f>
        <v>24224411.841104068</v>
      </c>
      <c r="CE203" s="8">
        <f>+MINVU_Mes_Corriente!CE203*MINVU_Mes_Constante!$CC$1</f>
        <v>43235160.082804926</v>
      </c>
      <c r="CF203" s="8">
        <f>+MINVU_Mes_Corriente!CF203*MINVU_Mes_Constante!$CC$1</f>
        <v>55114194.458784044</v>
      </c>
      <c r="CG203" s="8">
        <f>+MINVU_Mes_Corriente!CG203*MINVU_Mes_Constante!$CC$1</f>
        <v>64683172.489369646</v>
      </c>
      <c r="CH203" s="8">
        <f>+MINVU_Mes_Corriente!CH203*MINVU_Mes_Constante!$CC$1</f>
        <v>75004370.911600158</v>
      </c>
      <c r="CI203" s="8">
        <f>+MINVU_Mes_Corriente!CI203*MINVU_Mes_Constante!$CC$1</f>
        <v>87316310.170831785</v>
      </c>
      <c r="CJ203" s="8">
        <f>+MINVU_Mes_Corriente!CJ203*MINVU_Mes_Constante!$CC$1</f>
        <v>98889445.074226052</v>
      </c>
      <c r="CK203" s="8">
        <f>+MINVU_Mes_Corriente!CK203*MINVU_Mes_Constante!$CC$1</f>
        <v>107793601.20402835</v>
      </c>
      <c r="CL203" s="8">
        <f>+MINVU_Mes_Corriente!CL203*MINVU_Mes_Constante!$CC$1</f>
        <v>154944303.8784036</v>
      </c>
      <c r="CM203" s="8">
        <f>+MINVU_Mes_Corriente!CM203*MINVU_Mes_Constante!$CC$1</f>
        <v>166483656.88847446</v>
      </c>
      <c r="CN203" s="8">
        <f>+MINVU_Mes_Corriente!CN203*MINVU_Mes_Constante!$CC$1</f>
        <v>198451509.54270795</v>
      </c>
      <c r="CO203" s="9">
        <f t="shared" si="158"/>
        <v>198451509.54270795</v>
      </c>
      <c r="CP203" s="8">
        <f>+MINVU_Mes_Corriente!CP203*MINVU_Mes_Constante!$CP$1</f>
        <v>2966616.8728538277</v>
      </c>
      <c r="CQ203" s="8">
        <f>+MINVU_Mes_Corriente!CQ203*MINVU_Mes_Constante!$CP$1</f>
        <v>11465304.571461715</v>
      </c>
      <c r="CR203" s="8">
        <f>+MINVU_Mes_Corriente!CR203*MINVU_Mes_Constante!$CP$1</f>
        <v>24664021.57795823</v>
      </c>
      <c r="CS203" s="8">
        <f>+MINVU_Mes_Corriente!CS203*MINVU_Mes_Constante!$CP$1</f>
        <v>35470291.884222731</v>
      </c>
      <c r="CT203" s="8">
        <f>+MINVU_Mes_Corriente!CT203*MINVU_Mes_Constante!$CP$1</f>
        <v>47082750.155916467</v>
      </c>
      <c r="CU203" s="8">
        <f>+MINVU_Mes_Corriente!CU203*MINVU_Mes_Constante!$CP$1</f>
        <v>63242212.894663557</v>
      </c>
      <c r="CV203" s="8">
        <f>+MINVU_Mes_Corriente!CV203*MINVU_Mes_Constante!$CP$1</f>
        <v>76491231.329234317</v>
      </c>
      <c r="CW203" s="8">
        <f>+MINVU_Mes_Corriente!CW203*MINVU_Mes_Constante!$CP$1</f>
        <v>89454660.348027825</v>
      </c>
      <c r="CX203" s="8">
        <f>+MINVU_Mes_Corriente!CX203*MINVU_Mes_Constante!$CP$1</f>
        <v>108144247.52714615</v>
      </c>
      <c r="CY203" s="8">
        <f>+MINVU_Mes_Corriente!CY203*MINVU_Mes_Constante!$CP$1</f>
        <v>119569109.42088164</v>
      </c>
      <c r="CZ203" s="8">
        <f>+MINVU_Mes_Corriente!CZ203*MINVU_Mes_Constante!$CP$1</f>
        <v>132919047.59095125</v>
      </c>
      <c r="DA203" s="8">
        <f>+MINVU_Mes_Corriente!DA203*MINVU_Mes_Constante!$CP$1</f>
        <v>163883751.13921112</v>
      </c>
      <c r="DB203" s="9">
        <f t="shared" si="159"/>
        <v>163883751.13921112</v>
      </c>
      <c r="DC203" s="8">
        <f>+MINVU_Mes_Corriente!DC203*MINVU_Mes_Constante!$DC$1</f>
        <v>2568749.693858658</v>
      </c>
      <c r="DD203" s="8">
        <f>+MINVU_Mes_Corriente!DD203*MINVU_Mes_Constante!$DC$1</f>
        <v>13075784.069540177</v>
      </c>
      <c r="DE203" s="8">
        <f>+MINVU_Mes_Corriente!DE203*MINVU_Mes_Constante!$DC$1</f>
        <v>28914721.056681424</v>
      </c>
      <c r="DF203" s="8">
        <f>+MINVU_Mes_Corriente!DF203*MINVU_Mes_Constante!$DC$1</f>
        <v>39844403.144532472</v>
      </c>
      <c r="DG203" s="8">
        <f>+MINVU_Mes_Corriente!DG203*MINVU_Mes_Constante!$DC$1</f>
        <v>51225419.735829674</v>
      </c>
      <c r="DH203" s="8">
        <f>+MINVU_Mes_Corriente!DH203*MINVU_Mes_Constante!$DC$1</f>
        <v>62693965.714638442</v>
      </c>
      <c r="DI203" s="8">
        <f>+MINVU_Mes_Corriente!DI203*MINVU_Mes_Constante!$DC$1</f>
        <v>74956799.635839969</v>
      </c>
      <c r="DJ203" s="8">
        <f>+MINVU_Mes_Corriente!DJ203*MINVU_Mes_Constante!$DC$1</f>
        <v>89677491.263244569</v>
      </c>
      <c r="DK203" s="8">
        <f>+MINVU_Mes_Corriente!DK203*MINVU_Mes_Constante!$DC$1</f>
        <v>104904958.89208934</v>
      </c>
      <c r="DL203" s="8">
        <f>+MINVU_Mes_Corriente!DL203*MINVU_Mes_Constante!$DC$1</f>
        <v>132089622.42341329</v>
      </c>
      <c r="DM203" s="8">
        <f>+MINVU_Mes_Corriente!DM203*MINVU_Mes_Constante!$DC$1</f>
        <v>147761117.7018826</v>
      </c>
      <c r="DN203" s="8">
        <f>+MINVU_Mes_Corriente!DN203*MINVU_Mes_Constante!$DC$1</f>
        <v>177063803.36117691</v>
      </c>
      <c r="DO203" s="9">
        <f t="shared" si="160"/>
        <v>177063803.36117691</v>
      </c>
      <c r="DP203" s="8">
        <f>+MINVU_Mes_Corriente!DP203*MINVU_Mes_Constante!$DP$1</f>
        <v>19970219.258907367</v>
      </c>
      <c r="DQ203" s="8">
        <f>+MINVU_Mes_Corriente!DQ203*MINVU_Mes_Constante!$DP$1</f>
        <v>31409135.700712591</v>
      </c>
      <c r="DR203" s="8">
        <f>+MINVU_Mes_Corriente!DR203*MINVU_Mes_Constante!$DP$1</f>
        <v>45496363.585510693</v>
      </c>
      <c r="DS203" s="8">
        <f>+MINVU_Mes_Corriente!DS203*MINVU_Mes_Constante!$DP$1</f>
        <v>62349437.433491692</v>
      </c>
      <c r="DT203" s="8">
        <f>+MINVU_Mes_Corriente!DT203*MINVU_Mes_Constante!$DP$1</f>
        <v>78832683.915676966</v>
      </c>
      <c r="DU203" s="8">
        <f>+MINVU_Mes_Corriente!DU203*MINVU_Mes_Constante!$DP$1</f>
        <v>101424544.10451308</v>
      </c>
      <c r="DV203" s="8">
        <f>+MINVU_Mes_Corriente!DV203*MINVU_Mes_Constante!$DP$1</f>
        <v>118916347.76009503</v>
      </c>
      <c r="DW203" s="8">
        <f>+MINVU_Mes_Corriente!DW203*MINVU_Mes_Constante!$DP$1</f>
        <v>135624355.81710216</v>
      </c>
      <c r="DX203" s="8">
        <f>+MINVU_Mes_Corriente!DX203*MINVU_Mes_Constante!$DP$1</f>
        <v>149671300.0243468</v>
      </c>
      <c r="DY203" s="8">
        <f>+MINVU_Mes_Corriente!DY203*MINVU_Mes_Constante!$DP$1</f>
        <v>175956219.58254158</v>
      </c>
      <c r="DZ203" s="8">
        <f>+MINVU_Mes_Corriente!DZ203*MINVU_Mes_Constante!$DP$1</f>
        <v>197638225.33966747</v>
      </c>
      <c r="EA203" s="8">
        <f>+MINVU_Mes_Corriente!EA203*MINVU_Mes_Constante!$DP$1</f>
        <v>220131836.9554632</v>
      </c>
      <c r="EB203" s="9">
        <f t="shared" si="161"/>
        <v>220131836.9554632</v>
      </c>
      <c r="EC203" s="8">
        <f>+MINVU_Mes_Corriente!EC203*MINVU_Mes_Constante!$EC$1</f>
        <v>14518923.343116829</v>
      </c>
      <c r="ED203" s="8">
        <f>+MINVU_Mes_Corriente!ED203*MINVU_Mes_Constante!$EC$1</f>
        <v>30310451.553493645</v>
      </c>
      <c r="EE203" s="8">
        <f>+MINVU_Mes_Corriente!EE203*MINVU_Mes_Constante!$EC$1</f>
        <v>45176291.430789612</v>
      </c>
      <c r="EF203" s="8">
        <f>+MINVU_Mes_Corriente!EF203*MINVU_Mes_Constante!$EC$1</f>
        <v>73603653.815186501</v>
      </c>
      <c r="EG203" s="8">
        <f>+MINVU_Mes_Corriente!EG203*MINVU_Mes_Constante!$EC$1</f>
        <v>98462792.733573154</v>
      </c>
      <c r="EH203" s="8">
        <f>+MINVU_Mes_Corriente!EH203*MINVU_Mes_Constante!$EC$1</f>
        <v>123605269.04525654</v>
      </c>
      <c r="EI203" s="8">
        <f>+MINVU_Mes_Corriente!EI203*MINVU_Mes_Constante!$EC$1</f>
        <v>152844516.40049228</v>
      </c>
      <c r="EJ203" s="8">
        <f>+MINVU_Mes_Corriente!EJ203*MINVU_Mes_Constante!$EC$1</f>
        <v>179598598.40143907</v>
      </c>
      <c r="EK203" s="8">
        <f>+MINVU_Mes_Corriente!EK203*MINVU_Mes_Constante!$EC$1</f>
        <v>209315808.08521107</v>
      </c>
      <c r="EL203" s="8">
        <f>+MINVU_Mes_Corriente!EL203*MINVU_Mes_Constante!$EC$1</f>
        <v>231624677.709714</v>
      </c>
      <c r="EM203" s="8">
        <f>+MINVU_Mes_Corriente!EM203*MINVU_Mes_Constante!$EC$1</f>
        <v>247167426.8379094</v>
      </c>
      <c r="EN203" s="8">
        <f>+MINVU_Mes_Corriente!EN203*MINVU_Mes_Constante!$EC$1</f>
        <v>274913657.2927475</v>
      </c>
      <c r="EO203" s="9">
        <f t="shared" si="162"/>
        <v>274913657.2927475</v>
      </c>
      <c r="EP203" s="8">
        <f>+MINVU_Mes_Corriente!EP203*MINVU_Mes_Constante!$EP$1</f>
        <v>16895290</v>
      </c>
      <c r="EQ203" s="8">
        <f>+MINVU_Mes_Corriente!EQ203*MINVU_Mes_Constante!$EP$1</f>
        <v>30452354</v>
      </c>
      <c r="ER203" s="8">
        <f>+MINVU_Mes_Corriente!ER203*MINVU_Mes_Constante!$EP$1</f>
        <v>54449602</v>
      </c>
      <c r="ES203" s="8">
        <f>+MINVU_Mes_Corriente!ES203*MINVU_Mes_Constante!$EP$1</f>
        <v>84978148</v>
      </c>
      <c r="ET203" s="8">
        <f>+MINVU_Mes_Corriente!ET203*MINVU_Mes_Constante!$EP$1</f>
        <v>123274763</v>
      </c>
      <c r="EU203" s="8">
        <f>+MINVU_Mes_Corriente!EU203*MINVU_Mes_Constante!$EP$1</f>
        <v>145553759</v>
      </c>
      <c r="EV203" s="8">
        <f>+MINVU_Mes_Corriente!EV203*MINVU_Mes_Constante!$EP$1</f>
        <v>160017443</v>
      </c>
      <c r="EW203" s="8">
        <f>+MINVU_Mes_Corriente!EW203*MINVU_Mes_Constante!$EP$1</f>
        <v>181643029</v>
      </c>
      <c r="EX203" s="8">
        <f>+MINVU_Mes_Corriente!EX203*MINVU_Mes_Constante!$EP$1</f>
        <v>197691207</v>
      </c>
      <c r="EY203" s="8">
        <f>+MINVU_Mes_Corriente!EY203*MINVU_Mes_Constante!$EP$1</f>
        <v>221568676</v>
      </c>
      <c r="EZ203" s="8">
        <f>+MINVU_Mes_Corriente!EZ203*MINVU_Mes_Constante!$EP$1</f>
        <v>250863655</v>
      </c>
      <c r="FA203" s="8">
        <f>+MINVU_Mes_Corriente!FA203*MINVU_Mes_Constante!$EP$1</f>
        <v>281747040</v>
      </c>
      <c r="FB203" s="9">
        <f t="shared" si="163"/>
        <v>281747040</v>
      </c>
      <c r="FC203" s="8">
        <f>+MINVU_Mes_Corriente!FC203*MINVU_Mes_Constante!$FC$1</f>
        <v>13736465</v>
      </c>
      <c r="FD203" s="8">
        <f>+MINVU_Mes_Corriente!FD203*MINVU_Mes_Constante!$FC$1</f>
        <v>31655446</v>
      </c>
      <c r="FE203" s="8">
        <f>+MINVU_Mes_Corriente!FE203*MINVU_Mes_Constante!$FC$1</f>
        <v>54735404</v>
      </c>
      <c r="FF203" s="8">
        <f>+MINVU_Mes_Corriente!FF203*MINVU_Mes_Constante!$FC$1</f>
        <v>73769159</v>
      </c>
      <c r="FG203" s="8">
        <f>+MINVU_Mes_Corriente!FG203*MINVU_Mes_Constante!$FC$1</f>
        <v>90414953</v>
      </c>
      <c r="FH203" s="8">
        <f>+MINVU_Mes_Corriente!FH203*MINVU_Mes_Constante!$FC$1</f>
        <v>125785512</v>
      </c>
      <c r="FI203" s="8">
        <f>+MINVU_Mes_Corriente!FI203*MINVU_Mes_Constante!$FC$1</f>
        <v>159252866</v>
      </c>
      <c r="FJ203" s="8"/>
      <c r="FK203" s="8"/>
      <c r="FL203" s="8"/>
      <c r="FM203" s="8"/>
      <c r="FN203" s="8"/>
      <c r="FO203" s="9">
        <f t="shared" si="164"/>
        <v>159252866</v>
      </c>
    </row>
    <row r="204" spans="2:171" ht="14.25" customHeight="1" x14ac:dyDescent="0.3">
      <c r="B204" s="7" t="s">
        <v>57</v>
      </c>
      <c r="C204" s="8">
        <f>+MINVU_Mes_Corriente!C204*MINVU_Mes_Constante!$C$1</f>
        <v>2363287.4806465968</v>
      </c>
      <c r="D204" s="8">
        <f>+MINVU_Mes_Corriente!D204*MINVU_Mes_Constante!$C$1</f>
        <v>5647309.6132285343</v>
      </c>
      <c r="E204" s="8">
        <f>+MINVU_Mes_Corriente!E204*MINVU_Mes_Constante!$C$1</f>
        <v>8527701.6811508238</v>
      </c>
      <c r="F204" s="8">
        <f>+MINVU_Mes_Corriente!F204*MINVU_Mes_Constante!$C$1</f>
        <v>10730281.523357557</v>
      </c>
      <c r="G204" s="8">
        <f>+MINVU_Mes_Corriente!G204*MINVU_Mes_Constante!$C$1</f>
        <v>13791556.170547236</v>
      </c>
      <c r="H204" s="8">
        <f>+MINVU_Mes_Corriente!H204*MINVU_Mes_Constante!$C$1</f>
        <v>16658421.581491921</v>
      </c>
      <c r="I204" s="8">
        <f>+MINVU_Mes_Corriente!I204*MINVU_Mes_Constante!$C$1</f>
        <v>20171150.835829753</v>
      </c>
      <c r="J204" s="8">
        <f>+MINVU_Mes_Corriente!J204*MINVU_Mes_Constante!$C$1</f>
        <v>23577577.223491032</v>
      </c>
      <c r="K204" s="8">
        <f>+MINVU_Mes_Corriente!K204*MINVU_Mes_Constante!$C$1</f>
        <v>27628285.995847549</v>
      </c>
      <c r="L204" s="8">
        <f>+MINVU_Mes_Corriente!L204*MINVU_Mes_Constante!$C$1</f>
        <v>30921270.267833315</v>
      </c>
      <c r="M204" s="8">
        <f>+MINVU_Mes_Corriente!M204*MINVU_Mes_Constante!$C$1</f>
        <v>35143298.331306547</v>
      </c>
      <c r="N204" s="8">
        <f>+MINVU_Mes_Corriente!N204*MINVU_Mes_Constante!$C$1</f>
        <v>38123920.205249898</v>
      </c>
      <c r="O204" s="9">
        <f t="shared" si="152"/>
        <v>38123920.205249898</v>
      </c>
      <c r="P204" s="8">
        <f>+MINVU_Mes_Corriente!P204*MINVU_Mes_Constante!$P$1</f>
        <v>1824638.8955817581</v>
      </c>
      <c r="Q204" s="8">
        <f>+MINVU_Mes_Corriente!Q204*MINVU_Mes_Constante!$P$1</f>
        <v>4517625.4828810897</v>
      </c>
      <c r="R204" s="8">
        <f>+MINVU_Mes_Corriente!R204*MINVU_Mes_Constante!$P$1</f>
        <v>6803660.0917743975</v>
      </c>
      <c r="S204" s="8">
        <f>+MINVU_Mes_Corriente!S204*MINVU_Mes_Constante!$P$1</f>
        <v>10259212.871430596</v>
      </c>
      <c r="T204" s="8">
        <f>+MINVU_Mes_Corriente!T204*MINVU_Mes_Constante!$P$1</f>
        <v>12774435.813609883</v>
      </c>
      <c r="U204" s="8">
        <f>+MINVU_Mes_Corriente!U204*MINVU_Mes_Constante!$P$1</f>
        <v>16136291.041909356</v>
      </c>
      <c r="V204" s="8">
        <f>+MINVU_Mes_Corriente!V204*MINVU_Mes_Constante!$P$1</f>
        <v>20105451.193067189</v>
      </c>
      <c r="W204" s="8">
        <f>+MINVU_Mes_Corriente!W204*MINVU_Mes_Constante!$P$1</f>
        <v>23029670.373064347</v>
      </c>
      <c r="X204" s="8">
        <f>+MINVU_Mes_Corriente!X204*MINVU_Mes_Constante!$P$1</f>
        <v>26503682.023582887</v>
      </c>
      <c r="Y204" s="8">
        <f>+MINVU_Mes_Corriente!Y204*MINVU_Mes_Constante!$P$1</f>
        <v>29110530.31794288</v>
      </c>
      <c r="Z204" s="8">
        <f>+MINVU_Mes_Corriente!Z204*MINVU_Mes_Constante!$P$1</f>
        <v>33276935.890893579</v>
      </c>
      <c r="AA204" s="8">
        <f>+MINVU_Mes_Corriente!AA204*MINVU_Mes_Constante!$P$1</f>
        <v>35962327.518965751</v>
      </c>
      <c r="AB204" s="9">
        <f t="shared" si="153"/>
        <v>35962327.518965751</v>
      </c>
      <c r="AC204" s="8">
        <f>+MINVU_Mes_Corriente!AC204*MINVU_Mes_Constante!$AC$1</f>
        <v>738167.75432286621</v>
      </c>
      <c r="AD204" s="8">
        <f>+MINVU_Mes_Corriente!AD204*MINVU_Mes_Constante!$AC$1</f>
        <v>2672730.2415271821</v>
      </c>
      <c r="AE204" s="8">
        <f>+MINVU_Mes_Corriente!AE204*MINVU_Mes_Constante!$AC$1</f>
        <v>5295994.9791119099</v>
      </c>
      <c r="AF204" s="8">
        <f>+MINVU_Mes_Corriente!AF204*MINVU_Mes_Constante!$AC$1</f>
        <v>7382842.8421635078</v>
      </c>
      <c r="AG204" s="8">
        <f>+MINVU_Mes_Corriente!AG204*MINVU_Mes_Constante!$AC$1</f>
        <v>10904592.355235856</v>
      </c>
      <c r="AH204" s="8">
        <f>+MINVU_Mes_Corriente!AH204*MINVU_Mes_Constante!$AC$1</f>
        <v>15459894.009959884</v>
      </c>
      <c r="AI204" s="8">
        <f>+MINVU_Mes_Corriente!AI204*MINVU_Mes_Constante!$AC$1</f>
        <v>19603139.311108038</v>
      </c>
      <c r="AJ204" s="8">
        <f>+MINVU_Mes_Corriente!AJ204*MINVU_Mes_Constante!$AC$1</f>
        <v>23793614.737308066</v>
      </c>
      <c r="AK204" s="8">
        <f>+MINVU_Mes_Corriente!AK204*MINVU_Mes_Constante!$AC$1</f>
        <v>28042663.438373219</v>
      </c>
      <c r="AL204" s="8">
        <f>+MINVU_Mes_Corriente!AL204*MINVU_Mes_Constante!$AC$1</f>
        <v>30648454.737584729</v>
      </c>
      <c r="AM204" s="8">
        <f>+MINVU_Mes_Corriente!AM204*MINVU_Mes_Constante!$AC$1</f>
        <v>35571351.528288834</v>
      </c>
      <c r="AN204" s="8">
        <f>+MINVU_Mes_Corriente!AN204*MINVU_Mes_Constante!$AC$1</f>
        <v>44572069.113017015</v>
      </c>
      <c r="AO204" s="9">
        <f t="shared" si="154"/>
        <v>44572069.113017015</v>
      </c>
      <c r="AP204" s="8">
        <f>+MINVU_Mes_Corriente!AP204*MINVU_Mes_Constante!$AP$1</f>
        <v>970599.15785202209</v>
      </c>
      <c r="AQ204" s="8">
        <f>+MINVU_Mes_Corriente!AQ204*MINVU_Mes_Constante!$AP$1</f>
        <v>4719168.9154605707</v>
      </c>
      <c r="AR204" s="8">
        <f>+MINVU_Mes_Corriente!AR204*MINVU_Mes_Constante!$AP$1</f>
        <v>9131465.4627350196</v>
      </c>
      <c r="AS204" s="8">
        <f>+MINVU_Mes_Corriente!AS204*MINVU_Mes_Constante!$AP$1</f>
        <v>13161779.118625727</v>
      </c>
      <c r="AT204" s="8">
        <f>+MINVU_Mes_Corriente!AT204*MINVU_Mes_Constante!$AP$1</f>
        <v>17318352.879751116</v>
      </c>
      <c r="AU204" s="8">
        <f>+MINVU_Mes_Corriente!AU204*MINVU_Mes_Constante!$AP$1</f>
        <v>22270340.327607196</v>
      </c>
      <c r="AV204" s="8">
        <f>+MINVU_Mes_Corriente!AV204*MINVU_Mes_Constante!$AP$1</f>
        <v>27293567.719193831</v>
      </c>
      <c r="AW204" s="8">
        <f>+MINVU_Mes_Corriente!AW204*MINVU_Mes_Constante!$AP$1</f>
        <v>32595537.425672933</v>
      </c>
      <c r="AX204" s="8">
        <f>+MINVU_Mes_Corriente!AX204*MINVU_Mes_Constante!$AP$1</f>
        <v>37397933.405924521</v>
      </c>
      <c r="AY204" s="8">
        <f>+MINVU_Mes_Corriente!AY204*MINVU_Mes_Constante!$AP$1</f>
        <v>40447407.642364398</v>
      </c>
      <c r="AZ204" s="8">
        <f>+MINVU_Mes_Corriente!AZ204*MINVU_Mes_Constante!$AP$1</f>
        <v>45910650.01541999</v>
      </c>
      <c r="BA204" s="8">
        <f>+MINVU_Mes_Corriente!BA204*MINVU_Mes_Constante!$AP$1</f>
        <v>48999192.128229402</v>
      </c>
      <c r="BB204" s="9">
        <f t="shared" si="155"/>
        <v>48999192.128229402</v>
      </c>
      <c r="BC204" s="8">
        <f>+MINVU_Mes_Corriente!BC204*MINVU_Mes_Constante!$BC$1</f>
        <v>3868835.6518528298</v>
      </c>
      <c r="BD204" s="8">
        <f>+MINVU_Mes_Corriente!BD204*MINVU_Mes_Constante!$BC$1</f>
        <v>8215526.3903468307</v>
      </c>
      <c r="BE204" s="8">
        <f>+MINVU_Mes_Corriente!BE204*MINVU_Mes_Constante!$BC$1</f>
        <v>11532840.385335622</v>
      </c>
      <c r="BF204" s="8">
        <f>+MINVU_Mes_Corriente!BF204*MINVU_Mes_Constante!$BC$1</f>
        <v>19711933.327706717</v>
      </c>
      <c r="BG204" s="8">
        <f>+MINVU_Mes_Corriente!BG204*MINVU_Mes_Constante!$BC$1</f>
        <v>24544762.625609923</v>
      </c>
      <c r="BH204" s="8">
        <f>+MINVU_Mes_Corriente!BH204*MINVU_Mes_Constante!$BC$1</f>
        <v>28278570.034814723</v>
      </c>
      <c r="BI204" s="8">
        <f>+MINVU_Mes_Corriente!BI204*MINVU_Mes_Constante!$BC$1</f>
        <v>31940762.650665972</v>
      </c>
      <c r="BJ204" s="8">
        <f>+MINVU_Mes_Corriente!BJ204*MINVU_Mes_Constante!$BC$1</f>
        <v>35975580.423315316</v>
      </c>
      <c r="BK204" s="8">
        <f>+MINVU_Mes_Corriente!BK204*MINVU_Mes_Constante!$BC$1</f>
        <v>39591224.79229857</v>
      </c>
      <c r="BL204" s="8">
        <f>+MINVU_Mes_Corriente!BL204*MINVU_Mes_Constante!$BC$1</f>
        <v>44094445.645786636</v>
      </c>
      <c r="BM204" s="8">
        <f>+MINVU_Mes_Corriente!BM204*MINVU_Mes_Constante!$BC$1</f>
        <v>47732561.582223408</v>
      </c>
      <c r="BN204" s="8">
        <f>+MINVU_Mes_Corriente!BN204*MINVU_Mes_Constante!$BC$1</f>
        <v>49896997.427403413</v>
      </c>
      <c r="BO204" s="9">
        <f t="shared" si="156"/>
        <v>49896997.427403413</v>
      </c>
      <c r="BP204" s="8">
        <f>+MINVU_Mes_Corriente!BP204*MINVU_Mes_Constante!$BP$1</f>
        <v>3761679.1044814344</v>
      </c>
      <c r="BQ204" s="8">
        <f>+MINVU_Mes_Corriente!BQ204*MINVU_Mes_Constante!$BP$1</f>
        <v>6435725.9715749044</v>
      </c>
      <c r="BR204" s="8">
        <f>+MINVU_Mes_Corriente!BR204*MINVU_Mes_Constante!$BP$1</f>
        <v>8970246.0000000019</v>
      </c>
      <c r="BS204" s="8">
        <f>+MINVU_Mes_Corriente!BS204*MINVU_Mes_Constante!$BP$1</f>
        <v>12612445.587195905</v>
      </c>
      <c r="BT204" s="8">
        <f>+MINVU_Mes_Corriente!BT204*MINVU_Mes_Constante!$BP$1</f>
        <v>19253853.159026891</v>
      </c>
      <c r="BU204" s="8">
        <f>+MINVU_Mes_Corriente!BU204*MINVU_Mes_Constante!$BP$1</f>
        <v>28652725.719334189</v>
      </c>
      <c r="BV204" s="8">
        <f>+MINVU_Mes_Corriente!BV204*MINVU_Mes_Constante!$BP$1</f>
        <v>37940175.463252246</v>
      </c>
      <c r="BW204" s="8">
        <f>+MINVU_Mes_Corriente!BW204*MINVU_Mes_Constante!$BP$1</f>
        <v>42869060.541357242</v>
      </c>
      <c r="BX204" s="8">
        <f>+MINVU_Mes_Corriente!BX204*MINVU_Mes_Constante!$BP$1</f>
        <v>46220484.434058905</v>
      </c>
      <c r="BY204" s="8">
        <f>+MINVU_Mes_Corriente!BY204*MINVU_Mes_Constante!$BP$1</f>
        <v>50286016.857618444</v>
      </c>
      <c r="BZ204" s="8">
        <f>+MINVU_Mes_Corriente!BZ204*MINVU_Mes_Constante!$BP$1</f>
        <v>58103077.418181822</v>
      </c>
      <c r="CA204" s="8">
        <f>+MINVU_Mes_Corriente!CA204*MINVU_Mes_Constante!$BP$1</f>
        <v>65781342.804353401</v>
      </c>
      <c r="CB204" s="9">
        <f t="shared" si="157"/>
        <v>65781342.804353401</v>
      </c>
      <c r="CC204" s="8">
        <f>+MINVU_Mes_Corriente!CC204*MINVU_Mes_Constante!$CC$1</f>
        <v>2730516.4834017162</v>
      </c>
      <c r="CD204" s="8">
        <f>+MINVU_Mes_Corriente!CD204*MINVU_Mes_Constante!$CC$1</f>
        <v>7477053.1689668037</v>
      </c>
      <c r="CE204" s="8">
        <f>+MINVU_Mes_Corriente!CE204*MINVU_Mes_Constante!$CC$1</f>
        <v>14495318.938455801</v>
      </c>
      <c r="CF204" s="8">
        <f>+MINVU_Mes_Corriente!CF204*MINVU_Mes_Constante!$CC$1</f>
        <v>18857311.501678482</v>
      </c>
      <c r="CG204" s="8">
        <f>+MINVU_Mes_Corriente!CG204*MINVU_Mes_Constante!$CC$1</f>
        <v>23854941.061544202</v>
      </c>
      <c r="CH204" s="8">
        <f>+MINVU_Mes_Corriente!CH204*MINVU_Mes_Constante!$CC$1</f>
        <v>28130346.127564345</v>
      </c>
      <c r="CI204" s="8">
        <f>+MINVU_Mes_Corriente!CI204*MINVU_Mes_Constante!$CC$1</f>
        <v>33320251.823946293</v>
      </c>
      <c r="CJ204" s="8">
        <f>+MINVU_Mes_Corriente!CJ204*MINVU_Mes_Constante!$CC$1</f>
        <v>38222046.928757928</v>
      </c>
      <c r="CK204" s="8">
        <f>+MINVU_Mes_Corriente!CK204*MINVU_Mes_Constante!$CC$1</f>
        <v>41824176.469973892</v>
      </c>
      <c r="CL204" s="8">
        <f>+MINVU_Mes_Corriente!CL204*MINVU_Mes_Constante!$CC$1</f>
        <v>50008140.344647527</v>
      </c>
      <c r="CM204" s="8">
        <f>+MINVU_Mes_Corriente!CM204*MINVU_Mes_Constante!$CC$1</f>
        <v>59440021.051846333</v>
      </c>
      <c r="CN204" s="8">
        <f>+MINVU_Mes_Corriente!CN204*MINVU_Mes_Constante!$CC$1</f>
        <v>64695967.714285724</v>
      </c>
      <c r="CO204" s="9">
        <f t="shared" si="158"/>
        <v>64695967.714285724</v>
      </c>
      <c r="CP204" s="8">
        <f>+MINVU_Mes_Corriente!CP204*MINVU_Mes_Constante!$CP$1</f>
        <v>537816.50603248249</v>
      </c>
      <c r="CQ204" s="8">
        <f>+MINVU_Mes_Corriente!CQ204*MINVU_Mes_Constante!$CP$1</f>
        <v>5870585.4306264492</v>
      </c>
      <c r="CR204" s="8">
        <f>+MINVU_Mes_Corriente!CR204*MINVU_Mes_Constante!$CP$1</f>
        <v>11070834.143387469</v>
      </c>
      <c r="CS204" s="8">
        <f>+MINVU_Mes_Corriente!CS204*MINVU_Mes_Constante!$CP$1</f>
        <v>14893508.186310902</v>
      </c>
      <c r="CT204" s="8">
        <f>+MINVU_Mes_Corriente!CT204*MINVU_Mes_Constante!$CP$1</f>
        <v>18726716.566357303</v>
      </c>
      <c r="CU204" s="8">
        <f>+MINVU_Mes_Corriente!CU204*MINVU_Mes_Constante!$CP$1</f>
        <v>21835060.897447791</v>
      </c>
      <c r="CV204" s="8">
        <f>+MINVU_Mes_Corriente!CV204*MINVU_Mes_Constante!$CP$1</f>
        <v>27933476.243387464</v>
      </c>
      <c r="CW204" s="8">
        <f>+MINVU_Mes_Corriente!CW204*MINVU_Mes_Constante!$CP$1</f>
        <v>32351571.655684449</v>
      </c>
      <c r="CX204" s="8">
        <f>+MINVU_Mes_Corriente!CX204*MINVU_Mes_Constante!$CP$1</f>
        <v>37849892.295591637</v>
      </c>
      <c r="CY204" s="8">
        <f>+MINVU_Mes_Corriente!CY204*MINVU_Mes_Constante!$CP$1</f>
        <v>43914091.009280734</v>
      </c>
      <c r="CZ204" s="8">
        <f>+MINVU_Mes_Corriente!CZ204*MINVU_Mes_Constante!$CP$1</f>
        <v>48857254.237586997</v>
      </c>
      <c r="DA204" s="8">
        <f>+MINVU_Mes_Corriente!DA204*MINVU_Mes_Constante!$CP$1</f>
        <v>58473276.270765647</v>
      </c>
      <c r="DB204" s="9">
        <f t="shared" si="159"/>
        <v>58473276.270765647</v>
      </c>
      <c r="DC204" s="8">
        <f>+MINVU_Mes_Corriente!DC204*MINVU_Mes_Constante!$DC$1</f>
        <v>2184876.29996914</v>
      </c>
      <c r="DD204" s="8">
        <f>+MINVU_Mes_Corriente!DD204*MINVU_Mes_Constante!$DC$1</f>
        <v>4837920.6289476417</v>
      </c>
      <c r="DE204" s="8">
        <f>+MINVU_Mes_Corriente!DE204*MINVU_Mes_Constante!$DC$1</f>
        <v>9928454.2892706562</v>
      </c>
      <c r="DF204" s="8">
        <f>+MINVU_Mes_Corriente!DF204*MINVU_Mes_Constante!$DC$1</f>
        <v>13762935.16942702</v>
      </c>
      <c r="DG204" s="8">
        <f>+MINVU_Mes_Corriente!DG204*MINVU_Mes_Constante!$DC$1</f>
        <v>20427324.230840459</v>
      </c>
      <c r="DH204" s="8">
        <f>+MINVU_Mes_Corriente!DH204*MINVU_Mes_Constante!$DC$1</f>
        <v>23577470.650961846</v>
      </c>
      <c r="DI204" s="8">
        <f>+MINVU_Mes_Corriente!DI204*MINVU_Mes_Constante!$DC$1</f>
        <v>28201571.674107615</v>
      </c>
      <c r="DJ204" s="8">
        <f>+MINVU_Mes_Corriente!DJ204*MINVU_Mes_Constante!$DC$1</f>
        <v>33903022.829132818</v>
      </c>
      <c r="DK204" s="8">
        <f>+MINVU_Mes_Corriente!DK204*MINVU_Mes_Constante!$DC$1</f>
        <v>37627609.796728753</v>
      </c>
      <c r="DL204" s="8">
        <f>+MINVU_Mes_Corriente!DL204*MINVU_Mes_Constante!$DC$1</f>
        <v>41135243.562390722</v>
      </c>
      <c r="DM204" s="8">
        <f>+MINVU_Mes_Corriente!DM204*MINVU_Mes_Constante!$DC$1</f>
        <v>46326115.240613125</v>
      </c>
      <c r="DN204" s="8">
        <f>+MINVU_Mes_Corriente!DN204*MINVU_Mes_Constante!$DC$1</f>
        <v>58339137.034872986</v>
      </c>
      <c r="DO204" s="9">
        <f t="shared" si="160"/>
        <v>58339137.034872986</v>
      </c>
      <c r="DP204" s="8">
        <f>+MINVU_Mes_Corriente!DP204*MINVU_Mes_Constante!$DP$1</f>
        <v>3475455.2761282665</v>
      </c>
      <c r="DQ204" s="8">
        <f>+MINVU_Mes_Corriente!DQ204*MINVU_Mes_Constante!$DP$1</f>
        <v>7384051.1900237538</v>
      </c>
      <c r="DR204" s="8">
        <f>+MINVU_Mes_Corriente!DR204*MINVU_Mes_Constante!$DP$1</f>
        <v>13941033.160332544</v>
      </c>
      <c r="DS204" s="8">
        <f>+MINVU_Mes_Corriente!DS204*MINVU_Mes_Constante!$DP$1</f>
        <v>17362035.778503563</v>
      </c>
      <c r="DT204" s="8">
        <f>+MINVU_Mes_Corriente!DT204*MINVU_Mes_Constante!$DP$1</f>
        <v>22670288.625890739</v>
      </c>
      <c r="DU204" s="8">
        <f>+MINVU_Mes_Corriente!DU204*MINVU_Mes_Constante!$DP$1</f>
        <v>30028979.903800476</v>
      </c>
      <c r="DV204" s="8">
        <f>+MINVU_Mes_Corriente!DV204*MINVU_Mes_Constante!$DP$1</f>
        <v>33030492.896080762</v>
      </c>
      <c r="DW204" s="8">
        <f>+MINVU_Mes_Corriente!DW204*MINVU_Mes_Constante!$DP$1</f>
        <v>39302404.020783849</v>
      </c>
      <c r="DX204" s="8">
        <f>+MINVU_Mes_Corriente!DX204*MINVU_Mes_Constante!$DP$1</f>
        <v>44147863.343230411</v>
      </c>
      <c r="DY204" s="8">
        <f>+MINVU_Mes_Corriente!DY204*MINVU_Mes_Constante!$DP$1</f>
        <v>50506652.604513071</v>
      </c>
      <c r="DZ204" s="8">
        <f>+MINVU_Mes_Corriente!DZ204*MINVU_Mes_Constante!$DP$1</f>
        <v>57043794.974465564</v>
      </c>
      <c r="EA204" s="8">
        <f>+MINVU_Mes_Corriente!EA204*MINVU_Mes_Constante!$DP$1</f>
        <v>64635147.117577203</v>
      </c>
      <c r="EB204" s="9">
        <f t="shared" si="161"/>
        <v>64635147.117577203</v>
      </c>
      <c r="EC204" s="8">
        <f>+MINVU_Mes_Corriente!EC204*MINVU_Mes_Constante!$EC$1</f>
        <v>2916769.2503313757</v>
      </c>
      <c r="ED204" s="8">
        <f>+MINVU_Mes_Corriente!ED204*MINVU_Mes_Constante!$EC$1</f>
        <v>12597233.180836959</v>
      </c>
      <c r="EE204" s="8">
        <f>+MINVU_Mes_Corriente!EE204*MINVU_Mes_Constante!$EC$1</f>
        <v>18589562.812535498</v>
      </c>
      <c r="EF204" s="8">
        <f>+MINVU_Mes_Corriente!EF204*MINVU_Mes_Constante!$EC$1</f>
        <v>24589284.718045816</v>
      </c>
      <c r="EG204" s="8">
        <f>+MINVU_Mes_Corriente!EG204*MINVU_Mes_Constante!$EC$1</f>
        <v>30854065.052641537</v>
      </c>
      <c r="EH204" s="8">
        <f>+MINVU_Mes_Corriente!EH204*MINVU_Mes_Constante!$EC$1</f>
        <v>34432766.596099213</v>
      </c>
      <c r="EI204" s="8">
        <f>+MINVU_Mes_Corriente!EI204*MINVU_Mes_Constante!$EC$1</f>
        <v>40995660.595909856</v>
      </c>
      <c r="EJ204" s="8">
        <f>+MINVU_Mes_Corriente!EJ204*MINVU_Mes_Constante!$EC$1</f>
        <v>44199835.78318499</v>
      </c>
      <c r="EK204" s="8">
        <f>+MINVU_Mes_Corriente!EK204*MINVU_Mes_Constante!$EC$1</f>
        <v>49566119.683582641</v>
      </c>
      <c r="EL204" s="8">
        <f>+MINVU_Mes_Corriente!EL204*MINVU_Mes_Constante!$EC$1</f>
        <v>55183806.064760447</v>
      </c>
      <c r="EM204" s="8">
        <f>+MINVU_Mes_Corriente!EM204*MINVU_Mes_Constante!$EC$1</f>
        <v>59449614.597045995</v>
      </c>
      <c r="EN204" s="8">
        <f>+MINVU_Mes_Corriente!EN204*MINVU_Mes_Constante!$EC$1</f>
        <v>74683854.739632621</v>
      </c>
      <c r="EO204" s="9">
        <f t="shared" si="162"/>
        <v>74683854.739632621</v>
      </c>
      <c r="EP204" s="8">
        <f>+MINVU_Mes_Corriente!EP204*MINVU_Mes_Constante!$EP$1</f>
        <v>2773961</v>
      </c>
      <c r="EQ204" s="8">
        <f>+MINVU_Mes_Corriente!EQ204*MINVU_Mes_Constante!$EP$1</f>
        <v>5538186</v>
      </c>
      <c r="ER204" s="8">
        <f>+MINVU_Mes_Corriente!ER204*MINVU_Mes_Constante!$EP$1</f>
        <v>9662146</v>
      </c>
      <c r="ES204" s="8">
        <f>+MINVU_Mes_Corriente!ES204*MINVU_Mes_Constante!$EP$1</f>
        <v>12837102</v>
      </c>
      <c r="ET204" s="8">
        <f>+MINVU_Mes_Corriente!ET204*MINVU_Mes_Constante!$EP$1</f>
        <v>18479193</v>
      </c>
      <c r="EU204" s="8">
        <f>+MINVU_Mes_Corriente!EU204*MINVU_Mes_Constante!$EP$1</f>
        <v>20063802</v>
      </c>
      <c r="EV204" s="8">
        <f>+MINVU_Mes_Corriente!EV204*MINVU_Mes_Constante!$EP$1</f>
        <v>22661415</v>
      </c>
      <c r="EW204" s="8">
        <f>+MINVU_Mes_Corriente!EW204*MINVU_Mes_Constante!$EP$1</f>
        <v>29464080</v>
      </c>
      <c r="EX204" s="8">
        <f>+MINVU_Mes_Corriente!EX204*MINVU_Mes_Constante!$EP$1</f>
        <v>31765046</v>
      </c>
      <c r="EY204" s="8">
        <f>+MINVU_Mes_Corriente!EY204*MINVU_Mes_Constante!$EP$1</f>
        <v>42221342</v>
      </c>
      <c r="EZ204" s="8">
        <f>+MINVU_Mes_Corriente!EZ204*MINVU_Mes_Constante!$EP$1</f>
        <v>47090031</v>
      </c>
      <c r="FA204" s="8">
        <f>+MINVU_Mes_Corriente!FA204*MINVU_Mes_Constante!$EP$1</f>
        <v>64975445</v>
      </c>
      <c r="FB204" s="9">
        <f t="shared" si="163"/>
        <v>64975445</v>
      </c>
      <c r="FC204" s="8">
        <f>+MINVU_Mes_Corriente!FC204*MINVU_Mes_Constante!$FC$1</f>
        <v>2332360</v>
      </c>
      <c r="FD204" s="8">
        <f>+MINVU_Mes_Corriente!FD204*MINVU_Mes_Constante!$FC$1</f>
        <v>6325878</v>
      </c>
      <c r="FE204" s="8">
        <f>+MINVU_Mes_Corriente!FE204*MINVU_Mes_Constante!$FC$1</f>
        <v>11440218</v>
      </c>
      <c r="FF204" s="8">
        <f>+MINVU_Mes_Corriente!FF204*MINVU_Mes_Constante!$FC$1</f>
        <v>16337153</v>
      </c>
      <c r="FG204" s="8">
        <f>+MINVU_Mes_Corriente!FG204*MINVU_Mes_Constante!$FC$1</f>
        <v>19007467</v>
      </c>
      <c r="FH204" s="8">
        <f>+MINVU_Mes_Corriente!FH204*MINVU_Mes_Constante!$FC$1</f>
        <v>24168176</v>
      </c>
      <c r="FI204" s="8">
        <f>+MINVU_Mes_Corriente!FI204*MINVU_Mes_Constante!$FC$1</f>
        <v>28151398</v>
      </c>
      <c r="FJ204" s="8"/>
      <c r="FK204" s="8"/>
      <c r="FL204" s="8"/>
      <c r="FM204" s="8"/>
      <c r="FN204" s="8"/>
      <c r="FO204" s="9">
        <f t="shared" si="164"/>
        <v>28151398</v>
      </c>
    </row>
    <row r="205" spans="2:171" ht="14.25" customHeight="1" x14ac:dyDescent="0.3">
      <c r="B205" s="7" t="s">
        <v>58</v>
      </c>
      <c r="C205" s="8">
        <f>+MINVU_Mes_Corriente!C205*MINVU_Mes_Constante!$C$1</f>
        <v>10428339.577042861</v>
      </c>
      <c r="D205" s="8">
        <f>+MINVU_Mes_Corriente!D205*MINVU_Mes_Constante!$C$1</f>
        <v>15481346.409609968</v>
      </c>
      <c r="E205" s="8">
        <f>+MINVU_Mes_Corriente!E205*MINVU_Mes_Constante!$C$1</f>
        <v>21431962.30134955</v>
      </c>
      <c r="F205" s="8">
        <f>+MINVU_Mes_Corriente!F205*MINVU_Mes_Constante!$C$1</f>
        <v>27702091.182559695</v>
      </c>
      <c r="G205" s="8">
        <f>+MINVU_Mes_Corriente!G205*MINVU_Mes_Constante!$C$1</f>
        <v>37950254.651638739</v>
      </c>
      <c r="H205" s="8">
        <f>+MINVU_Mes_Corriente!H205*MINVU_Mes_Constante!$C$1</f>
        <v>46254121.594542496</v>
      </c>
      <c r="I205" s="8">
        <f>+MINVU_Mes_Corriente!I205*MINVU_Mes_Constante!$C$1</f>
        <v>54083456.947946027</v>
      </c>
      <c r="J205" s="8">
        <f>+MINVU_Mes_Corriente!J205*MINVU_Mes_Constante!$C$1</f>
        <v>61855195.445943952</v>
      </c>
      <c r="K205" s="8">
        <f>+MINVU_Mes_Corriente!K205*MINVU_Mes_Constante!$C$1</f>
        <v>69855031.815215796</v>
      </c>
      <c r="L205" s="8">
        <f>+MINVU_Mes_Corriente!L205*MINVU_Mes_Constante!$C$1</f>
        <v>76973297.320183903</v>
      </c>
      <c r="M205" s="8">
        <f>+MINVU_Mes_Corriente!M205*MINVU_Mes_Constante!$C$1</f>
        <v>86274309.619753838</v>
      </c>
      <c r="N205" s="8">
        <f>+MINVU_Mes_Corriente!N205*MINVU_Mes_Constante!$C$1</f>
        <v>90664204.014830202</v>
      </c>
      <c r="O205" s="9">
        <f t="shared" si="152"/>
        <v>90664204.014830202</v>
      </c>
      <c r="P205" s="8">
        <f>+MINVU_Mes_Corriente!P205*MINVU_Mes_Constante!$P$1</f>
        <v>9107051.5030544084</v>
      </c>
      <c r="Q205" s="8">
        <f>+MINVU_Mes_Corriente!Q205*MINVU_Mes_Constante!$P$1</f>
        <v>16204121.028271055</v>
      </c>
      <c r="R205" s="8">
        <f>+MINVU_Mes_Corriente!R205*MINVU_Mes_Constante!$P$1</f>
        <v>21390168.11592555</v>
      </c>
      <c r="S205" s="8">
        <f>+MINVU_Mes_Corriente!S205*MINVU_Mes_Constante!$P$1</f>
        <v>30811433.311265793</v>
      </c>
      <c r="T205" s="8">
        <f>+MINVU_Mes_Corriente!T205*MINVU_Mes_Constante!$P$1</f>
        <v>37574611.789174587</v>
      </c>
      <c r="U205" s="8">
        <f>+MINVU_Mes_Corriente!U205*MINVU_Mes_Constante!$P$1</f>
        <v>46132050.877965599</v>
      </c>
      <c r="V205" s="8">
        <f>+MINVU_Mes_Corriente!V205*MINVU_Mes_Constante!$P$1</f>
        <v>53528375.456172734</v>
      </c>
      <c r="W205" s="8">
        <f>+MINVU_Mes_Corriente!W205*MINVU_Mes_Constante!$P$1</f>
        <v>62479804.02500353</v>
      </c>
      <c r="X205" s="8">
        <f>+MINVU_Mes_Corriente!X205*MINVU_Mes_Constante!$P$1</f>
        <v>71534479.335701063</v>
      </c>
      <c r="Y205" s="8">
        <f>+MINVU_Mes_Corriente!Y205*MINVU_Mes_Constante!$P$1</f>
        <v>77648270.949282542</v>
      </c>
      <c r="Z205" s="8">
        <f>+MINVU_Mes_Corriente!Z205*MINVU_Mes_Constante!$P$1</f>
        <v>89051714.952692106</v>
      </c>
      <c r="AA205" s="8">
        <f>+MINVU_Mes_Corriente!AA205*MINVU_Mes_Constante!$P$1</f>
        <v>95119218.138087764</v>
      </c>
      <c r="AB205" s="9">
        <f t="shared" si="153"/>
        <v>95119218.138087764</v>
      </c>
      <c r="AC205" s="8">
        <f>+MINVU_Mes_Corriente!AC205*MINVU_Mes_Constante!$AC$1</f>
        <v>11024782.889472956</v>
      </c>
      <c r="AD205" s="8">
        <f>+MINVU_Mes_Corriente!AD205*MINVU_Mes_Constante!$AC$1</f>
        <v>16202481.134043436</v>
      </c>
      <c r="AE205" s="8">
        <f>+MINVU_Mes_Corriente!AE205*MINVU_Mes_Constante!$AC$1</f>
        <v>22918197.137363397</v>
      </c>
      <c r="AF205" s="8">
        <f>+MINVU_Mes_Corriente!AF205*MINVU_Mes_Constante!$AC$1</f>
        <v>31127735.690413613</v>
      </c>
      <c r="AG205" s="8">
        <f>+MINVU_Mes_Corriente!AG205*MINVU_Mes_Constante!$AC$1</f>
        <v>38655755.736063078</v>
      </c>
      <c r="AH205" s="8">
        <f>+MINVU_Mes_Corriente!AH205*MINVU_Mes_Constante!$AC$1</f>
        <v>45302654.111495368</v>
      </c>
      <c r="AI205" s="8">
        <f>+MINVU_Mes_Corriente!AI205*MINVU_Mes_Constante!$AC$1</f>
        <v>53873386.969152026</v>
      </c>
      <c r="AJ205" s="8">
        <f>+MINVU_Mes_Corriente!AJ205*MINVU_Mes_Constante!$AC$1</f>
        <v>62455725.962373771</v>
      </c>
      <c r="AK205" s="8">
        <f>+MINVU_Mes_Corriente!AK205*MINVU_Mes_Constante!$AC$1</f>
        <v>74586886.886982977</v>
      </c>
      <c r="AL205" s="8">
        <f>+MINVU_Mes_Corriente!AL205*MINVU_Mes_Constante!$AC$1</f>
        <v>85368927.881864712</v>
      </c>
      <c r="AM205" s="8">
        <f>+MINVU_Mes_Corriente!AM205*MINVU_Mes_Constante!$AC$1</f>
        <v>96308272.141651675</v>
      </c>
      <c r="AN205" s="8">
        <f>+MINVU_Mes_Corriente!AN205*MINVU_Mes_Constante!$AC$1</f>
        <v>104771715.88103472</v>
      </c>
      <c r="AO205" s="9">
        <f t="shared" si="154"/>
        <v>104771715.88103472</v>
      </c>
      <c r="AP205" s="8">
        <f>+MINVU_Mes_Corriente!AP205*MINVU_Mes_Constante!$AP$1</f>
        <v>8317158.5007439461</v>
      </c>
      <c r="AQ205" s="8">
        <f>+MINVU_Mes_Corriente!AQ205*MINVU_Mes_Constante!$AP$1</f>
        <v>17137403.659137022</v>
      </c>
      <c r="AR205" s="8">
        <f>+MINVU_Mes_Corriente!AR205*MINVU_Mes_Constante!$AP$1</f>
        <v>27039411.490599215</v>
      </c>
      <c r="AS205" s="8">
        <f>+MINVU_Mes_Corriente!AS205*MINVU_Mes_Constante!$AP$1</f>
        <v>38384638.548897602</v>
      </c>
      <c r="AT205" s="8">
        <f>+MINVU_Mes_Corriente!AT205*MINVU_Mes_Constante!$AP$1</f>
        <v>51177472.673069119</v>
      </c>
      <c r="AU205" s="8">
        <f>+MINVU_Mes_Corriente!AU205*MINVU_Mes_Constante!$AP$1</f>
        <v>62935081.228729874</v>
      </c>
      <c r="AV205" s="8">
        <f>+MINVU_Mes_Corriente!AV205*MINVU_Mes_Constante!$AP$1</f>
        <v>76719985.216556191</v>
      </c>
      <c r="AW205" s="8">
        <f>+MINVU_Mes_Corriente!AW205*MINVU_Mes_Constante!$AP$1</f>
        <v>89211375.242256179</v>
      </c>
      <c r="AX205" s="8">
        <f>+MINVU_Mes_Corriente!AX205*MINVU_Mes_Constante!$AP$1</f>
        <v>99138829.28878668</v>
      </c>
      <c r="AY205" s="8">
        <f>+MINVU_Mes_Corriente!AY205*MINVU_Mes_Constante!$AP$1</f>
        <v>110052808.17638306</v>
      </c>
      <c r="AZ205" s="8">
        <f>+MINVU_Mes_Corriente!AZ205*MINVU_Mes_Constante!$AP$1</f>
        <v>120030483.69349384</v>
      </c>
      <c r="BA205" s="8">
        <f>+MINVU_Mes_Corriente!BA205*MINVU_Mes_Constante!$AP$1</f>
        <v>126373747.16218044</v>
      </c>
      <c r="BB205" s="9">
        <f t="shared" si="155"/>
        <v>126373747.16218044</v>
      </c>
      <c r="BC205" s="8">
        <f>+MINVU_Mes_Corriente!BC205*MINVU_Mes_Constante!$BC$1</f>
        <v>9971016.0174073614</v>
      </c>
      <c r="BD205" s="8">
        <f>+MINVU_Mes_Corriente!BD205*MINVU_Mes_Constante!$BC$1</f>
        <v>16666654.111301599</v>
      </c>
      <c r="BE205" s="8">
        <f>+MINVU_Mes_Corriente!BE205*MINVU_Mes_Constante!$BC$1</f>
        <v>24840430.300408814</v>
      </c>
      <c r="BF205" s="8">
        <f>+MINVU_Mes_Corriente!BF205*MINVU_Mes_Constante!$BC$1</f>
        <v>36406502.554925501</v>
      </c>
      <c r="BG205" s="8">
        <f>+MINVU_Mes_Corriente!BG205*MINVU_Mes_Constante!$BC$1</f>
        <v>53135526.936832398</v>
      </c>
      <c r="BH205" s="8">
        <f>+MINVU_Mes_Corriente!BH205*MINVU_Mes_Constante!$BC$1</f>
        <v>64567890.7714625</v>
      </c>
      <c r="BI205" s="8">
        <f>+MINVU_Mes_Corriente!BI205*MINVU_Mes_Constante!$BC$1</f>
        <v>72800714.620598719</v>
      </c>
      <c r="BJ205" s="8">
        <f>+MINVU_Mes_Corriente!BJ205*MINVU_Mes_Constante!$BC$1</f>
        <v>80341327.45272322</v>
      </c>
      <c r="BK205" s="8">
        <f>+MINVU_Mes_Corriente!BK205*MINVU_Mes_Constante!$BC$1</f>
        <v>87287632.452327594</v>
      </c>
      <c r="BL205" s="8">
        <f>+MINVU_Mes_Corriente!BL205*MINVU_Mes_Constante!$BC$1</f>
        <v>96613922.255044207</v>
      </c>
      <c r="BM205" s="8">
        <f>+MINVU_Mes_Corriente!BM205*MINVU_Mes_Constante!$BC$1</f>
        <v>103034884.48397735</v>
      </c>
      <c r="BN205" s="8">
        <f>+MINVU_Mes_Corriente!BN205*MINVU_Mes_Constante!$BC$1</f>
        <v>105063877.12040092</v>
      </c>
      <c r="BO205" s="9">
        <f t="shared" si="156"/>
        <v>105063877.12040092</v>
      </c>
      <c r="BP205" s="8">
        <f>+MINVU_Mes_Corriente!BP205*MINVU_Mes_Constante!$BP$1</f>
        <v>16585834.478104996</v>
      </c>
      <c r="BQ205" s="8">
        <f>+MINVU_Mes_Corriente!BQ205*MINVU_Mes_Constante!$BP$1</f>
        <v>28517173.37055058</v>
      </c>
      <c r="BR205" s="8">
        <f>+MINVU_Mes_Corriente!BR205*MINVU_Mes_Constante!$BP$1</f>
        <v>39133228.911395654</v>
      </c>
      <c r="BS205" s="8">
        <f>+MINVU_Mes_Corriente!BS205*MINVU_Mes_Constante!$BP$1</f>
        <v>50923518.879641488</v>
      </c>
      <c r="BT205" s="8">
        <f>+MINVU_Mes_Corriente!BT205*MINVU_Mes_Constante!$BP$1</f>
        <v>59071441.383610763</v>
      </c>
      <c r="BU205" s="8">
        <f>+MINVU_Mes_Corriente!BU205*MINVU_Mes_Constante!$BP$1</f>
        <v>68909294.32317543</v>
      </c>
      <c r="BV205" s="8">
        <f>+MINVU_Mes_Corriente!BV205*MINVU_Mes_Constante!$BP$1</f>
        <v>84111173.930857882</v>
      </c>
      <c r="BW205" s="8">
        <f>+MINVU_Mes_Corriente!BW205*MINVU_Mes_Constante!$BP$1</f>
        <v>93753581.575160056</v>
      </c>
      <c r="BX205" s="8">
        <f>+MINVU_Mes_Corriente!BX205*MINVU_Mes_Constante!$BP$1</f>
        <v>107613360.86658132</v>
      </c>
      <c r="BY205" s="8">
        <f>+MINVU_Mes_Corriente!BY205*MINVU_Mes_Constante!$BP$1</f>
        <v>115812561.42483996</v>
      </c>
      <c r="BZ205" s="8">
        <f>+MINVU_Mes_Corriente!BZ205*MINVU_Mes_Constante!$BP$1</f>
        <v>131786401.40435341</v>
      </c>
      <c r="CA205" s="8">
        <f>+MINVU_Mes_Corriente!CA205*MINVU_Mes_Constante!$BP$1</f>
        <v>143759561.2755442</v>
      </c>
      <c r="CB205" s="9">
        <f t="shared" si="157"/>
        <v>143759561.2755442</v>
      </c>
      <c r="CC205" s="8">
        <f>+MINVU_Mes_Corriente!CC205*MINVU_Mes_Constante!$CC$1</f>
        <v>6174968.208877285</v>
      </c>
      <c r="CD205" s="8">
        <f>+MINVU_Mes_Corriente!CD205*MINVU_Mes_Constante!$CC$1</f>
        <v>12569502.422976503</v>
      </c>
      <c r="CE205" s="8">
        <f>+MINVU_Mes_Corriente!CE205*MINVU_Mes_Constante!$CC$1</f>
        <v>23276142.901902277</v>
      </c>
      <c r="CF205" s="8">
        <f>+MINVU_Mes_Corriente!CF205*MINVU_Mes_Constante!$CC$1</f>
        <v>37520709.936590828</v>
      </c>
      <c r="CG205" s="8">
        <f>+MINVU_Mes_Corriente!CG205*MINVU_Mes_Constante!$CC$1</f>
        <v>49200204.552778818</v>
      </c>
      <c r="CH205" s="8">
        <f>+MINVU_Mes_Corriente!CH205*MINVU_Mes_Constante!$CC$1</f>
        <v>62753944.910108171</v>
      </c>
      <c r="CI205" s="8">
        <f>+MINVU_Mes_Corriente!CI205*MINVU_Mes_Constante!$CC$1</f>
        <v>74891099.41365163</v>
      </c>
      <c r="CJ205" s="8">
        <f>+MINVU_Mes_Corriente!CJ205*MINVU_Mes_Constante!$CC$1</f>
        <v>89003579.082431942</v>
      </c>
      <c r="CK205" s="8">
        <f>+MINVU_Mes_Corriente!CK205*MINVU_Mes_Constante!$CC$1</f>
        <v>101466273.50466245</v>
      </c>
      <c r="CL205" s="8">
        <f>+MINVU_Mes_Corriente!CL205*MINVU_Mes_Constante!$CC$1</f>
        <v>113339034.56620665</v>
      </c>
      <c r="CM205" s="8">
        <f>+MINVU_Mes_Corriente!CM205*MINVU_Mes_Constante!$CC$1</f>
        <v>147814453.80380458</v>
      </c>
      <c r="CN205" s="8">
        <f>+MINVU_Mes_Corriente!CN205*MINVU_Mes_Constante!$CC$1</f>
        <v>158364829.25326371</v>
      </c>
      <c r="CO205" s="9">
        <f t="shared" si="158"/>
        <v>158364829.25326371</v>
      </c>
      <c r="CP205" s="8">
        <f>+MINVU_Mes_Corriente!CP205*MINVU_Mes_Constante!$CP$1</f>
        <v>6566286.4392111357</v>
      </c>
      <c r="CQ205" s="8">
        <f>+MINVU_Mes_Corriente!CQ205*MINVU_Mes_Constante!$CP$1</f>
        <v>12049014.0800464</v>
      </c>
      <c r="CR205" s="8">
        <f>+MINVU_Mes_Corriente!CR205*MINVU_Mes_Constante!$CP$1</f>
        <v>24456702.629234333</v>
      </c>
      <c r="CS205" s="8">
        <f>+MINVU_Mes_Corriente!CS205*MINVU_Mes_Constante!$CP$1</f>
        <v>46974604.303712286</v>
      </c>
      <c r="CT205" s="8">
        <f>+MINVU_Mes_Corriente!CT205*MINVU_Mes_Constante!$CP$1</f>
        <v>58918271.209976785</v>
      </c>
      <c r="CU205" s="8">
        <f>+MINVU_Mes_Corriente!CU205*MINVU_Mes_Constante!$CP$1</f>
        <v>77406581.695823655</v>
      </c>
      <c r="CV205" s="8">
        <f>+MINVU_Mes_Corriente!CV205*MINVU_Mes_Constante!$CP$1</f>
        <v>86205843.40092805</v>
      </c>
      <c r="CW205" s="8">
        <f>+MINVU_Mes_Corriente!CW205*MINVU_Mes_Constante!$CP$1</f>
        <v>98657810.135498822</v>
      </c>
      <c r="CX205" s="8">
        <f>+MINVU_Mes_Corriente!CX205*MINVU_Mes_Constante!$CP$1</f>
        <v>110434250.93596286</v>
      </c>
      <c r="CY205" s="8">
        <f>+MINVU_Mes_Corriente!CY205*MINVU_Mes_Constante!$CP$1</f>
        <v>119268484.71368907</v>
      </c>
      <c r="CZ205" s="8">
        <f>+MINVU_Mes_Corriente!CZ205*MINVU_Mes_Constante!$CP$1</f>
        <v>130761238.64199533</v>
      </c>
      <c r="DA205" s="8">
        <f>+MINVU_Mes_Corriente!DA205*MINVU_Mes_Constante!$CP$1</f>
        <v>143237696.34779578</v>
      </c>
      <c r="DB205" s="9">
        <f t="shared" si="159"/>
        <v>143237696.34779578</v>
      </c>
      <c r="DC205" s="8">
        <f>+MINVU_Mes_Corriente!DC205*MINVU_Mes_Constante!$DC$1</f>
        <v>9204286.7421047259</v>
      </c>
      <c r="DD205" s="8">
        <f>+MINVU_Mes_Corriente!DD205*MINVU_Mes_Constante!$DC$1</f>
        <v>15922571.858656524</v>
      </c>
      <c r="DE205" s="8">
        <f>+MINVU_Mes_Corriente!DE205*MINVU_Mes_Constante!$DC$1</f>
        <v>25387186.482872143</v>
      </c>
      <c r="DF205" s="8">
        <f>+MINVU_Mes_Corriente!DF205*MINVU_Mes_Constante!$DC$1</f>
        <v>36355800.243184872</v>
      </c>
      <c r="DG205" s="8">
        <f>+MINVU_Mes_Corriente!DG205*MINVU_Mes_Constante!$DC$1</f>
        <v>50460281.655591011</v>
      </c>
      <c r="DH205" s="8">
        <f>+MINVU_Mes_Corriente!DH205*MINVU_Mes_Constante!$DC$1</f>
        <v>64660144.429173984</v>
      </c>
      <c r="DI205" s="8">
        <f>+MINVU_Mes_Corriente!DI205*MINVU_Mes_Constante!$DC$1</f>
        <v>77797074.085793674</v>
      </c>
      <c r="DJ205" s="8">
        <f>+MINVU_Mes_Corriente!DJ205*MINVU_Mes_Constante!$DC$1</f>
        <v>89959469.956794605</v>
      </c>
      <c r="DK205" s="8">
        <f>+MINVU_Mes_Corriente!DK205*MINVU_Mes_Constante!$DC$1</f>
        <v>99465883.471453607</v>
      </c>
      <c r="DL205" s="8">
        <f>+MINVU_Mes_Corriente!DL205*MINVU_Mes_Constante!$DC$1</f>
        <v>112503342.80608997</v>
      </c>
      <c r="DM205" s="8">
        <f>+MINVU_Mes_Corriente!DM205*MINVU_Mes_Constante!$DC$1</f>
        <v>119610345.57740979</v>
      </c>
      <c r="DN205" s="8">
        <f>+MINVU_Mes_Corriente!DN205*MINVU_Mes_Constante!$DC$1</f>
        <v>133056938.14792722</v>
      </c>
      <c r="DO205" s="9">
        <f t="shared" si="160"/>
        <v>133056938.14792722</v>
      </c>
      <c r="DP205" s="8">
        <f>+MINVU_Mes_Corriente!DP205*MINVU_Mes_Constante!$DP$1</f>
        <v>12300265.662114015</v>
      </c>
      <c r="DQ205" s="8">
        <f>+MINVU_Mes_Corriente!DQ205*MINVU_Mes_Constante!$DP$1</f>
        <v>26754733.232779101</v>
      </c>
      <c r="DR205" s="8">
        <f>+MINVU_Mes_Corriente!DR205*MINVU_Mes_Constante!$DP$1</f>
        <v>40916551.829572454</v>
      </c>
      <c r="DS205" s="8">
        <f>+MINVU_Mes_Corriente!DS205*MINVU_Mes_Constante!$DP$1</f>
        <v>66849342.541567706</v>
      </c>
      <c r="DT205" s="8">
        <f>+MINVU_Mes_Corriente!DT205*MINVU_Mes_Constante!$DP$1</f>
        <v>76225881.324228033</v>
      </c>
      <c r="DU205" s="8">
        <f>+MINVU_Mes_Corriente!DU205*MINVU_Mes_Constante!$DP$1</f>
        <v>96228406.031472698</v>
      </c>
      <c r="DV205" s="8">
        <f>+MINVU_Mes_Corriente!DV205*MINVU_Mes_Constante!$DP$1</f>
        <v>109462156.95249407</v>
      </c>
      <c r="DW205" s="8">
        <f>+MINVU_Mes_Corriente!DW205*MINVU_Mes_Constante!$DP$1</f>
        <v>124900015.34679337</v>
      </c>
      <c r="DX205" s="8">
        <f>+MINVU_Mes_Corriente!DX205*MINVU_Mes_Constante!$DP$1</f>
        <v>134482585.5730404</v>
      </c>
      <c r="DY205" s="8">
        <f>+MINVU_Mes_Corriente!DY205*MINVU_Mes_Constante!$DP$1</f>
        <v>141277070.71140143</v>
      </c>
      <c r="DZ205" s="8">
        <f>+MINVU_Mes_Corriente!DZ205*MINVU_Mes_Constante!$DP$1</f>
        <v>147995139.81235155</v>
      </c>
      <c r="EA205" s="8">
        <f>+MINVU_Mes_Corriente!EA205*MINVU_Mes_Constante!$DP$1</f>
        <v>158780525.9554632</v>
      </c>
      <c r="EB205" s="9">
        <f t="shared" si="161"/>
        <v>158780525.9554632</v>
      </c>
      <c r="EC205" s="8">
        <f>+MINVU_Mes_Corriente!EC205*MINVU_Mes_Constante!$EC$1</f>
        <v>23315431.253739815</v>
      </c>
      <c r="ED205" s="8">
        <f>+MINVU_Mes_Corriente!ED205*MINVU_Mes_Constante!$EC$1</f>
        <v>43245450.407309204</v>
      </c>
      <c r="EE205" s="8">
        <f>+MINVU_Mes_Corriente!EE205*MINVU_Mes_Constante!$EC$1</f>
        <v>62277192.432872541</v>
      </c>
      <c r="EF205" s="8">
        <f>+MINVU_Mes_Corriente!EF205*MINVU_Mes_Constante!$EC$1</f>
        <v>75154854.096572593</v>
      </c>
      <c r="EG205" s="8">
        <f>+MINVU_Mes_Corriente!EG205*MINVU_Mes_Constante!$EC$1</f>
        <v>112720395.16303727</v>
      </c>
      <c r="EH205" s="8">
        <f>+MINVU_Mes_Corriente!EH205*MINVU_Mes_Constante!$EC$1</f>
        <v>125879572.53039193</v>
      </c>
      <c r="EI205" s="8">
        <f>+MINVU_Mes_Corriente!EI205*MINVU_Mes_Constante!$EC$1</f>
        <v>137333847.0096572</v>
      </c>
      <c r="EJ205" s="8">
        <f>+MINVU_Mes_Corriente!EJ205*MINVU_Mes_Constante!$EC$1</f>
        <v>150384038.50975189</v>
      </c>
      <c r="EK205" s="8">
        <f>+MINVU_Mes_Corriente!EK205*MINVU_Mes_Constante!$EC$1</f>
        <v>154121140.15716717</v>
      </c>
      <c r="EL205" s="8">
        <f>+MINVU_Mes_Corriente!EL205*MINVU_Mes_Constante!$EC$1</f>
        <v>167235741.47206962</v>
      </c>
      <c r="EM205" s="8">
        <f>+MINVU_Mes_Corriente!EM205*MINVU_Mes_Constante!$EC$1</f>
        <v>178222601.00927848</v>
      </c>
      <c r="EN205" s="8">
        <f>+MINVU_Mes_Corriente!EN205*MINVU_Mes_Constante!$EC$1</f>
        <v>216247689.92539284</v>
      </c>
      <c r="EO205" s="9">
        <f t="shared" si="162"/>
        <v>216247689.92539284</v>
      </c>
      <c r="EP205" s="8">
        <f>+MINVU_Mes_Corriente!EP205*MINVU_Mes_Constante!$EP$1</f>
        <v>23604674</v>
      </c>
      <c r="EQ205" s="8">
        <f>+MINVU_Mes_Corriente!EQ205*MINVU_Mes_Constante!$EP$1</f>
        <v>59677134</v>
      </c>
      <c r="ER205" s="8">
        <f>+MINVU_Mes_Corriente!ER205*MINVU_Mes_Constante!$EP$1</f>
        <v>76618911</v>
      </c>
      <c r="ES205" s="8">
        <f>+MINVU_Mes_Corriente!ES205*MINVU_Mes_Constante!$EP$1</f>
        <v>91680844</v>
      </c>
      <c r="ET205" s="8">
        <f>+MINVU_Mes_Corriente!ET205*MINVU_Mes_Constante!$EP$1</f>
        <v>112332249</v>
      </c>
      <c r="EU205" s="8">
        <f>+MINVU_Mes_Corriente!EU205*MINVU_Mes_Constante!$EP$1</f>
        <v>140911345</v>
      </c>
      <c r="EV205" s="8">
        <f>+MINVU_Mes_Corriente!EV205*MINVU_Mes_Constante!$EP$1</f>
        <v>168734716</v>
      </c>
      <c r="EW205" s="8">
        <f>+MINVU_Mes_Corriente!EW205*MINVU_Mes_Constante!$EP$1</f>
        <v>179348082</v>
      </c>
      <c r="EX205" s="8">
        <f>+MINVU_Mes_Corriente!EX205*MINVU_Mes_Constante!$EP$1</f>
        <v>193278850</v>
      </c>
      <c r="EY205" s="8">
        <f>+MINVU_Mes_Corriente!EY205*MINVU_Mes_Constante!$EP$1</f>
        <v>227668824</v>
      </c>
      <c r="EZ205" s="8">
        <f>+MINVU_Mes_Corriente!EZ205*MINVU_Mes_Constante!$EP$1</f>
        <v>235434079</v>
      </c>
      <c r="FA205" s="8">
        <f>+MINVU_Mes_Corriente!FA205*MINVU_Mes_Constante!$EP$1</f>
        <v>256667592</v>
      </c>
      <c r="FB205" s="9">
        <f t="shared" si="163"/>
        <v>256667592</v>
      </c>
      <c r="FC205" s="8">
        <f>+MINVU_Mes_Corriente!FC205*MINVU_Mes_Constante!$FC$1</f>
        <v>48052626</v>
      </c>
      <c r="FD205" s="8">
        <f>+MINVU_Mes_Corriente!FD205*MINVU_Mes_Constante!$FC$1</f>
        <v>67828812</v>
      </c>
      <c r="FE205" s="8">
        <f>+MINVU_Mes_Corriente!FE205*MINVU_Mes_Constante!$FC$1</f>
        <v>88161628</v>
      </c>
      <c r="FF205" s="8">
        <f>+MINVU_Mes_Corriente!FF205*MINVU_Mes_Constante!$FC$1</f>
        <v>101252491</v>
      </c>
      <c r="FG205" s="8">
        <f>+MINVU_Mes_Corriente!FG205*MINVU_Mes_Constante!$FC$1</f>
        <v>112593638</v>
      </c>
      <c r="FH205" s="8">
        <f>+MINVU_Mes_Corriente!FH205*MINVU_Mes_Constante!$FC$1</f>
        <v>134540956</v>
      </c>
      <c r="FI205" s="8">
        <f>+MINVU_Mes_Corriente!FI205*MINVU_Mes_Constante!$FC$1</f>
        <v>152096621</v>
      </c>
      <c r="FJ205" s="8"/>
      <c r="FK205" s="8"/>
      <c r="FL205" s="8"/>
      <c r="FM205" s="8"/>
      <c r="FN205" s="8"/>
      <c r="FO205" s="9">
        <f t="shared" si="164"/>
        <v>152096621</v>
      </c>
    </row>
    <row r="206" spans="2:171" ht="14.25" customHeight="1" x14ac:dyDescent="0.3">
      <c r="B206" s="7" t="s">
        <v>59</v>
      </c>
      <c r="C206" s="8">
        <f>+MINVU_Mes_Corriente!C206*MINVU_Mes_Constante!$C$1</f>
        <v>2115573.6882693167</v>
      </c>
      <c r="D206" s="8">
        <f>+MINVU_Mes_Corriente!D206*MINVU_Mes_Constante!$C$1</f>
        <v>3401735.4830194279</v>
      </c>
      <c r="E206" s="8">
        <f>+MINVU_Mes_Corriente!E206*MINVU_Mes_Constante!$C$1</f>
        <v>4969221.9285184648</v>
      </c>
      <c r="F206" s="8">
        <f>+MINVU_Mes_Corriente!F206*MINVU_Mes_Constante!$C$1</f>
        <v>6416963.1084087212</v>
      </c>
      <c r="G206" s="8">
        <f>+MINVU_Mes_Corriente!G206*MINVU_Mes_Constante!$C$1</f>
        <v>7668031.4272578983</v>
      </c>
      <c r="H206" s="8">
        <f>+MINVU_Mes_Corriente!H206*MINVU_Mes_Constante!$C$1</f>
        <v>9600889.9237728026</v>
      </c>
      <c r="I206" s="8">
        <f>+MINVU_Mes_Corriente!I206*MINVU_Mes_Constante!$C$1</f>
        <v>10929634.438380545</v>
      </c>
      <c r="J206" s="8">
        <f>+MINVU_Mes_Corriente!J206*MINVU_Mes_Constante!$C$1</f>
        <v>12433203.054723419</v>
      </c>
      <c r="K206" s="8">
        <f>+MINVU_Mes_Corriente!K206*MINVU_Mes_Constante!$C$1</f>
        <v>14629398.729645561</v>
      </c>
      <c r="L206" s="8">
        <f>+MINVU_Mes_Corriente!L206*MINVU_Mes_Constante!$C$1</f>
        <v>16697449.259973308</v>
      </c>
      <c r="M206" s="8">
        <f>+MINVU_Mes_Corriente!M206*MINVU_Mes_Constante!$C$1</f>
        <v>18919640.162242327</v>
      </c>
      <c r="N206" s="8">
        <f>+MINVU_Mes_Corriente!N206*MINVU_Mes_Constante!$C$1</f>
        <v>21795135.541450396</v>
      </c>
      <c r="O206" s="9">
        <f t="shared" si="152"/>
        <v>21795135.541450396</v>
      </c>
      <c r="P206" s="8">
        <f>+MINVU_Mes_Corriente!P206*MINVU_Mes_Constante!$P$1</f>
        <v>1032122.8282426477</v>
      </c>
      <c r="Q206" s="8">
        <f>+MINVU_Mes_Corriente!Q206*MINVU_Mes_Constante!$P$1</f>
        <v>2185598.9177439967</v>
      </c>
      <c r="R206" s="8">
        <f>+MINVU_Mes_Corriente!R206*MINVU_Mes_Constante!$P$1</f>
        <v>3984356.2784486418</v>
      </c>
      <c r="S206" s="8">
        <f>+MINVU_Mes_Corriente!S206*MINVU_Mes_Constante!$P$1</f>
        <v>7038496.9140502885</v>
      </c>
      <c r="T206" s="8">
        <f>+MINVU_Mes_Corriente!T206*MINVU_Mes_Constante!$P$1</f>
        <v>9176109.2868305128</v>
      </c>
      <c r="U206" s="8">
        <f>+MINVU_Mes_Corriente!U206*MINVU_Mes_Constante!$P$1</f>
        <v>10767999.081403604</v>
      </c>
      <c r="V206" s="8">
        <f>+MINVU_Mes_Corriente!V206*MINVU_Mes_Constante!$P$1</f>
        <v>13679844.050291229</v>
      </c>
      <c r="W206" s="8">
        <f>+MINVU_Mes_Corriente!W206*MINVU_Mes_Constante!$P$1</f>
        <v>14607439.564142628</v>
      </c>
      <c r="X206" s="8">
        <f>+MINVU_Mes_Corriente!X206*MINVU_Mes_Constante!$P$1</f>
        <v>16591872.179855086</v>
      </c>
      <c r="Y206" s="8">
        <f>+MINVU_Mes_Corriente!Y206*MINVU_Mes_Constante!$P$1</f>
        <v>21490066.742719129</v>
      </c>
      <c r="Z206" s="8">
        <f>+MINVU_Mes_Corriente!Z206*MINVU_Mes_Constante!$P$1</f>
        <v>23261783.068333562</v>
      </c>
      <c r="AA206" s="8">
        <f>+MINVU_Mes_Corriente!AA206*MINVU_Mes_Constante!$P$1</f>
        <v>27399219.762466248</v>
      </c>
      <c r="AB206" s="9">
        <f t="shared" si="153"/>
        <v>27399219.762466248</v>
      </c>
      <c r="AC206" s="8">
        <f>+MINVU_Mes_Corriente!AC206*MINVU_Mes_Constante!$AC$1</f>
        <v>1136136.233227279</v>
      </c>
      <c r="AD206" s="8">
        <f>+MINVU_Mes_Corriente!AD206*MINVU_Mes_Constante!$AC$1</f>
        <v>2559845.874671462</v>
      </c>
      <c r="AE206" s="8">
        <f>+MINVU_Mes_Corriente!AE206*MINVU_Mes_Constante!$AC$1</f>
        <v>6974513.631484299</v>
      </c>
      <c r="AF206" s="8">
        <f>+MINVU_Mes_Corriente!AF206*MINVU_Mes_Constante!$AC$1</f>
        <v>8169802.0105132107</v>
      </c>
      <c r="AG206" s="8">
        <f>+MINVU_Mes_Corriente!AG206*MINVU_Mes_Constante!$AC$1</f>
        <v>10350293.960990455</v>
      </c>
      <c r="AH206" s="8">
        <f>+MINVU_Mes_Corriente!AH206*MINVU_Mes_Constante!$AC$1</f>
        <v>13831948.726794854</v>
      </c>
      <c r="AI206" s="8">
        <f>+MINVU_Mes_Corriente!AI206*MINVU_Mes_Constante!$AC$1</f>
        <v>16908996.890579611</v>
      </c>
      <c r="AJ206" s="8">
        <f>+MINVU_Mes_Corriente!AJ206*MINVU_Mes_Constante!$AC$1</f>
        <v>20720268.022409737</v>
      </c>
      <c r="AK206" s="8">
        <f>+MINVU_Mes_Corriente!AK206*MINVU_Mes_Constante!$AC$1</f>
        <v>23872735.663300596</v>
      </c>
      <c r="AL206" s="8">
        <f>+MINVU_Mes_Corriente!AL206*MINVU_Mes_Constante!$AC$1</f>
        <v>26955249.094203901</v>
      </c>
      <c r="AM206" s="8">
        <f>+MINVU_Mes_Corriente!AM206*MINVU_Mes_Constante!$AC$1</f>
        <v>29452569.350670908</v>
      </c>
      <c r="AN206" s="8">
        <f>+MINVU_Mes_Corriente!AN206*MINVU_Mes_Constante!$AC$1</f>
        <v>35590106.64434915</v>
      </c>
      <c r="AO206" s="9">
        <f t="shared" si="154"/>
        <v>35590106.64434915</v>
      </c>
      <c r="AP206" s="8">
        <f>+MINVU_Mes_Corriente!AP206*MINVU_Mes_Constante!$AP$1</f>
        <v>1613357.7224401459</v>
      </c>
      <c r="AQ206" s="8">
        <f>+MINVU_Mes_Corriente!AQ206*MINVU_Mes_Constante!$AP$1</f>
        <v>6067874.4736913294</v>
      </c>
      <c r="AR206" s="8">
        <f>+MINVU_Mes_Corriente!AR206*MINVU_Mes_Constante!$AP$1</f>
        <v>9656884.4328418765</v>
      </c>
      <c r="AS206" s="8">
        <f>+MINVU_Mes_Corriente!AS206*MINVU_Mes_Constante!$AP$1</f>
        <v>12521429.50574868</v>
      </c>
      <c r="AT206" s="8">
        <f>+MINVU_Mes_Corriente!AT206*MINVU_Mes_Constante!$AP$1</f>
        <v>17247593.24847829</v>
      </c>
      <c r="AU206" s="8">
        <f>+MINVU_Mes_Corriente!AU206*MINVU_Mes_Constante!$AP$1</f>
        <v>21269305.61666441</v>
      </c>
      <c r="AV206" s="8">
        <f>+MINVU_Mes_Corriente!AV206*MINVU_Mes_Constante!$AP$1</f>
        <v>24331653.704855945</v>
      </c>
      <c r="AW206" s="8">
        <f>+MINVU_Mes_Corriente!AW206*MINVU_Mes_Constante!$AP$1</f>
        <v>28616600.946030028</v>
      </c>
      <c r="AX206" s="8">
        <f>+MINVU_Mes_Corriente!AX206*MINVU_Mes_Constante!$AP$1</f>
        <v>30513691.799269576</v>
      </c>
      <c r="AY206" s="8">
        <f>+MINVU_Mes_Corriente!AY206*MINVU_Mes_Constante!$AP$1</f>
        <v>33072014.773163803</v>
      </c>
      <c r="AZ206" s="8">
        <f>+MINVU_Mes_Corriente!AZ206*MINVU_Mes_Constante!$AP$1</f>
        <v>36487620.111997835</v>
      </c>
      <c r="BA206" s="8">
        <f>+MINVU_Mes_Corriente!BA206*MINVU_Mes_Constante!$AP$1</f>
        <v>39766518.180170432</v>
      </c>
      <c r="BB206" s="9">
        <f t="shared" si="155"/>
        <v>39766518.180170432</v>
      </c>
      <c r="BC206" s="8">
        <f>+MINVU_Mes_Corriente!BC206*MINVU_Mes_Constante!$BC$1</f>
        <v>811058.46314123715</v>
      </c>
      <c r="BD206" s="8">
        <f>+MINVU_Mes_Corriente!BD206*MINVU_Mes_Constante!$BC$1</f>
        <v>2223384.0862455498</v>
      </c>
      <c r="BE206" s="8">
        <f>+MINVU_Mes_Corriente!BE206*MINVU_Mes_Constante!$BC$1</f>
        <v>3398591.1589080845</v>
      </c>
      <c r="BF206" s="8">
        <f>+MINVU_Mes_Corriente!BF206*MINVU_Mes_Constante!$BC$1</f>
        <v>4816713.3398391148</v>
      </c>
      <c r="BG206" s="8">
        <f>+MINVU_Mes_Corriente!BG206*MINVU_Mes_Constante!$BC$1</f>
        <v>6843927.9617565628</v>
      </c>
      <c r="BH206" s="8">
        <f>+MINVU_Mes_Corriente!BH206*MINVU_Mes_Constante!$BC$1</f>
        <v>8947304.7139654513</v>
      </c>
      <c r="BI206" s="8">
        <f>+MINVU_Mes_Corriente!BI206*MINVU_Mes_Constante!$BC$1</f>
        <v>10307261.037847821</v>
      </c>
      <c r="BJ206" s="8">
        <f>+MINVU_Mes_Corriente!BJ206*MINVU_Mes_Constante!$BC$1</f>
        <v>12191165.385203749</v>
      </c>
      <c r="BK206" s="8">
        <f>+MINVU_Mes_Corriente!BK206*MINVU_Mes_Constante!$BC$1</f>
        <v>13470200.436238959</v>
      </c>
      <c r="BL206" s="8">
        <f>+MINVU_Mes_Corriente!BL206*MINVU_Mes_Constante!$BC$1</f>
        <v>15372161.572728476</v>
      </c>
      <c r="BM206" s="8">
        <f>+MINVU_Mes_Corriente!BM206*MINVU_Mes_Constante!$BC$1</f>
        <v>17111003.566398527</v>
      </c>
      <c r="BN206" s="8">
        <f>+MINVU_Mes_Corriente!BN206*MINVU_Mes_Constante!$BC$1</f>
        <v>19437183.979163922</v>
      </c>
      <c r="BO206" s="9">
        <f t="shared" si="156"/>
        <v>19437183.979163922</v>
      </c>
      <c r="BP206" s="8">
        <f>+MINVU_Mes_Corriente!BP206*MINVU_Mes_Constante!$BP$1</f>
        <v>1892569.2637644049</v>
      </c>
      <c r="BQ206" s="8">
        <f>+MINVU_Mes_Corriente!BQ206*MINVU_Mes_Constante!$BP$1</f>
        <v>3673553.4299615882</v>
      </c>
      <c r="BR206" s="8">
        <f>+MINVU_Mes_Corriente!BR206*MINVU_Mes_Constante!$BP$1</f>
        <v>5866348.4688860439</v>
      </c>
      <c r="BS206" s="8">
        <f>+MINVU_Mes_Corriente!BS206*MINVU_Mes_Constante!$BP$1</f>
        <v>8356536.3572343159</v>
      </c>
      <c r="BT206" s="8">
        <f>+MINVU_Mes_Corriente!BT206*MINVU_Mes_Constante!$BP$1</f>
        <v>10644432.363380283</v>
      </c>
      <c r="BU206" s="8">
        <f>+MINVU_Mes_Corriente!BU206*MINVU_Mes_Constante!$BP$1</f>
        <v>12472332.577720871</v>
      </c>
      <c r="BV206" s="8">
        <f>+MINVU_Mes_Corriente!BV206*MINVU_Mes_Constante!$BP$1</f>
        <v>14322020.43918054</v>
      </c>
      <c r="BW206" s="8">
        <f>+MINVU_Mes_Corriente!BW206*MINVU_Mes_Constante!$BP$1</f>
        <v>14322020.43918054</v>
      </c>
      <c r="BX206" s="8">
        <f>+MINVU_Mes_Corriente!BX206*MINVU_Mes_Constante!$BP$1</f>
        <v>19994991.298847634</v>
      </c>
      <c r="BY206" s="8">
        <f>+MINVU_Mes_Corriente!BY206*MINVU_Mes_Constante!$BP$1</f>
        <v>22248433.332138285</v>
      </c>
      <c r="BZ206" s="8">
        <f>+MINVU_Mes_Corriente!BZ206*MINVU_Mes_Constante!$BP$1</f>
        <v>27650597.476056341</v>
      </c>
      <c r="CA206" s="8">
        <f>+MINVU_Mes_Corriente!CA206*MINVU_Mes_Constante!$BP$1</f>
        <v>31120232.015108839</v>
      </c>
      <c r="CB206" s="9">
        <f t="shared" si="157"/>
        <v>31120232.015108839</v>
      </c>
      <c r="CC206" s="8">
        <f>+MINVU_Mes_Corriente!CC206*MINVU_Mes_Constante!$CC$1</f>
        <v>2751876.7251025741</v>
      </c>
      <c r="CD206" s="8">
        <f>+MINVU_Mes_Corriente!CD206*MINVU_Mes_Constante!$CC$1</f>
        <v>4938962.251398732</v>
      </c>
      <c r="CE206" s="8">
        <f>+MINVU_Mes_Corriente!CE206*MINVU_Mes_Constante!$CC$1</f>
        <v>7409278.8228273038</v>
      </c>
      <c r="CF206" s="8">
        <f>+MINVU_Mes_Corriente!CF206*MINVU_Mes_Constante!$CC$1</f>
        <v>10780287.397239838</v>
      </c>
      <c r="CG206" s="8">
        <f>+MINVU_Mes_Corriente!CG206*MINVU_Mes_Constante!$CC$1</f>
        <v>13408241.030958598</v>
      </c>
      <c r="CH206" s="8">
        <f>+MINVU_Mes_Corriente!CH206*MINVU_Mes_Constante!$CC$1</f>
        <v>15428518.610220069</v>
      </c>
      <c r="CI206" s="8">
        <f>+MINVU_Mes_Corriente!CI206*MINVU_Mes_Constante!$CC$1</f>
        <v>17836952.425960463</v>
      </c>
      <c r="CJ206" s="8">
        <f>+MINVU_Mes_Corriente!CJ206*MINVU_Mes_Constante!$CC$1</f>
        <v>19162573.861991797</v>
      </c>
      <c r="CK206" s="8">
        <f>+MINVU_Mes_Corriente!CK206*MINVU_Mes_Constante!$CC$1</f>
        <v>21225456.456546068</v>
      </c>
      <c r="CL206" s="8">
        <f>+MINVU_Mes_Corriente!CL206*MINVU_Mes_Constante!$CC$1</f>
        <v>27922538.851174936</v>
      </c>
      <c r="CM206" s="8">
        <f>+MINVU_Mes_Corriente!CM206*MINVU_Mes_Constante!$CC$1</f>
        <v>39717508.368519209</v>
      </c>
      <c r="CN206" s="8">
        <f>+MINVU_Mes_Corriente!CN206*MINVU_Mes_Constante!$CC$1</f>
        <v>44633415.034688555</v>
      </c>
      <c r="CO206" s="9">
        <f t="shared" si="158"/>
        <v>44633415.034688555</v>
      </c>
      <c r="CP206" s="8">
        <f>+MINVU_Mes_Corriente!CP206*MINVU_Mes_Constante!$CP$1</f>
        <v>25833.272157772615</v>
      </c>
      <c r="CQ206" s="8">
        <f>+MINVU_Mes_Corriente!CQ206*MINVU_Mes_Constante!$CP$1</f>
        <v>4923862.7408352662</v>
      </c>
      <c r="CR206" s="8">
        <f>+MINVU_Mes_Corriente!CR206*MINVU_Mes_Constante!$CP$1</f>
        <v>9138967.7763341051</v>
      </c>
      <c r="CS206" s="8">
        <f>+MINVU_Mes_Corriente!CS206*MINVU_Mes_Constante!$CP$1</f>
        <v>12419700.811600925</v>
      </c>
      <c r="CT206" s="8">
        <f>+MINVU_Mes_Corriente!CT206*MINVU_Mes_Constante!$CP$1</f>
        <v>18627525.724593963</v>
      </c>
      <c r="CU206" s="8">
        <f>+MINVU_Mes_Corriente!CU206*MINVU_Mes_Constante!$CP$1</f>
        <v>21179962.273781899</v>
      </c>
      <c r="CV206" s="8">
        <f>+MINVU_Mes_Corriente!CV206*MINVU_Mes_Constante!$CP$1</f>
        <v>23146796.910904869</v>
      </c>
      <c r="CW206" s="8">
        <f>+MINVU_Mes_Corriente!CW206*MINVU_Mes_Constante!$CP$1</f>
        <v>25198243.404640365</v>
      </c>
      <c r="CX206" s="8">
        <f>+MINVU_Mes_Corriente!CX206*MINVU_Mes_Constante!$CP$1</f>
        <v>27735544.528538279</v>
      </c>
      <c r="CY206" s="8">
        <f>+MINVU_Mes_Corriente!CY206*MINVU_Mes_Constante!$CP$1</f>
        <v>29817855.070997674</v>
      </c>
      <c r="CZ206" s="8">
        <f>+MINVU_Mes_Corriente!CZ206*MINVU_Mes_Constante!$CP$1</f>
        <v>32012698.343387466</v>
      </c>
      <c r="DA206" s="8">
        <f>+MINVU_Mes_Corriente!DA206*MINVU_Mes_Constante!$CP$1</f>
        <v>36627508.653828301</v>
      </c>
      <c r="DB206" s="9">
        <f t="shared" si="159"/>
        <v>36627508.653828301</v>
      </c>
      <c r="DC206" s="8">
        <f>+MINVU_Mes_Corriente!DC206*MINVU_Mes_Constante!$DC$1</f>
        <v>657621.33977985836</v>
      </c>
      <c r="DD206" s="8">
        <f>+MINVU_Mes_Corriente!DD206*MINVU_Mes_Constante!$DC$1</f>
        <v>5203198.1304392572</v>
      </c>
      <c r="DE206" s="8">
        <f>+MINVU_Mes_Corriente!DE206*MINVU_Mes_Constante!$DC$1</f>
        <v>8984049.3336076569</v>
      </c>
      <c r="DF206" s="8">
        <f>+MINVU_Mes_Corriente!DF206*MINVU_Mes_Constante!$DC$1</f>
        <v>11134173.962555299</v>
      </c>
      <c r="DG206" s="8">
        <f>+MINVU_Mes_Corriente!DG206*MINVU_Mes_Constante!$DC$1</f>
        <v>13944262.260672776</v>
      </c>
      <c r="DH206" s="8">
        <f>+MINVU_Mes_Corriente!DH206*MINVU_Mes_Constante!$DC$1</f>
        <v>17782174.585947957</v>
      </c>
      <c r="DI206" s="8">
        <f>+MINVU_Mes_Corriente!DI206*MINVU_Mes_Constante!$DC$1</f>
        <v>23592137.184651796</v>
      </c>
      <c r="DJ206" s="8">
        <f>+MINVU_Mes_Corriente!DJ206*MINVU_Mes_Constante!$DC$1</f>
        <v>26682786.864725865</v>
      </c>
      <c r="DK206" s="8">
        <f>+MINVU_Mes_Corriente!DK206*MINVU_Mes_Constante!$DC$1</f>
        <v>30390017.666083749</v>
      </c>
      <c r="DL206" s="8">
        <f>+MINVU_Mes_Corriente!DL206*MINVU_Mes_Constante!$DC$1</f>
        <v>33711220.4452217</v>
      </c>
      <c r="DM206" s="8">
        <f>+MINVU_Mes_Corriente!DM206*MINVU_Mes_Constante!$DC$1</f>
        <v>36877573.22209651</v>
      </c>
      <c r="DN206" s="8">
        <f>+MINVU_Mes_Corriente!DN206*MINVU_Mes_Constante!$DC$1</f>
        <v>44439666.765970603</v>
      </c>
      <c r="DO206" s="9">
        <f t="shared" si="160"/>
        <v>44439666.765970603</v>
      </c>
      <c r="DP206" s="8">
        <f>+MINVU_Mes_Corriente!DP206*MINVU_Mes_Constante!$DP$1</f>
        <v>1143313.3361045131</v>
      </c>
      <c r="DQ206" s="8">
        <f>+MINVU_Mes_Corriente!DQ206*MINVU_Mes_Constante!$DP$1</f>
        <v>4153317.1193586704</v>
      </c>
      <c r="DR206" s="8">
        <f>+MINVU_Mes_Corriente!DR206*MINVU_Mes_Constante!$DP$1</f>
        <v>7210344.6591448942</v>
      </c>
      <c r="DS206" s="8">
        <f>+MINVU_Mes_Corriente!DS206*MINVU_Mes_Constante!$DP$1</f>
        <v>9231343.2292161528</v>
      </c>
      <c r="DT206" s="8">
        <f>+MINVU_Mes_Corriente!DT206*MINVU_Mes_Constante!$DP$1</f>
        <v>11290899.635985749</v>
      </c>
      <c r="DU206" s="8">
        <f>+MINVU_Mes_Corriente!DU206*MINVU_Mes_Constante!$DP$1</f>
        <v>14442305.583135393</v>
      </c>
      <c r="DV206" s="8">
        <f>+MINVU_Mes_Corriente!DV206*MINVU_Mes_Constante!$DP$1</f>
        <v>17165154.751781475</v>
      </c>
      <c r="DW206" s="8">
        <f>+MINVU_Mes_Corriente!DW206*MINVU_Mes_Constante!$DP$1</f>
        <v>21458102.777315918</v>
      </c>
      <c r="DX206" s="8">
        <f>+MINVU_Mes_Corriente!DX206*MINVU_Mes_Constante!$DP$1</f>
        <v>26503666.642517816</v>
      </c>
      <c r="DY206" s="8">
        <f>+MINVU_Mes_Corriente!DY206*MINVU_Mes_Constante!$DP$1</f>
        <v>28870858.507125892</v>
      </c>
      <c r="DZ206" s="8">
        <f>+MINVU_Mes_Corriente!DZ206*MINVU_Mes_Constante!$DP$1</f>
        <v>40669750.099168651</v>
      </c>
      <c r="EA206" s="8">
        <f>+MINVU_Mes_Corriente!EA206*MINVU_Mes_Constante!$DP$1</f>
        <v>55586872.78147269</v>
      </c>
      <c r="EB206" s="9">
        <f t="shared" si="161"/>
        <v>55586872.78147269</v>
      </c>
      <c r="EC206" s="8">
        <f>+MINVU_Mes_Corriente!EC206*MINVU_Mes_Constante!$EC$1</f>
        <v>2641653.7703086529</v>
      </c>
      <c r="ED206" s="8">
        <f>+MINVU_Mes_Corriente!ED206*MINVU_Mes_Constante!$EC$1</f>
        <v>5497249.0066275308</v>
      </c>
      <c r="EE206" s="8">
        <f>+MINVU_Mes_Corriente!EE206*MINVU_Mes_Constante!$EC$1</f>
        <v>8073078.8509751912</v>
      </c>
      <c r="EF206" s="8">
        <f>+MINVU_Mes_Corriente!EF206*MINVU_Mes_Constante!$EC$1</f>
        <v>10275667.14239727</v>
      </c>
      <c r="EG206" s="8">
        <f>+MINVU_Mes_Corriente!EG206*MINVU_Mes_Constante!$EC$1</f>
        <v>13162410.064760458</v>
      </c>
      <c r="EH206" s="8">
        <f>+MINVU_Mes_Corriente!EH206*MINVU_Mes_Constante!$EC$1</f>
        <v>16161957.057943566</v>
      </c>
      <c r="EI206" s="8">
        <f>+MINVU_Mes_Corriente!EI206*MINVU_Mes_Constante!$EC$1</f>
        <v>18593318.948305238</v>
      </c>
      <c r="EJ206" s="8">
        <f>+MINVU_Mes_Corriente!EJ206*MINVU_Mes_Constante!$EC$1</f>
        <v>21909396.154516183</v>
      </c>
      <c r="EK206" s="8">
        <f>+MINVU_Mes_Corriente!EK206*MINVU_Mes_Constante!$EC$1</f>
        <v>24223491.299943186</v>
      </c>
      <c r="EL206" s="8">
        <f>+MINVU_Mes_Corriente!EL206*MINVU_Mes_Constante!$EC$1</f>
        <v>27137430.259041838</v>
      </c>
      <c r="EM206" s="8">
        <f>+MINVU_Mes_Corriente!EM206*MINVU_Mes_Constante!$EC$1</f>
        <v>30956589.662942614</v>
      </c>
      <c r="EN206" s="8">
        <f>+MINVU_Mes_Corriente!EN206*MINVU_Mes_Constante!$EC$1</f>
        <v>42029382.05567126</v>
      </c>
      <c r="EO206" s="9">
        <f t="shared" si="162"/>
        <v>42029382.05567126</v>
      </c>
      <c r="EP206" s="8">
        <f>+MINVU_Mes_Corriente!EP206*MINVU_Mes_Constante!$EP$1</f>
        <v>1502066</v>
      </c>
      <c r="EQ206" s="8">
        <f>+MINVU_Mes_Corriente!EQ206*MINVU_Mes_Constante!$EP$1</f>
        <v>3141424</v>
      </c>
      <c r="ER206" s="8">
        <f>+MINVU_Mes_Corriente!ER206*MINVU_Mes_Constante!$EP$1</f>
        <v>5424813</v>
      </c>
      <c r="ES206" s="8">
        <f>+MINVU_Mes_Corriente!ES206*MINVU_Mes_Constante!$EP$1</f>
        <v>8635636</v>
      </c>
      <c r="ET206" s="8">
        <f>+MINVU_Mes_Corriente!ET206*MINVU_Mes_Constante!$EP$1</f>
        <v>10539066</v>
      </c>
      <c r="EU206" s="8">
        <f>+MINVU_Mes_Corriente!EU206*MINVU_Mes_Constante!$EP$1</f>
        <v>23615826</v>
      </c>
      <c r="EV206" s="8">
        <f>+MINVU_Mes_Corriente!EV206*MINVU_Mes_Constante!$EP$1</f>
        <v>25551878</v>
      </c>
      <c r="EW206" s="8">
        <f>+MINVU_Mes_Corriente!EW206*MINVU_Mes_Constante!$EP$1</f>
        <v>27867890</v>
      </c>
      <c r="EX206" s="8">
        <f>+MINVU_Mes_Corriente!EX206*MINVU_Mes_Constante!$EP$1</f>
        <v>31455323</v>
      </c>
      <c r="EY206" s="8">
        <f>+MINVU_Mes_Corriente!EY206*MINVU_Mes_Constante!$EP$1</f>
        <v>41450059</v>
      </c>
      <c r="EZ206" s="8">
        <f>+MINVU_Mes_Corriente!EZ206*MINVU_Mes_Constante!$EP$1</f>
        <v>44040457</v>
      </c>
      <c r="FA206" s="8">
        <f>+MINVU_Mes_Corriente!FA206*MINVU_Mes_Constante!$EP$1</f>
        <v>49928043</v>
      </c>
      <c r="FB206" s="9">
        <f t="shared" si="163"/>
        <v>49928043</v>
      </c>
      <c r="FC206" s="8">
        <f>+MINVU_Mes_Corriente!FC206*MINVU_Mes_Constante!$FC$1</f>
        <v>9915414</v>
      </c>
      <c r="FD206" s="8">
        <f>+MINVU_Mes_Corriente!FD206*MINVU_Mes_Constante!$FC$1</f>
        <v>16192369</v>
      </c>
      <c r="FE206" s="8">
        <f>+MINVU_Mes_Corriente!FE206*MINVU_Mes_Constante!$FC$1</f>
        <v>19730338</v>
      </c>
      <c r="FF206" s="8">
        <f>+MINVU_Mes_Corriente!FF206*MINVU_Mes_Constante!$FC$1</f>
        <v>24443967</v>
      </c>
      <c r="FG206" s="8">
        <f>+MINVU_Mes_Corriente!FG206*MINVU_Mes_Constante!$FC$1</f>
        <v>29917306</v>
      </c>
      <c r="FH206" s="8">
        <f>+MINVU_Mes_Corriente!FH206*MINVU_Mes_Constante!$FC$1</f>
        <v>37520057</v>
      </c>
      <c r="FI206" s="8">
        <f>+MINVU_Mes_Corriente!FI206*MINVU_Mes_Constante!$FC$1</f>
        <v>39532590</v>
      </c>
      <c r="FJ206" s="8"/>
      <c r="FK206" s="8"/>
      <c r="FL206" s="8"/>
      <c r="FM206" s="8"/>
      <c r="FN206" s="8"/>
      <c r="FO206" s="9">
        <f t="shared" si="164"/>
        <v>39532590</v>
      </c>
    </row>
    <row r="207" spans="2:171" ht="14.25" customHeight="1" x14ac:dyDescent="0.3">
      <c r="B207" s="7" t="s">
        <v>60</v>
      </c>
      <c r="C207" s="8">
        <f>+MINVU_Mes_Corriente!C207*MINVU_Mes_Constante!$C$1</f>
        <v>1300083.816402195</v>
      </c>
      <c r="D207" s="8">
        <f>+MINVU_Mes_Corriente!D207*MINVU_Mes_Constante!$C$1</f>
        <v>3137923.5429334128</v>
      </c>
      <c r="E207" s="8">
        <f>+MINVU_Mes_Corriente!E207*MINVU_Mes_Constante!$C$1</f>
        <v>5365419.4613673445</v>
      </c>
      <c r="F207" s="8">
        <f>+MINVU_Mes_Corriente!F207*MINVU_Mes_Constante!$C$1</f>
        <v>7788087.7994957743</v>
      </c>
      <c r="G207" s="8">
        <f>+MINVU_Mes_Corriente!G207*MINVU_Mes_Constante!$C$1</f>
        <v>9270109.0410796404</v>
      </c>
      <c r="H207" s="8">
        <f>+MINVU_Mes_Corriente!H207*MINVU_Mes_Constante!$C$1</f>
        <v>11745587.729497258</v>
      </c>
      <c r="I207" s="8">
        <f>+MINVU_Mes_Corriente!I207*MINVU_Mes_Constante!$C$1</f>
        <v>13569421.176331012</v>
      </c>
      <c r="J207" s="8">
        <f>+MINVU_Mes_Corriente!J207*MINVU_Mes_Constante!$C$1</f>
        <v>16495503.789707847</v>
      </c>
      <c r="K207" s="8">
        <f>+MINVU_Mes_Corriente!K207*MINVU_Mes_Constante!$C$1</f>
        <v>18433706.1907163</v>
      </c>
      <c r="L207" s="8">
        <f>+MINVU_Mes_Corriente!L207*MINVU_Mes_Constante!$C$1</f>
        <v>19926520.563843988</v>
      </c>
      <c r="M207" s="8">
        <f>+MINVU_Mes_Corriente!M207*MINVU_Mes_Constante!$C$1</f>
        <v>22214427.880468637</v>
      </c>
      <c r="N207" s="8">
        <f>+MINVU_Mes_Corriente!N207*MINVU_Mes_Constante!$C$1</f>
        <v>23828867.121755898</v>
      </c>
      <c r="O207" s="9">
        <f t="shared" si="152"/>
        <v>23828867.121755898</v>
      </c>
      <c r="P207" s="8">
        <f>+MINVU_Mes_Corriente!P207*MINVU_Mes_Constante!$P$1</f>
        <v>2746016.2596959784</v>
      </c>
      <c r="Q207" s="8">
        <f>+MINVU_Mes_Corriente!Q207*MINVU_Mes_Constante!$P$1</f>
        <v>4721980.0224463688</v>
      </c>
      <c r="R207" s="8">
        <f>+MINVU_Mes_Corriente!R207*MINVU_Mes_Constante!$P$1</f>
        <v>8634830.6833356973</v>
      </c>
      <c r="S207" s="8">
        <f>+MINVU_Mes_Corriente!S207*MINVU_Mes_Constante!$P$1</f>
        <v>12596855.32916607</v>
      </c>
      <c r="T207" s="8">
        <f>+MINVU_Mes_Corriente!T207*MINVU_Mes_Constante!$P$1</f>
        <v>14320339.860775674</v>
      </c>
      <c r="U207" s="8">
        <f>+MINVU_Mes_Corriente!U207*MINVU_Mes_Constante!$P$1</f>
        <v>16674221.530331006</v>
      </c>
      <c r="V207" s="8">
        <f>+MINVU_Mes_Corriente!V207*MINVU_Mes_Constante!$P$1</f>
        <v>18424020.663162373</v>
      </c>
      <c r="W207" s="8">
        <f>+MINVU_Mes_Corriente!W207*MINVU_Mes_Constante!$P$1</f>
        <v>20488354.795567546</v>
      </c>
      <c r="X207" s="8">
        <f>+MINVU_Mes_Corriente!X207*MINVU_Mes_Constante!$P$1</f>
        <v>24133728.780792717</v>
      </c>
      <c r="Y207" s="8">
        <f>+MINVU_Mes_Corriente!Y207*MINVU_Mes_Constante!$P$1</f>
        <v>25868263.489131968</v>
      </c>
      <c r="Z207" s="8">
        <f>+MINVU_Mes_Corriente!Z207*MINVU_Mes_Constante!$P$1</f>
        <v>29140079.722972002</v>
      </c>
      <c r="AA207" s="8">
        <f>+MINVU_Mes_Corriente!AA207*MINVU_Mes_Constante!$P$1</f>
        <v>31492904.338116199</v>
      </c>
      <c r="AB207" s="9">
        <f t="shared" si="153"/>
        <v>31492904.338116199</v>
      </c>
      <c r="AC207" s="8">
        <f>+MINVU_Mes_Corriente!AC207*MINVU_Mes_Constante!$AC$1</f>
        <v>2033940.8731498132</v>
      </c>
      <c r="AD207" s="8">
        <f>+MINVU_Mes_Corriente!AD207*MINVU_Mes_Constante!$AC$1</f>
        <v>3034346.2301839814</v>
      </c>
      <c r="AE207" s="8">
        <f>+MINVU_Mes_Corriente!AE207*MINVU_Mes_Constante!$AC$1</f>
        <v>5600686.6437958227</v>
      </c>
      <c r="AF207" s="8">
        <f>+MINVU_Mes_Corriente!AF207*MINVU_Mes_Constante!$AC$1</f>
        <v>8684285.2687785309</v>
      </c>
      <c r="AG207" s="8">
        <f>+MINVU_Mes_Corriente!AG207*MINVU_Mes_Constante!$AC$1</f>
        <v>10733093.905381104</v>
      </c>
      <c r="AH207" s="8">
        <f>+MINVU_Mes_Corriente!AH207*MINVU_Mes_Constante!$AC$1</f>
        <v>13901035.386083828</v>
      </c>
      <c r="AI207" s="8">
        <f>+MINVU_Mes_Corriente!AI207*MINVU_Mes_Constante!$AC$1</f>
        <v>16983745.300594825</v>
      </c>
      <c r="AJ207" s="8">
        <f>+MINVU_Mes_Corriente!AJ207*MINVU_Mes_Constante!$AC$1</f>
        <v>19257349.321344584</v>
      </c>
      <c r="AK207" s="8">
        <f>+MINVU_Mes_Corriente!AK207*MINVU_Mes_Constante!$AC$1</f>
        <v>21174402.096278876</v>
      </c>
      <c r="AL207" s="8">
        <f>+MINVU_Mes_Corriente!AL207*MINVU_Mes_Constante!$AC$1</f>
        <v>22482233.2629686</v>
      </c>
      <c r="AM207" s="8">
        <f>+MINVU_Mes_Corriente!AM207*MINVU_Mes_Constante!$AC$1</f>
        <v>26905062.646562457</v>
      </c>
      <c r="AN207" s="8">
        <f>+MINVU_Mes_Corriente!AN207*MINVU_Mes_Constante!$AC$1</f>
        <v>30150406.577396598</v>
      </c>
      <c r="AO207" s="9">
        <f t="shared" si="154"/>
        <v>30150406.577396598</v>
      </c>
      <c r="AP207" s="8">
        <f>+MINVU_Mes_Corriente!AP207*MINVU_Mes_Constante!$AP$1</f>
        <v>718642.02137156762</v>
      </c>
      <c r="AQ207" s="8">
        <f>+MINVU_Mes_Corriente!AQ207*MINVU_Mes_Constante!$AP$1</f>
        <v>4013334.2410388202</v>
      </c>
      <c r="AR207" s="8">
        <f>+MINVU_Mes_Corriente!AR207*MINVU_Mes_Constante!$AP$1</f>
        <v>6629019.8233464081</v>
      </c>
      <c r="AS207" s="8">
        <f>+MINVU_Mes_Corriente!AS207*MINVU_Mes_Constante!$AP$1</f>
        <v>9761432.9371026643</v>
      </c>
      <c r="AT207" s="8">
        <f>+MINVU_Mes_Corriente!AT207*MINVU_Mes_Constante!$AP$1</f>
        <v>12335564.841336399</v>
      </c>
      <c r="AU207" s="8">
        <f>+MINVU_Mes_Corriente!AU207*MINVU_Mes_Constante!$AP$1</f>
        <v>14400877.374002434</v>
      </c>
      <c r="AV207" s="8">
        <f>+MINVU_Mes_Corriente!AV207*MINVU_Mes_Constante!$AP$1</f>
        <v>16796460.142026238</v>
      </c>
      <c r="AW207" s="8">
        <f>+MINVU_Mes_Corriente!AW207*MINVU_Mes_Constante!$AP$1</f>
        <v>19554452.699310157</v>
      </c>
      <c r="AX207" s="8">
        <f>+MINVU_Mes_Corriente!AX207*MINVU_Mes_Constante!$AP$1</f>
        <v>20238822.579467062</v>
      </c>
      <c r="AY207" s="8">
        <f>+MINVU_Mes_Corriente!AY207*MINVU_Mes_Constante!$AP$1</f>
        <v>21758346.46016502</v>
      </c>
      <c r="AZ207" s="8">
        <f>+MINVU_Mes_Corriente!AZ207*MINVU_Mes_Constante!$AP$1</f>
        <v>23653563.35587718</v>
      </c>
      <c r="BA207" s="8">
        <f>+MINVU_Mes_Corriente!BA207*MINVU_Mes_Constante!$AP$1</f>
        <v>26117060.827539563</v>
      </c>
      <c r="BB207" s="9">
        <f t="shared" si="155"/>
        <v>26117060.827539563</v>
      </c>
      <c r="BC207" s="8">
        <f>+MINVU_Mes_Corriente!BC207*MINVU_Mes_Constante!$BC$1</f>
        <v>733455.47830673889</v>
      </c>
      <c r="BD207" s="8">
        <f>+MINVU_Mes_Corriente!BD207*MINVU_Mes_Constante!$BC$1</f>
        <v>1240111.8064090733</v>
      </c>
      <c r="BE207" s="8">
        <f>+MINVU_Mes_Corriente!BE207*MINVU_Mes_Constante!$BC$1</f>
        <v>4941200.2906501396</v>
      </c>
      <c r="BF207" s="8">
        <f>+MINVU_Mes_Corriente!BF207*MINVU_Mes_Constante!$BC$1</f>
        <v>6080025.7861004891</v>
      </c>
      <c r="BG207" s="8">
        <f>+MINVU_Mes_Corriente!BG207*MINVU_Mes_Constante!$BC$1</f>
        <v>11235955.188447846</v>
      </c>
      <c r="BH207" s="8">
        <f>+MINVU_Mes_Corriente!BH207*MINVU_Mes_Constante!$BC$1</f>
        <v>15759123.232229993</v>
      </c>
      <c r="BI207" s="8">
        <f>+MINVU_Mes_Corriente!BI207*MINVU_Mes_Constante!$BC$1</f>
        <v>21242661.172886726</v>
      </c>
      <c r="BJ207" s="8">
        <f>+MINVU_Mes_Corriente!BJ207*MINVU_Mes_Constante!$BC$1</f>
        <v>23558741.195305295</v>
      </c>
      <c r="BK207" s="8">
        <f>+MINVU_Mes_Corriente!BK207*MINVU_Mes_Constante!$BC$1</f>
        <v>24365965.544507459</v>
      </c>
      <c r="BL207" s="8">
        <f>+MINVU_Mes_Corriente!BL207*MINVU_Mes_Constante!$BC$1</f>
        <v>25398754.231570624</v>
      </c>
      <c r="BM207" s="8">
        <f>+MINVU_Mes_Corriente!BM207*MINVU_Mes_Constante!$BC$1</f>
        <v>26714123.311618101</v>
      </c>
      <c r="BN207" s="8">
        <f>+MINVU_Mes_Corriente!BN207*MINVU_Mes_Constante!$BC$1</f>
        <v>28597323.081102472</v>
      </c>
      <c r="BO207" s="9">
        <f t="shared" si="156"/>
        <v>28597323.081102472</v>
      </c>
      <c r="BP207" s="8">
        <f>+MINVU_Mes_Corriente!BP207*MINVU_Mes_Constante!$BP$1</f>
        <v>678953.67119078117</v>
      </c>
      <c r="BQ207" s="8">
        <f>+MINVU_Mes_Corriente!BQ207*MINVU_Mes_Constante!$BP$1</f>
        <v>1517454.9218950067</v>
      </c>
      <c r="BR207" s="8">
        <f>+MINVU_Mes_Corriente!BR207*MINVU_Mes_Constante!$BP$1</f>
        <v>1860437.5905249682</v>
      </c>
      <c r="BS207" s="8">
        <f>+MINVU_Mes_Corriente!BS207*MINVU_Mes_Constante!$BP$1</f>
        <v>2509102.0394366202</v>
      </c>
      <c r="BT207" s="8">
        <f>+MINVU_Mes_Corriente!BT207*MINVU_Mes_Constante!$BP$1</f>
        <v>3259298.5467349556</v>
      </c>
      <c r="BU207" s="8">
        <f>+MINVU_Mes_Corriente!BU207*MINVU_Mes_Constante!$BP$1</f>
        <v>4109265.8020486562</v>
      </c>
      <c r="BV207" s="8">
        <f>+MINVU_Mes_Corriente!BV207*MINVU_Mes_Constante!$BP$1</f>
        <v>4575314.9615877084</v>
      </c>
      <c r="BW207" s="8">
        <f>+MINVU_Mes_Corriente!BW207*MINVU_Mes_Constante!$BP$1</f>
        <v>4575314.9615877084</v>
      </c>
      <c r="BX207" s="8">
        <f>+MINVU_Mes_Corriente!BX207*MINVU_Mes_Constante!$BP$1</f>
        <v>10857050.085019207</v>
      </c>
      <c r="BY207" s="8">
        <f>+MINVU_Mes_Corriente!BY207*MINVU_Mes_Constante!$BP$1</f>
        <v>14927986.751600513</v>
      </c>
      <c r="BZ207" s="8">
        <f>+MINVU_Mes_Corriente!BZ207*MINVU_Mes_Constante!$BP$1</f>
        <v>23707798.587195907</v>
      </c>
      <c r="CA207" s="8">
        <f>+MINVU_Mes_Corriente!CA207*MINVU_Mes_Constante!$BP$1</f>
        <v>29467627.649423819</v>
      </c>
      <c r="CB207" s="9">
        <f t="shared" si="157"/>
        <v>29467627.649423819</v>
      </c>
      <c r="CC207" s="8">
        <f>+MINVU_Mes_Corriente!CC207*MINVU_Mes_Constante!$CC$1</f>
        <v>1714486.7825438271</v>
      </c>
      <c r="CD207" s="8">
        <f>+MINVU_Mes_Corriente!CD207*MINVU_Mes_Constante!$CC$1</f>
        <v>7132894.3573293556</v>
      </c>
      <c r="CE207" s="8">
        <f>+MINVU_Mes_Corriente!CE207*MINVU_Mes_Constante!$CC$1</f>
        <v>9077609.6061171219</v>
      </c>
      <c r="CF207" s="8">
        <f>+MINVU_Mes_Corriente!CF207*MINVU_Mes_Constante!$CC$1</f>
        <v>9607718.2603506166</v>
      </c>
      <c r="CG207" s="8">
        <f>+MINVU_Mes_Corriente!CG207*MINVU_Mes_Constante!$CC$1</f>
        <v>9905161.3920179047</v>
      </c>
      <c r="CH207" s="8">
        <f>+MINVU_Mes_Corriente!CH207*MINVU_Mes_Constante!$CC$1</f>
        <v>10192387.633718763</v>
      </c>
      <c r="CI207" s="8">
        <f>+MINVU_Mes_Corriente!CI207*MINVU_Mes_Constante!$CC$1</f>
        <v>10574911.743379338</v>
      </c>
      <c r="CJ207" s="8">
        <f>+MINVU_Mes_Corriente!CJ207*MINVU_Mes_Constante!$CC$1</f>
        <v>14756060.871316675</v>
      </c>
      <c r="CK207" s="8">
        <f>+MINVU_Mes_Corriente!CK207*MINVU_Mes_Constante!$CC$1</f>
        <v>18820382.083550915</v>
      </c>
      <c r="CL207" s="8">
        <f>+MINVU_Mes_Corriente!CL207*MINVU_Mes_Constante!$CC$1</f>
        <v>26832507.676986203</v>
      </c>
      <c r="CM207" s="8">
        <f>+MINVU_Mes_Corriente!CM207*MINVU_Mes_Constante!$CC$1</f>
        <v>35512998.004475944</v>
      </c>
      <c r="CN207" s="8">
        <f>+MINVU_Mes_Corriente!CN207*MINVU_Mes_Constante!$CC$1</f>
        <v>41824473.970160395</v>
      </c>
      <c r="CO207" s="9">
        <f t="shared" si="158"/>
        <v>41824473.970160395</v>
      </c>
      <c r="CP207" s="8">
        <f>+MINVU_Mes_Corriente!CP207*MINVU_Mes_Constante!$CP$1</f>
        <v>2717562.3786542919</v>
      </c>
      <c r="CQ207" s="8">
        <f>+MINVU_Mes_Corriente!CQ207*MINVU_Mes_Constante!$CP$1</f>
        <v>9453815.2962877005</v>
      </c>
      <c r="CR207" s="8">
        <f>+MINVU_Mes_Corriente!CR207*MINVU_Mes_Constante!$CP$1</f>
        <v>14816482.421345705</v>
      </c>
      <c r="CS207" s="8">
        <f>+MINVU_Mes_Corriente!CS207*MINVU_Mes_Constante!$CP$1</f>
        <v>16315935.226914151</v>
      </c>
      <c r="CT207" s="8">
        <f>+MINVU_Mes_Corriente!CT207*MINVU_Mes_Constante!$CP$1</f>
        <v>18537117.510904867</v>
      </c>
      <c r="CU207" s="8">
        <f>+MINVU_Mes_Corriente!CU207*MINVU_Mes_Constante!$CP$1</f>
        <v>21699698.911600925</v>
      </c>
      <c r="CV207" s="8">
        <f>+MINVU_Mes_Corriente!CV207*MINVU_Mes_Constante!$CP$1</f>
        <v>22971613.330858465</v>
      </c>
      <c r="CW207" s="8">
        <f>+MINVU_Mes_Corriente!CW207*MINVU_Mes_Constante!$CP$1</f>
        <v>23695839.818561479</v>
      </c>
      <c r="CX207" s="8">
        <f>+MINVU_Mes_Corriente!CX207*MINVU_Mes_Constante!$CP$1</f>
        <v>31751744.395823661</v>
      </c>
      <c r="CY207" s="8">
        <f>+MINVU_Mes_Corriente!CY207*MINVU_Mes_Constante!$CP$1</f>
        <v>44074580.260092795</v>
      </c>
      <c r="CZ207" s="8">
        <f>+MINVU_Mes_Corriente!CZ207*MINVU_Mes_Constante!$CP$1</f>
        <v>45697733.891415305</v>
      </c>
      <c r="DA207" s="8">
        <f>+MINVU_Mes_Corriente!DA207*MINVU_Mes_Constante!$CP$1</f>
        <v>65696394.029930383</v>
      </c>
      <c r="DB207" s="9">
        <f t="shared" si="159"/>
        <v>65696394.029930383</v>
      </c>
      <c r="DC207" s="8">
        <f>+MINVU_Mes_Corriente!DC207*MINVU_Mes_Constante!$DC$1</f>
        <v>118540.52484312319</v>
      </c>
      <c r="DD207" s="8">
        <f>+MINVU_Mes_Corriente!DD207*MINVU_Mes_Constante!$DC$1</f>
        <v>488790.41847546573</v>
      </c>
      <c r="DE207" s="8">
        <f>+MINVU_Mes_Corriente!DE207*MINVU_Mes_Constante!$DC$1</f>
        <v>863004.51352741523</v>
      </c>
      <c r="DF207" s="8">
        <f>+MINVU_Mes_Corriente!DF207*MINVU_Mes_Constante!$DC$1</f>
        <v>1245188.5978808771</v>
      </c>
      <c r="DG207" s="8">
        <f>+MINVU_Mes_Corriente!DG207*MINVU_Mes_Constante!$DC$1</f>
        <v>1979054.7824297922</v>
      </c>
      <c r="DH207" s="8">
        <f>+MINVU_Mes_Corriente!DH207*MINVU_Mes_Constante!$DC$1</f>
        <v>6550411.8078387026</v>
      </c>
      <c r="DI207" s="8">
        <f>+MINVU_Mes_Corriente!DI207*MINVU_Mes_Constante!$DC$1</f>
        <v>9174030.9048451856</v>
      </c>
      <c r="DJ207" s="8">
        <f>+MINVU_Mes_Corriente!DJ207*MINVU_Mes_Constante!$DC$1</f>
        <v>16228031.16798684</v>
      </c>
      <c r="DK207" s="8">
        <f>+MINVU_Mes_Corriente!DK207*MINVU_Mes_Constante!$DC$1</f>
        <v>25456576.305112656</v>
      </c>
      <c r="DL207" s="8">
        <f>+MINVU_Mes_Corriente!DL207*MINVU_Mes_Constante!$DC$1</f>
        <v>39740795.531529695</v>
      </c>
      <c r="DM207" s="8">
        <f>+MINVU_Mes_Corriente!DM207*MINVU_Mes_Constante!$DC$1</f>
        <v>47173396.699516535</v>
      </c>
      <c r="DN207" s="8">
        <f>+MINVU_Mes_Corriente!DN207*MINVU_Mes_Constante!$DC$1</f>
        <v>66837847.626375921</v>
      </c>
      <c r="DO207" s="9">
        <f t="shared" si="160"/>
        <v>66837847.626375921</v>
      </c>
      <c r="DP207" s="8">
        <f>+MINVU_Mes_Corriente!DP207*MINVU_Mes_Constante!$DP$1</f>
        <v>431695.94893111644</v>
      </c>
      <c r="DQ207" s="8">
        <f>+MINVU_Mes_Corriente!DQ207*MINVU_Mes_Constante!$DP$1</f>
        <v>673024.94714964379</v>
      </c>
      <c r="DR207" s="8">
        <f>+MINVU_Mes_Corriente!DR207*MINVU_Mes_Constante!$DP$1</f>
        <v>1000939.0350356295</v>
      </c>
      <c r="DS207" s="8">
        <f>+MINVU_Mes_Corriente!DS207*MINVU_Mes_Constante!$DP$1</f>
        <v>9757982.0522565339</v>
      </c>
      <c r="DT207" s="8">
        <f>+MINVU_Mes_Corriente!DT207*MINVU_Mes_Constante!$DP$1</f>
        <v>10590938.162707839</v>
      </c>
      <c r="DU207" s="8">
        <f>+MINVU_Mes_Corriente!DU207*MINVU_Mes_Constante!$DP$1</f>
        <v>20486654.426365796</v>
      </c>
      <c r="DV207" s="8">
        <f>+MINVU_Mes_Corriente!DV207*MINVU_Mes_Constante!$DP$1</f>
        <v>24693520.191805229</v>
      </c>
      <c r="DW207" s="8">
        <f>+MINVU_Mes_Corriente!DW207*MINVU_Mes_Constante!$DP$1</f>
        <v>25686568.587292165</v>
      </c>
      <c r="DX207" s="8">
        <f>+MINVU_Mes_Corriente!DX207*MINVU_Mes_Constante!$DP$1</f>
        <v>31005689.041567698</v>
      </c>
      <c r="DY207" s="8">
        <f>+MINVU_Mes_Corriente!DY207*MINVU_Mes_Constante!$DP$1</f>
        <v>32119828.530285038</v>
      </c>
      <c r="DZ207" s="8">
        <f>+MINVU_Mes_Corriente!DZ207*MINVU_Mes_Constante!$DP$1</f>
        <v>37993457.542161524</v>
      </c>
      <c r="EA207" s="8">
        <f>+MINVU_Mes_Corriente!EA207*MINVU_Mes_Constante!$DP$1</f>
        <v>52821183.614608079</v>
      </c>
      <c r="EB207" s="9">
        <f t="shared" si="161"/>
        <v>52821183.614608079</v>
      </c>
      <c r="EC207" s="8">
        <f>+MINVU_Mes_Corriente!EC207*MINVU_Mes_Constante!$EC$1</f>
        <v>1314991.9956447638</v>
      </c>
      <c r="ED207" s="8">
        <f>+MINVU_Mes_Corriente!ED207*MINVU_Mes_Constante!$EC$1</f>
        <v>1546513.1287634913</v>
      </c>
      <c r="EE207" s="8">
        <f>+MINVU_Mes_Corriente!EE207*MINVU_Mes_Constante!$EC$1</f>
        <v>2026198.8729407303</v>
      </c>
      <c r="EF207" s="8">
        <f>+MINVU_Mes_Corriente!EF207*MINVU_Mes_Constante!$EC$1</f>
        <v>12091673.443855327</v>
      </c>
      <c r="EG207" s="8">
        <f>+MINVU_Mes_Corriente!EG207*MINVU_Mes_Constante!$EC$1</f>
        <v>17556143.416019689</v>
      </c>
      <c r="EH207" s="8">
        <f>+MINVU_Mes_Corriente!EH207*MINVU_Mes_Constante!$EC$1</f>
        <v>23836483.111153182</v>
      </c>
      <c r="EI207" s="8">
        <f>+MINVU_Mes_Corriente!EI207*MINVU_Mes_Constante!$EC$1</f>
        <v>33481576.676955111</v>
      </c>
      <c r="EJ207" s="8">
        <f>+MINVU_Mes_Corriente!EJ207*MINVU_Mes_Constante!$EC$1</f>
        <v>40036756.684908152</v>
      </c>
      <c r="EK207" s="8">
        <f>+MINVU_Mes_Corriente!EK207*MINVU_Mes_Constante!$EC$1</f>
        <v>42109075.029350489</v>
      </c>
      <c r="EL207" s="8">
        <f>+MINVU_Mes_Corriente!EL207*MINVU_Mes_Constante!$EC$1</f>
        <v>52062304.139556885</v>
      </c>
      <c r="EM207" s="8">
        <f>+MINVU_Mes_Corriente!EM207*MINVU_Mes_Constante!$EC$1</f>
        <v>66042342.51467523</v>
      </c>
      <c r="EN207" s="8">
        <f>+MINVU_Mes_Corriente!EN207*MINVU_Mes_Constante!$EC$1</f>
        <v>68750112.964021951</v>
      </c>
      <c r="EO207" s="9">
        <f t="shared" si="162"/>
        <v>68750112.964021951</v>
      </c>
      <c r="EP207" s="8">
        <f>+MINVU_Mes_Corriente!EP207*MINVU_Mes_Constante!$EP$1</f>
        <v>1551358</v>
      </c>
      <c r="EQ207" s="8">
        <f>+MINVU_Mes_Corriente!EQ207*MINVU_Mes_Constante!$EP$1</f>
        <v>7621277</v>
      </c>
      <c r="ER207" s="8">
        <f>+MINVU_Mes_Corriente!ER207*MINVU_Mes_Constante!$EP$1</f>
        <v>10746706</v>
      </c>
      <c r="ES207" s="8">
        <f>+MINVU_Mes_Corriente!ES207*MINVU_Mes_Constante!$EP$1</f>
        <v>12210044</v>
      </c>
      <c r="ET207" s="8">
        <f>+MINVU_Mes_Corriente!ET207*MINVU_Mes_Constante!$EP$1</f>
        <v>19558996</v>
      </c>
      <c r="EU207" s="8">
        <f>+MINVU_Mes_Corriente!EU207*MINVU_Mes_Constante!$EP$1</f>
        <v>20758374</v>
      </c>
      <c r="EV207" s="8">
        <f>+MINVU_Mes_Corriente!EV207*MINVU_Mes_Constante!$EP$1</f>
        <v>25629922</v>
      </c>
      <c r="EW207" s="8">
        <f>+MINVU_Mes_Corriente!EW207*MINVU_Mes_Constante!$EP$1</f>
        <v>32407596</v>
      </c>
      <c r="EX207" s="8">
        <f>+MINVU_Mes_Corriente!EX207*MINVU_Mes_Constante!$EP$1</f>
        <v>33859870</v>
      </c>
      <c r="EY207" s="8">
        <f>+MINVU_Mes_Corriente!EY207*MINVU_Mes_Constante!$EP$1</f>
        <v>43167141</v>
      </c>
      <c r="EZ207" s="8">
        <f>+MINVU_Mes_Corriente!EZ207*MINVU_Mes_Constante!$EP$1</f>
        <v>50220084</v>
      </c>
      <c r="FA207" s="8">
        <f>+MINVU_Mes_Corriente!FA207*MINVU_Mes_Constante!$EP$1</f>
        <v>54657622</v>
      </c>
      <c r="FB207" s="9">
        <f t="shared" si="163"/>
        <v>54657622</v>
      </c>
      <c r="FC207" s="8">
        <f>+MINVU_Mes_Corriente!FC207*MINVU_Mes_Constante!$FC$1</f>
        <v>231133</v>
      </c>
      <c r="FD207" s="8">
        <f>+MINVU_Mes_Corriente!FD207*MINVU_Mes_Constante!$FC$1</f>
        <v>460737</v>
      </c>
      <c r="FE207" s="8">
        <f>+MINVU_Mes_Corriente!FE207*MINVU_Mes_Constante!$FC$1</f>
        <v>2148468</v>
      </c>
      <c r="FF207" s="8">
        <f>+MINVU_Mes_Corriente!FF207*MINVU_Mes_Constante!$FC$1</f>
        <v>2602862</v>
      </c>
      <c r="FG207" s="8">
        <f>+MINVU_Mes_Corriente!FG207*MINVU_Mes_Constante!$FC$1</f>
        <v>3361892</v>
      </c>
      <c r="FH207" s="8">
        <f>+MINVU_Mes_Corriente!FH207*MINVU_Mes_Constante!$FC$1</f>
        <v>3846615</v>
      </c>
      <c r="FI207" s="8">
        <f>+MINVU_Mes_Corriente!FI207*MINVU_Mes_Constante!$FC$1</f>
        <v>23634743</v>
      </c>
      <c r="FJ207" s="8"/>
      <c r="FK207" s="8"/>
      <c r="FL207" s="8"/>
      <c r="FM207" s="8"/>
      <c r="FN207" s="8"/>
      <c r="FO207" s="9">
        <f t="shared" si="164"/>
        <v>23634743</v>
      </c>
    </row>
    <row r="208" spans="2:171" ht="14.25" customHeight="1" thickBot="1" x14ac:dyDescent="0.35">
      <c r="B208" s="14" t="s">
        <v>79</v>
      </c>
      <c r="C208" s="16">
        <f t="shared" ref="C208:AH208" si="165">SUM(C190:C207)</f>
        <v>140248597.30713335</v>
      </c>
      <c r="D208" s="16">
        <f t="shared" si="165"/>
        <v>270875092.7275694</v>
      </c>
      <c r="E208" s="16">
        <f t="shared" si="165"/>
        <v>419508383.12798458</v>
      </c>
      <c r="F208" s="16">
        <f t="shared" si="165"/>
        <v>575698481.09506166</v>
      </c>
      <c r="G208" s="16">
        <f t="shared" si="165"/>
        <v>720361483.78674197</v>
      </c>
      <c r="H208" s="16">
        <f t="shared" si="165"/>
        <v>873154721.89500248</v>
      </c>
      <c r="I208" s="16">
        <f t="shared" si="165"/>
        <v>1012020536.1141927</v>
      </c>
      <c r="J208" s="16">
        <f t="shared" si="165"/>
        <v>1142280559.267982</v>
      </c>
      <c r="K208" s="16">
        <f t="shared" si="165"/>
        <v>1291499046.0987692</v>
      </c>
      <c r="L208" s="16">
        <f t="shared" si="165"/>
        <v>1447541149.6701765</v>
      </c>
      <c r="M208" s="16">
        <f t="shared" si="165"/>
        <v>1612409857.0980277</v>
      </c>
      <c r="N208" s="16">
        <f t="shared" si="165"/>
        <v>1759245169.9291117</v>
      </c>
      <c r="O208" s="16">
        <f t="shared" si="165"/>
        <v>1759245169.9291117</v>
      </c>
      <c r="P208" s="16">
        <f t="shared" si="165"/>
        <v>122334277.6016479</v>
      </c>
      <c r="Q208" s="16">
        <f t="shared" si="165"/>
        <v>246871762.38130409</v>
      </c>
      <c r="R208" s="16">
        <f t="shared" si="165"/>
        <v>389581712.1574086</v>
      </c>
      <c r="S208" s="16">
        <f t="shared" si="165"/>
        <v>533435894.61770111</v>
      </c>
      <c r="T208" s="16">
        <f t="shared" si="165"/>
        <v>687702750.65634298</v>
      </c>
      <c r="U208" s="16">
        <f t="shared" si="165"/>
        <v>849229150.60548341</v>
      </c>
      <c r="V208" s="16">
        <f t="shared" si="165"/>
        <v>1003570349.699957</v>
      </c>
      <c r="W208" s="16">
        <f t="shared" si="165"/>
        <v>1144601340.063077</v>
      </c>
      <c r="X208" s="16">
        <f t="shared" si="165"/>
        <v>1277240963.7434289</v>
      </c>
      <c r="Y208" s="16">
        <f t="shared" si="165"/>
        <v>1436899744.1264379</v>
      </c>
      <c r="Z208" s="16">
        <f t="shared" si="165"/>
        <v>1604560224.6145754</v>
      </c>
      <c r="AA208" s="16">
        <f t="shared" si="165"/>
        <v>1786185340.7214086</v>
      </c>
      <c r="AB208" s="16">
        <f t="shared" si="165"/>
        <v>1786185340.7214086</v>
      </c>
      <c r="AC208" s="16">
        <f t="shared" si="165"/>
        <v>123276670.52344725</v>
      </c>
      <c r="AD208" s="16">
        <f t="shared" si="165"/>
        <v>265688356.65126571</v>
      </c>
      <c r="AE208" s="16">
        <f t="shared" si="165"/>
        <v>422808618.23571718</v>
      </c>
      <c r="AF208" s="16">
        <f t="shared" si="165"/>
        <v>585349530.04564953</v>
      </c>
      <c r="AG208" s="16">
        <f t="shared" si="165"/>
        <v>740577672.6249826</v>
      </c>
      <c r="AH208" s="16">
        <f t="shared" si="165"/>
        <v>900355154.33725274</v>
      </c>
      <c r="AI208" s="16">
        <f t="shared" ref="AI208:BN208" si="166">SUM(AI190:AI207)</f>
        <v>1072295364.332826</v>
      </c>
      <c r="AJ208" s="16">
        <f t="shared" si="166"/>
        <v>1227439380.1884077</v>
      </c>
      <c r="AK208" s="16">
        <f t="shared" si="166"/>
        <v>1394814542.9423153</v>
      </c>
      <c r="AL208" s="16">
        <f t="shared" si="166"/>
        <v>1560138433.457463</v>
      </c>
      <c r="AM208" s="16">
        <f t="shared" si="166"/>
        <v>1735730806.6935954</v>
      </c>
      <c r="AN208" s="16">
        <f t="shared" si="166"/>
        <v>1963755312.782681</v>
      </c>
      <c r="AO208" s="16">
        <f t="shared" si="166"/>
        <v>1963755312.782681</v>
      </c>
      <c r="AP208" s="16">
        <f t="shared" si="166"/>
        <v>145473608.5053429</v>
      </c>
      <c r="AQ208" s="16">
        <f t="shared" si="166"/>
        <v>305506915.2409035</v>
      </c>
      <c r="AR208" s="16">
        <f t="shared" si="166"/>
        <v>487605081.6788854</v>
      </c>
      <c r="AS208" s="16">
        <f t="shared" si="166"/>
        <v>664702979.66076016</v>
      </c>
      <c r="AT208" s="16">
        <f t="shared" si="166"/>
        <v>849396169.37806034</v>
      </c>
      <c r="AU208" s="16">
        <f t="shared" si="166"/>
        <v>1023642808.4685512</v>
      </c>
      <c r="AV208" s="16">
        <f t="shared" si="166"/>
        <v>1204312485.7543623</v>
      </c>
      <c r="AW208" s="16">
        <f t="shared" si="166"/>
        <v>1379185842.4512377</v>
      </c>
      <c r="AX208" s="16">
        <f t="shared" si="166"/>
        <v>1534209983.8660896</v>
      </c>
      <c r="AY208" s="16">
        <f t="shared" si="166"/>
        <v>1682159337.0718248</v>
      </c>
      <c r="AZ208" s="16">
        <f t="shared" si="166"/>
        <v>1812219217.8057618</v>
      </c>
      <c r="BA208" s="16">
        <f t="shared" si="166"/>
        <v>1936155479.7411065</v>
      </c>
      <c r="BB208" s="16">
        <f t="shared" si="166"/>
        <v>1936155479.7411065</v>
      </c>
      <c r="BC208" s="16">
        <f t="shared" si="166"/>
        <v>215687032.1413689</v>
      </c>
      <c r="BD208" s="16">
        <f t="shared" si="166"/>
        <v>366266717.57035482</v>
      </c>
      <c r="BE208" s="16">
        <f t="shared" si="166"/>
        <v>535824840.50481349</v>
      </c>
      <c r="BF208" s="16">
        <f t="shared" si="166"/>
        <v>700755800.27799034</v>
      </c>
      <c r="BG208" s="16">
        <f t="shared" si="166"/>
        <v>891816292.65330374</v>
      </c>
      <c r="BH208" s="16">
        <f t="shared" si="166"/>
        <v>1070333071.3538179</v>
      </c>
      <c r="BI208" s="16">
        <f t="shared" si="166"/>
        <v>1248350612.6862719</v>
      </c>
      <c r="BJ208" s="16">
        <f t="shared" si="166"/>
        <v>1413247447.2604518</v>
      </c>
      <c r="BK208" s="16">
        <f t="shared" si="166"/>
        <v>1535600176.9460638</v>
      </c>
      <c r="BL208" s="16">
        <f t="shared" si="166"/>
        <v>1664476973.5300016</v>
      </c>
      <c r="BM208" s="16">
        <f t="shared" si="166"/>
        <v>1817731396.4942641</v>
      </c>
      <c r="BN208" s="16">
        <f t="shared" si="166"/>
        <v>1900363058.7804303</v>
      </c>
      <c r="BO208" s="16">
        <f t="shared" ref="BO208:CT208" si="167">SUM(BO190:BO207)</f>
        <v>1900363058.7804303</v>
      </c>
      <c r="BP208" s="16">
        <f t="shared" si="167"/>
        <v>228331673.90781051</v>
      </c>
      <c r="BQ208" s="16">
        <f t="shared" si="167"/>
        <v>400203351.93572348</v>
      </c>
      <c r="BR208" s="16">
        <f t="shared" si="167"/>
        <v>560240571.53546727</v>
      </c>
      <c r="BS208" s="16">
        <f t="shared" si="167"/>
        <v>724398115.83994901</v>
      </c>
      <c r="BT208" s="16">
        <f t="shared" si="167"/>
        <v>890552737.08783603</v>
      </c>
      <c r="BU208" s="16">
        <f t="shared" si="167"/>
        <v>1039061331.1290655</v>
      </c>
      <c r="BV208" s="16">
        <f t="shared" si="167"/>
        <v>1218219821.564405</v>
      </c>
      <c r="BW208" s="16">
        <f t="shared" si="167"/>
        <v>1379010218.8886046</v>
      </c>
      <c r="BX208" s="16">
        <f t="shared" si="167"/>
        <v>1539796962.0883484</v>
      </c>
      <c r="BY208" s="16">
        <f t="shared" si="167"/>
        <v>1746552276.1728554</v>
      </c>
      <c r="BZ208" s="16">
        <f t="shared" si="167"/>
        <v>2018564634.7521126</v>
      </c>
      <c r="CA208" s="16">
        <f t="shared" si="167"/>
        <v>2270187474.1052504</v>
      </c>
      <c r="CB208" s="16">
        <f t="shared" si="167"/>
        <v>2270187474.1052504</v>
      </c>
      <c r="CC208" s="16">
        <f t="shared" si="167"/>
        <v>96335476.612458035</v>
      </c>
      <c r="CD208" s="16">
        <f t="shared" si="167"/>
        <v>252320725.49272662</v>
      </c>
      <c r="CE208" s="16">
        <f t="shared" si="167"/>
        <v>431345740.47146589</v>
      </c>
      <c r="CF208" s="16">
        <f t="shared" si="167"/>
        <v>592510781.40022373</v>
      </c>
      <c r="CG208" s="16">
        <f t="shared" si="167"/>
        <v>742040153.97314441</v>
      </c>
      <c r="CH208" s="16">
        <f t="shared" si="167"/>
        <v>919695700.87877667</v>
      </c>
      <c r="CI208" s="16">
        <f t="shared" si="167"/>
        <v>1074089437.8709435</v>
      </c>
      <c r="CJ208" s="16">
        <f t="shared" si="167"/>
        <v>1241122864.2364793</v>
      </c>
      <c r="CK208" s="16">
        <f t="shared" si="167"/>
        <v>1425294587.6128311</v>
      </c>
      <c r="CL208" s="16">
        <f t="shared" si="167"/>
        <v>1738876671.0525925</v>
      </c>
      <c r="CM208" s="16">
        <f t="shared" si="167"/>
        <v>2000203500.1477058</v>
      </c>
      <c r="CN208" s="16">
        <f t="shared" si="167"/>
        <v>2256771635.8030581</v>
      </c>
      <c r="CO208" s="16">
        <f t="shared" si="167"/>
        <v>2256771635.8030581</v>
      </c>
      <c r="CP208" s="16">
        <f t="shared" si="167"/>
        <v>74502800.730626434</v>
      </c>
      <c r="CQ208" s="16">
        <f t="shared" si="167"/>
        <v>207774441.24222732</v>
      </c>
      <c r="CR208" s="16">
        <f t="shared" si="167"/>
        <v>383259406.50626445</v>
      </c>
      <c r="CS208" s="16">
        <f t="shared" si="167"/>
        <v>575635233.87772608</v>
      </c>
      <c r="CT208" s="16">
        <f t="shared" si="167"/>
        <v>779804646.49002314</v>
      </c>
      <c r="CU208" s="16">
        <f t="shared" ref="CU208:DZ208" si="168">SUM(CU190:CU207)</f>
        <v>1020546188.6533642</v>
      </c>
      <c r="CV208" s="16">
        <f t="shared" si="168"/>
        <v>1211992369.3294661</v>
      </c>
      <c r="CW208" s="16">
        <f t="shared" si="168"/>
        <v>1393490154.489327</v>
      </c>
      <c r="CX208" s="16">
        <f t="shared" si="168"/>
        <v>1622007183.3807421</v>
      </c>
      <c r="CY208" s="16">
        <f t="shared" si="168"/>
        <v>1817160190.8118327</v>
      </c>
      <c r="CZ208" s="16">
        <f t="shared" si="168"/>
        <v>1992820376.4139206</v>
      </c>
      <c r="DA208" s="16">
        <f t="shared" si="168"/>
        <v>2355614429.2120643</v>
      </c>
      <c r="DB208" s="16">
        <f t="shared" si="168"/>
        <v>2355614429.2120643</v>
      </c>
      <c r="DC208" s="16">
        <f t="shared" si="168"/>
        <v>71354611.742413372</v>
      </c>
      <c r="DD208" s="16">
        <f t="shared" si="168"/>
        <v>220083698.18866384</v>
      </c>
      <c r="DE208" s="16">
        <f t="shared" si="168"/>
        <v>385442884.95998371</v>
      </c>
      <c r="DF208" s="16">
        <f t="shared" si="168"/>
        <v>579808938.27281177</v>
      </c>
      <c r="DG208" s="16">
        <f t="shared" si="168"/>
        <v>770120540.79909515</v>
      </c>
      <c r="DH208" s="16">
        <f t="shared" si="168"/>
        <v>990770285.81359994</v>
      </c>
      <c r="DI208" s="16">
        <f t="shared" si="168"/>
        <v>1199558161.2128389</v>
      </c>
      <c r="DJ208" s="16">
        <f t="shared" si="168"/>
        <v>1419707854.8692529</v>
      </c>
      <c r="DK208" s="16">
        <f t="shared" si="168"/>
        <v>1643560873.571444</v>
      </c>
      <c r="DL208" s="16">
        <f t="shared" si="168"/>
        <v>1874525771.9006281</v>
      </c>
      <c r="DM208" s="16">
        <f t="shared" si="168"/>
        <v>2063033064.8351002</v>
      </c>
      <c r="DN208" s="16">
        <f t="shared" si="168"/>
        <v>2480441497.5603352</v>
      </c>
      <c r="DO208" s="16">
        <f t="shared" si="168"/>
        <v>2480441497.5603352</v>
      </c>
      <c r="DP208" s="16">
        <f t="shared" si="168"/>
        <v>146988404.72030881</v>
      </c>
      <c r="DQ208" s="16">
        <f t="shared" si="168"/>
        <v>354563958.98515445</v>
      </c>
      <c r="DR208" s="16">
        <f t="shared" si="168"/>
        <v>603538563.03562951</v>
      </c>
      <c r="DS208" s="16">
        <f t="shared" si="168"/>
        <v>848544620.91092646</v>
      </c>
      <c r="DT208" s="16">
        <f t="shared" si="168"/>
        <v>1105796582.6241093</v>
      </c>
      <c r="DU208" s="16">
        <f t="shared" si="168"/>
        <v>1376189910.8675773</v>
      </c>
      <c r="DV208" s="16">
        <f t="shared" si="168"/>
        <v>1589025312.2529693</v>
      </c>
      <c r="DW208" s="16">
        <f t="shared" si="168"/>
        <v>1797158541.2796915</v>
      </c>
      <c r="DX208" s="16">
        <f t="shared" si="168"/>
        <v>1993320019.9649649</v>
      </c>
      <c r="DY208" s="16">
        <f t="shared" si="168"/>
        <v>2189607301.2024941</v>
      </c>
      <c r="DZ208" s="16">
        <f t="shared" si="168"/>
        <v>2358431296.377079</v>
      </c>
      <c r="EA208" s="16">
        <f t="shared" ref="EA208:FF208" si="169">SUM(EA190:EA207)</f>
        <v>2707405775.8824234</v>
      </c>
      <c r="EB208" s="16">
        <f t="shared" si="169"/>
        <v>2707405775.8824234</v>
      </c>
      <c r="EC208" s="16">
        <f t="shared" si="169"/>
        <v>148375363.44290853</v>
      </c>
      <c r="ED208" s="16">
        <f t="shared" si="169"/>
        <v>393663268.97519392</v>
      </c>
      <c r="EE208" s="16">
        <f t="shared" si="169"/>
        <v>690270091.68945253</v>
      </c>
      <c r="EF208" s="16">
        <f t="shared" si="169"/>
        <v>916891857.23859096</v>
      </c>
      <c r="EG208" s="16">
        <f t="shared" si="169"/>
        <v>1186793845.6400299</v>
      </c>
      <c r="EH208" s="16">
        <f t="shared" si="169"/>
        <v>1411420317.9378901</v>
      </c>
      <c r="EI208" s="16">
        <f t="shared" si="169"/>
        <v>1636277948.2722964</v>
      </c>
      <c r="EJ208" s="16">
        <f t="shared" si="169"/>
        <v>1873367960.7653844</v>
      </c>
      <c r="EK208" s="16">
        <f t="shared" si="169"/>
        <v>2081967935.8540041</v>
      </c>
      <c r="EL208" s="16">
        <f t="shared" si="169"/>
        <v>2317121600.8761587</v>
      </c>
      <c r="EM208" s="16">
        <f t="shared" si="169"/>
        <v>2563571431.9922347</v>
      </c>
      <c r="EN208" s="16">
        <f t="shared" si="169"/>
        <v>3005037508.8689632</v>
      </c>
      <c r="EO208" s="16">
        <f t="shared" si="169"/>
        <v>3005037508.8689632</v>
      </c>
      <c r="EP208" s="16">
        <f t="shared" si="169"/>
        <v>213300383</v>
      </c>
      <c r="EQ208" s="16">
        <f t="shared" si="169"/>
        <v>453983080</v>
      </c>
      <c r="ER208" s="16">
        <f t="shared" si="169"/>
        <v>689388375</v>
      </c>
      <c r="ES208" s="16">
        <f t="shared" si="169"/>
        <v>920829125</v>
      </c>
      <c r="ET208" s="16">
        <f t="shared" si="169"/>
        <v>1229744183</v>
      </c>
      <c r="EU208" s="16">
        <f t="shared" si="169"/>
        <v>1475648050</v>
      </c>
      <c r="EV208" s="16">
        <f t="shared" si="169"/>
        <v>1745241889</v>
      </c>
      <c r="EW208" s="16">
        <f t="shared" si="169"/>
        <v>1957247889</v>
      </c>
      <c r="EX208" s="16">
        <f t="shared" si="169"/>
        <v>2185264240</v>
      </c>
      <c r="EY208" s="16">
        <f t="shared" si="169"/>
        <v>2629761403</v>
      </c>
      <c r="EZ208" s="16">
        <f t="shared" si="169"/>
        <v>2837014266</v>
      </c>
      <c r="FA208" s="16">
        <f t="shared" si="169"/>
        <v>3231678980</v>
      </c>
      <c r="FB208" s="16">
        <f t="shared" si="169"/>
        <v>3231678980</v>
      </c>
      <c r="FC208" s="16">
        <f t="shared" si="169"/>
        <v>211076989</v>
      </c>
      <c r="FD208" s="16">
        <f t="shared" si="169"/>
        <v>464025149</v>
      </c>
      <c r="FE208" s="16">
        <f t="shared" si="169"/>
        <v>725828517</v>
      </c>
      <c r="FF208" s="16">
        <f t="shared" si="169"/>
        <v>1056464664</v>
      </c>
      <c r="FG208" s="16">
        <f t="shared" ref="FG208:GL208" si="170">SUM(FG190:FG207)</f>
        <v>1399206532</v>
      </c>
      <c r="FH208" s="16">
        <f t="shared" si="170"/>
        <v>1669006843</v>
      </c>
      <c r="FI208" s="16">
        <f t="shared" si="170"/>
        <v>1984699429</v>
      </c>
      <c r="FJ208" s="16">
        <f t="shared" si="170"/>
        <v>0</v>
      </c>
      <c r="FK208" s="16">
        <f t="shared" si="170"/>
        <v>0</v>
      </c>
      <c r="FL208" s="16">
        <f t="shared" si="170"/>
        <v>0</v>
      </c>
      <c r="FM208" s="16">
        <f t="shared" si="170"/>
        <v>0</v>
      </c>
      <c r="FN208" s="16">
        <f t="shared" si="170"/>
        <v>0</v>
      </c>
      <c r="FO208" s="16">
        <f t="shared" si="170"/>
        <v>1984699429</v>
      </c>
    </row>
  </sheetData>
  <mergeCells count="117">
    <mergeCell ref="C75:O75"/>
    <mergeCell ref="EP166:FB166"/>
    <mergeCell ref="P75:AB75"/>
    <mergeCell ref="P28:AB28"/>
    <mergeCell ref="BP28:CB28"/>
    <mergeCell ref="FC144:FO144"/>
    <mergeCell ref="EC75:EO75"/>
    <mergeCell ref="FC119:FO119"/>
    <mergeCell ref="DP75:EB75"/>
    <mergeCell ref="AP166:BB166"/>
    <mergeCell ref="AC188:AO188"/>
    <mergeCell ref="EC28:EO28"/>
    <mergeCell ref="AP28:BB28"/>
    <mergeCell ref="CP28:DB28"/>
    <mergeCell ref="FC75:FO75"/>
    <mergeCell ref="BP188:CB188"/>
    <mergeCell ref="EP50:FB50"/>
    <mergeCell ref="P119:AB119"/>
    <mergeCell ref="BP97:CB97"/>
    <mergeCell ref="DP166:EB166"/>
    <mergeCell ref="AP144:BB144"/>
    <mergeCell ref="AC166:AO166"/>
    <mergeCell ref="CP144:DB144"/>
    <mergeCell ref="AP119:BB119"/>
    <mergeCell ref="DC97:DO97"/>
    <mergeCell ref="AC97:AO97"/>
    <mergeCell ref="CC166:CO166"/>
    <mergeCell ref="FC50:FO50"/>
    <mergeCell ref="CC119:CO119"/>
    <mergeCell ref="EP97:FB97"/>
    <mergeCell ref="CC75:CO75"/>
    <mergeCell ref="EC119:EO119"/>
    <mergeCell ref="BC144:BO144"/>
    <mergeCell ref="DC28:DO28"/>
    <mergeCell ref="FC166:FO166"/>
    <mergeCell ref="EC144:EO144"/>
    <mergeCell ref="AP188:BB188"/>
    <mergeCell ref="CP75:DB75"/>
    <mergeCell ref="FC6:FO6"/>
    <mergeCell ref="P166:AB166"/>
    <mergeCell ref="C188:O188"/>
    <mergeCell ref="EP28:FB28"/>
    <mergeCell ref="AP6:BB6"/>
    <mergeCell ref="AC50:AO50"/>
    <mergeCell ref="P97:AB97"/>
    <mergeCell ref="C119:O119"/>
    <mergeCell ref="DP50:EB50"/>
    <mergeCell ref="BP6:CB6"/>
    <mergeCell ref="EP188:FB188"/>
    <mergeCell ref="AP97:BB97"/>
    <mergeCell ref="CP166:DB166"/>
    <mergeCell ref="FC97:FO97"/>
    <mergeCell ref="EP6:FB6"/>
    <mergeCell ref="EP119:FB119"/>
    <mergeCell ref="C166:O166"/>
    <mergeCell ref="P144:AB144"/>
    <mergeCell ref="BP144:CB144"/>
    <mergeCell ref="BC166:BO166"/>
    <mergeCell ref="C28:O28"/>
    <mergeCell ref="BC28:BO28"/>
    <mergeCell ref="EP144:FB144"/>
    <mergeCell ref="CP119:DB119"/>
    <mergeCell ref="AC144:AO144"/>
    <mergeCell ref="CC97:CO97"/>
    <mergeCell ref="C6:O6"/>
    <mergeCell ref="BC6:BO6"/>
    <mergeCell ref="DC188:DO188"/>
    <mergeCell ref="BC119:BO119"/>
    <mergeCell ref="EC50:EO50"/>
    <mergeCell ref="DP97:EB97"/>
    <mergeCell ref="DC119:DO119"/>
    <mergeCell ref="BP50:CB50"/>
    <mergeCell ref="CC6:CO6"/>
    <mergeCell ref="AC75:AO75"/>
    <mergeCell ref="AC28:AO28"/>
    <mergeCell ref="P50:AB50"/>
    <mergeCell ref="C97:O97"/>
    <mergeCell ref="CC28:CO28"/>
    <mergeCell ref="BC75:BO75"/>
    <mergeCell ref="BC50:BO50"/>
    <mergeCell ref="EC188:EO188"/>
    <mergeCell ref="AP50:BB50"/>
    <mergeCell ref="DP6:EB6"/>
    <mergeCell ref="CP97:DB97"/>
    <mergeCell ref="DP188:EB188"/>
    <mergeCell ref="BP166:CB166"/>
    <mergeCell ref="BC188:BO188"/>
    <mergeCell ref="BP119:CB119"/>
    <mergeCell ref="EC97:EO97"/>
    <mergeCell ref="DP119:EB119"/>
    <mergeCell ref="CC188:CO188"/>
    <mergeCell ref="DC6:DO6"/>
    <mergeCell ref="CP6:DB6"/>
    <mergeCell ref="DP144:EB144"/>
    <mergeCell ref="CC50:CO50"/>
    <mergeCell ref="C144:O144"/>
    <mergeCell ref="FC188:FO188"/>
    <mergeCell ref="BC97:BO97"/>
    <mergeCell ref="AC6:AO6"/>
    <mergeCell ref="DC166:DO166"/>
    <mergeCell ref="DC75:DO75"/>
    <mergeCell ref="CC144:CO144"/>
    <mergeCell ref="AC119:AO119"/>
    <mergeCell ref="DC50:DO50"/>
    <mergeCell ref="AP75:BB75"/>
    <mergeCell ref="EC166:EO166"/>
    <mergeCell ref="DC144:DO144"/>
    <mergeCell ref="P188:AB188"/>
    <mergeCell ref="FC28:FO28"/>
    <mergeCell ref="BP75:CB75"/>
    <mergeCell ref="EC6:EO6"/>
    <mergeCell ref="DP28:EB28"/>
    <mergeCell ref="P6:AB6"/>
    <mergeCell ref="CP188:DB188"/>
    <mergeCell ref="C50:O50"/>
    <mergeCell ref="EP75:FB75"/>
    <mergeCell ref="CP50:DB5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B365D"/>
  </sheetPr>
  <dimension ref="A1:AA1000"/>
  <sheetViews>
    <sheetView workbookViewId="0"/>
  </sheetViews>
  <sheetFormatPr baseColWidth="10" defaultColWidth="14.44140625" defaultRowHeight="15" customHeight="1" x14ac:dyDescent="0.3"/>
  <cols>
    <col min="1" max="1" width="3" style="31" customWidth="1"/>
    <col min="2" max="2" width="36" style="31" customWidth="1"/>
    <col min="3" max="13" width="16" style="31" customWidth="1"/>
    <col min="14" max="15" width="18" style="31" customWidth="1"/>
    <col min="16" max="27" width="8.77734375" style="31" customWidth="1"/>
  </cols>
  <sheetData>
    <row r="1" spans="2:12" ht="14.25" customHeight="1" x14ac:dyDescent="0.3"/>
    <row r="2" spans="2:12" ht="14.25" customHeight="1" x14ac:dyDescent="0.4">
      <c r="B2" s="1" t="s">
        <v>81</v>
      </c>
    </row>
    <row r="3" spans="2:12" ht="14.25" customHeight="1" x14ac:dyDescent="0.3">
      <c r="B3" s="2" t="s">
        <v>82</v>
      </c>
    </row>
    <row r="4" spans="2:12" ht="14.25" customHeight="1" x14ac:dyDescent="0.3">
      <c r="B4" s="32" t="s">
        <v>83</v>
      </c>
      <c r="C4" s="10">
        <v>2024</v>
      </c>
      <c r="D4" s="46" t="s">
        <v>84</v>
      </c>
      <c r="E4" s="36"/>
      <c r="F4" s="35" t="s">
        <v>85</v>
      </c>
      <c r="G4" s="36"/>
      <c r="H4" s="46" t="s">
        <v>86</v>
      </c>
      <c r="I4" s="36"/>
      <c r="J4" s="44" t="s">
        <v>87</v>
      </c>
      <c r="K4" s="45"/>
      <c r="L4" s="36"/>
    </row>
    <row r="5" spans="2:12" ht="14.25" customHeight="1" x14ac:dyDescent="0.3"/>
    <row r="6" spans="2:12" ht="14.25" customHeight="1" x14ac:dyDescent="0.3">
      <c r="B6" s="37" t="s">
        <v>88</v>
      </c>
      <c r="C6" s="39"/>
      <c r="D6" s="37" t="s">
        <v>89</v>
      </c>
      <c r="E6" s="39"/>
      <c r="F6" s="37" t="s">
        <v>90</v>
      </c>
      <c r="G6" s="39"/>
      <c r="H6" s="37" t="s">
        <v>91</v>
      </c>
      <c r="I6" s="39"/>
      <c r="J6" s="37" t="s">
        <v>92</v>
      </c>
      <c r="K6" s="38"/>
      <c r="L6" s="39"/>
    </row>
    <row r="7" spans="2:12" ht="14.25" customHeight="1" x14ac:dyDescent="0.3">
      <c r="B7" s="40">
        <f>D17</f>
        <v>3320541734</v>
      </c>
      <c r="C7" s="41"/>
      <c r="D7" s="40">
        <f>E17</f>
        <v>3332768183</v>
      </c>
      <c r="E7" s="41"/>
      <c r="F7" s="49">
        <f>F17</f>
        <v>3312699040</v>
      </c>
      <c r="G7" s="41"/>
      <c r="H7" s="43">
        <f>H17</f>
        <v>0.99397823613944414</v>
      </c>
      <c r="I7" s="41"/>
      <c r="J7" s="50">
        <f>G17</f>
        <v>20069143</v>
      </c>
      <c r="K7" s="34"/>
      <c r="L7" s="41"/>
    </row>
    <row r="8" spans="2:12" ht="14.25" customHeight="1" x14ac:dyDescent="0.3">
      <c r="B8" s="42"/>
      <c r="C8" s="41"/>
      <c r="D8" s="42"/>
      <c r="E8" s="41"/>
      <c r="F8" s="42"/>
      <c r="G8" s="41"/>
      <c r="H8" s="42"/>
      <c r="I8" s="41"/>
      <c r="J8" s="42"/>
      <c r="K8" s="34"/>
      <c r="L8" s="41"/>
    </row>
    <row r="9" spans="2:12" ht="14.25" customHeight="1" x14ac:dyDescent="0.3">
      <c r="B9" s="47" t="s">
        <v>93</v>
      </c>
      <c r="C9" s="48"/>
      <c r="D9" s="47" t="s">
        <v>94</v>
      </c>
      <c r="E9" s="48"/>
      <c r="F9" s="47" t="s">
        <v>95</v>
      </c>
      <c r="G9" s="48"/>
      <c r="H9" s="47" t="s">
        <v>96</v>
      </c>
      <c r="I9" s="48"/>
      <c r="J9" s="47" t="s">
        <v>97</v>
      </c>
      <c r="K9" s="51"/>
      <c r="L9" s="48"/>
    </row>
    <row r="10" spans="2:12" ht="14.25" customHeight="1" x14ac:dyDescent="0.3"/>
    <row r="11" spans="2:12" ht="14.25" customHeight="1" x14ac:dyDescent="0.3">
      <c r="B11" s="4" t="s">
        <v>98</v>
      </c>
    </row>
    <row r="12" spans="2:12" ht="14.25" customHeight="1" x14ac:dyDescent="0.3"/>
    <row r="13" spans="2:12" ht="14.25" customHeight="1" x14ac:dyDescent="0.3">
      <c r="B13" s="11" t="s">
        <v>99</v>
      </c>
      <c r="C13" s="11" t="s">
        <v>100</v>
      </c>
      <c r="D13" s="11" t="s">
        <v>101</v>
      </c>
      <c r="E13" s="11" t="s">
        <v>102</v>
      </c>
      <c r="F13" s="11" t="s">
        <v>103</v>
      </c>
      <c r="G13" s="11" t="s">
        <v>104</v>
      </c>
      <c r="H13" s="11" t="s">
        <v>105</v>
      </c>
      <c r="I13" s="11" t="s">
        <v>106</v>
      </c>
    </row>
    <row r="14" spans="2:12" ht="14.25" customHeight="1" x14ac:dyDescent="0.3">
      <c r="B14" s="7" t="s">
        <v>107</v>
      </c>
      <c r="C14" s="12" t="s">
        <v>108</v>
      </c>
      <c r="D14" s="8">
        <f t="array" ref="D14">INDEX(MINVU_Mes_Corriente!$1:$300, 164, 3 + ($C$4 - 2014)*13 + 12)</f>
        <v>2729162964</v>
      </c>
      <c r="E14" s="8">
        <f t="array" ref="E14">INDEX(MINVU_Mes_Corriente!$1:$300, 186, 3 + ($C$4 - 2014)*13 + 12)</f>
        <v>2913408485</v>
      </c>
      <c r="F14" s="8">
        <f t="array" ref="F14">INDEX(MINVU_Mes_Corriente!$1:$300, 208, 3 + ($C$4 - 2014)*13 + 12)</f>
        <v>2904924599</v>
      </c>
      <c r="G14" s="8">
        <f>E14 - F14</f>
        <v>8483886</v>
      </c>
      <c r="H14" s="13">
        <f>IF(E14&gt;0, F14/E14, 0)</f>
        <v>0.99708798610161253</v>
      </c>
      <c r="I14" s="13">
        <f>IF($E$17&gt;0, E14/$E$17, 0)</f>
        <v>0.8741707568683903</v>
      </c>
    </row>
    <row r="15" spans="2:12" ht="14.25" customHeight="1" x14ac:dyDescent="0.3">
      <c r="B15" s="7" t="s">
        <v>109</v>
      </c>
      <c r="C15" s="12" t="s">
        <v>110</v>
      </c>
      <c r="D15" s="8">
        <f t="array" ref="D15">INDEX(MINVU_Mes_Corriente!$1:$300, 26, 3 + ($C$4 - 2014)*13 + 12)</f>
        <v>560704016</v>
      </c>
      <c r="E15" s="8">
        <f t="array" ref="E15">INDEX(MINVU_Mes_Corriente!$1:$300, 48, 3 + ($C$4 - 2014)*13 + 12)</f>
        <v>400142072</v>
      </c>
      <c r="F15" s="8">
        <f t="array" ref="F15">INDEX(MINVU_Mes_Corriente!$1:$300, 70, 3 + ($C$4 - 2014)*13 + 12)</f>
        <v>388712182</v>
      </c>
      <c r="G15" s="8">
        <f>E15 - F15</f>
        <v>11429890</v>
      </c>
      <c r="H15" s="13">
        <f>IF(E15&gt;0, F15/E15, 0)</f>
        <v>0.9714354205673229</v>
      </c>
      <c r="I15" s="13">
        <f>IF($E$17&gt;0, E15/$E$17, 0)</f>
        <v>0.12006297768955868</v>
      </c>
    </row>
    <row r="16" spans="2:12" ht="14.25" customHeight="1" x14ac:dyDescent="0.3">
      <c r="B16" s="7" t="s">
        <v>111</v>
      </c>
      <c r="C16" s="12" t="s">
        <v>112</v>
      </c>
      <c r="D16" s="8">
        <f t="array" ref="D16">INDEX(MINVU_Mes_Corriente!$1:$300, 95, 3 + ($C$4 - 2014)*13 + 12)</f>
        <v>30674754</v>
      </c>
      <c r="E16" s="8">
        <f t="array" ref="E16">INDEX(MINVU_Mes_Corriente!$1:$300, 117, 3 + ($C$4 - 2014)*13 + 12)</f>
        <v>19217626</v>
      </c>
      <c r="F16" s="8">
        <f t="array" ref="F16">INDEX(MINVU_Mes_Corriente!$1:$300, 139, 3 + ($C$4 - 2014)*13 + 12)</f>
        <v>19062259</v>
      </c>
      <c r="G16" s="8">
        <f>E16 - F16</f>
        <v>155367</v>
      </c>
      <c r="H16" s="13">
        <f>IF(E16&gt;0, F16/E16, 0)</f>
        <v>0.99191539058986788</v>
      </c>
      <c r="I16" s="13">
        <f>IF($E$17&gt;0, E16/$E$17, 0)</f>
        <v>5.7662654420509987E-3</v>
      </c>
    </row>
    <row r="17" spans="2:13" ht="14.25" customHeight="1" x14ac:dyDescent="0.3">
      <c r="B17" s="14" t="s">
        <v>113</v>
      </c>
      <c r="C17" s="15" t="s">
        <v>114</v>
      </c>
      <c r="D17" s="16">
        <f>SUM(D14:D16)</f>
        <v>3320541734</v>
      </c>
      <c r="E17" s="16">
        <f>SUM(E14:E16)</f>
        <v>3332768183</v>
      </c>
      <c r="F17" s="16">
        <f>SUM(F14:F16)</f>
        <v>3312699040</v>
      </c>
      <c r="G17" s="16">
        <f>E17 - F17</f>
        <v>20069143</v>
      </c>
      <c r="H17" s="17">
        <f>IF(E17&gt;0, F17/E17, 0)</f>
        <v>0.99397823613944414</v>
      </c>
      <c r="I17" s="17">
        <f>SUM(I14:I16)</f>
        <v>0.99999999999999989</v>
      </c>
    </row>
    <row r="18" spans="2:13" ht="14.25" customHeight="1" x14ac:dyDescent="0.3"/>
    <row r="19" spans="2:13" ht="14.25" customHeight="1" x14ac:dyDescent="0.3">
      <c r="B19" s="4" t="s">
        <v>115</v>
      </c>
    </row>
    <row r="20" spans="2:13" ht="14.25" customHeight="1" x14ac:dyDescent="0.3"/>
    <row r="21" spans="2:13" ht="14.25" customHeight="1" x14ac:dyDescent="0.3">
      <c r="B21" s="18" t="s">
        <v>116</v>
      </c>
      <c r="C21" s="18" t="s">
        <v>117</v>
      </c>
      <c r="D21" s="18" t="s">
        <v>118</v>
      </c>
      <c r="E21" s="18" t="s">
        <v>119</v>
      </c>
      <c r="F21" s="18" t="s">
        <v>120</v>
      </c>
      <c r="G21" s="18" t="s">
        <v>121</v>
      </c>
      <c r="H21" s="18" t="s">
        <v>122</v>
      </c>
      <c r="I21" s="18" t="s">
        <v>123</v>
      </c>
      <c r="J21" s="18" t="s">
        <v>124</v>
      </c>
      <c r="K21" s="18" t="s">
        <v>125</v>
      </c>
      <c r="L21" s="18" t="s">
        <v>105</v>
      </c>
      <c r="M21" s="18" t="s">
        <v>126</v>
      </c>
    </row>
    <row r="22" spans="2:13" ht="14.25" customHeight="1" x14ac:dyDescent="0.3">
      <c r="B22" s="7" t="s">
        <v>43</v>
      </c>
      <c r="C22" s="8">
        <f t="array" ref="C22">INDEX(MINVU_Mes_Corriente!$1:$300, 168, 3 + ($C$4 - 2014)*13 + 12)</f>
        <v>253260952</v>
      </c>
      <c r="D22" s="8">
        <f t="array" ref="D22">INDEX(MINVU_Mes_Corriente!$1:$300, 190, 3 + ($C$4 - 2014)*13 + 12)</f>
        <v>249185192</v>
      </c>
      <c r="E22" s="8">
        <f t="array" ref="E22">INDEX(MINVU_Mes_Corriente!$1:$300, 30, 3 + ($C$4 - 2014)*13 + 12)</f>
        <v>1858597</v>
      </c>
      <c r="F22" s="8">
        <f t="array" ref="F22">INDEX(MINVU_Mes_Corriente!$1:$300, 52, 3 + ($C$4 - 2014)*13 + 12)</f>
        <v>1765056</v>
      </c>
      <c r="G22" s="8">
        <f t="array" ref="G22">INDEX(MINVU_Mes_Corriente!$1:$300, 99, 3 + ($C$4 - 2014)*13 + 12)</f>
        <v>3168714</v>
      </c>
      <c r="H22" s="8">
        <f t="array" ref="H22">INDEX(MINVU_Mes_Corriente!$1:$300, 121, 3 + ($C$4 - 2014)*13 + 12)</f>
        <v>3071041</v>
      </c>
      <c r="I22" s="8">
        <f t="shared" ref="I22:I39" si="0">C22 + E22 + G22</f>
        <v>258288263</v>
      </c>
      <c r="J22" s="8">
        <f t="shared" ref="J22:J39" si="1">D22 + F22 + H22</f>
        <v>254021289</v>
      </c>
      <c r="K22" s="8">
        <f t="shared" ref="K22:K39" si="2">I22 - J22</f>
        <v>4266974</v>
      </c>
      <c r="L22" s="13">
        <f t="shared" ref="L22:L40" si="3">IF(I22&gt;0, J22/I22, 0)</f>
        <v>0.98347979908014638</v>
      </c>
      <c r="M22" s="13">
        <f t="shared" ref="M22:M39" si="4">IF($I$40&gt;0, I22/$I$40, 0)</f>
        <v>7.7499618580582214E-2</v>
      </c>
    </row>
    <row r="23" spans="2:13" ht="14.25" customHeight="1" x14ac:dyDescent="0.3">
      <c r="B23" s="19" t="s">
        <v>44</v>
      </c>
      <c r="C23" s="20">
        <f t="array" ref="C23">INDEX(MINVU_Mes_Corriente!$1:$300, 169, 3 + ($C$4 - 2014)*13 + 12)</f>
        <v>0</v>
      </c>
      <c r="D23" s="20">
        <f t="array" ref="D23">INDEX(MINVU_Mes_Corriente!$1:$300, 191, 3 + ($C$4 - 2014)*13 + 12)</f>
        <v>0</v>
      </c>
      <c r="E23" s="20">
        <f t="array" ref="E23">INDEX(MINVU_Mes_Corriente!$1:$300, 31, 3 + ($C$4 - 2014)*13 + 12)</f>
        <v>27933416</v>
      </c>
      <c r="F23" s="20">
        <f t="array" ref="F23">INDEX(MINVU_Mes_Corriente!$1:$300, 53, 3 + ($C$4 - 2014)*13 + 12)</f>
        <v>27847917</v>
      </c>
      <c r="G23" s="20">
        <f t="array" ref="G23">INDEX(MINVU_Mes_Corriente!$1:$300, 100, 3 + ($C$4 - 2014)*13 + 12)</f>
        <v>240920</v>
      </c>
      <c r="H23" s="20">
        <f t="array" ref="H23">INDEX(MINVU_Mes_Corriente!$1:$300, 122, 3 + ($C$4 - 2014)*13 + 12)</f>
        <v>240208</v>
      </c>
      <c r="I23" s="20">
        <f t="shared" si="0"/>
        <v>28174336</v>
      </c>
      <c r="J23" s="20">
        <f t="shared" si="1"/>
        <v>28088125</v>
      </c>
      <c r="K23" s="20">
        <f t="shared" si="2"/>
        <v>86211</v>
      </c>
      <c r="L23" s="21">
        <f t="shared" si="3"/>
        <v>0.99694008760312935</v>
      </c>
      <c r="M23" s="21">
        <f t="shared" si="4"/>
        <v>8.4537340891915249E-3</v>
      </c>
    </row>
    <row r="24" spans="2:13" ht="14.25" customHeight="1" x14ac:dyDescent="0.3">
      <c r="B24" s="7" t="s">
        <v>45</v>
      </c>
      <c r="C24" s="8">
        <f t="array" ref="C24">INDEX(MINVU_Mes_Corriente!$1:$300, 170, 3 + ($C$4 - 2014)*13 + 12)</f>
        <v>83210671</v>
      </c>
      <c r="D24" s="8">
        <f t="array" ref="D24">INDEX(MINVU_Mes_Corriente!$1:$300, 192, 3 + ($C$4 - 2014)*13 + 12)</f>
        <v>83196155</v>
      </c>
      <c r="E24" s="8">
        <f t="array" ref="E24">INDEX(MINVU_Mes_Corriente!$1:$300, 32, 3 + ($C$4 - 2014)*13 + 12)</f>
        <v>4403210</v>
      </c>
      <c r="F24" s="8">
        <f t="array" ref="F24">INDEX(MINVU_Mes_Corriente!$1:$300, 54, 3 + ($C$4 - 2014)*13 + 12)</f>
        <v>4379123</v>
      </c>
      <c r="G24" s="8">
        <f t="array" ref="G24">INDEX(MINVU_Mes_Corriente!$1:$300, 101, 3 + ($C$4 - 2014)*13 + 12)</f>
        <v>7496</v>
      </c>
      <c r="H24" s="8">
        <f t="array" ref="H24">INDEX(MINVU_Mes_Corriente!$1:$300, 123, 3 + ($C$4 - 2014)*13 + 12)</f>
        <v>7431</v>
      </c>
      <c r="I24" s="8">
        <f t="shared" si="0"/>
        <v>87621377</v>
      </c>
      <c r="J24" s="8">
        <f t="shared" si="1"/>
        <v>87582709</v>
      </c>
      <c r="K24" s="8">
        <f t="shared" si="2"/>
        <v>38668</v>
      </c>
      <c r="L24" s="13">
        <f t="shared" si="3"/>
        <v>0.99955869216709525</v>
      </c>
      <c r="M24" s="13">
        <f t="shared" si="4"/>
        <v>2.6290870588282979E-2</v>
      </c>
    </row>
    <row r="25" spans="2:13" ht="14.25" customHeight="1" x14ac:dyDescent="0.3">
      <c r="B25" s="19" t="s">
        <v>46</v>
      </c>
      <c r="C25" s="20">
        <f t="array" ref="C25">INDEX(MINVU_Mes_Corriente!$1:$300, 171, 3 + ($C$4 - 2014)*13 + 12)</f>
        <v>81745804</v>
      </c>
      <c r="D25" s="20">
        <f t="array" ref="D25">INDEX(MINVU_Mes_Corriente!$1:$300, 193, 3 + ($C$4 - 2014)*13 + 12)</f>
        <v>81667751</v>
      </c>
      <c r="E25" s="20">
        <f t="array" ref="E25">INDEX(MINVU_Mes_Corriente!$1:$300, 33, 3 + ($C$4 - 2014)*13 + 12)</f>
        <v>8998445</v>
      </c>
      <c r="F25" s="20">
        <f t="array" ref="F25">INDEX(MINVU_Mes_Corriente!$1:$300, 55, 3 + ($C$4 - 2014)*13 + 12)</f>
        <v>8453266</v>
      </c>
      <c r="G25" s="20">
        <f t="array" ref="G25">INDEX(MINVU_Mes_Corriente!$1:$300, 102, 3 + ($C$4 - 2014)*13 + 12)</f>
        <v>3479</v>
      </c>
      <c r="H25" s="20">
        <f t="array" ref="H25">INDEX(MINVU_Mes_Corriente!$1:$300, 124, 3 + ($C$4 - 2014)*13 + 12)</f>
        <v>3340</v>
      </c>
      <c r="I25" s="20">
        <f t="shared" si="0"/>
        <v>90747728</v>
      </c>
      <c r="J25" s="20">
        <f t="shared" si="1"/>
        <v>90124357</v>
      </c>
      <c r="K25" s="20">
        <f t="shared" si="2"/>
        <v>623371</v>
      </c>
      <c r="L25" s="21">
        <f t="shared" si="3"/>
        <v>0.99313072609377062</v>
      </c>
      <c r="M25" s="21">
        <f t="shared" si="4"/>
        <v>2.7228934932496025E-2</v>
      </c>
    </row>
    <row r="26" spans="2:13" ht="14.25" customHeight="1" x14ac:dyDescent="0.3">
      <c r="B26" s="7" t="s">
        <v>47</v>
      </c>
      <c r="C26" s="8">
        <f t="array" ref="C26">INDEX(MINVU_Mes_Corriente!$1:$300, 172, 3 + ($C$4 - 2014)*13 + 12)</f>
        <v>73119497</v>
      </c>
      <c r="D26" s="8">
        <f t="array" ref="D26">INDEX(MINVU_Mes_Corriente!$1:$300, 194, 3 + ($C$4 - 2014)*13 + 12)</f>
        <v>73069447</v>
      </c>
      <c r="E26" s="8">
        <f t="array" ref="E26">INDEX(MINVU_Mes_Corriente!$1:$300, 34, 3 + ($C$4 - 2014)*13 + 12)</f>
        <v>15465604</v>
      </c>
      <c r="F26" s="8">
        <f t="array" ref="F26">INDEX(MINVU_Mes_Corriente!$1:$300, 56, 3 + ($C$4 - 2014)*13 + 12)</f>
        <v>14221677</v>
      </c>
      <c r="G26" s="8">
        <f t="array" ref="G26">INDEX(MINVU_Mes_Corriente!$1:$300, 103, 3 + ($C$4 - 2014)*13 + 12)</f>
        <v>6270</v>
      </c>
      <c r="H26" s="8">
        <f t="array" ref="H26">INDEX(MINVU_Mes_Corriente!$1:$300, 125, 3 + ($C$4 - 2014)*13 + 12)</f>
        <v>4665</v>
      </c>
      <c r="I26" s="8">
        <f t="shared" si="0"/>
        <v>88591371</v>
      </c>
      <c r="J26" s="8">
        <f t="shared" si="1"/>
        <v>87295789</v>
      </c>
      <c r="K26" s="8">
        <f t="shared" si="2"/>
        <v>1295582</v>
      </c>
      <c r="L26" s="13">
        <f t="shared" si="3"/>
        <v>0.98537575403365185</v>
      </c>
      <c r="M26" s="13">
        <f t="shared" si="4"/>
        <v>2.6581918133968215E-2</v>
      </c>
    </row>
    <row r="27" spans="2:13" ht="14.25" customHeight="1" x14ac:dyDescent="0.3">
      <c r="B27" s="19" t="s">
        <v>48</v>
      </c>
      <c r="C27" s="20">
        <f t="array" ref="C27">INDEX(MINVU_Mes_Corriente!$1:$300, 173, 3 + ($C$4 - 2014)*13 + 12)</f>
        <v>50339570</v>
      </c>
      <c r="D27" s="20">
        <f t="array" ref="D27">INDEX(MINVU_Mes_Corriente!$1:$300, 195, 3 + ($C$4 - 2014)*13 + 12)</f>
        <v>50275024</v>
      </c>
      <c r="E27" s="20">
        <f t="array" ref="E27">INDEX(MINVU_Mes_Corriente!$1:$300, 35, 3 + ($C$4 - 2014)*13 + 12)</f>
        <v>8570431</v>
      </c>
      <c r="F27" s="20">
        <f t="array" ref="F27">INDEX(MINVU_Mes_Corriente!$1:$300, 57, 3 + ($C$4 - 2014)*13 + 12)</f>
        <v>8070989</v>
      </c>
      <c r="G27" s="20">
        <f t="array" ref="G27">INDEX(MINVU_Mes_Corriente!$1:$300, 104, 3 + ($C$4 - 2014)*13 + 12)</f>
        <v>6646</v>
      </c>
      <c r="H27" s="20">
        <f t="array" ref="H27">INDEX(MINVU_Mes_Corriente!$1:$300, 126, 3 + ($C$4 - 2014)*13 + 12)</f>
        <v>6646</v>
      </c>
      <c r="I27" s="20">
        <f t="shared" si="0"/>
        <v>58916647</v>
      </c>
      <c r="J27" s="20">
        <f t="shared" si="1"/>
        <v>58352659</v>
      </c>
      <c r="K27" s="20">
        <f t="shared" si="2"/>
        <v>563988</v>
      </c>
      <c r="L27" s="21">
        <f t="shared" si="3"/>
        <v>0.99042735748353095</v>
      </c>
      <c r="M27" s="21">
        <f t="shared" si="4"/>
        <v>1.7677991316805607E-2</v>
      </c>
    </row>
    <row r="28" spans="2:13" ht="14.25" customHeight="1" x14ac:dyDescent="0.3">
      <c r="B28" s="7" t="s">
        <v>49</v>
      </c>
      <c r="C28" s="8">
        <f t="array" ref="C28">INDEX(MINVU_Mes_Corriente!$1:$300, 174, 3 + ($C$4 - 2014)*13 + 12)</f>
        <v>107360177</v>
      </c>
      <c r="D28" s="8">
        <f t="array" ref="D28">INDEX(MINVU_Mes_Corriente!$1:$300, 196, 3 + ($C$4 - 2014)*13 + 12)</f>
        <v>106974951</v>
      </c>
      <c r="E28" s="8">
        <f t="array" ref="E28">INDEX(MINVU_Mes_Corriente!$1:$300, 36, 3 + ($C$4 - 2014)*13 + 12)</f>
        <v>18466482</v>
      </c>
      <c r="F28" s="8">
        <f t="array" ref="F28">INDEX(MINVU_Mes_Corriente!$1:$300, 58, 3 + ($C$4 - 2014)*13 + 12)</f>
        <v>18304746</v>
      </c>
      <c r="G28" s="8">
        <f t="array" ref="G28">INDEX(MINVU_Mes_Corriente!$1:$300, 105, 3 + ($C$4 - 2014)*13 + 12)</f>
        <v>6092813</v>
      </c>
      <c r="H28" s="8">
        <f t="array" ref="H28">INDEX(MINVU_Mes_Corriente!$1:$300, 127, 3 + ($C$4 - 2014)*13 + 12)</f>
        <v>6065343</v>
      </c>
      <c r="I28" s="8">
        <f t="shared" si="0"/>
        <v>131919472</v>
      </c>
      <c r="J28" s="8">
        <f t="shared" si="1"/>
        <v>131345040</v>
      </c>
      <c r="K28" s="8">
        <f t="shared" si="2"/>
        <v>574432</v>
      </c>
      <c r="L28" s="13">
        <f t="shared" si="3"/>
        <v>0.99564558596777886</v>
      </c>
      <c r="M28" s="13">
        <f t="shared" si="4"/>
        <v>3.9582552627843541E-2</v>
      </c>
    </row>
    <row r="29" spans="2:13" ht="14.25" customHeight="1" x14ac:dyDescent="0.3">
      <c r="B29" s="19" t="s">
        <v>50</v>
      </c>
      <c r="C29" s="20">
        <f t="array" ref="C29">INDEX(MINVU_Mes_Corriente!$1:$300, 175, 3 + ($C$4 - 2014)*13 + 12)</f>
        <v>226125474</v>
      </c>
      <c r="D29" s="20">
        <f t="array" ref="D29">INDEX(MINVU_Mes_Corriente!$1:$300, 197, 3 + ($C$4 - 2014)*13 + 12)</f>
        <v>225998740</v>
      </c>
      <c r="E29" s="20">
        <f t="array" ref="E29">INDEX(MINVU_Mes_Corriente!$1:$300, 37, 3 + ($C$4 - 2014)*13 + 12)</f>
        <v>37750186</v>
      </c>
      <c r="F29" s="20">
        <f t="array" ref="F29">INDEX(MINVU_Mes_Corriente!$1:$300, 59, 3 + ($C$4 - 2014)*13 + 12)</f>
        <v>35664606</v>
      </c>
      <c r="G29" s="20">
        <f t="array" ref="G29">INDEX(MINVU_Mes_Corriente!$1:$300, 106, 3 + ($C$4 - 2014)*13 + 12)</f>
        <v>21887</v>
      </c>
      <c r="H29" s="20">
        <f t="array" ref="H29">INDEX(MINVU_Mes_Corriente!$1:$300, 128, 3 + ($C$4 - 2014)*13 + 12)</f>
        <v>21833</v>
      </c>
      <c r="I29" s="20">
        <f t="shared" si="0"/>
        <v>263897547</v>
      </c>
      <c r="J29" s="20">
        <f t="shared" si="1"/>
        <v>261685179</v>
      </c>
      <c r="K29" s="20">
        <f t="shared" si="2"/>
        <v>2212368</v>
      </c>
      <c r="L29" s="21">
        <f t="shared" si="3"/>
        <v>0.99161656474207394</v>
      </c>
      <c r="M29" s="21">
        <f t="shared" si="4"/>
        <v>7.9182689136947995E-2</v>
      </c>
    </row>
    <row r="30" spans="2:13" ht="14.25" customHeight="1" x14ac:dyDescent="0.3">
      <c r="B30" s="7" t="s">
        <v>51</v>
      </c>
      <c r="C30" s="8">
        <f t="array" ref="C30">INDEX(MINVU_Mes_Corriente!$1:$300, 176, 3 + ($C$4 - 2014)*13 + 12)</f>
        <v>536507887</v>
      </c>
      <c r="D30" s="8">
        <f t="array" ref="D30">INDEX(MINVU_Mes_Corriente!$1:$300, 198, 3 + ($C$4 - 2014)*13 + 12)</f>
        <v>535781681</v>
      </c>
      <c r="E30" s="8">
        <f t="array" ref="E30">INDEX(MINVU_Mes_Corriente!$1:$300, 38, 3 + ($C$4 - 2014)*13 + 12)</f>
        <v>86087430</v>
      </c>
      <c r="F30" s="8">
        <f t="array" ref="F30">INDEX(MINVU_Mes_Corriente!$1:$300, 60, 3 + ($C$4 - 2014)*13 + 12)</f>
        <v>84329419</v>
      </c>
      <c r="G30" s="8">
        <f t="array" ref="G30">INDEX(MINVU_Mes_Corriente!$1:$300, 107, 3 + ($C$4 - 2014)*13 + 12)</f>
        <v>44560</v>
      </c>
      <c r="H30" s="8">
        <f t="array" ref="H30">INDEX(MINVU_Mes_Corriente!$1:$300, 129, 3 + ($C$4 - 2014)*13 + 12)</f>
        <v>44534</v>
      </c>
      <c r="I30" s="8">
        <f t="shared" si="0"/>
        <v>622639877</v>
      </c>
      <c r="J30" s="8">
        <f t="shared" si="1"/>
        <v>620155634</v>
      </c>
      <c r="K30" s="8">
        <f t="shared" si="2"/>
        <v>2484243</v>
      </c>
      <c r="L30" s="13">
        <f t="shared" si="3"/>
        <v>0.99601014472126392</v>
      </c>
      <c r="M30" s="13">
        <f t="shared" si="4"/>
        <v>0.18682363813240951</v>
      </c>
    </row>
    <row r="31" spans="2:13" ht="14.25" customHeight="1" x14ac:dyDescent="0.3">
      <c r="B31" s="19" t="s">
        <v>52</v>
      </c>
      <c r="C31" s="20">
        <f t="array" ref="C31">INDEX(MINVU_Mes_Corriente!$1:$300, 177, 3 + ($C$4 - 2014)*13 + 12)</f>
        <v>172944682</v>
      </c>
      <c r="D31" s="20">
        <f t="array" ref="D31">INDEX(MINVU_Mes_Corriente!$1:$300, 199, 3 + ($C$4 - 2014)*13 + 12)</f>
        <v>172843913</v>
      </c>
      <c r="E31" s="20">
        <f t="array" ref="E31">INDEX(MINVU_Mes_Corriente!$1:$300, 39, 3 + ($C$4 - 2014)*13 + 12)</f>
        <v>5515173</v>
      </c>
      <c r="F31" s="20">
        <f t="array" ref="F31">INDEX(MINVU_Mes_Corriente!$1:$300, 61, 3 + ($C$4 - 2014)*13 + 12)</f>
        <v>5186229</v>
      </c>
      <c r="G31" s="20">
        <f t="array" ref="G31">INDEX(MINVU_Mes_Corriente!$1:$300, 108, 3 + ($C$4 - 2014)*13 + 12)</f>
        <v>300457</v>
      </c>
      <c r="H31" s="20">
        <f t="array" ref="H31">INDEX(MINVU_Mes_Corriente!$1:$300, 130, 3 + ($C$4 - 2014)*13 + 12)</f>
        <v>300441</v>
      </c>
      <c r="I31" s="20">
        <f t="shared" si="0"/>
        <v>178760312</v>
      </c>
      <c r="J31" s="20">
        <f t="shared" si="1"/>
        <v>178330583</v>
      </c>
      <c r="K31" s="20">
        <f t="shared" si="2"/>
        <v>429729</v>
      </c>
      <c r="L31" s="21">
        <f t="shared" si="3"/>
        <v>0.9975960603604227</v>
      </c>
      <c r="M31" s="21">
        <f t="shared" si="4"/>
        <v>5.3637187522322188E-2</v>
      </c>
    </row>
    <row r="32" spans="2:13" ht="14.25" customHeight="1" x14ac:dyDescent="0.3">
      <c r="B32" s="7" t="s">
        <v>53</v>
      </c>
      <c r="C32" s="8">
        <f t="array" ref="C32">INDEX(MINVU_Mes_Corriente!$1:$300, 178, 3 + ($C$4 - 2014)*13 + 12)</f>
        <v>213444748</v>
      </c>
      <c r="D32" s="8">
        <f t="array" ref="D32">INDEX(MINVU_Mes_Corriente!$1:$300, 200, 3 + ($C$4 - 2014)*13 + 12)</f>
        <v>213325058</v>
      </c>
      <c r="E32" s="8">
        <f t="array" ref="E32">INDEX(MINVU_Mes_Corriente!$1:$300, 40, 3 + ($C$4 - 2014)*13 + 12)</f>
        <v>20053849</v>
      </c>
      <c r="F32" s="8">
        <f t="array" ref="F32">INDEX(MINVU_Mes_Corriente!$1:$300, 62, 3 + ($C$4 - 2014)*13 + 12)</f>
        <v>19302172</v>
      </c>
      <c r="G32" s="8">
        <f t="array" ref="G32">INDEX(MINVU_Mes_Corriente!$1:$300, 109, 3 + ($C$4 - 2014)*13 + 12)</f>
        <v>6865</v>
      </c>
      <c r="H32" s="8">
        <f t="array" ref="H32">INDEX(MINVU_Mes_Corriente!$1:$300, 131, 3 + ($C$4 - 2014)*13 + 12)</f>
        <v>6833</v>
      </c>
      <c r="I32" s="8">
        <f t="shared" si="0"/>
        <v>233505462</v>
      </c>
      <c r="J32" s="8">
        <f t="shared" si="1"/>
        <v>232634063</v>
      </c>
      <c r="K32" s="8">
        <f t="shared" si="2"/>
        <v>871399</v>
      </c>
      <c r="L32" s="13">
        <f t="shared" si="3"/>
        <v>0.99626818579515708</v>
      </c>
      <c r="M32" s="13">
        <f t="shared" si="4"/>
        <v>7.0063517526085306E-2</v>
      </c>
    </row>
    <row r="33" spans="2:15" ht="14.25" customHeight="1" x14ac:dyDescent="0.3">
      <c r="B33" s="19" t="s">
        <v>54</v>
      </c>
      <c r="C33" s="20">
        <f t="array" ref="C33">INDEX(MINVU_Mes_Corriente!$1:$300, 179, 3 + ($C$4 - 2014)*13 + 12)</f>
        <v>154702362</v>
      </c>
      <c r="D33" s="20">
        <f t="array" ref="D33">INDEX(MINVU_Mes_Corriente!$1:$300, 201, 3 + ($C$4 - 2014)*13 + 12)</f>
        <v>154664738</v>
      </c>
      <c r="E33" s="20">
        <f t="array" ref="E33">INDEX(MINVU_Mes_Corriente!$1:$300, 41, 3 + ($C$4 - 2014)*13 + 12)</f>
        <v>19120001</v>
      </c>
      <c r="F33" s="20">
        <f t="array" ref="F33">INDEX(MINVU_Mes_Corriente!$1:$300, 63, 3 + ($C$4 - 2014)*13 + 12)</f>
        <v>17950052</v>
      </c>
      <c r="G33" s="20">
        <f t="array" ref="G33">INDEX(MINVU_Mes_Corriente!$1:$300, 110, 3 + ($C$4 - 2014)*13 + 12)</f>
        <v>6270</v>
      </c>
      <c r="H33" s="20">
        <f t="array" ref="H33">INDEX(MINVU_Mes_Corriente!$1:$300, 132, 3 + ($C$4 - 2014)*13 + 12)</f>
        <v>6042</v>
      </c>
      <c r="I33" s="20">
        <f t="shared" si="0"/>
        <v>173828633</v>
      </c>
      <c r="J33" s="20">
        <f t="shared" si="1"/>
        <v>172620832</v>
      </c>
      <c r="K33" s="20">
        <f t="shared" si="2"/>
        <v>1207801</v>
      </c>
      <c r="L33" s="21">
        <f t="shared" si="3"/>
        <v>0.99305177185625104</v>
      </c>
      <c r="M33" s="21">
        <f t="shared" si="4"/>
        <v>5.2157432937183078E-2</v>
      </c>
    </row>
    <row r="34" spans="2:15" ht="14.25" customHeight="1" x14ac:dyDescent="0.3">
      <c r="B34" s="7" t="s">
        <v>55</v>
      </c>
      <c r="C34" s="8">
        <f t="array" ref="C34">INDEX(MINVU_Mes_Corriente!$1:$300, 180, 3 + ($C$4 - 2014)*13 + 12)</f>
        <v>303934966</v>
      </c>
      <c r="D34" s="8">
        <f t="array" ref="D34">INDEX(MINVU_Mes_Corriente!$1:$300, 202, 3 + ($C$4 - 2014)*13 + 12)</f>
        <v>303859023</v>
      </c>
      <c r="E34" s="8">
        <f t="array" ref="E34">INDEX(MINVU_Mes_Corriente!$1:$300, 42, 3 + ($C$4 - 2014)*13 + 12)</f>
        <v>52850218</v>
      </c>
      <c r="F34" s="8">
        <f t="array" ref="F34">INDEX(MINVU_Mes_Corriente!$1:$300, 64, 3 + ($C$4 - 2014)*13 + 12)</f>
        <v>52001305</v>
      </c>
      <c r="G34" s="8">
        <f t="array" ref="G34">INDEX(MINVU_Mes_Corriente!$1:$300, 111, 3 + ($C$4 - 2014)*13 + 12)</f>
        <v>12960</v>
      </c>
      <c r="H34" s="8">
        <f t="array" ref="H34">INDEX(MINVU_Mes_Corriente!$1:$300, 133, 3 + ($C$4 - 2014)*13 + 12)</f>
        <v>12190</v>
      </c>
      <c r="I34" s="8">
        <f t="shared" si="0"/>
        <v>356798144</v>
      </c>
      <c r="J34" s="8">
        <f t="shared" si="1"/>
        <v>355872518</v>
      </c>
      <c r="K34" s="8">
        <f t="shared" si="2"/>
        <v>925626</v>
      </c>
      <c r="L34" s="13">
        <f t="shared" si="3"/>
        <v>0.99740574323166886</v>
      </c>
      <c r="M34" s="13">
        <f t="shared" si="4"/>
        <v>0.10705759429052975</v>
      </c>
    </row>
    <row r="35" spans="2:15" ht="14.25" customHeight="1" x14ac:dyDescent="0.3">
      <c r="B35" s="19" t="s">
        <v>56</v>
      </c>
      <c r="C35" s="20">
        <f t="array" ref="C35">INDEX(MINVU_Mes_Corriente!$1:$300, 181, 3 + ($C$4 - 2014)*13 + 12)</f>
        <v>266347073</v>
      </c>
      <c r="D35" s="20">
        <f t="array" ref="D35">INDEX(MINVU_Mes_Corriente!$1:$300, 203, 3 + ($C$4 - 2014)*13 + 12)</f>
        <v>265754901</v>
      </c>
      <c r="E35" s="20">
        <f t="array" ref="E35">INDEX(MINVU_Mes_Corriente!$1:$300, 43, 3 + ($C$4 - 2014)*13 + 12)</f>
        <v>36728957</v>
      </c>
      <c r="F35" s="20">
        <f t="array" ref="F35">INDEX(MINVU_Mes_Corriente!$1:$300, 65, 3 + ($C$4 - 2014)*13 + 12)</f>
        <v>36426224</v>
      </c>
      <c r="G35" s="20">
        <f t="array" ref="G35">INDEX(MINVU_Mes_Corriente!$1:$300, 112, 3 + ($C$4 - 2014)*13 + 12)</f>
        <v>12161</v>
      </c>
      <c r="H35" s="20">
        <f t="array" ref="H35">INDEX(MINVU_Mes_Corriente!$1:$300, 134, 3 + ($C$4 - 2014)*13 + 12)</f>
        <v>12134</v>
      </c>
      <c r="I35" s="20">
        <f t="shared" si="0"/>
        <v>303088191</v>
      </c>
      <c r="J35" s="20">
        <f t="shared" si="1"/>
        <v>302193259</v>
      </c>
      <c r="K35" s="20">
        <f t="shared" si="2"/>
        <v>894932</v>
      </c>
      <c r="L35" s="21">
        <f t="shared" si="3"/>
        <v>0.99704728845737178</v>
      </c>
      <c r="M35" s="21">
        <f t="shared" si="4"/>
        <v>9.0941876049468989E-2</v>
      </c>
    </row>
    <row r="36" spans="2:15" ht="14.25" customHeight="1" x14ac:dyDescent="0.3">
      <c r="B36" s="7" t="s">
        <v>57</v>
      </c>
      <c r="C36" s="8">
        <f t="array" ref="C36">INDEX(MINVU_Mes_Corriente!$1:$300, 182, 3 + ($C$4 - 2014)*13 + 12)</f>
        <v>73852164</v>
      </c>
      <c r="D36" s="8">
        <f t="array" ref="D36">INDEX(MINVU_Mes_Corriente!$1:$300, 204, 3 + ($C$4 - 2014)*13 + 12)</f>
        <v>72195760</v>
      </c>
      <c r="E36" s="8">
        <f t="array" ref="E36">INDEX(MINVU_Mes_Corriente!$1:$300, 44, 3 + ($C$4 - 2014)*13 + 12)</f>
        <v>13330524</v>
      </c>
      <c r="F36" s="8">
        <f t="array" ref="F36">INDEX(MINVU_Mes_Corriente!$1:$300, 66, 3 + ($C$4 - 2014)*13 + 12)</f>
        <v>12655537</v>
      </c>
      <c r="G36" s="8">
        <f t="array" ref="G36">INDEX(MINVU_Mes_Corriente!$1:$300, 113, 3 + ($C$4 - 2014)*13 + 12)</f>
        <v>9216</v>
      </c>
      <c r="H36" s="8">
        <f t="array" ref="H36">INDEX(MINVU_Mes_Corriente!$1:$300, 135, 3 + ($C$4 - 2014)*13 + 12)</f>
        <v>9209</v>
      </c>
      <c r="I36" s="8">
        <f t="shared" si="0"/>
        <v>87191904</v>
      </c>
      <c r="J36" s="8">
        <f t="shared" si="1"/>
        <v>84860506</v>
      </c>
      <c r="K36" s="8">
        <f t="shared" si="2"/>
        <v>2331398</v>
      </c>
      <c r="L36" s="13">
        <f t="shared" si="3"/>
        <v>0.97326130187499982</v>
      </c>
      <c r="M36" s="13">
        <f t="shared" si="4"/>
        <v>2.61620068400659E-2</v>
      </c>
    </row>
    <row r="37" spans="2:15" ht="14.25" customHeight="1" x14ac:dyDescent="0.3">
      <c r="B37" s="19" t="s">
        <v>58</v>
      </c>
      <c r="C37" s="20">
        <f t="array" ref="C37">INDEX(MINVU_Mes_Corriente!$1:$300, 183, 3 + ($C$4 - 2014)*13 + 12)</f>
        <v>209110935</v>
      </c>
      <c r="D37" s="20">
        <f t="array" ref="D37">INDEX(MINVU_Mes_Corriente!$1:$300, 205, 3 + ($C$4 - 2014)*13 + 12)</f>
        <v>209043392</v>
      </c>
      <c r="E37" s="20">
        <f t="array" ref="E37">INDEX(MINVU_Mes_Corriente!$1:$300, 45, 3 + ($C$4 - 2014)*13 + 12)</f>
        <v>17300120</v>
      </c>
      <c r="F37" s="20">
        <f t="array" ref="F37">INDEX(MINVU_Mes_Corriente!$1:$300, 67, 3 + ($C$4 - 2014)*13 + 12)</f>
        <v>16578842</v>
      </c>
      <c r="G37" s="20">
        <f t="array" ref="G37">INDEX(MINVU_Mes_Corriente!$1:$300, 114, 3 + ($C$4 - 2014)*13 + 12)</f>
        <v>9262299</v>
      </c>
      <c r="H37" s="20">
        <f t="array" ref="H37">INDEX(MINVU_Mes_Corriente!$1:$300, 136, 3 + ($C$4 - 2014)*13 + 12)</f>
        <v>9235856</v>
      </c>
      <c r="I37" s="20">
        <f t="shared" si="0"/>
        <v>235673354</v>
      </c>
      <c r="J37" s="20">
        <f t="shared" si="1"/>
        <v>234858090</v>
      </c>
      <c r="K37" s="20">
        <f t="shared" si="2"/>
        <v>815264</v>
      </c>
      <c r="L37" s="21">
        <f t="shared" si="3"/>
        <v>0.9965407035366417</v>
      </c>
      <c r="M37" s="21">
        <f t="shared" si="4"/>
        <v>7.0713995411423425E-2</v>
      </c>
    </row>
    <row r="38" spans="2:15" ht="14.25" customHeight="1" x14ac:dyDescent="0.3">
      <c r="B38" s="7" t="s">
        <v>59</v>
      </c>
      <c r="C38" s="8">
        <f t="array" ref="C38">INDEX(MINVU_Mes_Corriente!$1:$300, 184, 3 + ($C$4 - 2014)*13 + 12)</f>
        <v>40911462</v>
      </c>
      <c r="D38" s="8">
        <f t="array" ref="D38">INDEX(MINVU_Mes_Corriente!$1:$300, 206, 3 + ($C$4 - 2014)*13 + 12)</f>
        <v>40629172</v>
      </c>
      <c r="E38" s="8">
        <f t="array" ref="E38">INDEX(MINVU_Mes_Corriente!$1:$300, 46, 3 + ($C$4 - 2014)*13 + 12)</f>
        <v>7723948</v>
      </c>
      <c r="F38" s="8">
        <f t="array" ref="F38">INDEX(MINVU_Mes_Corriente!$1:$300, 68, 3 + ($C$4 - 2014)*13 + 12)</f>
        <v>7636879</v>
      </c>
      <c r="G38" s="8">
        <f t="array" ref="G38">INDEX(MINVU_Mes_Corriente!$1:$300, 115, 3 + ($C$4 - 2014)*13 + 12)</f>
        <v>6270</v>
      </c>
      <c r="H38" s="8">
        <f t="array" ref="H38">INDEX(MINVU_Mes_Corriente!$1:$300, 137, 3 + ($C$4 - 2014)*13 + 12)</f>
        <v>6224</v>
      </c>
      <c r="I38" s="8">
        <f t="shared" si="0"/>
        <v>48641680</v>
      </c>
      <c r="J38" s="8">
        <f t="shared" si="1"/>
        <v>48272275</v>
      </c>
      <c r="K38" s="8">
        <f t="shared" si="2"/>
        <v>369405</v>
      </c>
      <c r="L38" s="13">
        <f t="shared" si="3"/>
        <v>0.99240558714254934</v>
      </c>
      <c r="M38" s="13">
        <f t="shared" si="4"/>
        <v>1.4594978507090482E-2</v>
      </c>
    </row>
    <row r="39" spans="2:15" ht="14.25" customHeight="1" x14ac:dyDescent="0.3">
      <c r="B39" s="19" t="s">
        <v>60</v>
      </c>
      <c r="C39" s="20">
        <f t="array" ref="C39">INDEX(MINVU_Mes_Corriente!$1:$300, 185, 3 + ($C$4 - 2014)*13 + 12)</f>
        <v>66490061</v>
      </c>
      <c r="D39" s="20">
        <f t="array" ref="D39">INDEX(MINVU_Mes_Corriente!$1:$300, 207, 3 + ($C$4 - 2014)*13 + 12)</f>
        <v>66459701</v>
      </c>
      <c r="E39" s="20">
        <f t="array" ref="E39">INDEX(MINVU_Mes_Corriente!$1:$300, 47, 3 + ($C$4 - 2014)*13 + 12)</f>
        <v>17985481</v>
      </c>
      <c r="F39" s="20">
        <f t="array" ref="F39">INDEX(MINVU_Mes_Corriente!$1:$300, 69, 3 + ($C$4 - 2014)*13 + 12)</f>
        <v>17938143</v>
      </c>
      <c r="G39" s="20">
        <f t="array" ref="G39">INDEX(MINVU_Mes_Corriente!$1:$300, 116, 3 + ($C$4 - 2014)*13 + 12)</f>
        <v>8343</v>
      </c>
      <c r="H39" s="20">
        <f t="array" ref="H39">INDEX(MINVU_Mes_Corriente!$1:$300, 138, 3 + ($C$4 - 2014)*13 + 12)</f>
        <v>8289</v>
      </c>
      <c r="I39" s="20">
        <f t="shared" si="0"/>
        <v>84483885</v>
      </c>
      <c r="J39" s="20">
        <f t="shared" si="1"/>
        <v>84406133</v>
      </c>
      <c r="K39" s="20">
        <f t="shared" si="2"/>
        <v>77752</v>
      </c>
      <c r="L39" s="21">
        <f t="shared" si="3"/>
        <v>0.99907968247435586</v>
      </c>
      <c r="M39" s="21">
        <f t="shared" si="4"/>
        <v>2.534946337730325E-2</v>
      </c>
    </row>
    <row r="40" spans="2:15" ht="14.25" customHeight="1" x14ac:dyDescent="0.3">
      <c r="B40" s="14" t="s">
        <v>127</v>
      </c>
      <c r="C40" s="16">
        <f t="shared" ref="C40:K40" si="5">SUM(C22:C39)</f>
        <v>2913408485</v>
      </c>
      <c r="D40" s="16">
        <f t="shared" si="5"/>
        <v>2904924599</v>
      </c>
      <c r="E40" s="16">
        <f t="shared" si="5"/>
        <v>400142072</v>
      </c>
      <c r="F40" s="16">
        <f t="shared" si="5"/>
        <v>388712182</v>
      </c>
      <c r="G40" s="16">
        <f t="shared" si="5"/>
        <v>19217626</v>
      </c>
      <c r="H40" s="16">
        <f t="shared" si="5"/>
        <v>19062259</v>
      </c>
      <c r="I40" s="16">
        <f t="shared" si="5"/>
        <v>3332768183</v>
      </c>
      <c r="J40" s="16">
        <f t="shared" si="5"/>
        <v>3312699040</v>
      </c>
      <c r="K40" s="16">
        <f t="shared" si="5"/>
        <v>20069143</v>
      </c>
      <c r="L40" s="17">
        <f t="shared" si="3"/>
        <v>0.99397823613944414</v>
      </c>
      <c r="M40" s="17">
        <f>SUM(M22:M39)</f>
        <v>1</v>
      </c>
    </row>
    <row r="41" spans="2:15" ht="14.25" customHeight="1" x14ac:dyDescent="0.3"/>
    <row r="42" spans="2:15" ht="14.25" customHeight="1" x14ac:dyDescent="0.3">
      <c r="B42" s="4" t="s">
        <v>128</v>
      </c>
    </row>
    <row r="43" spans="2:15" ht="14.25" customHeight="1" x14ac:dyDescent="0.3"/>
    <row r="44" spans="2:15" ht="14.25" customHeight="1" x14ac:dyDescent="0.3">
      <c r="B44" s="5" t="s">
        <v>129</v>
      </c>
      <c r="C44" s="5" t="s">
        <v>18</v>
      </c>
      <c r="D44" s="5" t="s">
        <v>19</v>
      </c>
      <c r="E44" s="5" t="s">
        <v>20</v>
      </c>
      <c r="F44" s="5" t="s">
        <v>21</v>
      </c>
      <c r="G44" s="5" t="s">
        <v>22</v>
      </c>
      <c r="H44" s="5" t="s">
        <v>23</v>
      </c>
      <c r="I44" s="5" t="s">
        <v>24</v>
      </c>
      <c r="J44" s="5" t="s">
        <v>25</v>
      </c>
      <c r="K44" s="5" t="s">
        <v>26</v>
      </c>
      <c r="L44" s="5" t="s">
        <v>27</v>
      </c>
      <c r="M44" s="5" t="s">
        <v>28</v>
      </c>
      <c r="N44" s="5" t="s">
        <v>29</v>
      </c>
      <c r="O44" s="5" t="s">
        <v>130</v>
      </c>
    </row>
    <row r="45" spans="2:15" ht="14.25" customHeight="1" x14ac:dyDescent="0.3">
      <c r="B45" s="7" t="s">
        <v>101</v>
      </c>
      <c r="C45" s="8">
        <f t="array" ref="C45">INDEX(MINVU_Mes_Corriente!$1:$300, 164, 3 + ($C$4 - 2014)*13 + 0) + INDEX(MINVU_Mes_Corriente!$1:$300, 26, 3 + ($C$4 - 2014)*13 + 0) + INDEX(MINVU_Mes_Corriente!$1:$300, 95, 3 + ($C$4 - 2014)*13 + 0)</f>
        <v>3320541734</v>
      </c>
      <c r="D45" s="8">
        <f t="array" ref="D45">INDEX(MINVU_Mes_Corriente!$1:$300, 164, 3 + ($C$4 - 2014)*13 + 1) + INDEX(MINVU_Mes_Corriente!$1:$300, 26, 3 + ($C$4 - 2014)*13 + 1) + INDEX(MINVU_Mes_Corriente!$1:$300, 95, 3 + ($C$4 - 2014)*13 + 1)</f>
        <v>3320541734</v>
      </c>
      <c r="E45" s="8">
        <f t="array" ref="E45">INDEX(MINVU_Mes_Corriente!$1:$300, 164, 3 + ($C$4 - 2014)*13 + 2) + INDEX(MINVU_Mes_Corriente!$1:$300, 26, 3 + ($C$4 - 2014)*13 + 2) + INDEX(MINVU_Mes_Corriente!$1:$300, 95, 3 + ($C$4 - 2014)*13 + 2)</f>
        <v>3320541734</v>
      </c>
      <c r="F45" s="8">
        <f t="array" ref="F45">INDEX(MINVU_Mes_Corriente!$1:$300, 164, 3 + ($C$4 - 2014)*13 + 3) + INDEX(MINVU_Mes_Corriente!$1:$300, 26, 3 + ($C$4 - 2014)*13 + 3) + INDEX(MINVU_Mes_Corriente!$1:$300, 95, 3 + ($C$4 - 2014)*13 + 3)</f>
        <v>3320541734</v>
      </c>
      <c r="G45" s="8">
        <f t="array" ref="G45">INDEX(MINVU_Mes_Corriente!$1:$300, 164, 3 + ($C$4 - 2014)*13 + 4) + INDEX(MINVU_Mes_Corriente!$1:$300, 26, 3 + ($C$4 - 2014)*13 + 4) + INDEX(MINVU_Mes_Corriente!$1:$300, 95, 3 + ($C$4 - 2014)*13 + 4)</f>
        <v>3320541734</v>
      </c>
      <c r="H45" s="8">
        <f t="array" ref="H45">INDEX(MINVU_Mes_Corriente!$1:$300, 164, 3 + ($C$4 - 2014)*13 + 5) + INDEX(MINVU_Mes_Corriente!$1:$300, 26, 3 + ($C$4 - 2014)*13 + 5) + INDEX(MINVU_Mes_Corriente!$1:$300, 95, 3 + ($C$4 - 2014)*13 + 5)</f>
        <v>3320541734</v>
      </c>
      <c r="I45" s="8">
        <f t="array" ref="I45">INDEX(MINVU_Mes_Corriente!$1:$300, 164, 3 + ($C$4 - 2014)*13 + 6) + INDEX(MINVU_Mes_Corriente!$1:$300, 26, 3 + ($C$4 - 2014)*13 + 6) + INDEX(MINVU_Mes_Corriente!$1:$300, 95, 3 + ($C$4 - 2014)*13 + 6)</f>
        <v>3320541734</v>
      </c>
      <c r="J45" s="8">
        <f t="array" ref="J45">INDEX(MINVU_Mes_Corriente!$1:$300, 164, 3 + ($C$4 - 2014)*13 + 7) + INDEX(MINVU_Mes_Corriente!$1:$300, 26, 3 + ($C$4 - 2014)*13 + 7) + INDEX(MINVU_Mes_Corriente!$1:$300, 95, 3 + ($C$4 - 2014)*13 + 7)</f>
        <v>3320541734</v>
      </c>
      <c r="K45" s="8">
        <f t="array" ref="K45">INDEX(MINVU_Mes_Corriente!$1:$300, 164, 3 + ($C$4 - 2014)*13 + 8) + INDEX(MINVU_Mes_Corriente!$1:$300, 26, 3 + ($C$4 - 2014)*13 + 8) + INDEX(MINVU_Mes_Corriente!$1:$300, 95, 3 + ($C$4 - 2014)*13 + 8)</f>
        <v>3320541734</v>
      </c>
      <c r="L45" s="8">
        <f t="array" ref="L45">INDEX(MINVU_Mes_Corriente!$1:$300, 164, 3 + ($C$4 - 2014)*13 + 9) + INDEX(MINVU_Mes_Corriente!$1:$300, 26, 3 + ($C$4 - 2014)*13 + 9) + INDEX(MINVU_Mes_Corriente!$1:$300, 95, 3 + ($C$4 - 2014)*13 + 9)</f>
        <v>3320541734</v>
      </c>
      <c r="M45" s="8">
        <f t="array" ref="M45">INDEX(MINVU_Mes_Corriente!$1:$300, 164, 3 + ($C$4 - 2014)*13 + 10) + INDEX(MINVU_Mes_Corriente!$1:$300, 26, 3 + ($C$4 - 2014)*13 + 10) + INDEX(MINVU_Mes_Corriente!$1:$300, 95, 3 + ($C$4 - 2014)*13 + 10)</f>
        <v>3320541734</v>
      </c>
      <c r="N45" s="8">
        <f t="array" ref="N45">INDEX(MINVU_Mes_Corriente!$1:$300, 164, 3 + ($C$4 - 2014)*13 + 11) + INDEX(MINVU_Mes_Corriente!$1:$300, 26, 3 + ($C$4 - 2014)*13 + 11) + INDEX(MINVU_Mes_Corriente!$1:$300, 95, 3 + ($C$4 - 2014)*13 + 11)</f>
        <v>3320541734</v>
      </c>
      <c r="O45" s="22">
        <f t="array" ref="O45">INDEX(MINVU_Mes_Corriente!$1:$300, 164, 3 + ($C$4 - 2014)*13 + 12) + INDEX(MINVU_Mes_Corriente!$1:$300, 26, 3 + ($C$4 - 2014)*13 + 12) + INDEX(MINVU_Mes_Corriente!$1:$300, 95, 3 + ($C$4 - 2014)*13 + 12)</f>
        <v>3320541734</v>
      </c>
    </row>
    <row r="46" spans="2:15" ht="14.25" customHeight="1" x14ac:dyDescent="0.3">
      <c r="B46" s="7" t="s">
        <v>102</v>
      </c>
      <c r="C46" s="8">
        <f t="array" ref="C46">INDEX(MINVU_Mes_Corriente!$1:$300, 186, 3 + ($C$4 - 2014)*13 + 0) + INDEX(MINVU_Mes_Corriente!$1:$300, 48, 3 + ($C$4 - 2014)*13 + 0) + INDEX(MINVU_Mes_Corriente!$1:$300, 117, 3 + ($C$4 - 2014)*13 + 0)</f>
        <v>3320541734</v>
      </c>
      <c r="D46" s="8">
        <f t="array" ref="D46">INDEX(MINVU_Mes_Corriente!$1:$300, 186, 3 + ($C$4 - 2014)*13 + 1) + INDEX(MINVU_Mes_Corriente!$1:$300, 48, 3 + ($C$4 - 2014)*13 + 1) + INDEX(MINVU_Mes_Corriente!$1:$300, 117, 3 + ($C$4 - 2014)*13 + 1)</f>
        <v>3320541734</v>
      </c>
      <c r="E46" s="8">
        <f t="array" ref="E46">INDEX(MINVU_Mes_Corriente!$1:$300, 186, 3 + ($C$4 - 2014)*13 + 2) + INDEX(MINVU_Mes_Corriente!$1:$300, 48, 3 + ($C$4 - 2014)*13 + 2) + INDEX(MINVU_Mes_Corriente!$1:$300, 117, 3 + ($C$4 - 2014)*13 + 2)</f>
        <v>3320541734</v>
      </c>
      <c r="F46" s="8">
        <f t="array" ref="F46">INDEX(MINVU_Mes_Corriente!$1:$300, 186, 3 + ($C$4 - 2014)*13 + 3) + INDEX(MINVU_Mes_Corriente!$1:$300, 48, 3 + ($C$4 - 2014)*13 + 3) + INDEX(MINVU_Mes_Corriente!$1:$300, 117, 3 + ($C$4 - 2014)*13 + 3)</f>
        <v>3320541734</v>
      </c>
      <c r="G46" s="8">
        <f t="array" ref="G46">INDEX(MINVU_Mes_Corriente!$1:$300, 186, 3 + ($C$4 - 2014)*13 + 4) + INDEX(MINVU_Mes_Corriente!$1:$300, 48, 3 + ($C$4 - 2014)*13 + 4) + INDEX(MINVU_Mes_Corriente!$1:$300, 117, 3 + ($C$4 - 2014)*13 + 4)</f>
        <v>3320643534</v>
      </c>
      <c r="H46" s="8">
        <f t="array" ref="H46">INDEX(MINVU_Mes_Corriente!$1:$300, 186, 3 + ($C$4 - 2014)*13 + 5) + INDEX(MINVU_Mes_Corriente!$1:$300, 48, 3 + ($C$4 - 2014)*13 + 5) + INDEX(MINVU_Mes_Corriente!$1:$300, 117, 3 + ($C$4 - 2014)*13 + 5)</f>
        <v>3320643534</v>
      </c>
      <c r="I46" s="8">
        <f t="array" ref="I46">INDEX(MINVU_Mes_Corriente!$1:$300, 186, 3 + ($C$4 - 2014)*13 + 6) + INDEX(MINVU_Mes_Corriente!$1:$300, 48, 3 + ($C$4 - 2014)*13 + 6) + INDEX(MINVU_Mes_Corriente!$1:$300, 117, 3 + ($C$4 - 2014)*13 + 6)</f>
        <v>3329424159</v>
      </c>
      <c r="J46" s="8">
        <f t="array" ref="J46">INDEX(MINVU_Mes_Corriente!$1:$300, 186, 3 + ($C$4 - 2014)*13 + 7) + INDEX(MINVU_Mes_Corriente!$1:$300, 48, 3 + ($C$4 - 2014)*13 + 7) + INDEX(MINVU_Mes_Corriente!$1:$300, 117, 3 + ($C$4 - 2014)*13 + 7)</f>
        <v>3376717372</v>
      </c>
      <c r="K46" s="8">
        <f t="array" ref="K46">INDEX(MINVU_Mes_Corriente!$1:$300, 186, 3 + ($C$4 - 2014)*13 + 8) + INDEX(MINVU_Mes_Corriente!$1:$300, 48, 3 + ($C$4 - 2014)*13 + 8) + INDEX(MINVU_Mes_Corriente!$1:$300, 117, 3 + ($C$4 - 2014)*13 + 8)</f>
        <v>3421717372</v>
      </c>
      <c r="L46" s="8">
        <f t="array" ref="L46">INDEX(MINVU_Mes_Corriente!$1:$300, 186, 3 + ($C$4 - 2014)*13 + 9) + INDEX(MINVU_Mes_Corriente!$1:$300, 48, 3 + ($C$4 - 2014)*13 + 9) + INDEX(MINVU_Mes_Corriente!$1:$300, 117, 3 + ($C$4 - 2014)*13 + 9)</f>
        <v>3491232791</v>
      </c>
      <c r="M46" s="8">
        <f t="array" ref="M46">INDEX(MINVU_Mes_Corriente!$1:$300, 186, 3 + ($C$4 - 2014)*13 + 10) + INDEX(MINVU_Mes_Corriente!$1:$300, 48, 3 + ($C$4 - 2014)*13 + 10) + INDEX(MINVU_Mes_Corriente!$1:$300, 117, 3 + ($C$4 - 2014)*13 + 10)</f>
        <v>3488688633</v>
      </c>
      <c r="N46" s="8">
        <f t="array" ref="N46">INDEX(MINVU_Mes_Corriente!$1:$300, 186, 3 + ($C$4 - 2014)*13 + 11) + INDEX(MINVU_Mes_Corriente!$1:$300, 48, 3 + ($C$4 - 2014)*13 + 11) + INDEX(MINVU_Mes_Corriente!$1:$300, 117, 3 + ($C$4 - 2014)*13 + 11)</f>
        <v>3332768183</v>
      </c>
      <c r="O46" s="22">
        <f t="array" ref="O46">INDEX(MINVU_Mes_Corriente!$1:$300, 186, 3 + ($C$4 - 2014)*13 + 12) + INDEX(MINVU_Mes_Corriente!$1:$300, 48, 3 + ($C$4 - 2014)*13 + 12) + INDEX(MINVU_Mes_Corriente!$1:$300, 117, 3 + ($C$4 - 2014)*13 + 12)</f>
        <v>3332768183</v>
      </c>
    </row>
    <row r="47" spans="2:15" ht="14.25" customHeight="1" x14ac:dyDescent="0.3">
      <c r="B47" s="23" t="s">
        <v>103</v>
      </c>
      <c r="C47" s="24">
        <f t="array" ref="C47">INDEX(MINVU_Mes_Corriente!$1:$300, 208, 3 + ($C$4 - 2014)*13 + 0) + INDEX(MINVU_Mes_Corriente!$1:$300, 70, 3 + ($C$4 - 2014)*13 + 0) + INDEX(MINVU_Mes_Corriente!$1:$300, 139, 3 + ($C$4 - 2014)*13 + 0)</f>
        <v>144905537</v>
      </c>
      <c r="D47" s="24">
        <f t="array" ref="D47">INDEX(MINVU_Mes_Corriente!$1:$300, 208, 3 + ($C$4 - 2014)*13 + 1) + INDEX(MINVU_Mes_Corriente!$1:$300, 70, 3 + ($C$4 - 2014)*13 + 1) + INDEX(MINVU_Mes_Corriente!$1:$300, 139, 3 + ($C$4 - 2014)*13 + 1)</f>
        <v>392112901</v>
      </c>
      <c r="E47" s="24">
        <f t="array" ref="E47">INDEX(MINVU_Mes_Corriente!$1:$300, 208, 3 + ($C$4 - 2014)*13 + 2) + INDEX(MINVU_Mes_Corriente!$1:$300, 70, 3 + ($C$4 - 2014)*13 + 2) + INDEX(MINVU_Mes_Corriente!$1:$300, 139, 3 + ($C$4 - 2014)*13 + 2)</f>
        <v>734004289</v>
      </c>
      <c r="F47" s="24">
        <f t="array" ref="F47">INDEX(MINVU_Mes_Corriente!$1:$300, 208, 3 + ($C$4 - 2014)*13 + 3) + INDEX(MINVU_Mes_Corriente!$1:$300, 70, 3 + ($C$4 - 2014)*13 + 3) + INDEX(MINVU_Mes_Corriente!$1:$300, 139, 3 + ($C$4 - 2014)*13 + 3)</f>
        <v>1004471755</v>
      </c>
      <c r="G47" s="24">
        <f t="array" ref="G47">INDEX(MINVU_Mes_Corriente!$1:$300, 208, 3 + ($C$4 - 2014)*13 + 4) + INDEX(MINVU_Mes_Corriente!$1:$300, 70, 3 + ($C$4 - 2014)*13 + 4) + INDEX(MINVU_Mes_Corriente!$1:$300, 139, 3 + ($C$4 - 2014)*13 + 4)</f>
        <v>1303821878</v>
      </c>
      <c r="H47" s="24">
        <f t="array" ref="H47">INDEX(MINVU_Mes_Corriente!$1:$300, 208, 3 + ($C$4 - 2014)*13 + 5) + INDEX(MINVU_Mes_Corriente!$1:$300, 70, 3 + ($C$4 - 2014)*13 + 5) + INDEX(MINVU_Mes_Corriente!$1:$300, 139, 3 + ($C$4 - 2014)*13 + 5)</f>
        <v>1551877586</v>
      </c>
      <c r="I47" s="24">
        <f t="array" ref="I47">INDEX(MINVU_Mes_Corriente!$1:$300, 208, 3 + ($C$4 - 2014)*13 + 6) + INDEX(MINVU_Mes_Corriente!$1:$300, 70, 3 + ($C$4 - 2014)*13 + 6) + INDEX(MINVU_Mes_Corriente!$1:$300, 139, 3 + ($C$4 - 2014)*13 + 6)</f>
        <v>1800513314</v>
      </c>
      <c r="J47" s="24">
        <f t="array" ref="J47">INDEX(MINVU_Mes_Corriente!$1:$300, 208, 3 + ($C$4 - 2014)*13 + 7) + INDEX(MINVU_Mes_Corriente!$1:$300, 70, 3 + ($C$4 - 2014)*13 + 7) + INDEX(MINVU_Mes_Corriente!$1:$300, 139, 3 + ($C$4 - 2014)*13 + 7)</f>
        <v>2056646958</v>
      </c>
      <c r="K47" s="24">
        <f t="array" ref="K47">INDEX(MINVU_Mes_Corriente!$1:$300, 208, 3 + ($C$4 - 2014)*13 + 8) + INDEX(MINVU_Mes_Corriente!$1:$300, 70, 3 + ($C$4 - 2014)*13 + 8) + INDEX(MINVU_Mes_Corriente!$1:$300, 139, 3 + ($C$4 - 2014)*13 + 8)</f>
        <v>2287303377</v>
      </c>
      <c r="L47" s="24">
        <f t="array" ref="L47">INDEX(MINVU_Mes_Corriente!$1:$300, 208, 3 + ($C$4 - 2014)*13 + 9) + INDEX(MINVU_Mes_Corriente!$1:$300, 70, 3 + ($C$4 - 2014)*13 + 9) + INDEX(MINVU_Mes_Corriente!$1:$300, 139, 3 + ($C$4 - 2014)*13 + 9)</f>
        <v>2541084845</v>
      </c>
      <c r="M47" s="24">
        <f t="array" ref="M47">INDEX(MINVU_Mes_Corriente!$1:$300, 208, 3 + ($C$4 - 2014)*13 + 10) + INDEX(MINVU_Mes_Corriente!$1:$300, 70, 3 + ($C$4 - 2014)*13 + 10) + INDEX(MINVU_Mes_Corriente!$1:$300, 139, 3 + ($C$4 - 2014)*13 + 10)</f>
        <v>2810519043</v>
      </c>
      <c r="N47" s="24">
        <f t="array" ref="N47">INDEX(MINVU_Mes_Corriente!$1:$300, 208, 3 + ($C$4 - 2014)*13 + 11) + INDEX(MINVU_Mes_Corriente!$1:$300, 70, 3 + ($C$4 - 2014)*13 + 11) + INDEX(MINVU_Mes_Corriente!$1:$300, 139, 3 + ($C$4 - 2014)*13 + 11)</f>
        <v>3312699040</v>
      </c>
      <c r="O47" s="25">
        <f t="array" ref="O47">INDEX(MINVU_Mes_Corriente!$1:$300, 208, 3 + ($C$4 - 2014)*13 + 12) + INDEX(MINVU_Mes_Corriente!$1:$300, 70, 3 + ($C$4 - 2014)*13 + 12) + INDEX(MINVU_Mes_Corriente!$1:$300, 139, 3 + ($C$4 - 2014)*13 + 12)</f>
        <v>3312699040</v>
      </c>
    </row>
    <row r="48" spans="2:15" ht="14.25" customHeight="1" x14ac:dyDescent="0.3">
      <c r="B48" s="26" t="s">
        <v>131</v>
      </c>
      <c r="C48" s="27">
        <f t="shared" ref="C48:O48" si="6">IF(C46&gt;0, C47/C46, 0)</f>
        <v>4.36391253620666E-2</v>
      </c>
      <c r="D48" s="27">
        <f t="shared" si="6"/>
        <v>0.1180870268802952</v>
      </c>
      <c r="E48" s="27">
        <f t="shared" si="6"/>
        <v>0.2210495599209957</v>
      </c>
      <c r="F48" s="27">
        <f t="shared" si="6"/>
        <v>0.30250237324678658</v>
      </c>
      <c r="G48" s="27">
        <f t="shared" si="6"/>
        <v>0.39264132528836504</v>
      </c>
      <c r="H48" s="27">
        <f t="shared" si="6"/>
        <v>0.46734242025991579</v>
      </c>
      <c r="I48" s="27">
        <f t="shared" si="6"/>
        <v>0.54078820481100498</v>
      </c>
      <c r="J48" s="27">
        <f t="shared" si="6"/>
        <v>0.60906695213933948</v>
      </c>
      <c r="K48" s="27">
        <f t="shared" si="6"/>
        <v>0.6684664828594733</v>
      </c>
      <c r="L48" s="27">
        <f t="shared" si="6"/>
        <v>0.72784743874731783</v>
      </c>
      <c r="M48" s="27">
        <f t="shared" si="6"/>
        <v>0.80560902352101649</v>
      </c>
      <c r="N48" s="27">
        <f t="shared" si="6"/>
        <v>0.99397823613944414</v>
      </c>
      <c r="O48" s="17">
        <f t="shared" si="6"/>
        <v>0.99397823613944414</v>
      </c>
    </row>
    <row r="49" spans="2:9" ht="14.25" customHeight="1" x14ac:dyDescent="0.3"/>
    <row r="50" spans="2:9" ht="14.25" customHeight="1" x14ac:dyDescent="0.3">
      <c r="B50" s="4" t="s">
        <v>132</v>
      </c>
    </row>
    <row r="51" spans="2:9" ht="14.25" customHeight="1" x14ac:dyDescent="0.3"/>
    <row r="52" spans="2:9" ht="14.25" customHeight="1" x14ac:dyDescent="0.3">
      <c r="B52" s="11" t="s">
        <v>133</v>
      </c>
      <c r="C52" s="11" t="s">
        <v>101</v>
      </c>
      <c r="D52" s="11" t="s">
        <v>102</v>
      </c>
      <c r="E52" s="11" t="s">
        <v>103</v>
      </c>
      <c r="F52" s="11" t="s">
        <v>104</v>
      </c>
      <c r="G52" s="11" t="s">
        <v>105</v>
      </c>
      <c r="H52" s="11" t="s">
        <v>134</v>
      </c>
      <c r="I52" s="11" t="s">
        <v>135</v>
      </c>
    </row>
    <row r="53" spans="2:9" ht="14.25" customHeight="1" x14ac:dyDescent="0.3">
      <c r="B53" s="28">
        <v>2014</v>
      </c>
      <c r="C53" s="20">
        <f>MINVU_Mes_Corriente!O164 + MINVU_Mes_Corriente!O26 + MINVU_Mes_Corriente!O95</f>
        <v>1280389722</v>
      </c>
      <c r="D53" s="20">
        <f>MINVU_Mes_Corriente!O186 + MINVU_Mes_Corriente!O48 + MINVU_Mes_Corriente!O117</f>
        <v>1468688961</v>
      </c>
      <c r="E53" s="20">
        <f>MINVU_Mes_Corriente!O208 + MINVU_Mes_Corriente!O70 + MINVU_Mes_Corriente!O139</f>
        <v>1460922722</v>
      </c>
      <c r="F53" s="20">
        <f t="shared" ref="F53:F65" si="7">D53 - E53</f>
        <v>7766239</v>
      </c>
      <c r="G53" s="21">
        <f t="shared" ref="G53:G65" si="8">IF(D53&gt;0, E53/D53, 0)</f>
        <v>0.99471212815904053</v>
      </c>
      <c r="H53" s="29" t="s">
        <v>136</v>
      </c>
      <c r="I53" s="29" t="s">
        <v>136</v>
      </c>
    </row>
    <row r="54" spans="2:9" ht="14.25" customHeight="1" x14ac:dyDescent="0.3">
      <c r="B54" s="30">
        <v>2015</v>
      </c>
      <c r="C54" s="8">
        <f>MINVU_Mes_Corriente!AB164 + MINVU_Mes_Corriente!AB26 + MINVU_Mes_Corriente!AB95</f>
        <v>1563189422</v>
      </c>
      <c r="D54" s="8">
        <f>MINVU_Mes_Corriente!AB186 + MINVU_Mes_Corriente!AB48 + MINVU_Mes_Corriente!AB117</f>
        <v>1585977798</v>
      </c>
      <c r="E54" s="8">
        <f>MINVU_Mes_Corriente!AB208 + MINVU_Mes_Corriente!AB70 + MINVU_Mes_Corriente!AB139</f>
        <v>1578590760</v>
      </c>
      <c r="F54" s="8">
        <f t="shared" si="7"/>
        <v>7387038</v>
      </c>
      <c r="G54" s="13">
        <f t="shared" si="8"/>
        <v>0.99534228158217886</v>
      </c>
      <c r="H54" s="13">
        <f t="shared" ref="H54:H65" si="9">IF(D53&gt;0, (D54-D53)/D53, 0)</f>
        <v>7.9859548287297299E-2</v>
      </c>
      <c r="I54" s="13">
        <f t="shared" ref="I54:I65" si="10">IF(E53&gt;0, (E54-E53)/E53, 0)</f>
        <v>8.0543642882706837E-2</v>
      </c>
    </row>
    <row r="55" spans="2:9" ht="14.25" customHeight="1" x14ac:dyDescent="0.3">
      <c r="B55" s="28">
        <v>2016</v>
      </c>
      <c r="C55" s="20">
        <f>MINVU_Mes_Corriente!AO164 + MINVU_Mes_Corriente!AO26 + MINVU_Mes_Corriente!AO95</f>
        <v>1713772055</v>
      </c>
      <c r="D55" s="20">
        <f>MINVU_Mes_Corriente!AO186 + MINVU_Mes_Corriente!AO48 + MINVU_Mes_Corriente!AO117</f>
        <v>1727475521</v>
      </c>
      <c r="E55" s="20">
        <f>MINVU_Mes_Corriente!AO208 + MINVU_Mes_Corriente!AO70 + MINVU_Mes_Corriente!AO139</f>
        <v>1719476578</v>
      </c>
      <c r="F55" s="20">
        <f t="shared" si="7"/>
        <v>7998943</v>
      </c>
      <c r="G55" s="21">
        <f t="shared" si="8"/>
        <v>0.99536957664362757</v>
      </c>
      <c r="H55" s="21">
        <f t="shared" si="9"/>
        <v>8.9217972142129565E-2</v>
      </c>
      <c r="I55" s="21">
        <f t="shared" si="10"/>
        <v>8.9247841536840108E-2</v>
      </c>
    </row>
    <row r="56" spans="2:9" ht="14.25" customHeight="1" x14ac:dyDescent="0.3">
      <c r="B56" s="30">
        <v>2017</v>
      </c>
      <c r="C56" s="8">
        <f>MINVU_Mes_Corriente!BB164 + MINVU_Mes_Corriente!BB26 + MINVU_Mes_Corriente!BB95</f>
        <v>1738839198</v>
      </c>
      <c r="D56" s="8">
        <f>MINVU_Mes_Corriente!BB186 + MINVU_Mes_Corriente!BB48 + MINVU_Mes_Corriente!BB117</f>
        <v>1758673597</v>
      </c>
      <c r="E56" s="8">
        <f>MINVU_Mes_Corriente!BB208 + MINVU_Mes_Corriente!BB70 + MINVU_Mes_Corriente!BB139</f>
        <v>1750915720</v>
      </c>
      <c r="F56" s="8">
        <f t="shared" si="7"/>
        <v>7757877</v>
      </c>
      <c r="G56" s="13">
        <f t="shared" si="8"/>
        <v>0.99558879088579388</v>
      </c>
      <c r="H56" s="13">
        <f t="shared" si="9"/>
        <v>1.8059923640446191E-2</v>
      </c>
      <c r="I56" s="13">
        <f t="shared" si="10"/>
        <v>1.8284135068922118E-2</v>
      </c>
    </row>
    <row r="57" spans="2:9" ht="14.25" customHeight="1" x14ac:dyDescent="0.3">
      <c r="B57" s="28">
        <v>2018</v>
      </c>
      <c r="C57" s="20">
        <f>MINVU_Mes_Corriente!BO164 + MINVU_Mes_Corriente!BO26 + MINVU_Mes_Corriente!BO95</f>
        <v>1745380579</v>
      </c>
      <c r="D57" s="20">
        <f>MINVU_Mes_Corriente!BO186 + MINVU_Mes_Corriente!BO48 + MINVU_Mes_Corriente!BO117</f>
        <v>1702433466</v>
      </c>
      <c r="E57" s="20">
        <f>MINVU_Mes_Corriente!BO208 + MINVU_Mes_Corriente!BO70 + MINVU_Mes_Corriente!BO139</f>
        <v>1695561038</v>
      </c>
      <c r="F57" s="20">
        <f t="shared" si="7"/>
        <v>6872428</v>
      </c>
      <c r="G57" s="21">
        <f t="shared" si="8"/>
        <v>0.99596317381134003</v>
      </c>
      <c r="H57" s="21">
        <f t="shared" si="9"/>
        <v>-3.1978720267328835E-2</v>
      </c>
      <c r="I57" s="21">
        <f t="shared" si="10"/>
        <v>-3.1614703876209418E-2</v>
      </c>
    </row>
    <row r="58" spans="2:9" ht="14.25" customHeight="1" x14ac:dyDescent="0.3">
      <c r="B58" s="30">
        <v>2019</v>
      </c>
      <c r="C58" s="8">
        <f>MINVU_Mes_Corriente!CB164 + MINVU_Mes_Corriente!CB26 + MINVU_Mes_Corriente!CB95</f>
        <v>1889599270</v>
      </c>
      <c r="D58" s="8">
        <f>MINVU_Mes_Corriente!CB186 + MINVU_Mes_Corriente!CB48 + MINVU_Mes_Corriente!CB117</f>
        <v>2048075399</v>
      </c>
      <c r="E58" s="8">
        <f>MINVU_Mes_Corriente!CB208 + MINVU_Mes_Corriente!CB70 + MINVU_Mes_Corriente!CB139</f>
        <v>2034276707</v>
      </c>
      <c r="F58" s="8">
        <f t="shared" si="7"/>
        <v>13798692</v>
      </c>
      <c r="G58" s="13">
        <f t="shared" si="8"/>
        <v>0.99326260546523948</v>
      </c>
      <c r="H58" s="13">
        <f t="shared" si="9"/>
        <v>0.20302815933953217</v>
      </c>
      <c r="I58" s="13">
        <f t="shared" si="10"/>
        <v>0.19976613133286683</v>
      </c>
    </row>
    <row r="59" spans="2:9" ht="14.25" customHeight="1" x14ac:dyDescent="0.3">
      <c r="B59" s="28">
        <v>2020</v>
      </c>
      <c r="C59" s="20">
        <f>MINVU_Mes_Corriente!CO164 + MINVU_Mes_Corriente!CO26 + MINVU_Mes_Corriente!CO95</f>
        <v>2009243466</v>
      </c>
      <c r="D59" s="20">
        <f>MINVU_Mes_Corriente!CO186 + MINVU_Mes_Corriente!CO48 + MINVU_Mes_Corriente!CO117</f>
        <v>2068983787</v>
      </c>
      <c r="E59" s="20">
        <f>MINVU_Mes_Corriente!CO208 + MINVU_Mes_Corriente!CO70 + MINVU_Mes_Corriente!CO139</f>
        <v>2048851634</v>
      </c>
      <c r="F59" s="20">
        <f t="shared" si="7"/>
        <v>20132153</v>
      </c>
      <c r="G59" s="21">
        <f t="shared" si="8"/>
        <v>0.9902695453069783</v>
      </c>
      <c r="H59" s="21">
        <f t="shared" si="9"/>
        <v>1.0208797981855941E-2</v>
      </c>
      <c r="I59" s="21">
        <f t="shared" si="10"/>
        <v>7.1646728047601834E-3</v>
      </c>
    </row>
    <row r="60" spans="2:9" ht="14.25" customHeight="1" x14ac:dyDescent="0.3">
      <c r="B60" s="30">
        <v>2021</v>
      </c>
      <c r="C60" s="8">
        <f>MINVU_Mes_Corriente!DB164 + MINVU_Mes_Corriente!DB26 + MINVU_Mes_Corriente!DB95</f>
        <v>2165166433</v>
      </c>
      <c r="D60" s="8">
        <f>MINVU_Mes_Corriente!DB186 + MINVU_Mes_Corriente!DB48 + MINVU_Mes_Corriente!DB117</f>
        <v>2390342927</v>
      </c>
      <c r="E60" s="8">
        <f>MINVU_Mes_Corriente!DB208 + MINVU_Mes_Corriente!DB70 + MINVU_Mes_Corriente!DB139</f>
        <v>2353204514</v>
      </c>
      <c r="F60" s="8">
        <f t="shared" si="7"/>
        <v>37138413</v>
      </c>
      <c r="G60" s="13">
        <f t="shared" si="8"/>
        <v>0.98446314435451709</v>
      </c>
      <c r="H60" s="13">
        <f t="shared" si="9"/>
        <v>0.15532221277865432</v>
      </c>
      <c r="I60" s="13">
        <f t="shared" si="10"/>
        <v>0.14854803293189556</v>
      </c>
    </row>
    <row r="61" spans="2:9" ht="14.25" customHeight="1" x14ac:dyDescent="0.3">
      <c r="B61" s="28">
        <v>2022</v>
      </c>
      <c r="C61" s="20">
        <f>MINVU_Mes_Corriente!DO164 + MINVU_Mes_Corriente!DO26 + MINVU_Mes_Corriente!DO95</f>
        <v>2517555200</v>
      </c>
      <c r="D61" s="20">
        <f>MINVU_Mes_Corriente!DO186 + MINVU_Mes_Corriente!DO48 + MINVU_Mes_Corriente!DO117</f>
        <v>2807365504</v>
      </c>
      <c r="E61" s="20">
        <f>MINVU_Mes_Corriente!DO208 + MINVU_Mes_Corriente!DO70 + MINVU_Mes_Corriente!DO139</f>
        <v>2782762948</v>
      </c>
      <c r="F61" s="20">
        <f t="shared" si="7"/>
        <v>24602556</v>
      </c>
      <c r="G61" s="21">
        <f t="shared" si="8"/>
        <v>0.99123642576467308</v>
      </c>
      <c r="H61" s="21">
        <f t="shared" si="9"/>
        <v>0.17446140145396802</v>
      </c>
      <c r="I61" s="21">
        <f t="shared" si="10"/>
        <v>0.18254190464297232</v>
      </c>
    </row>
    <row r="62" spans="2:9" ht="14.25" customHeight="1" x14ac:dyDescent="0.3">
      <c r="B62" s="30">
        <v>2023</v>
      </c>
      <c r="C62" s="8">
        <f>MINVU_Mes_Corriente!EB164 + MINVU_Mes_Corriente!EB26 + MINVU_Mes_Corriente!EB95</f>
        <v>2940348026</v>
      </c>
      <c r="D62" s="8">
        <f>MINVU_Mes_Corriente!EB186 + MINVU_Mes_Corriente!EB48 + MINVU_Mes_Corriente!EB117</f>
        <v>2931817014</v>
      </c>
      <c r="E62" s="8">
        <f>MINVU_Mes_Corriente!EB208 + MINVU_Mes_Corriente!EB70 + MINVU_Mes_Corriente!EB139</f>
        <v>2900163375</v>
      </c>
      <c r="F62" s="8">
        <f t="shared" si="7"/>
        <v>31653639</v>
      </c>
      <c r="G62" s="13">
        <f t="shared" si="8"/>
        <v>0.98920340565292864</v>
      </c>
      <c r="H62" s="13">
        <f t="shared" si="9"/>
        <v>4.4330355211203737E-2</v>
      </c>
      <c r="I62" s="13">
        <f t="shared" si="10"/>
        <v>4.218843976069786E-2</v>
      </c>
    </row>
    <row r="63" spans="2:9" ht="14.25" customHeight="1" x14ac:dyDescent="0.3">
      <c r="B63" s="28">
        <v>2024</v>
      </c>
      <c r="C63" s="20">
        <f>MINVU_Mes_Corriente!EO164 + MINVU_Mes_Corriente!EO26 + MINVU_Mes_Corriente!EO95</f>
        <v>3320541734</v>
      </c>
      <c r="D63" s="20">
        <f>MINVU_Mes_Corriente!EO186 + MINVU_Mes_Corriente!EO48 + MINVU_Mes_Corriente!EO117</f>
        <v>3332768183</v>
      </c>
      <c r="E63" s="20">
        <f>MINVU_Mes_Corriente!EO208 + MINVU_Mes_Corriente!EO70 + MINVU_Mes_Corriente!EO139</f>
        <v>3312699040</v>
      </c>
      <c r="F63" s="20">
        <f t="shared" si="7"/>
        <v>20069143</v>
      </c>
      <c r="G63" s="21">
        <f t="shared" si="8"/>
        <v>0.99397823613944414</v>
      </c>
      <c r="H63" s="21">
        <f t="shared" si="9"/>
        <v>0.13675859273801186</v>
      </c>
      <c r="I63" s="21">
        <f t="shared" si="10"/>
        <v>0.14224566400504937</v>
      </c>
    </row>
    <row r="64" spans="2:9" ht="14.25" customHeight="1" x14ac:dyDescent="0.3">
      <c r="B64" s="30">
        <v>2025</v>
      </c>
      <c r="C64" s="8">
        <f>MINVU_Mes_Corriente!FB164 + MINVU_Mes_Corriente!FB26 + MINVU_Mes_Corriente!FB95</f>
        <v>3720328808</v>
      </c>
      <c r="D64" s="8">
        <f>MINVU_Mes_Corriente!FB186 + MINVU_Mes_Corriente!FB48 + MINVU_Mes_Corriente!FB117</f>
        <v>3742940536</v>
      </c>
      <c r="E64" s="8">
        <f>MINVU_Mes_Corriente!FB208 + MINVU_Mes_Corriente!FB70 + MINVU_Mes_Corriente!FB139</f>
        <v>3692492363</v>
      </c>
      <c r="F64" s="8">
        <f t="shared" si="7"/>
        <v>50448173</v>
      </c>
      <c r="G64" s="13">
        <f t="shared" si="8"/>
        <v>0.98652178079913799</v>
      </c>
      <c r="H64" s="13">
        <f t="shared" si="9"/>
        <v>0.12307257225156965</v>
      </c>
      <c r="I64" s="13">
        <f t="shared" si="10"/>
        <v>0.11464769917643952</v>
      </c>
    </row>
    <row r="65" spans="2:9" ht="14.25" customHeight="1" x14ac:dyDescent="0.3">
      <c r="B65" s="28">
        <v>2026</v>
      </c>
      <c r="C65" s="20">
        <f>MINVU_Mes_Corriente!FO164 + MINVU_Mes_Corriente!FO26 + MINVU_Mes_Corriente!FO95</f>
        <v>4149679420</v>
      </c>
      <c r="D65" s="20">
        <f>MINVU_Mes_Corriente!FO186 + MINVU_Mes_Corriente!FO48 + MINVU_Mes_Corriente!FO117</f>
        <v>4153039902</v>
      </c>
      <c r="E65" s="20">
        <f>MINVU_Mes_Corriente!FO208 + MINVU_Mes_Corriente!FO70 + MINVU_Mes_Corriente!FO139</f>
        <v>2142379287</v>
      </c>
      <c r="F65" s="20">
        <f t="shared" si="7"/>
        <v>2010660615</v>
      </c>
      <c r="G65" s="21">
        <f t="shared" si="8"/>
        <v>0.51585810335419213</v>
      </c>
      <c r="H65" s="21">
        <f t="shared" si="9"/>
        <v>0.10956609170132967</v>
      </c>
      <c r="I65" s="21">
        <f t="shared" si="10"/>
        <v>-0.41980129506363995</v>
      </c>
    </row>
    <row r="66" spans="2:9" ht="14.25" customHeight="1" x14ac:dyDescent="0.3"/>
    <row r="67" spans="2:9" ht="14.25" customHeight="1" x14ac:dyDescent="0.3"/>
    <row r="68" spans="2:9" ht="14.25" customHeight="1" x14ac:dyDescent="0.3"/>
    <row r="69" spans="2:9" ht="14.25" customHeight="1" x14ac:dyDescent="0.3"/>
    <row r="70" spans="2:9" ht="14.25" customHeight="1" x14ac:dyDescent="0.3"/>
    <row r="71" spans="2:9" ht="14.25" customHeight="1" x14ac:dyDescent="0.3"/>
    <row r="72" spans="2:9" ht="14.25" customHeight="1" x14ac:dyDescent="0.3"/>
    <row r="73" spans="2:9" ht="14.25" customHeight="1" x14ac:dyDescent="0.3"/>
    <row r="74" spans="2:9" ht="14.25" customHeight="1" x14ac:dyDescent="0.3"/>
    <row r="75" spans="2:9" ht="14.25" customHeight="1" x14ac:dyDescent="0.3"/>
    <row r="76" spans="2:9" ht="14.25" customHeight="1" x14ac:dyDescent="0.3"/>
    <row r="77" spans="2:9" ht="14.25" customHeight="1" x14ac:dyDescent="0.3"/>
    <row r="78" spans="2:9" ht="14.25" customHeight="1" x14ac:dyDescent="0.3"/>
    <row r="79" spans="2:9" ht="14.25" customHeight="1" x14ac:dyDescent="0.3"/>
    <row r="80" spans="2: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9">
    <mergeCell ref="J9:L9"/>
    <mergeCell ref="H9:I9"/>
    <mergeCell ref="D6:E6"/>
    <mergeCell ref="H6:I6"/>
    <mergeCell ref="B7:C8"/>
    <mergeCell ref="F7:G8"/>
    <mergeCell ref="B9:C9"/>
    <mergeCell ref="D9:E9"/>
    <mergeCell ref="F9:G9"/>
    <mergeCell ref="B6:C6"/>
    <mergeCell ref="F4:G4"/>
    <mergeCell ref="J6:L6"/>
    <mergeCell ref="D7:E8"/>
    <mergeCell ref="H7:I8"/>
    <mergeCell ref="F6:G6"/>
    <mergeCell ref="J4:L4"/>
    <mergeCell ref="H4:I4"/>
    <mergeCell ref="D4:E4"/>
    <mergeCell ref="J7:L8"/>
  </mergeCells>
  <dataValidations count="1">
    <dataValidation type="list" allowBlank="1" sqref="C4" xr:uid="{00000000-0002-0000-0200-000000000000}">
      <formula1>"2014,2015,2016,2017,2018,2019,2020,2021,2022,2023,2024,2025,2026"</formula1>
    </dataValidation>
  </dataValidations>
  <pageMargins left="0.75" right="0.75" top="1" bottom="1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MINVU_Mes_Corriente</vt:lpstr>
      <vt:lpstr>MINVU_Mes_Constante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Aldo Manuel Herrera Hernandez</cp:lastModifiedBy>
  <dcterms:created xsi:type="dcterms:W3CDTF">2026-09-16T14:07:10Z</dcterms:created>
  <dcterms:modified xsi:type="dcterms:W3CDTF">2026-09-16T16:09:33Z</dcterms:modified>
</cp:coreProperties>
</file>